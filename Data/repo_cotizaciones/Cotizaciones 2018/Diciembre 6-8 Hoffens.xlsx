
<file path=[Content_Types].xml><?xml version="1.0" encoding="utf-8"?>
<Types xmlns="http://schemas.openxmlformats.org/package/2006/content-types">
  <Default Extension="xml" ContentType="application/xml"/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emf" ContentType="image/x-em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26408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carmen/Dropbox/eventos lodge/Cotizaciones 2018 Carmen/"/>
    </mc:Choice>
  </mc:AlternateContent>
  <bookViews>
    <workbookView xWindow="0" yWindow="460" windowWidth="25600" windowHeight="13080" tabRatio="500"/>
  </bookViews>
  <sheets>
    <sheet name="Presupuesto valorizado" sheetId="1" r:id="rId1"/>
    <sheet name="Itinerario para firmar" sheetId="9" r:id="rId2"/>
    <sheet name="Detalle de alojamiento." sheetId="5" r:id="rId3"/>
    <sheet name="Detalle de Alimentacion." sheetId="10" r:id="rId4"/>
  </sheets>
  <calcPr calcId="150001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F9" i="1" l="1"/>
  <c r="F15" i="1"/>
  <c r="F13" i="1"/>
  <c r="F14" i="1"/>
  <c r="F17" i="1"/>
  <c r="F25" i="1"/>
  <c r="F21" i="1"/>
  <c r="F22" i="1"/>
  <c r="F23" i="1"/>
  <c r="F24" i="1"/>
  <c r="F27" i="1"/>
  <c r="F31" i="1"/>
  <c r="F32" i="1"/>
  <c r="F33" i="1"/>
  <c r="F39" i="1"/>
  <c r="F11" i="1"/>
  <c r="E12" i="1"/>
  <c r="F12" i="1"/>
  <c r="E14" i="1"/>
  <c r="E16" i="1"/>
  <c r="F16" i="1"/>
  <c r="F10" i="1"/>
  <c r="E26" i="1"/>
  <c r="F26" i="1"/>
  <c r="E22" i="1"/>
  <c r="E24" i="1"/>
  <c r="F20" i="1"/>
  <c r="E32" i="1"/>
  <c r="F30" i="1"/>
  <c r="F36" i="1"/>
  <c r="F37" i="1"/>
  <c r="F38" i="1"/>
  <c r="F69" i="1"/>
  <c r="F35" i="1"/>
  <c r="F76" i="1"/>
  <c r="F75" i="1"/>
  <c r="F77" i="1"/>
  <c r="F80" i="1"/>
  <c r="F98" i="1"/>
  <c r="F94" i="1"/>
  <c r="F92" i="1"/>
  <c r="F93" i="1"/>
  <c r="F95" i="1"/>
  <c r="F96" i="1"/>
  <c r="F97" i="1"/>
  <c r="F99" i="1"/>
  <c r="F91" i="1"/>
  <c r="F88" i="1"/>
  <c r="F83" i="1"/>
  <c r="F90" i="1"/>
  <c r="F73" i="1"/>
  <c r="F78" i="1"/>
  <c r="F74" i="1"/>
  <c r="F86" i="1"/>
  <c r="F81" i="1"/>
  <c r="F82" i="1"/>
  <c r="F84" i="1"/>
  <c r="F85" i="1"/>
  <c r="F87" i="1"/>
  <c r="F89" i="1"/>
  <c r="F70" i="1"/>
  <c r="F71" i="1"/>
  <c r="F72" i="1"/>
  <c r="F79" i="1"/>
  <c r="F30" i="5"/>
  <c r="E30" i="5"/>
  <c r="D30" i="5"/>
  <c r="C30" i="5"/>
  <c r="B30" i="5"/>
  <c r="P29" i="5"/>
  <c r="O29" i="5"/>
  <c r="N29" i="5"/>
  <c r="K29" i="5"/>
  <c r="J29" i="5"/>
  <c r="I29" i="5"/>
  <c r="Z23" i="5"/>
  <c r="F40" i="1"/>
  <c r="F41" i="1"/>
</calcChain>
</file>

<file path=xl/sharedStrings.xml><?xml version="1.0" encoding="utf-8"?>
<sst xmlns="http://schemas.openxmlformats.org/spreadsheetml/2006/main" count="601" uniqueCount="381">
  <si>
    <t xml:space="preserve">Valor </t>
  </si>
  <si>
    <t>Total</t>
  </si>
  <si>
    <t xml:space="preserve"> </t>
  </si>
  <si>
    <t>Empresa:</t>
  </si>
  <si>
    <t>Nº Pasajeros</t>
  </si>
  <si>
    <t>Fono:</t>
  </si>
  <si>
    <t>Valor</t>
  </si>
  <si>
    <t>Nº Pax</t>
  </si>
  <si>
    <t>Detalle de servicios.</t>
  </si>
  <si>
    <t>Desayuno Buffet</t>
  </si>
  <si>
    <t>Descorche por persona</t>
  </si>
  <si>
    <t xml:space="preserve">Capacidad total con hoteles nuevos </t>
  </si>
  <si>
    <t>Hoteles</t>
  </si>
  <si>
    <t>Disponible a diciembre 2014</t>
  </si>
  <si>
    <t>Cabañas</t>
  </si>
  <si>
    <t>Don Chote</t>
  </si>
  <si>
    <t>single</t>
  </si>
  <si>
    <t>Doble</t>
  </si>
  <si>
    <t>Con Triples</t>
  </si>
  <si>
    <t>Con Cuadruples</t>
  </si>
  <si>
    <t>Con quintuples</t>
  </si>
  <si>
    <t>Don Mario</t>
  </si>
  <si>
    <t>Don Jean Paul</t>
  </si>
  <si>
    <t>Numero</t>
  </si>
  <si>
    <t>dormitorio 1</t>
  </si>
  <si>
    <t>dorm 2</t>
  </si>
  <si>
    <t>dorm 3</t>
  </si>
  <si>
    <t>dorm 4</t>
  </si>
  <si>
    <t>Baños</t>
  </si>
  <si>
    <t>Frigobar</t>
  </si>
  <si>
    <t>Terraza</t>
  </si>
  <si>
    <t>C1</t>
  </si>
  <si>
    <t>M1</t>
  </si>
  <si>
    <t>2 camas</t>
  </si>
  <si>
    <t>2 camarotes</t>
  </si>
  <si>
    <t>C2</t>
  </si>
  <si>
    <t>M2</t>
  </si>
  <si>
    <t>C3</t>
  </si>
  <si>
    <t>M3</t>
  </si>
  <si>
    <t>C4</t>
  </si>
  <si>
    <t>M4</t>
  </si>
  <si>
    <t>1 camarotes</t>
  </si>
  <si>
    <t>C5</t>
  </si>
  <si>
    <t>M5</t>
  </si>
  <si>
    <t>C6</t>
  </si>
  <si>
    <t>M6</t>
  </si>
  <si>
    <t>1 camarote</t>
  </si>
  <si>
    <t>C7</t>
  </si>
  <si>
    <t>M7</t>
  </si>
  <si>
    <t>C8</t>
  </si>
  <si>
    <t>M8</t>
  </si>
  <si>
    <t xml:space="preserve">Don Jorge </t>
  </si>
  <si>
    <t>M9</t>
  </si>
  <si>
    <t>J1</t>
  </si>
  <si>
    <t>M10</t>
  </si>
  <si>
    <t>J2</t>
  </si>
  <si>
    <t>M11</t>
  </si>
  <si>
    <t>J3</t>
  </si>
  <si>
    <t>M12</t>
  </si>
  <si>
    <t>J4</t>
  </si>
  <si>
    <t>Don Roberto</t>
  </si>
  <si>
    <t>Don Jean Paul papa</t>
  </si>
  <si>
    <t>J5</t>
  </si>
  <si>
    <t>R1</t>
  </si>
  <si>
    <t>J6</t>
  </si>
  <si>
    <t>R2</t>
  </si>
  <si>
    <t>J7</t>
  </si>
  <si>
    <t>R3</t>
  </si>
  <si>
    <t>J8</t>
  </si>
  <si>
    <t>R4</t>
  </si>
  <si>
    <t>Don Pancho</t>
  </si>
  <si>
    <t>R5</t>
  </si>
  <si>
    <t>P1</t>
  </si>
  <si>
    <t>R6</t>
  </si>
  <si>
    <t>P2</t>
  </si>
  <si>
    <t>R7</t>
  </si>
  <si>
    <t>P3</t>
  </si>
  <si>
    <t>R8</t>
  </si>
  <si>
    <t>P4</t>
  </si>
  <si>
    <t>R9</t>
  </si>
  <si>
    <t>P5</t>
  </si>
  <si>
    <t>R10</t>
  </si>
  <si>
    <t>P6</t>
  </si>
  <si>
    <t>R11</t>
  </si>
  <si>
    <t>P7</t>
  </si>
  <si>
    <t>R12</t>
  </si>
  <si>
    <t>P8</t>
  </si>
  <si>
    <t>cuadruples y triples</t>
  </si>
  <si>
    <t>Nº Uds</t>
  </si>
  <si>
    <t xml:space="preserve">Total </t>
  </si>
  <si>
    <t>Bar abierto 2 horas</t>
  </si>
  <si>
    <t>Total paquete.</t>
  </si>
  <si>
    <t>Bar abierto 4 horas</t>
  </si>
  <si>
    <t>Bar abierto full, 6 horas</t>
  </si>
  <si>
    <t>Servicio en Salón. Valor por persona.</t>
  </si>
  <si>
    <t>Cordero al palo</t>
  </si>
  <si>
    <t>Cordero al palo cocinado 8 horas a la lena a muy lenta cocción, para 20 pasajeros.</t>
  </si>
  <si>
    <t xml:space="preserve">Aperitivo campestre Pierna de cerdo </t>
  </si>
  <si>
    <t>Tierna pierna de cerdo cocinada por 16 horas en Horno de barro, acompañana de guacamole y pan amasado.</t>
  </si>
  <si>
    <t>ITINERARIO SAN FRANCISCO LODGE</t>
  </si>
  <si>
    <t>Inicio</t>
  </si>
  <si>
    <t xml:space="preserve">Fin </t>
  </si>
  <si>
    <t>Responsable</t>
  </si>
  <si>
    <t>Nº Personas</t>
  </si>
  <si>
    <t>Lugar/Salón</t>
  </si>
  <si>
    <t xml:space="preserve">Comentarios </t>
  </si>
  <si>
    <t>Desayuno</t>
  </si>
  <si>
    <t>Comedor</t>
  </si>
  <si>
    <t>Almuerzo</t>
  </si>
  <si>
    <t>Actividades libres</t>
  </si>
  <si>
    <t>*Por favor se agradecerá avisar cambios con un máximo de tres días antes de la fecha de iniciación del evento. Cambios de última hora podrían incurrir en gastos extras.</t>
  </si>
  <si>
    <t>Firma representante de la empresa</t>
  </si>
  <si>
    <t>Gracias y nos vemos pronto!</t>
  </si>
  <si>
    <t>Parrilla pollo, vacuno, cerdo, chorizo, prietas, acompañamientos, salad bar,  postres, líquidos en autoservicio</t>
  </si>
  <si>
    <t>Coffee Light</t>
  </si>
  <si>
    <t>Coffee Intermedio</t>
  </si>
  <si>
    <t>Coffee Full</t>
  </si>
  <si>
    <t>Bebidas, cervezas, espumante, vino, pisco Mistral, ron Pampero.</t>
  </si>
  <si>
    <t>Tabla para 4 personas</t>
  </si>
  <si>
    <t>Hora adicional de bar abierto</t>
  </si>
  <si>
    <t>Almuerzos Buffet Parrilla</t>
  </si>
  <si>
    <t xml:space="preserve">Cena  Buffet </t>
  </si>
  <si>
    <t>Otros no incuidos.</t>
  </si>
  <si>
    <t>Uds</t>
  </si>
  <si>
    <t>Día 1</t>
  </si>
  <si>
    <t>Día 2</t>
  </si>
  <si>
    <t>Incluido</t>
  </si>
  <si>
    <t xml:space="preserve">Piscina hasta las 20:00 </t>
  </si>
  <si>
    <t>Cena</t>
  </si>
  <si>
    <t>Lun 28 nov</t>
  </si>
  <si>
    <t>Uso salón</t>
  </si>
  <si>
    <t>Montaje por confirmar</t>
  </si>
  <si>
    <t>Mar 29 nov</t>
  </si>
  <si>
    <t>Mie 30 nov</t>
  </si>
  <si>
    <t>Observaciones</t>
  </si>
  <si>
    <t xml:space="preserve">Empresa: </t>
  </si>
  <si>
    <t xml:space="preserve">Nº Personas: </t>
  </si>
  <si>
    <t xml:space="preserve">                                                         Nombre: </t>
  </si>
  <si>
    <t xml:space="preserve">                                                        E Mail</t>
  </si>
  <si>
    <t xml:space="preserve">                                                        Fecha:</t>
  </si>
  <si>
    <t>Telefono</t>
  </si>
  <si>
    <t>Atiende:</t>
  </si>
  <si>
    <t xml:space="preserve">Salón Arcoiris 2, hasta 80 pasajeros </t>
  </si>
  <si>
    <t>Salon Fario 1, hasta 120 pasajeros</t>
  </si>
  <si>
    <t>Salon fario 2, hasta 120 pasajeros</t>
  </si>
  <si>
    <t>8 empanaditas de queso, 8 de pino, 8 bruzquetas,150 grs. de frutos secos, 150 grs. de queso, galletas de coctail y pasta para untar.</t>
  </si>
  <si>
    <t>Valor no incluye propinas.</t>
  </si>
  <si>
    <t>IVA</t>
  </si>
  <si>
    <t>Habitación doble hotel</t>
  </si>
  <si>
    <t>1.- Abonar 50% del total del evento a cuenta de Aventuras Andinas Limitada.</t>
  </si>
  <si>
    <t>3.- Balance último año contable.</t>
  </si>
  <si>
    <t>4.- 3 últimos IVA.</t>
  </si>
  <si>
    <t>5.- Escritura de constitución de la sociedad, donde se indique nombre y rut y dirección de los socios y representantes legales.</t>
  </si>
  <si>
    <t>Café, té, agua, jugo de pulpa, 2 facturitas ó 1 muffins y 2 tapaditos.</t>
  </si>
  <si>
    <t>Café, té, agua, jugo de pulpa, leche, 1 muffins, 2 facturitas, 2 tapaditos, 1 brocheta de fruta.</t>
  </si>
  <si>
    <t>Café, té, agua, jugo de pulpa, 1 muffins, 2 facturitas, 1 fruta y 1  tapadito.</t>
  </si>
  <si>
    <t>Tapaditos( solicitar con anticipación)</t>
  </si>
  <si>
    <t>Consome  250cc</t>
  </si>
  <si>
    <t xml:space="preserve">Taza de consome de pollo de 250 cc </t>
  </si>
  <si>
    <t>Hora</t>
  </si>
  <si>
    <t>Incluye Barman, hielo, cooler, copas y vasos, montaje de bar y derecho a traer bebidas y/o tragos, 4 horas.</t>
  </si>
  <si>
    <t xml:space="preserve"> Guarnición de frutos secos, app 20gr</t>
  </si>
  <si>
    <t>Coctail Intermedio.</t>
  </si>
  <si>
    <t>Salón Chinook, hasta 400 pasajeros</t>
  </si>
  <si>
    <t>Salón Coho, hasta 180 pasajeros</t>
  </si>
  <si>
    <t>Salón Arcoiris 1 hasta 80 pasajeros.</t>
  </si>
  <si>
    <t>Salón laguna hasta 50 pasajeros</t>
  </si>
  <si>
    <t>Salón Fontinalis hasta 35 pasajeros</t>
  </si>
  <si>
    <t xml:space="preserve">Quincho,  hasta 100 pax </t>
  </si>
  <si>
    <t>Coctail Básico.</t>
  </si>
  <si>
    <t>Servicio en comedor exclusivo</t>
  </si>
  <si>
    <t>Cambio de hora Alimentacion</t>
  </si>
  <si>
    <t>13:00-15:00</t>
  </si>
  <si>
    <t>20:00- 21:00</t>
  </si>
  <si>
    <t>Pergola uso exclusivo 8 horas</t>
  </si>
  <si>
    <t>Coordinador de evento</t>
  </si>
  <si>
    <t>Importante:</t>
  </si>
  <si>
    <t>Cuenta  corriente:</t>
  </si>
  <si>
    <t>Nº620024-9.</t>
  </si>
  <si>
    <t>Banco </t>
  </si>
  <si>
    <t>Santander</t>
  </si>
  <si>
    <t>Razón Social: </t>
  </si>
  <si>
    <t>Rut: </t>
  </si>
  <si>
    <t>76.666.800-3</t>
  </si>
  <si>
    <t>Giro: </t>
  </si>
  <si>
    <t>Turismo.-</t>
  </si>
  <si>
    <t>Dirección: </t>
  </si>
  <si>
    <t>Camino a la canabina s/n San Esteban.</t>
  </si>
  <si>
    <t>Detalles Importantes:</t>
  </si>
  <si>
    <t>1.-</t>
  </si>
  <si>
    <t>2.-</t>
  </si>
  <si>
    <t>3.-</t>
  </si>
  <si>
    <t>4.-</t>
  </si>
  <si>
    <t>Desayuno buffet:</t>
  </si>
  <si>
    <t>Café, té, leche, jugo, frutas, yogurt, cereales, pan amasado, queso, jamón,  omelette, huevos, tartaletas o muffins o profiteroles, wafles.</t>
  </si>
  <si>
    <t xml:space="preserve">Almuerzos: </t>
  </si>
  <si>
    <t>Parrilla buffet de vacuno, costillar, pulpa, pollo, chorizos, prietas.</t>
  </si>
  <si>
    <r>
      <t xml:space="preserve">Onces: </t>
    </r>
    <r>
      <rPr>
        <sz val="13"/>
        <color rgb="FF000000"/>
        <rFont val="Calibri"/>
        <family val="2"/>
      </rPr>
      <t>Café, te, leche, jugos, helado, torta, sandwich.</t>
    </r>
  </si>
  <si>
    <t>Buffet de  Acompañamientos calientes, Salad bar con variedades de ensaladas, Buffet de postres con tortas, postres de leche y frutas.</t>
  </si>
  <si>
    <t>Actividades Libres(indicar Horario)</t>
  </si>
  <si>
    <t>Pesca con Mosca</t>
  </si>
  <si>
    <t>Autoservicio de Liquidos</t>
  </si>
  <si>
    <t>Café, té, aguas de hierba, agua mineral, nestéa, Jugos</t>
  </si>
  <si>
    <t>Piscina temperada</t>
  </si>
  <si>
    <t>Acceso a pescar con mosca, en lagunas o estero.</t>
  </si>
  <si>
    <t>Piscina temperada entre 10:00-14:00 y 15:00- 20:00(se exige uso de gorra), piscina exterior.</t>
  </si>
  <si>
    <t>Canopy, kayak, Cabalgatas 30 min, pool, ping pong, taca, taca, entre 10:00-13:00; 15:00- 18:30.</t>
  </si>
  <si>
    <t>Incluido sin costo</t>
  </si>
  <si>
    <t>Siempre que se usen en horarios establecidos y en forma no exclusiva, indicando hora de uso.</t>
  </si>
  <si>
    <t>Total  Evento</t>
  </si>
  <si>
    <t>12 horas, persona a cargo de recibir al grupo y coordinar cada una de las actividades.</t>
  </si>
  <si>
    <t>Café, té, leche, yogurt, jamón, queso, huevos, mermeladas, mantequilla, panes, minipastelitos y cereales</t>
  </si>
  <si>
    <t>Variados platos de carnes y acompañamientos, salad bar, postres, líquidos en autoservicio</t>
  </si>
  <si>
    <t>Bebidas y cervezas en vaso, un solo punto a definir entre piscina, bar, quincho o salón.</t>
  </si>
  <si>
    <t>Por hora extra garzones, bar, cocina, traslado de personal en otro horario, por + de 20 pasajeros</t>
  </si>
  <si>
    <t xml:space="preserve">Sandwich de pan amasado con pollo palta o pollo pimiento 2 unidades </t>
  </si>
  <si>
    <t>Bebida gaseosa  ó cerveza</t>
  </si>
  <si>
    <t>Mix de Frutos secos</t>
  </si>
  <si>
    <t>Coffee Básico</t>
  </si>
  <si>
    <t>Jugo de pulpa, agua, yogurt, 1 brocheta fruta, 1 barra de cereal</t>
  </si>
  <si>
    <t>Equipado con data, telón papelógrafo, aire acondicionado y calefacción, 8 h Día o 4 h Noche</t>
  </si>
  <si>
    <t>1 agua mineral por persona, café, té, infusiones, 5 dulces por persona en pocillo, 3 galletas artesanales.</t>
  </si>
  <si>
    <t>Pérgola comedor principal o pérgola bar</t>
  </si>
  <si>
    <t>Total evento con IVA</t>
  </si>
  <si>
    <t>Habitación doble hotel con 2 desayunos</t>
  </si>
  <si>
    <t>Cotización de servicios.</t>
  </si>
  <si>
    <t xml:space="preserve"> Confirmar hora</t>
  </si>
  <si>
    <t>Pago Contado:</t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</si>
  <si>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Orden de compra indicando forma de pago abono y datos de la empresa.</t>
    </r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</si>
  <si>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Abono de 50% del total del Evento.</t>
    </r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</si>
  <si>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50% pagado contra factura el día del evento en el Lodge.</t>
    </r>
  </si>
  <si>
    <t>Crédito:</t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</si>
  <si>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Forma de pago del 50% restante.</t>
    </r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</si>
  <si>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 xml:space="preserve">Solicitud de crédito aprobada. </t>
    </r>
  </si>
  <si>
    <t>En no pago del saldo en la fecha señalada, genera automáticamente un 15% de recargo sobre el saldo, por gastos de cobranza más en máximo interés convencional.</t>
  </si>
  <si>
    <r>
      <t>Para órdenes de Compra y pagos</t>
    </r>
    <r>
      <rPr>
        <sz val="11"/>
        <color rgb="FF000000"/>
        <rFont val="Calibri"/>
        <family val="2"/>
      </rPr>
      <t>.</t>
    </r>
  </si>
  <si>
    <t>Crédito 30 días, genera interés de 5% sobre el saldo adeudado, 60 días 10% sobre el saldo adeudado.</t>
  </si>
  <si>
    <t>Aventuras Andinas LTDA.</t>
  </si>
  <si>
    <r>
      <t xml:space="preserve">Copiar abonos o transferencias a </t>
    </r>
    <r>
      <rPr>
        <u/>
        <sz val="12"/>
        <color theme="10"/>
        <rFont val="Calibri (Cuerpo)"/>
      </rPr>
      <t>sf@sflodge.cl</t>
    </r>
    <r>
      <rPr>
        <sz val="12"/>
        <color theme="10"/>
        <rFont val="Calibri"/>
        <family val="2"/>
        <scheme val="minor"/>
      </rPr>
      <t xml:space="preserve"> y correo de la vendedora.</t>
    </r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</si>
  <si>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Confirmar asistentes con 72 hrs, luego se paga por lo reservado.</t>
    </r>
  </si>
  <si>
    <r>
      <t>·</t>
    </r>
    <r>
      <rPr>
        <sz val="7"/>
        <color rgb="FF000000"/>
        <rFont val="Times New Roman"/>
        <family val="1"/>
      </rPr>
      <t>      </t>
    </r>
    <r>
      <rPr>
        <sz val="11"/>
        <color rgb="FF000000"/>
        <rFont val="Calibri"/>
        <family val="2"/>
      </rPr>
      <t>Se deberá definir el Itinerario a más tardar 48 horas de iniciado el evento, después de 48 horas cualquier cambio tienen recargo de 50% al valor del servicio.</t>
    </r>
  </si>
  <si>
    <t>Para Formalización y forma de pago.</t>
  </si>
  <si>
    <t>Para solicitar Crédito enviar a la Vendedora.</t>
  </si>
  <si>
    <t>Tragos(1 p/p entre) Pisco sour o espumante, vino,  bebida, cerveza, 1 empanaditas, 1 bruzquetas, quesos, frutos secos, galletas.</t>
  </si>
  <si>
    <t>Tragos(2 p/p entre)Vino tinto, Blanco, espumante, pisco sour, bebidas,  cerveza, 1 empanaditas de Pino, 1 queso, queso crema con aceitunas y nueces, 2  bruzquetas jamón serrano, bruzquetas de Salmón, brocheta mediterranea,  frutos secos o quesos.</t>
  </si>
  <si>
    <t xml:space="preserve">Bebida gaseosa </t>
  </si>
  <si>
    <t>Gaseosa ó mineral ó  jugo de botella ó cerveza Cristal o Escudo en lata.</t>
  </si>
  <si>
    <t>BAR/RESTAURANT</t>
  </si>
  <si>
    <t>Valor Carta</t>
  </si>
  <si>
    <t>Valor s/IVA</t>
  </si>
  <si>
    <t>CERVEZA BOTELLA $ 2.500</t>
  </si>
  <si>
    <t>Corona, Heineken, Kunstmann, Austral, Cristal Zero</t>
  </si>
  <si>
    <t>MICHELADA $ 2.800</t>
  </si>
  <si>
    <t>(Cerveza botella, jugo de limón, tabasco, salsa inglesa, borde de sal)</t>
  </si>
  <si>
    <t>Altamira</t>
  </si>
  <si>
    <t>Pale Ale, Amber Ale, Stout</t>
  </si>
  <si>
    <t>CERVEZA LATA $ 1.800</t>
  </si>
  <si>
    <t>Escudo, Cristal</t>
  </si>
  <si>
    <t>BEBIDAS $ 1.800</t>
  </si>
  <si>
    <t>JUGO BOTELLA $ 1.800</t>
  </si>
  <si>
    <t>MINERALES $ 1.800</t>
  </si>
  <si>
    <t>JUGOS NATURALES O LIMONADAS VASO $ 2.500</t>
  </si>
  <si>
    <t>JARRO DE JUGO 1.5 Lts $ 8.500</t>
  </si>
  <si>
    <t>PRIMAVERA SIN LICOR $ 3.000</t>
  </si>
  <si>
    <t>ENERGETICA $ 3.600</t>
  </si>
  <si>
    <t>ISOTÓNICA</t>
  </si>
  <si>
    <t>PISCO</t>
  </si>
  <si>
    <t>MISTRAL, ALTO DEL CARMEN $ 3.600</t>
  </si>
  <si>
    <t>HORCON QUEMADO $ 4.800</t>
  </si>
  <si>
    <t>VODKA &amp; GIN</t>
  </si>
  <si>
    <t>STOLICHNAYA $ 3.600</t>
  </si>
  <si>
    <t>ABSOLUT SABORES $ 4.500</t>
  </si>
  <si>
    <t>BEEFEARTER $ 4.800</t>
  </si>
  <si>
    <t>WHISKY, WHISKEY</t>
  </si>
  <si>
    <t>JOHNNIE WALKER RED LABEL $ 4.500</t>
  </si>
  <si>
    <t>JHONNIE WALKER BLACK LABEL $ 8.000</t>
  </si>
  <si>
    <t>BALLANTINES $ 4.500</t>
  </si>
  <si>
    <t>JACK DANIEL`S OLD N°7, FIRE, HONEY $ 6.500</t>
  </si>
  <si>
    <t>CHIVAS REGAL 12 AÑOS $ 7.500</t>
  </si>
  <si>
    <t>RON</t>
  </si>
  <si>
    <t>HAVANA CLUB AÑEJO ESPECIAL $ 4.800</t>
  </si>
  <si>
    <t>HAVANA CLUB AÑEJO 7 AÑOS $ 6.000</t>
  </si>
  <si>
    <t>BACARDI o PAMPERO BLANCO, AÑEJO $ 4.500</t>
  </si>
  <si>
    <t>TEQUILA, SHOTS</t>
  </si>
  <si>
    <t>OLMECA SILVER $ 3.000</t>
  </si>
  <si>
    <t>OLMECA GOLDEN $ 3.200</t>
  </si>
  <si>
    <t>OTROS</t>
  </si>
  <si>
    <t>CAMPARI $ 4.800</t>
  </si>
  <si>
    <t>FERNET BRANCA $ 4.800</t>
  </si>
  <si>
    <t>DRAMBUIE $ 6.000</t>
  </si>
  <si>
    <t>AMARETTO DISARONO $ 6.000</t>
  </si>
  <si>
    <t>BAILEY`S $ 4.500</t>
  </si>
  <si>
    <t>APEROL SPRITZ $ 4.800</t>
  </si>
  <si>
    <t>ARAUCANO $ 3.600</t>
  </si>
  <si>
    <t>JAGERMEISTER $ 6.000</t>
  </si>
  <si>
    <t>BAJATIVOS NACIONALES</t>
  </si>
  <si>
    <t>MANZANILLA $ 2.400</t>
  </si>
  <si>
    <t>AMARETTO NACIONAL $ 2.400</t>
  </si>
  <si>
    <t>MENTA $ 2.400</t>
  </si>
  <si>
    <t>PISCO SOUR $ 3.600</t>
  </si>
  <si>
    <t>(Pisco, Jugo de limón, triplecsec, goma, hielo)</t>
  </si>
  <si>
    <t>KIR ROYAL $ 3.600</t>
  </si>
  <si>
    <t>(Espumante, licor de cassis)</t>
  </si>
  <si>
    <t>MARGARITA $ 4.500</t>
  </si>
  <si>
    <t>(Tequila, jugo de limón, triplesec, azúcar flor, hielo, sal)</t>
  </si>
  <si>
    <t>DAIQUIRIES $4.500</t>
  </si>
  <si>
    <t>(Ron, jugo de limón o fruta, triplesec, azúcar flor, hielo)</t>
  </si>
  <si>
    <t>PIÑA COLADA $ 4.800</t>
  </si>
  <si>
    <t>(Ron, piña, crema de leche, coco López, azúcar flor, hielo, coco rallado)</t>
  </si>
  <si>
    <t>MOJITO $ 4.500</t>
  </si>
  <si>
    <t>(Ron, Menta macerada, azúcar flor, dash de limón, hielo, soda)</t>
  </si>
  <si>
    <t>CAIPIRIÑA $ 5.400</t>
  </si>
  <si>
    <t>(Cachaza, limón de pica macerado, azúcar flor, hielo)</t>
  </si>
  <si>
    <t>RUSO BLANCO/NEGRO $ 4.500</t>
  </si>
  <si>
    <t>(Vodka, kaluha/Vodka, kaluha, leche evaporada, hielo)</t>
  </si>
  <si>
    <t>BLOODIE MARY $ 4.500</t>
  </si>
  <si>
    <t>(Vodka, jugo de tomate, sal, limón, sal, limón, salsa inglesa, tabasco, hielo)</t>
  </si>
  <si>
    <t>DESTORNILLADOR $ 4.500</t>
  </si>
  <si>
    <t>(Vodka, jugo de naranja, hielo)</t>
  </si>
  <si>
    <t>TOM COLLINS $ 4.500</t>
  </si>
  <si>
    <t>(Gin, jugo de limón, azúcar flor, soda, hielo)</t>
  </si>
  <si>
    <t>OLD FASHIONED $ 4.500</t>
  </si>
  <si>
    <t>(Whisky, terrón de azúcar, angostura, soda, rodaja de naranja, twist de limón, hielo)</t>
  </si>
  <si>
    <t>CLAVO OXIDADO $ 6.000</t>
  </si>
  <si>
    <t>(Bourbon, drambuie, clavos de olor, hielo)</t>
  </si>
  <si>
    <t>MARTINI DRY $ 4.500</t>
  </si>
  <si>
    <t>(Gin y Martini Seco)</t>
  </si>
  <si>
    <t>Viñedos Emiliana, EMILIANA RESERVA $ 9.000</t>
  </si>
  <si>
    <t>Cabernet Sauvignon, Carmenere, Sauvignon Blanc, Chardonnay</t>
  </si>
  <si>
    <t>Viñedos Emiliana, ADOBE $ 12.000</t>
  </si>
  <si>
    <t>Tierra del Fuego, RESERVA $ 12.000</t>
  </si>
  <si>
    <t>Merlot, Sauvignon Blanc</t>
  </si>
  <si>
    <t>Cremaschi Furlotti, RESERVA $ 12.000</t>
  </si>
  <si>
    <t>Cabernet Sauvignon</t>
  </si>
  <si>
    <t>Concha y Toro, TRIO RESERVA $ 12.000</t>
  </si>
  <si>
    <t>Sauvignon Blanc, Chardonnay</t>
  </si>
  <si>
    <t>Castillo Molina, RESERVA $ 14.000</t>
  </si>
  <si>
    <t>Concha y Toro, CASILLERO DEL DIABLO RESERVA $ 14.000</t>
  </si>
  <si>
    <t>Cabernet Sauvignon, Carmenere, Merlot, Syrah, Sauvignon Blanc, Chardonnay</t>
  </si>
  <si>
    <t>Tierra del Fuego, GRAN RESERVA $ 16.000</t>
  </si>
  <si>
    <t>Cabernet Sauvignon, Carmenere, Merlot, Syrah</t>
  </si>
  <si>
    <t>Tarapacá, GRAN RESERVA $ 18.000</t>
  </si>
  <si>
    <t>Leyda Single Vinyard, RESERVA $ 18.000</t>
  </si>
  <si>
    <t>Cab. Sauv. Belloto, Carmenere Talhuen, Sauv. Blanc Garuma, Sauv. Gris Kadun,</t>
  </si>
  <si>
    <t>Chardonnay Falaris Hill, Leyda Single Vinyard, Pinot Noir Las Brisas</t>
  </si>
  <si>
    <t>Tarapacá, GRAN RESERVA $ 21.000</t>
  </si>
  <si>
    <t>Orgánico Red Blend</t>
  </si>
  <si>
    <t>Concha y Toro, MARQUÉS DE CASA CONCHA $ 24.000</t>
  </si>
  <si>
    <t>Concha y Toro $ 6.000</t>
  </si>
  <si>
    <t>Late Harvest 375 ml.</t>
  </si>
  <si>
    <t>SBX, Brut $ 10.000</t>
  </si>
  <si>
    <t>Tabla del Corte , 4 pers. $18.000</t>
  </si>
  <si>
    <t>Cortes de salames clásico, español y riojano ancho, lomo cinta y kassler, queso crema,</t>
  </si>
  <si>
    <t>aceitunas, corazón de alcachofa, palmitos, arrollado huaso y grisinis.</t>
  </si>
  <si>
    <t>Tabla de Quesos, 4 pers. $22.000</t>
  </si>
  <si>
    <t>Quesos mantecoso, azul, de cabra, camemberg y crema, nueces, maní, pasas y grisinis.</t>
  </si>
  <si>
    <t>Tabla Dulce, 4 pers. $9.000</t>
  </si>
  <si>
    <t>Palmeritas maquilladas, Croissants, donas cubiertas, enrejados de limón,</t>
  </si>
  <si>
    <t>medias lunas argentinas.</t>
  </si>
  <si>
    <t>Galletas de Mantequilla Semi Bañadas en Chocolate, 100 grs. $1.500</t>
  </si>
  <si>
    <t>Torta Panqueque Naranja, porción $3.000</t>
  </si>
  <si>
    <t>Torta Trufa, porción $2.500</t>
  </si>
  <si>
    <t>Barros Jarpa $5.500</t>
  </si>
  <si>
    <t>Barros Luco $6.500</t>
  </si>
  <si>
    <t>Chacarero $6.500</t>
  </si>
  <si>
    <t>Churrasco Italiano $6.500</t>
  </si>
  <si>
    <t>Churrasco Solo $4.500</t>
  </si>
  <si>
    <t>Valor adicional por persona  / por comida, desde 50 personas, chinook y bar minimo $300.000</t>
  </si>
  <si>
    <t>Carmen Rodríguez D.</t>
  </si>
  <si>
    <t>9 74961403</t>
  </si>
  <si>
    <t>Día 3</t>
  </si>
  <si>
    <t>Salón Arcoiris 1 1/2 dia</t>
  </si>
  <si>
    <t xml:space="preserve"> Alejadra Lazo</t>
  </si>
  <si>
    <t>Alejandralazo@hoffens.com</t>
  </si>
  <si>
    <t>6 al 8 de diciembre</t>
  </si>
  <si>
    <t>Habitación single en cabaña</t>
  </si>
  <si>
    <t>Habitación single en cabaña 4 pasajeros por cabaña con  desayuno</t>
  </si>
  <si>
    <t xml:space="preserve"> Café, te, leche, jugos, 2  tapasitos 1 medialuna</t>
  </si>
  <si>
    <t>Coffe de bienvenida</t>
  </si>
  <si>
    <t>Hoffens</t>
  </si>
  <si>
    <t>Almuerzo Parrilla buffet tenedor abierto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</si>
</sst>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6" formatCode="&quot;$&quot;#,##0;[Red]&quot;$&quot;\-#,##0"/>
    <numFmt numFmtId="164" formatCode="&quot;$&quot;#,##0"/>
    <numFmt numFmtId="165" formatCode="h:mm:ss;@"/>
  </numFmts>
  <fonts count="29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4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rgb="FF000000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9"/>
      <color rgb="FF000000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3"/>
      <color rgb="FF000000"/>
      <name val="Calibri"/>
      <family val="2"/>
    </font>
    <font>
      <b/>
      <sz val="13"/>
      <color rgb="FF000000"/>
      <name val="Calibri"/>
      <family val="2"/>
    </font>
    <font>
      <sz val="12"/>
      <name val="Calibri"/>
      <family val="2"/>
      <scheme val="minor"/>
    </font>
    <font>
      <sz val="12"/>
      <color theme="3" tint="0.3999755851924192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Symbol"/>
      <charset val="2"/>
    </font>
    <font>
      <sz val="7"/>
      <color rgb="FF000000"/>
      <name val="Times New Roman"/>
      <family val="1"/>
    </font>
    <font>
      <sz val="12"/>
      <color theme="10"/>
      <name val="Calibri"/>
      <family val="2"/>
      <scheme val="minor"/>
    </font>
    <font>
      <u/>
      <sz val="12"/>
      <color theme="10"/>
      <name val="Calibri (Cuerpo)"/>
    </font>
    <font>
      <b/>
      <sz val="18"/>
      <color rgb="FF000000"/>
      <name val="Calibri"/>
      <family val="2"/>
    </font>
    <font>
      <sz val="10"/>
      <color theme="1"/>
      <name val="Arial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b/>
      <sz val="12"/>
      <color rgb="FF000000"/>
      <name val="Calibri"/>
      <family val="2"/>
    </font>
    <font>
      <i/>
      <sz val="12"/>
      <color rgb="FF000000"/>
      <name val="Calibri"/>
      <family val="2"/>
    </font>
    <font>
      <sz val="12"/>
      <color rgb="FF0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DCE6F1"/>
        <bgColor rgb="FF000000"/>
      </patternFill>
    </fill>
    <fill>
      <patternFill patternType="solid">
        <fgColor theme="9" tint="0.39997558519241921"/>
        <bgColor rgb="FF000000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3" tint="0.59999389629810485"/>
        <bgColor rgb="FF000000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rgb="FF000000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77">
    <xf numFmtId="0" fontId="0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181">
    <xf numFmtId="0" fontId="0" fillId="0" borderId="0" xfId="0"/>
    <xf numFmtId="0" fontId="3" fillId="0" borderId="0" xfId="0" applyFont="1" applyAlignment="1">
      <alignment horizontal="right"/>
    </xf>
    <xf numFmtId="0" fontId="6" fillId="0" borderId="8" xfId="0" applyFont="1" applyBorder="1" applyAlignment="1">
      <alignment horizontal="right"/>
    </xf>
    <xf numFmtId="0" fontId="6" fillId="0" borderId="0" xfId="0" applyFont="1" applyBorder="1" applyAlignment="1">
      <alignment horizontal="right"/>
    </xf>
    <xf numFmtId="6" fontId="6" fillId="0" borderId="0" xfId="0" applyNumberFormat="1" applyFont="1" applyBorder="1" applyAlignment="1">
      <alignment horizontal="right"/>
    </xf>
    <xf numFmtId="6" fontId="6" fillId="0" borderId="6" xfId="0" applyNumberFormat="1" applyFont="1" applyBorder="1" applyAlignment="1">
      <alignment horizontal="right"/>
    </xf>
    <xf numFmtId="0" fontId="6" fillId="0" borderId="0" xfId="0" applyFont="1"/>
    <xf numFmtId="6" fontId="6" fillId="0" borderId="0" xfId="0" applyNumberFormat="1" applyFont="1" applyAlignment="1">
      <alignment horizontal="right"/>
    </xf>
    <xf numFmtId="0" fontId="8" fillId="0" borderId="0" xfId="0" applyFont="1"/>
    <xf numFmtId="0" fontId="0" fillId="0" borderId="1" xfId="0" applyBorder="1"/>
    <xf numFmtId="0" fontId="0" fillId="0" borderId="1" xfId="0" applyBorder="1" applyAlignment="1">
      <alignment textRotation="45" wrapText="1"/>
    </xf>
    <xf numFmtId="0" fontId="0" fillId="0" borderId="8" xfId="0" applyFill="1" applyBorder="1" applyAlignment="1">
      <alignment textRotation="45" wrapText="1"/>
    </xf>
    <xf numFmtId="0" fontId="0" fillId="0" borderId="0" xfId="0" applyBorder="1" applyAlignment="1">
      <alignment textRotation="45" wrapText="1"/>
    </xf>
    <xf numFmtId="0" fontId="0" fillId="3" borderId="1" xfId="0" applyFill="1" applyBorder="1" applyAlignment="1">
      <alignment textRotation="45" wrapText="1"/>
    </xf>
    <xf numFmtId="0" fontId="0" fillId="3" borderId="1" xfId="0" applyFill="1" applyBorder="1" applyAlignment="1">
      <alignment textRotation="45"/>
    </xf>
    <xf numFmtId="0" fontId="0" fillId="3" borderId="1" xfId="0" applyFill="1" applyBorder="1" applyAlignment="1">
      <alignment textRotation="45" shrinkToFit="1"/>
    </xf>
    <xf numFmtId="0" fontId="0" fillId="0" borderId="0" xfId="0" applyBorder="1"/>
    <xf numFmtId="0" fontId="0" fillId="0" borderId="1" xfId="0" quotePrefix="1" applyBorder="1"/>
    <xf numFmtId="0" fontId="0" fillId="0" borderId="0" xfId="0" quotePrefix="1"/>
    <xf numFmtId="0" fontId="1" fillId="0" borderId="0" xfId="0" applyFont="1"/>
    <xf numFmtId="0" fontId="0" fillId="2" borderId="1" xfId="0" applyFill="1" applyBorder="1"/>
    <xf numFmtId="0" fontId="0" fillId="2" borderId="1" xfId="0" quotePrefix="1" applyFill="1" applyBorder="1"/>
    <xf numFmtId="0" fontId="6" fillId="4" borderId="0" xfId="0" applyFont="1" applyFill="1"/>
    <xf numFmtId="0" fontId="6" fillId="0" borderId="0" xfId="0" applyFont="1" applyAlignment="1">
      <alignment horizontal="center"/>
    </xf>
    <xf numFmtId="0" fontId="2" fillId="4" borderId="0" xfId="0" applyFont="1" applyFill="1" applyAlignment="1">
      <alignment vertical="center"/>
    </xf>
    <xf numFmtId="20" fontId="6" fillId="4" borderId="7" xfId="0" applyNumberFormat="1" applyFont="1" applyFill="1" applyBorder="1" applyAlignment="1">
      <alignment horizontal="center"/>
    </xf>
    <xf numFmtId="20" fontId="6" fillId="4" borderId="2" xfId="0" applyNumberFormat="1" applyFont="1" applyFill="1" applyBorder="1" applyAlignment="1">
      <alignment horizontal="center"/>
    </xf>
    <xf numFmtId="0" fontId="6" fillId="0" borderId="2" xfId="0" applyFont="1" applyBorder="1"/>
    <xf numFmtId="0" fontId="2" fillId="5" borderId="1" xfId="0" applyFont="1" applyFill="1" applyBorder="1" applyAlignment="1">
      <alignment horizontal="center"/>
    </xf>
    <xf numFmtId="0" fontId="2" fillId="5" borderId="15" xfId="0" applyFont="1" applyFill="1" applyBorder="1" applyAlignment="1">
      <alignment horizontal="center"/>
    </xf>
    <xf numFmtId="0" fontId="6" fillId="4" borderId="10" xfId="0" applyFont="1" applyFill="1" applyBorder="1"/>
    <xf numFmtId="0" fontId="6" fillId="0" borderId="0" xfId="0" applyFont="1" applyBorder="1" applyAlignment="1">
      <alignment horizontal="center"/>
    </xf>
    <xf numFmtId="0" fontId="10" fillId="0" borderId="0" xfId="0" applyFont="1"/>
    <xf numFmtId="0" fontId="6" fillId="0" borderId="8" xfId="0" applyFont="1" applyBorder="1" applyAlignment="1">
      <alignment horizontal="center"/>
    </xf>
    <xf numFmtId="0" fontId="0" fillId="0" borderId="0" xfId="0" applyAlignment="1">
      <alignment horizontal="right"/>
    </xf>
    <xf numFmtId="0" fontId="6" fillId="4" borderId="0" xfId="0" applyFont="1" applyFill="1" applyAlignment="1">
      <alignment horizontal="center"/>
    </xf>
    <xf numFmtId="0" fontId="6" fillId="0" borderId="11" xfId="0" applyFont="1" applyBorder="1" applyAlignment="1">
      <alignment horizontal="right" vertical="center"/>
    </xf>
    <xf numFmtId="0" fontId="6" fillId="0" borderId="12" xfId="0" applyFont="1" applyBorder="1" applyAlignment="1">
      <alignment horizontal="center"/>
    </xf>
    <xf numFmtId="0" fontId="6" fillId="0" borderId="12" xfId="0" applyFont="1" applyBorder="1" applyAlignment="1">
      <alignment horizontal="right"/>
    </xf>
    <xf numFmtId="6" fontId="6" fillId="0" borderId="13" xfId="0" applyNumberFormat="1" applyFont="1" applyBorder="1" applyAlignment="1">
      <alignment horizontal="right"/>
    </xf>
    <xf numFmtId="0" fontId="2" fillId="4" borderId="0" xfId="0" applyFont="1" applyFill="1" applyAlignment="1">
      <alignment horizontal="center" vertical="center"/>
    </xf>
    <xf numFmtId="0" fontId="2" fillId="4" borderId="0" xfId="0" applyFont="1" applyFill="1" applyBorder="1" applyAlignment="1">
      <alignment vertical="center"/>
    </xf>
    <xf numFmtId="0" fontId="2" fillId="4" borderId="0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" vertical="top"/>
    </xf>
    <xf numFmtId="20" fontId="6" fillId="6" borderId="7" xfId="0" applyNumberFormat="1" applyFont="1" applyFill="1" applyBorder="1" applyAlignment="1">
      <alignment horizontal="center"/>
    </xf>
    <xf numFmtId="20" fontId="6" fillId="6" borderId="2" xfId="0" applyNumberFormat="1" applyFont="1" applyFill="1" applyBorder="1" applyAlignment="1">
      <alignment horizontal="center"/>
    </xf>
    <xf numFmtId="0" fontId="6" fillId="7" borderId="2" xfId="0" applyFont="1" applyFill="1" applyBorder="1" applyAlignment="1">
      <alignment horizontal="center"/>
    </xf>
    <xf numFmtId="0" fontId="6" fillId="6" borderId="2" xfId="0" applyFont="1" applyFill="1" applyBorder="1" applyAlignment="1">
      <alignment horizontal="center" vertical="center" wrapText="1"/>
    </xf>
    <xf numFmtId="0" fontId="6" fillId="7" borderId="2" xfId="0" applyFont="1" applyFill="1" applyBorder="1"/>
    <xf numFmtId="20" fontId="6" fillId="0" borderId="7" xfId="0" applyNumberFormat="1" applyFont="1" applyFill="1" applyBorder="1" applyAlignment="1">
      <alignment horizontal="center"/>
    </xf>
    <xf numFmtId="20" fontId="6" fillId="0" borderId="2" xfId="0" applyNumberFormat="1" applyFont="1" applyFill="1" applyBorder="1" applyAlignment="1">
      <alignment horizontal="center"/>
    </xf>
    <xf numFmtId="0" fontId="6" fillId="0" borderId="2" xfId="0" applyFont="1" applyFill="1" applyBorder="1" applyAlignment="1">
      <alignment horizontal="center"/>
    </xf>
    <xf numFmtId="0" fontId="6" fillId="0" borderId="2" xfId="0" applyFont="1" applyFill="1" applyBorder="1"/>
    <xf numFmtId="0" fontId="6" fillId="0" borderId="0" xfId="0" applyFont="1" applyFill="1"/>
    <xf numFmtId="0" fontId="0" fillId="0" borderId="0" xfId="0" applyFill="1"/>
    <xf numFmtId="20" fontId="6" fillId="6" borderId="7" xfId="0" applyNumberFormat="1" applyFont="1" applyFill="1" applyBorder="1" applyAlignment="1">
      <alignment horizontal="center" vertical="center"/>
    </xf>
    <xf numFmtId="20" fontId="6" fillId="6" borderId="2" xfId="0" applyNumberFormat="1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center" wrapText="1" shrinkToFit="1"/>
    </xf>
    <xf numFmtId="0" fontId="6" fillId="6" borderId="2" xfId="0" applyFont="1" applyFill="1" applyBorder="1" applyAlignment="1">
      <alignment horizontal="left" vertical="center" wrapText="1"/>
    </xf>
    <xf numFmtId="0" fontId="6" fillId="6" borderId="2" xfId="0" applyFont="1" applyFill="1" applyBorder="1" applyAlignment="1">
      <alignment horizontal="center"/>
    </xf>
    <xf numFmtId="0" fontId="6" fillId="6" borderId="2" xfId="0" applyFont="1" applyFill="1" applyBorder="1"/>
    <xf numFmtId="0" fontId="6" fillId="0" borderId="8" xfId="0" applyFont="1" applyBorder="1" applyAlignment="1"/>
    <xf numFmtId="0" fontId="6" fillId="0" borderId="0" xfId="0" applyFont="1" applyBorder="1" applyAlignment="1"/>
    <xf numFmtId="0" fontId="6" fillId="0" borderId="16" xfId="0" applyFont="1" applyBorder="1" applyAlignment="1"/>
    <xf numFmtId="20" fontId="6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left" wrapText="1" shrinkToFit="1"/>
    </xf>
    <xf numFmtId="0" fontId="6" fillId="0" borderId="0" xfId="0" applyFont="1" applyFill="1" applyBorder="1" applyAlignment="1">
      <alignment horizontal="center" wrapText="1" shrinkToFit="1"/>
    </xf>
    <xf numFmtId="0" fontId="6" fillId="0" borderId="0" xfId="0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1" fillId="0" borderId="0" xfId="0" applyFont="1" applyFill="1"/>
    <xf numFmtId="0" fontId="1" fillId="0" borderId="0" xfId="0" applyFont="1" applyFill="1" applyAlignment="1">
      <alignment horizontal="right"/>
    </xf>
    <xf numFmtId="0" fontId="11" fillId="0" borderId="0" xfId="0" applyFont="1"/>
    <xf numFmtId="0" fontId="4" fillId="0" borderId="0" xfId="116"/>
    <xf numFmtId="0" fontId="12" fillId="0" borderId="0" xfId="0" applyFont="1" applyAlignment="1">
      <alignment vertical="center"/>
    </xf>
    <xf numFmtId="165" fontId="3" fillId="0" borderId="0" xfId="0" applyNumberFormat="1" applyFont="1" applyAlignment="1">
      <alignment horizontal="right"/>
    </xf>
    <xf numFmtId="165" fontId="0" fillId="0" borderId="0" xfId="0" applyNumberFormat="1"/>
    <xf numFmtId="165" fontId="6" fillId="0" borderId="8" xfId="0" applyNumberFormat="1" applyFont="1" applyBorder="1" applyAlignment="1">
      <alignment horizontal="right"/>
    </xf>
    <xf numFmtId="165" fontId="6" fillId="0" borderId="0" xfId="0" applyNumberFormat="1" applyFont="1" applyBorder="1" applyAlignment="1">
      <alignment horizontal="right"/>
    </xf>
    <xf numFmtId="165" fontId="6" fillId="0" borderId="12" xfId="0" applyNumberFormat="1" applyFont="1" applyBorder="1" applyAlignment="1">
      <alignment horizontal="right" vertical="center"/>
    </xf>
    <xf numFmtId="0" fontId="6" fillId="0" borderId="3" xfId="0" applyFont="1" applyBorder="1" applyAlignment="1">
      <alignment horizontal="right"/>
    </xf>
    <xf numFmtId="165" fontId="6" fillId="0" borderId="4" xfId="0" applyNumberFormat="1" applyFont="1" applyBorder="1" applyAlignment="1">
      <alignment horizontal="right"/>
    </xf>
    <xf numFmtId="0" fontId="6" fillId="0" borderId="4" xfId="0" applyFont="1" applyBorder="1" applyAlignment="1">
      <alignment horizontal="center"/>
    </xf>
    <xf numFmtId="6" fontId="6" fillId="0" borderId="4" xfId="0" applyNumberFormat="1" applyFont="1" applyBorder="1" applyAlignment="1">
      <alignment horizontal="right"/>
    </xf>
    <xf numFmtId="6" fontId="6" fillId="0" borderId="15" xfId="0" applyNumberFormat="1" applyFont="1" applyBorder="1" applyAlignment="1">
      <alignment horizontal="right"/>
    </xf>
    <xf numFmtId="20" fontId="15" fillId="0" borderId="0" xfId="0" applyNumberFormat="1" applyFont="1"/>
    <xf numFmtId="0" fontId="15" fillId="0" borderId="0" xfId="0" applyFont="1"/>
    <xf numFmtId="0" fontId="13" fillId="0" borderId="18" xfId="0" applyFont="1" applyBorder="1" applyAlignment="1">
      <alignment vertical="center" wrapText="1"/>
    </xf>
    <xf numFmtId="0" fontId="12" fillId="0" borderId="19" xfId="0" applyFont="1" applyBorder="1" applyAlignment="1">
      <alignment vertical="center" wrapText="1"/>
    </xf>
    <xf numFmtId="0" fontId="13" fillId="0" borderId="20" xfId="0" applyFont="1" applyBorder="1" applyAlignment="1">
      <alignment vertical="center" wrapText="1"/>
    </xf>
    <xf numFmtId="0" fontId="12" fillId="0" borderId="20" xfId="0" applyFont="1" applyBorder="1" applyAlignment="1">
      <alignment vertical="center" wrapText="1"/>
    </xf>
    <xf numFmtId="0" fontId="13" fillId="0" borderId="19" xfId="0" applyFont="1" applyBorder="1" applyAlignment="1">
      <alignment vertical="center" wrapText="1"/>
    </xf>
    <xf numFmtId="0" fontId="6" fillId="9" borderId="1" xfId="0" applyFont="1" applyFill="1" applyBorder="1" applyAlignment="1">
      <alignment horizontal="left"/>
    </xf>
    <xf numFmtId="6" fontId="6" fillId="9" borderId="1" xfId="0" applyNumberFormat="1" applyFont="1" applyFill="1" applyBorder="1" applyAlignment="1">
      <alignment horizontal="right"/>
    </xf>
    <xf numFmtId="0" fontId="6" fillId="9" borderId="1" xfId="0" applyFont="1" applyFill="1" applyBorder="1" applyAlignment="1">
      <alignment horizontal="center"/>
    </xf>
    <xf numFmtId="0" fontId="14" fillId="9" borderId="1" xfId="0" applyFont="1" applyFill="1" applyBorder="1" applyAlignment="1">
      <alignment horizontal="left"/>
    </xf>
    <xf numFmtId="165" fontId="14" fillId="9" borderId="1" xfId="0" applyNumberFormat="1" applyFont="1" applyFill="1" applyBorder="1" applyAlignment="1">
      <alignment horizontal="left"/>
    </xf>
    <xf numFmtId="0" fontId="14" fillId="9" borderId="1" xfId="0" applyFont="1" applyFill="1" applyBorder="1" applyAlignment="1">
      <alignment horizontal="center"/>
    </xf>
    <xf numFmtId="6" fontId="14" fillId="9" borderId="1" xfId="0" applyNumberFormat="1" applyFont="1" applyFill="1" applyBorder="1" applyAlignment="1">
      <alignment horizontal="right"/>
    </xf>
    <xf numFmtId="0" fontId="0" fillId="3" borderId="1" xfId="0" applyFont="1" applyFill="1" applyBorder="1"/>
    <xf numFmtId="165" fontId="6" fillId="9" borderId="1" xfId="0" applyNumberFormat="1" applyFont="1" applyFill="1" applyBorder="1" applyAlignment="1">
      <alignment horizontal="center"/>
    </xf>
    <xf numFmtId="164" fontId="6" fillId="9" borderId="1" xfId="0" applyNumberFormat="1" applyFont="1" applyFill="1" applyBorder="1" applyAlignment="1">
      <alignment horizontal="right"/>
    </xf>
    <xf numFmtId="0" fontId="6" fillId="9" borderId="1" xfId="0" applyFont="1" applyFill="1" applyBorder="1" applyAlignment="1">
      <alignment horizontal="left" vertical="center"/>
    </xf>
    <xf numFmtId="165" fontId="6" fillId="9" borderId="1" xfId="0" applyNumberFormat="1" applyFont="1" applyFill="1" applyBorder="1" applyAlignment="1">
      <alignment horizontal="left" vertical="center"/>
    </xf>
    <xf numFmtId="6" fontId="6" fillId="9" borderId="1" xfId="0" applyNumberFormat="1" applyFont="1" applyFill="1" applyBorder="1" applyAlignment="1">
      <alignment horizontal="right" vertical="center"/>
    </xf>
    <xf numFmtId="0" fontId="6" fillId="9" borderId="1" xfId="0" applyFont="1" applyFill="1" applyBorder="1" applyAlignment="1">
      <alignment vertical="center"/>
    </xf>
    <xf numFmtId="165" fontId="6" fillId="9" borderId="1" xfId="0" applyNumberFormat="1" applyFont="1" applyFill="1" applyBorder="1" applyAlignment="1">
      <alignment vertical="center"/>
    </xf>
    <xf numFmtId="0" fontId="6" fillId="9" borderId="1" xfId="0" applyFont="1" applyFill="1" applyBorder="1" applyAlignment="1">
      <alignment horizontal="left" wrapText="1"/>
    </xf>
    <xf numFmtId="0" fontId="6" fillId="9" borderId="1" xfId="0" applyFont="1" applyFill="1" applyBorder="1"/>
    <xf numFmtId="165" fontId="6" fillId="9" borderId="1" xfId="0" applyNumberFormat="1" applyFont="1" applyFill="1" applyBorder="1"/>
    <xf numFmtId="0" fontId="0" fillId="3" borderId="0" xfId="0" applyFill="1"/>
    <xf numFmtId="165" fontId="0" fillId="3" borderId="0" xfId="0" applyNumberFormat="1" applyFill="1"/>
    <xf numFmtId="0" fontId="2" fillId="10" borderId="5" xfId="0" applyFont="1" applyFill="1" applyBorder="1" applyAlignment="1">
      <alignment horizontal="center"/>
    </xf>
    <xf numFmtId="165" fontId="2" fillId="10" borderId="9" xfId="0" applyNumberFormat="1" applyFont="1" applyFill="1" applyBorder="1" applyAlignment="1">
      <alignment horizontal="center"/>
    </xf>
    <xf numFmtId="0" fontId="2" fillId="10" borderId="9" xfId="0" applyFont="1" applyFill="1" applyBorder="1" applyAlignment="1">
      <alignment horizontal="center"/>
    </xf>
    <xf numFmtId="0" fontId="2" fillId="10" borderId="17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left"/>
    </xf>
    <xf numFmtId="165" fontId="1" fillId="10" borderId="1" xfId="0" applyNumberFormat="1" applyFont="1" applyFill="1" applyBorder="1" applyAlignment="1">
      <alignment horizontal="left"/>
    </xf>
    <xf numFmtId="0" fontId="1" fillId="10" borderId="1" xfId="0" applyFont="1" applyFill="1" applyBorder="1" applyAlignment="1">
      <alignment horizontal="center"/>
    </xf>
    <xf numFmtId="6" fontId="1" fillId="10" borderId="1" xfId="0" applyNumberFormat="1" applyFont="1" applyFill="1" applyBorder="1" applyAlignment="1">
      <alignment horizontal="right"/>
    </xf>
    <xf numFmtId="0" fontId="14" fillId="9" borderId="1" xfId="0" applyFont="1" applyFill="1" applyBorder="1" applyAlignment="1">
      <alignment horizontal="left" vertical="center"/>
    </xf>
    <xf numFmtId="165" fontId="14" fillId="9" borderId="1" xfId="0" applyNumberFormat="1" applyFont="1" applyFill="1" applyBorder="1" applyAlignment="1">
      <alignment horizontal="left" vertical="center"/>
    </xf>
    <xf numFmtId="6" fontId="14" fillId="9" borderId="1" xfId="0" applyNumberFormat="1" applyFont="1" applyFill="1" applyBorder="1" applyAlignment="1">
      <alignment horizontal="right" vertical="center"/>
    </xf>
    <xf numFmtId="0" fontId="6" fillId="9" borderId="0" xfId="0" applyFont="1" applyFill="1" applyBorder="1"/>
    <xf numFmtId="165" fontId="6" fillId="9" borderId="0" xfId="0" applyNumberFormat="1" applyFont="1" applyFill="1" applyBorder="1"/>
    <xf numFmtId="0" fontId="6" fillId="9" borderId="0" xfId="0" applyFont="1" applyFill="1" applyBorder="1" applyAlignment="1">
      <alignment horizontal="center"/>
    </xf>
    <xf numFmtId="6" fontId="6" fillId="9" borderId="0" xfId="0" applyNumberFormat="1" applyFont="1" applyFill="1" applyBorder="1"/>
    <xf numFmtId="6" fontId="6" fillId="9" borderId="0" xfId="0" applyNumberFormat="1" applyFont="1" applyFill="1" applyBorder="1" applyAlignment="1">
      <alignment horizontal="right"/>
    </xf>
    <xf numFmtId="0" fontId="6" fillId="0" borderId="1" xfId="0" applyFont="1" applyFill="1" applyBorder="1" applyAlignment="1">
      <alignment horizontal="left"/>
    </xf>
    <xf numFmtId="165" fontId="0" fillId="0" borderId="1" xfId="0" applyNumberFormat="1" applyFill="1" applyBorder="1"/>
    <xf numFmtId="6" fontId="6" fillId="0" borderId="1" xfId="0" applyNumberFormat="1" applyFont="1" applyFill="1" applyBorder="1" applyAlignment="1">
      <alignment horizontal="right"/>
    </xf>
    <xf numFmtId="165" fontId="0" fillId="0" borderId="0" xfId="0" applyNumberFormat="1" applyAlignment="1">
      <alignment horizontal="left"/>
    </xf>
    <xf numFmtId="165" fontId="1" fillId="0" borderId="0" xfId="0" applyNumberFormat="1" applyFont="1" applyFill="1" applyAlignment="1">
      <alignment horizontal="left"/>
    </xf>
    <xf numFmtId="6" fontId="6" fillId="9" borderId="1" xfId="0" applyNumberFormat="1" applyFont="1" applyFill="1" applyBorder="1"/>
    <xf numFmtId="6" fontId="6" fillId="3" borderId="1" xfId="0" applyNumberFormat="1" applyFont="1" applyFill="1" applyBorder="1" applyAlignment="1">
      <alignment horizontal="right"/>
    </xf>
    <xf numFmtId="0" fontId="16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0" fontId="18" fillId="0" borderId="0" xfId="0" applyFont="1" applyAlignment="1">
      <alignment horizontal="left" vertical="center" indent="4"/>
    </xf>
    <xf numFmtId="0" fontId="20" fillId="0" borderId="0" xfId="116" applyFont="1" applyAlignment="1">
      <alignment vertical="center"/>
    </xf>
    <xf numFmtId="0" fontId="2" fillId="10" borderId="1" xfId="0" applyFont="1" applyFill="1" applyBorder="1" applyAlignment="1">
      <alignment horizontal="center"/>
    </xf>
    <xf numFmtId="165" fontId="2" fillId="10" borderId="1" xfId="0" applyNumberFormat="1" applyFont="1" applyFill="1" applyBorder="1" applyAlignment="1">
      <alignment horizontal="center"/>
    </xf>
    <xf numFmtId="0" fontId="0" fillId="3" borderId="1" xfId="0" applyFont="1" applyFill="1" applyBorder="1" applyAlignment="1">
      <alignment horizontal="center"/>
    </xf>
    <xf numFmtId="0" fontId="0" fillId="9" borderId="1" xfId="0" applyFont="1" applyFill="1" applyBorder="1" applyAlignment="1">
      <alignment horizontal="left" wrapText="1"/>
    </xf>
    <xf numFmtId="0" fontId="23" fillId="0" borderId="0" xfId="0" applyFont="1"/>
    <xf numFmtId="164" fontId="23" fillId="0" borderId="0" xfId="0" applyNumberFormat="1" applyFont="1"/>
    <xf numFmtId="164" fontId="0" fillId="0" borderId="0" xfId="0" applyNumberFormat="1"/>
    <xf numFmtId="0" fontId="22" fillId="0" borderId="1" xfId="0" applyFont="1" applyBorder="1"/>
    <xf numFmtId="0" fontId="23" fillId="0" borderId="1" xfId="0" applyFont="1" applyBorder="1"/>
    <xf numFmtId="0" fontId="24" fillId="0" borderId="1" xfId="0" applyFont="1" applyBorder="1"/>
    <xf numFmtId="0" fontId="26" fillId="0" borderId="1" xfId="0" applyFont="1" applyBorder="1"/>
    <xf numFmtId="164" fontId="25" fillId="0" borderId="1" xfId="0" applyNumberFormat="1" applyFont="1" applyBorder="1"/>
    <xf numFmtId="164" fontId="23" fillId="0" borderId="1" xfId="0" applyNumberFormat="1" applyFont="1" applyBorder="1"/>
    <xf numFmtId="0" fontId="27" fillId="0" borderId="1" xfId="0" applyFont="1" applyBorder="1"/>
    <xf numFmtId="0" fontId="28" fillId="0" borderId="1" xfId="0" applyFont="1" applyBorder="1"/>
    <xf numFmtId="165" fontId="4" fillId="0" borderId="0" xfId="116" applyNumberFormat="1" applyAlignment="1">
      <alignment horizontal="left"/>
    </xf>
    <xf numFmtId="0" fontId="6" fillId="9" borderId="21" xfId="0" applyFont="1" applyFill="1" applyBorder="1" applyAlignment="1">
      <alignment horizontal="left"/>
    </xf>
    <xf numFmtId="0" fontId="9" fillId="4" borderId="0" xfId="0" applyFont="1" applyFill="1" applyAlignment="1">
      <alignment horizontal="center"/>
    </xf>
    <xf numFmtId="0" fontId="6" fillId="0" borderId="3" xfId="0" applyFont="1" applyFill="1" applyBorder="1" applyAlignment="1">
      <alignment horizontal="left"/>
    </xf>
    <xf numFmtId="0" fontId="6" fillId="0" borderId="4" xfId="0" applyFont="1" applyFill="1" applyBorder="1" applyAlignment="1">
      <alignment horizontal="left"/>
    </xf>
    <xf numFmtId="0" fontId="6" fillId="0" borderId="14" xfId="0" applyFont="1" applyFill="1" applyBorder="1" applyAlignment="1">
      <alignment horizontal="left"/>
    </xf>
    <xf numFmtId="0" fontId="6" fillId="7" borderId="3" xfId="0" applyFont="1" applyFill="1" applyBorder="1" applyAlignment="1">
      <alignment horizontal="left"/>
    </xf>
    <xf numFmtId="0" fontId="6" fillId="7" borderId="4" xfId="0" applyFont="1" applyFill="1" applyBorder="1" applyAlignment="1">
      <alignment horizontal="left"/>
    </xf>
    <xf numFmtId="0" fontId="6" fillId="7" borderId="14" xfId="0" applyFont="1" applyFill="1" applyBorder="1" applyAlignment="1">
      <alignment horizontal="left"/>
    </xf>
    <xf numFmtId="20" fontId="6" fillId="0" borderId="1" xfId="0" applyNumberFormat="1" applyFont="1" applyFill="1" applyBorder="1" applyAlignment="1">
      <alignment horizontal="center" vertical="center"/>
    </xf>
    <xf numFmtId="20" fontId="6" fillId="8" borderId="1" xfId="0" applyNumberFormat="1" applyFont="1" applyFill="1" applyBorder="1" applyAlignment="1">
      <alignment horizontal="center" vertical="center"/>
    </xf>
    <xf numFmtId="0" fontId="9" fillId="4" borderId="0" xfId="0" applyFont="1" applyFill="1" applyAlignment="1">
      <alignment horizontal="left" vertical="center" wrapText="1"/>
    </xf>
    <xf numFmtId="0" fontId="6" fillId="4" borderId="0" xfId="0" applyFont="1" applyFill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2" fillId="5" borderId="14" xfId="0" applyFont="1" applyFill="1" applyBorder="1" applyAlignment="1">
      <alignment horizontal="center"/>
    </xf>
    <xf numFmtId="0" fontId="6" fillId="0" borderId="3" xfId="0" applyFont="1" applyBorder="1" applyAlignment="1">
      <alignment horizontal="left"/>
    </xf>
    <xf numFmtId="0" fontId="6" fillId="0" borderId="4" xfId="0" applyFont="1" applyBorder="1" applyAlignment="1">
      <alignment horizontal="left"/>
    </xf>
    <xf numFmtId="0" fontId="6" fillId="0" borderId="14" xfId="0" applyFont="1" applyBorder="1" applyAlignment="1">
      <alignment horizontal="left"/>
    </xf>
    <xf numFmtId="0" fontId="6" fillId="6" borderId="3" xfId="0" applyFont="1" applyFill="1" applyBorder="1" applyAlignment="1">
      <alignment horizontal="left" wrapText="1" shrinkToFit="1"/>
    </xf>
    <xf numFmtId="0" fontId="6" fillId="6" borderId="4" xfId="0" applyFont="1" applyFill="1" applyBorder="1" applyAlignment="1">
      <alignment horizontal="left" wrapText="1" shrinkToFit="1"/>
    </xf>
    <xf numFmtId="0" fontId="6" fillId="6" borderId="14" xfId="0" applyFont="1" applyFill="1" applyBorder="1" applyAlignment="1">
      <alignment horizontal="left" wrapText="1" shrinkToFit="1"/>
    </xf>
    <xf numFmtId="17" fontId="2" fillId="5" borderId="3" xfId="0" applyNumberFormat="1" applyFont="1" applyFill="1" applyBorder="1" applyAlignment="1">
      <alignment horizontal="center"/>
    </xf>
    <xf numFmtId="0" fontId="6" fillId="6" borderId="3" xfId="0" applyFont="1" applyFill="1" applyBorder="1" applyAlignment="1">
      <alignment horizontal="left"/>
    </xf>
    <xf numFmtId="0" fontId="6" fillId="6" borderId="4" xfId="0" applyFont="1" applyFill="1" applyBorder="1" applyAlignment="1">
      <alignment horizontal="left"/>
    </xf>
    <xf numFmtId="0" fontId="6" fillId="6" borderId="14" xfId="0" applyFont="1" applyFill="1" applyBorder="1" applyAlignment="1">
      <alignment horizontal="left"/>
    </xf>
  </cellXfs>
  <cellStyles count="177">
    <cellStyle name="Hipervínculo" xfId="1" builtinId="8" hidden="1"/>
    <cellStyle name="Hipervínculo" xfId="3" builtinId="8" hidden="1"/>
    <cellStyle name="Hipervínculo" xfId="5" builtinId="8" hidden="1"/>
    <cellStyle name="Hipervínculo" xfId="7" builtinId="8" hidden="1"/>
    <cellStyle name="Hipervínculo" xfId="9" builtinId="8" hidden="1"/>
    <cellStyle name="Hipervínculo" xfId="11" builtinId="8" hidden="1"/>
    <cellStyle name="Hipervínculo" xfId="13" builtinId="8" hidden="1"/>
    <cellStyle name="Hipervínculo" xfId="15" builtinId="8" hidden="1"/>
    <cellStyle name="Hipervínculo" xfId="17" builtinId="8" hidden="1"/>
    <cellStyle name="Hipervínculo" xfId="19" builtinId="8" hidden="1"/>
    <cellStyle name="Hipervínculo" xfId="21" builtinId="8" hidden="1"/>
    <cellStyle name="Hipervínculo" xfId="23" builtinId="8" hidden="1"/>
    <cellStyle name="Hipervínculo" xfId="25" builtinId="8" hidden="1"/>
    <cellStyle name="Hipervínculo" xfId="27" builtinId="8" hidden="1"/>
    <cellStyle name="Hipervínculo" xfId="29" builtinId="8" hidden="1"/>
    <cellStyle name="Hipervínculo" xfId="31" builtinId="8" hidden="1"/>
    <cellStyle name="Hipervínculo" xfId="33" builtinId="8" hidden="1"/>
    <cellStyle name="Hipervínculo" xfId="35" builtinId="8" hidden="1"/>
    <cellStyle name="Hipervínculo" xfId="37" builtinId="8" hidden="1"/>
    <cellStyle name="Hipervínculo" xfId="39" builtinId="8" hidden="1"/>
    <cellStyle name="Hipervínculo" xfId="41" builtinId="8" hidden="1"/>
    <cellStyle name="Hipervínculo" xfId="43" builtinId="8" hidden="1"/>
    <cellStyle name="Hipervínculo" xfId="45" builtinId="8" hidden="1"/>
    <cellStyle name="Hipervínculo" xfId="47" builtinId="8" hidden="1"/>
    <cellStyle name="Hipervínculo" xfId="49" builtinId="8" hidden="1"/>
    <cellStyle name="Hipervínculo" xfId="51" builtinId="8" hidden="1"/>
    <cellStyle name="Hipervínculo" xfId="53" builtinId="8" hidden="1"/>
    <cellStyle name="Hipervínculo" xfId="55" builtinId="8" hidden="1"/>
    <cellStyle name="Hipervínculo" xfId="57" builtinId="8" hidden="1"/>
    <cellStyle name="Hipervínculo" xfId="59" builtinId="8" hidden="1"/>
    <cellStyle name="Hipervínculo" xfId="61" builtinId="8" hidden="1"/>
    <cellStyle name="Hipervínculo" xfId="63" builtinId="8" hidden="1"/>
    <cellStyle name="Hipervínculo" xfId="65" builtinId="8" hidden="1"/>
    <cellStyle name="Hipervínculo" xfId="67" builtinId="8" hidden="1"/>
    <cellStyle name="Hipervínculo" xfId="69" builtinId="8" hidden="1"/>
    <cellStyle name="Hipervínculo" xfId="71" builtinId="8" hidden="1"/>
    <cellStyle name="Hipervínculo" xfId="73" builtinId="8" hidden="1"/>
    <cellStyle name="Hipervínculo" xfId="75" builtinId="8" hidden="1"/>
    <cellStyle name="Hipervínculo" xfId="77" builtinId="8" hidden="1"/>
    <cellStyle name="Hipervínculo" xfId="79" builtinId="8" hidden="1"/>
    <cellStyle name="Hipervínculo" xfId="81" builtinId="8" hidden="1"/>
    <cellStyle name="Hipervínculo" xfId="83" builtinId="8" hidden="1"/>
    <cellStyle name="Hipervínculo" xfId="85" builtinId="8" hidden="1"/>
    <cellStyle name="Hipervínculo" xfId="116" builtinId="8"/>
    <cellStyle name="Hipervínculo visitado" xfId="2" builtinId="9" hidden="1"/>
    <cellStyle name="Hipervínculo visitado" xfId="4" builtinId="9" hidden="1"/>
    <cellStyle name="Hipervínculo visitado" xfId="6" builtinId="9" hidden="1"/>
    <cellStyle name="Hipervínculo visitado" xfId="8" builtinId="9" hidden="1"/>
    <cellStyle name="Hipervínculo visitado" xfId="10" builtinId="9" hidden="1"/>
    <cellStyle name="Hipervínculo visitado" xfId="12" builtinId="9" hidden="1"/>
    <cellStyle name="Hipervínculo visitado" xfId="14" builtinId="9" hidden="1"/>
    <cellStyle name="Hipervínculo visitado" xfId="16" builtinId="9" hidden="1"/>
    <cellStyle name="Hipervínculo visitado" xfId="18" builtinId="9" hidden="1"/>
    <cellStyle name="Hipervínculo visitado" xfId="20" builtinId="9" hidden="1"/>
    <cellStyle name="Hipervínculo visitado" xfId="22" builtinId="9" hidden="1"/>
    <cellStyle name="Hipervínculo visitado" xfId="24" builtinId="9" hidden="1"/>
    <cellStyle name="Hipervínculo visitado" xfId="26" builtinId="9" hidden="1"/>
    <cellStyle name="Hipervínculo visitado" xfId="28" builtinId="9" hidden="1"/>
    <cellStyle name="Hipervínculo visitado" xfId="30" builtinId="9" hidden="1"/>
    <cellStyle name="Hipervínculo visitado" xfId="32" builtinId="9" hidden="1"/>
    <cellStyle name="Hipervínculo visitado" xfId="34" builtinId="9" hidden="1"/>
    <cellStyle name="Hipervínculo visitado" xfId="36" builtinId="9" hidden="1"/>
    <cellStyle name="Hipervínculo visitado" xfId="38" builtinId="9" hidden="1"/>
    <cellStyle name="Hipervínculo visitado" xfId="40" builtinId="9" hidden="1"/>
    <cellStyle name="Hipervínculo visitado" xfId="42" builtinId="9" hidden="1"/>
    <cellStyle name="Hipervínculo visitado" xfId="44" builtinId="9" hidden="1"/>
    <cellStyle name="Hipervínculo visitado" xfId="46" builtinId="9" hidden="1"/>
    <cellStyle name="Hipervínculo visitado" xfId="48" builtinId="9" hidden="1"/>
    <cellStyle name="Hipervínculo visitado" xfId="50" builtinId="9" hidden="1"/>
    <cellStyle name="Hipervínculo visitado" xfId="52" builtinId="9" hidden="1"/>
    <cellStyle name="Hipervínculo visitado" xfId="54" builtinId="9" hidden="1"/>
    <cellStyle name="Hipervínculo visitado" xfId="56" builtinId="9" hidden="1"/>
    <cellStyle name="Hipervínculo visitado" xfId="58" builtinId="9" hidden="1"/>
    <cellStyle name="Hipervínculo visitado" xfId="60" builtinId="9" hidden="1"/>
    <cellStyle name="Hipervínculo visitado" xfId="62" builtinId="9" hidden="1"/>
    <cellStyle name="Hipervínculo visitado" xfId="64" builtinId="9" hidden="1"/>
    <cellStyle name="Hipervínculo visitado" xfId="66" builtinId="9" hidden="1"/>
    <cellStyle name="Hipervínculo visitado" xfId="68" builtinId="9" hidden="1"/>
    <cellStyle name="Hipervínculo visitado" xfId="70" builtinId="9" hidden="1"/>
    <cellStyle name="Hipervínculo visitado" xfId="72" builtinId="9" hidden="1"/>
    <cellStyle name="Hipervínculo visitado" xfId="74" builtinId="9" hidden="1"/>
    <cellStyle name="Hipervínculo visitado" xfId="76" builtinId="9" hidden="1"/>
    <cellStyle name="Hipervínculo visitado" xfId="78" builtinId="9" hidden="1"/>
    <cellStyle name="Hipervínculo visitado" xfId="80" builtinId="9" hidden="1"/>
    <cellStyle name="Hipervínculo visitado" xfId="82" builtinId="9" hidden="1"/>
    <cellStyle name="Hipervínculo visitado" xfId="84" builtinId="9" hidden="1"/>
    <cellStyle name="Hipervínculo visitado" xfId="86" builtinId="9" hidden="1"/>
    <cellStyle name="Hipervínculo visitado" xfId="87" builtinId="9" hidden="1"/>
    <cellStyle name="Hipervínculo visitado" xfId="88" builtinId="9" hidden="1"/>
    <cellStyle name="Hipervínculo visitado" xfId="89" builtinId="9" hidden="1"/>
    <cellStyle name="Hipervínculo visitado" xfId="90" builtinId="9" hidden="1"/>
    <cellStyle name="Hipervínculo visitado" xfId="91" builtinId="9" hidden="1"/>
    <cellStyle name="Hipervínculo visitado" xfId="92" builtinId="9" hidden="1"/>
    <cellStyle name="Hipervínculo visitado" xfId="93" builtinId="9" hidden="1"/>
    <cellStyle name="Hipervínculo visitado" xfId="94" builtinId="9" hidden="1"/>
    <cellStyle name="Hipervínculo visitado" xfId="95" builtinId="9" hidden="1"/>
    <cellStyle name="Hipervínculo visitado" xfId="96" builtinId="9" hidden="1"/>
    <cellStyle name="Hipervínculo visitado" xfId="97" builtinId="9" hidden="1"/>
    <cellStyle name="Hipervínculo visitado" xfId="98" builtinId="9" hidden="1"/>
    <cellStyle name="Hipervínculo visitado" xfId="99" builtinId="9" hidden="1"/>
    <cellStyle name="Hipervínculo visitado" xfId="100" builtinId="9" hidden="1"/>
    <cellStyle name="Hipervínculo visitado" xfId="101" builtinId="9" hidden="1"/>
    <cellStyle name="Hipervínculo visitado" xfId="102" builtinId="9" hidden="1"/>
    <cellStyle name="Hipervínculo visitado" xfId="103" builtinId="9" hidden="1"/>
    <cellStyle name="Hipervínculo visitado" xfId="104" builtinId="9" hidden="1"/>
    <cellStyle name="Hipervínculo visitado" xfId="105" builtinId="9" hidden="1"/>
    <cellStyle name="Hipervínculo visitado" xfId="106" builtinId="9" hidden="1"/>
    <cellStyle name="Hipervínculo visitado" xfId="107" builtinId="9" hidden="1"/>
    <cellStyle name="Hipervínculo visitado" xfId="108" builtinId="9" hidden="1"/>
    <cellStyle name="Hipervínculo visitado" xfId="109" builtinId="9" hidden="1"/>
    <cellStyle name="Hipervínculo visitado" xfId="110" builtinId="9" hidden="1"/>
    <cellStyle name="Hipervínculo visitado" xfId="111" builtinId="9" hidden="1"/>
    <cellStyle name="Hipervínculo visitado" xfId="112" builtinId="9" hidden="1"/>
    <cellStyle name="Hipervínculo visitado" xfId="113" builtinId="9" hidden="1"/>
    <cellStyle name="Hipervínculo visitado" xfId="114" builtinId="9" hidden="1"/>
    <cellStyle name="Hipervínculo visitado" xfId="115" builtinId="9" hidden="1"/>
    <cellStyle name="Hipervínculo visitado" xfId="117" builtinId="9" hidden="1"/>
    <cellStyle name="Hipervínculo visitado" xfId="118" builtinId="9" hidden="1"/>
    <cellStyle name="Hipervínculo visitado" xfId="119" builtinId="9" hidden="1"/>
    <cellStyle name="Hipervínculo visitado" xfId="120" builtinId="9" hidden="1"/>
    <cellStyle name="Hipervínculo visitado" xfId="121" builtinId="9" hidden="1"/>
    <cellStyle name="Hipervínculo visitado" xfId="122" builtinId="9" hidden="1"/>
    <cellStyle name="Hipervínculo visitado" xfId="123" builtinId="9" hidden="1"/>
    <cellStyle name="Hipervínculo visitado" xfId="124" builtinId="9" hidden="1"/>
    <cellStyle name="Hipervínculo visitado" xfId="125" builtinId="9" hidden="1"/>
    <cellStyle name="Hipervínculo visitado" xfId="126" builtinId="9" hidden="1"/>
    <cellStyle name="Hipervínculo visitado" xfId="127" builtinId="9" hidden="1"/>
    <cellStyle name="Hipervínculo visitado" xfId="128" builtinId="9" hidden="1"/>
    <cellStyle name="Hipervínculo visitado" xfId="129" builtinId="9" hidden="1"/>
    <cellStyle name="Hipervínculo visitado" xfId="130" builtinId="9" hidden="1"/>
    <cellStyle name="Hipervínculo visitado" xfId="131" builtinId="9" hidden="1"/>
    <cellStyle name="Hipervínculo visitado" xfId="132" builtinId="9" hidden="1"/>
    <cellStyle name="Hipervínculo visitado" xfId="133" builtinId="9" hidden="1"/>
    <cellStyle name="Hipervínculo visitado" xfId="134" builtinId="9" hidden="1"/>
    <cellStyle name="Hipervínculo visitado" xfId="135" builtinId="9" hidden="1"/>
    <cellStyle name="Hipervínculo visitado" xfId="136" builtinId="9" hidden="1"/>
    <cellStyle name="Hipervínculo visitado" xfId="137" builtinId="9" hidden="1"/>
    <cellStyle name="Hipervínculo visitado" xfId="138" builtinId="9" hidden="1"/>
    <cellStyle name="Hipervínculo visitado" xfId="139" builtinId="9" hidden="1"/>
    <cellStyle name="Hipervínculo visitado" xfId="140" builtinId="9" hidden="1"/>
    <cellStyle name="Hipervínculo visitado" xfId="141" builtinId="9" hidden="1"/>
    <cellStyle name="Hipervínculo visitado" xfId="142" builtinId="9" hidden="1"/>
    <cellStyle name="Hipervínculo visitado" xfId="143" builtinId="9" hidden="1"/>
    <cellStyle name="Hipervínculo visitado" xfId="144" builtinId="9" hidden="1"/>
    <cellStyle name="Hipervínculo visitado" xfId="145" builtinId="9" hidden="1"/>
    <cellStyle name="Hipervínculo visitado" xfId="146" builtinId="9" hidden="1"/>
    <cellStyle name="Hipervínculo visitado" xfId="147" builtinId="9" hidden="1"/>
    <cellStyle name="Hipervínculo visitado" xfId="148" builtinId="9" hidden="1"/>
    <cellStyle name="Hipervínculo visitado" xfId="149" builtinId="9" hidden="1"/>
    <cellStyle name="Hipervínculo visitado" xfId="150" builtinId="9" hidden="1"/>
    <cellStyle name="Hipervínculo visitado" xfId="151" builtinId="9" hidden="1"/>
    <cellStyle name="Hipervínculo visitado" xfId="152" builtinId="9" hidden="1"/>
    <cellStyle name="Hipervínculo visitado" xfId="153" builtinId="9" hidden="1"/>
    <cellStyle name="Hipervínculo visitado" xfId="154" builtinId="9" hidden="1"/>
    <cellStyle name="Hipervínculo visitado" xfId="155" builtinId="9" hidden="1"/>
    <cellStyle name="Hipervínculo visitado" xfId="156" builtinId="9" hidden="1"/>
    <cellStyle name="Hipervínculo visitado" xfId="157" builtinId="9" hidden="1"/>
    <cellStyle name="Hipervínculo visitado" xfId="158" builtinId="9" hidden="1"/>
    <cellStyle name="Hipervínculo visitado" xfId="159" builtinId="9" hidden="1"/>
    <cellStyle name="Hipervínculo visitado" xfId="160" builtinId="9" hidden="1"/>
    <cellStyle name="Hipervínculo visitado" xfId="161" builtinId="9" hidden="1"/>
    <cellStyle name="Hipervínculo visitado" xfId="162" builtinId="9" hidden="1"/>
    <cellStyle name="Hipervínculo visitado" xfId="163" builtinId="9" hidden="1"/>
    <cellStyle name="Hipervínculo visitado" xfId="164" builtinId="9" hidden="1"/>
    <cellStyle name="Hipervínculo visitado" xfId="165" builtinId="9" hidden="1"/>
    <cellStyle name="Hipervínculo visitado" xfId="166" builtinId="9" hidden="1"/>
    <cellStyle name="Hipervínculo visitado" xfId="167" builtinId="9" hidden="1"/>
    <cellStyle name="Hipervínculo visitado" xfId="168" builtinId="9" hidden="1"/>
    <cellStyle name="Hipervínculo visitado" xfId="169" builtinId="9" hidden="1"/>
    <cellStyle name="Hipervínculo visitado" xfId="170" builtinId="9" hidden="1"/>
    <cellStyle name="Hipervínculo visitado" xfId="171" builtinId="9" hidden="1"/>
    <cellStyle name="Hipervínculo visitado" xfId="172" builtinId="9" hidden="1"/>
    <cellStyle name="Hipervínculo visitado" xfId="173" builtinId="9" hidden="1"/>
    <cellStyle name="Hipervínculo visitado" xfId="174" builtinId="9" hidden="1"/>
    <cellStyle name="Hipervínculo visitado" xfId="175" builtinId="9" hidden="1"/>
    <cellStyle name="Hipervínculo visitado" xfId="176" builtinId="9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Relationship Id="rId8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203200</xdr:rowOff>
    </xdr:from>
    <xdr:to>
      <xdr:col>0</xdr:col>
      <xdr:colOff>1981200</xdr:colOff>
      <xdr:row>6</xdr:row>
      <xdr:rowOff>158694</xdr:rowOff>
    </xdr:to>
    <xdr:pic>
      <xdr:nvPicPr>
        <xdr:cNvPr id="2" name="Imagen 1" descr="logo san francisco.jpg.pdf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03200"/>
          <a:ext cx="1981200" cy="150699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0</xdr:rowOff>
    </xdr:from>
    <xdr:to>
      <xdr:col>1</xdr:col>
      <xdr:colOff>581025</xdr:colOff>
      <xdr:row>3</xdr:row>
      <xdr:rowOff>168852</xdr:rowOff>
    </xdr:to>
    <xdr:pic>
      <xdr:nvPicPr>
        <xdr:cNvPr id="5121" name="Picture 1" descr="clip_image001.png">
          <a:extLst>
            <a:ext uri="{FF2B5EF4-FFF2-40B4-BE49-F238E27FC236}">
              <a16:creationId xmlns="" xmlns:a16="http://schemas.microsoft.com/office/drawing/2014/main" id="{00000000-0008-0000-0100-000001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0"/>
          <a:ext cx="1409700" cy="768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9525</xdr:colOff>
      <xdr:row>0</xdr:row>
      <xdr:rowOff>0</xdr:rowOff>
    </xdr:from>
    <xdr:to>
      <xdr:col>1</xdr:col>
      <xdr:colOff>581025</xdr:colOff>
      <xdr:row>3</xdr:row>
      <xdr:rowOff>168852</xdr:rowOff>
    </xdr:to>
    <xdr:pic>
      <xdr:nvPicPr>
        <xdr:cNvPr id="4" name="Picture 1" descr="clip_image001.png">
          <a:extLst>
            <a:ext uri="{FF2B5EF4-FFF2-40B4-BE49-F238E27FC236}">
              <a16:creationId xmlns=""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0"/>
          <a:ext cx="1409700" cy="768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159223</xdr:colOff>
      <xdr:row>0</xdr:row>
      <xdr:rowOff>134005</xdr:rowOff>
    </xdr:from>
    <xdr:to>
      <xdr:col>3</xdr:col>
      <xdr:colOff>31278</xdr:colOff>
      <xdr:row>2</xdr:row>
      <xdr:rowOff>0</xdr:rowOff>
    </xdr:to>
    <xdr:pic>
      <xdr:nvPicPr>
        <xdr:cNvPr id="2" name="Imagen 1" descr="logo san francisco.jpg.pdf">
          <a:extLst>
            <a:ext uri="{FF2B5EF4-FFF2-40B4-BE49-F238E27FC236}">
              <a16:creationId xmlns=""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9223" y="134005"/>
          <a:ext cx="2348555" cy="15169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4" Type="http://schemas.openxmlformats.org/officeDocument/2006/relationships/drawing" Target="../drawings/drawing1.xml"/><Relationship Id="rId1" Type="http://schemas.openxmlformats.org/officeDocument/2006/relationships/hyperlink" Target="mailto:sf@sflodge.cl" TargetMode="External"/><Relationship Id="rId2" Type="http://schemas.openxmlformats.org/officeDocument/2006/relationships/hyperlink" Target="mailto:Alejandralazo@hoffens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theme="5"/>
  </sheetPr>
  <dimension ref="A1:G284"/>
  <sheetViews>
    <sheetView tabSelected="1" topLeftCell="A17" zoomScale="109" zoomScaleNormal="109" zoomScalePageLayoutView="109" workbookViewId="0">
      <selection activeCell="A31" sqref="A31"/>
    </sheetView>
  </sheetViews>
  <sheetFormatPr baseColWidth="10" defaultRowHeight="16" x14ac:dyDescent="0.2"/>
  <cols>
    <col min="1" max="1" width="32.1640625" customWidth="1"/>
    <col min="2" max="2" width="10.83203125" style="77" customWidth="1"/>
    <col min="3" max="3" width="12" customWidth="1"/>
    <col min="4" max="4" width="10.1640625" customWidth="1"/>
    <col min="5" max="5" width="10" customWidth="1"/>
    <col min="6" max="6" width="10.33203125" customWidth="1"/>
    <col min="7" max="7" width="109.83203125" bestFit="1" customWidth="1"/>
    <col min="8" max="8" width="11.33203125" bestFit="1" customWidth="1"/>
    <col min="9" max="9" width="99.83203125" customWidth="1"/>
  </cols>
  <sheetData>
    <row r="1" spans="1:7" ht="47" customHeight="1" x14ac:dyDescent="0.3">
      <c r="A1" s="1" t="s">
        <v>2</v>
      </c>
      <c r="B1" s="76"/>
      <c r="C1" s="73" t="s">
        <v>225</v>
      </c>
    </row>
    <row r="2" spans="1:7" x14ac:dyDescent="0.2">
      <c r="G2" t="s">
        <v>188</v>
      </c>
    </row>
    <row r="3" spans="1:7" x14ac:dyDescent="0.2">
      <c r="A3" s="70" t="s">
        <v>137</v>
      </c>
      <c r="B3" s="132" t="s">
        <v>372</v>
      </c>
      <c r="E3" t="s">
        <v>3</v>
      </c>
      <c r="F3" s="34" t="s">
        <v>379</v>
      </c>
      <c r="G3" s="86" t="s">
        <v>189</v>
      </c>
    </row>
    <row r="4" spans="1:7" x14ac:dyDescent="0.2">
      <c r="A4" t="s">
        <v>138</v>
      </c>
      <c r="B4" s="155" t="s">
        <v>373</v>
      </c>
      <c r="C4" s="74"/>
      <c r="E4" t="s">
        <v>5</v>
      </c>
      <c r="F4">
        <v>982177269</v>
      </c>
      <c r="G4" s="87" t="s">
        <v>190</v>
      </c>
    </row>
    <row r="5" spans="1:7" x14ac:dyDescent="0.2">
      <c r="A5" t="s">
        <v>139</v>
      </c>
      <c r="B5" s="132" t="s">
        <v>374</v>
      </c>
      <c r="E5" t="s">
        <v>4</v>
      </c>
      <c r="F5" s="34">
        <v>40</v>
      </c>
      <c r="G5" s="87" t="s">
        <v>191</v>
      </c>
    </row>
    <row r="6" spans="1:7" x14ac:dyDescent="0.2">
      <c r="A6" s="72" t="s">
        <v>141</v>
      </c>
      <c r="B6" s="133" t="s">
        <v>368</v>
      </c>
      <c r="C6" s="71"/>
      <c r="D6" s="71"/>
      <c r="E6" s="71" t="s">
        <v>140</v>
      </c>
      <c r="F6" s="71" t="s">
        <v>369</v>
      </c>
      <c r="G6" s="87" t="s">
        <v>192</v>
      </c>
    </row>
    <row r="7" spans="1:7" ht="17" thickBot="1" x14ac:dyDescent="0.25">
      <c r="A7" s="71"/>
      <c r="B7" s="133"/>
      <c r="C7" s="71"/>
      <c r="D7" s="71"/>
      <c r="E7" s="71"/>
      <c r="F7" s="71"/>
      <c r="G7" s="87"/>
    </row>
    <row r="8" spans="1:7" ht="15.75" customHeight="1" x14ac:dyDescent="0.2">
      <c r="A8" s="113" t="s">
        <v>124</v>
      </c>
      <c r="B8" s="114" t="s">
        <v>159</v>
      </c>
      <c r="C8" s="115" t="s">
        <v>123</v>
      </c>
      <c r="D8" s="115" t="s">
        <v>7</v>
      </c>
      <c r="E8" s="115" t="s">
        <v>0</v>
      </c>
      <c r="F8" s="115" t="s">
        <v>1</v>
      </c>
      <c r="G8" s="116" t="s">
        <v>8</v>
      </c>
    </row>
    <row r="9" spans="1:7" ht="15.75" customHeight="1" x14ac:dyDescent="0.2">
      <c r="A9" s="109" t="s">
        <v>378</v>
      </c>
      <c r="B9" s="110"/>
      <c r="C9" s="95">
        <v>1</v>
      </c>
      <c r="D9" s="95">
        <v>40</v>
      </c>
      <c r="E9" s="134">
        <v>3850</v>
      </c>
      <c r="F9" s="94">
        <f>D9*E9</f>
        <v>154000</v>
      </c>
      <c r="G9" s="93" t="s">
        <v>377</v>
      </c>
    </row>
    <row r="10" spans="1:7" x14ac:dyDescent="0.2">
      <c r="A10" s="103" t="s">
        <v>165</v>
      </c>
      <c r="B10" s="104"/>
      <c r="C10" s="95">
        <v>1</v>
      </c>
      <c r="D10" s="95">
        <v>40</v>
      </c>
      <c r="E10" s="105">
        <v>180000</v>
      </c>
      <c r="F10" s="94">
        <f>C10*E10</f>
        <v>180000</v>
      </c>
      <c r="G10" s="93" t="s">
        <v>220</v>
      </c>
    </row>
    <row r="11" spans="1:7" ht="16.5" customHeight="1" x14ac:dyDescent="0.2">
      <c r="A11" s="103" t="s">
        <v>120</v>
      </c>
      <c r="B11" s="104" t="s">
        <v>172</v>
      </c>
      <c r="C11" s="95">
        <v>1</v>
      </c>
      <c r="D11" s="95">
        <v>40</v>
      </c>
      <c r="E11" s="94">
        <v>15000</v>
      </c>
      <c r="F11" s="94">
        <f t="shared" ref="F11:F16" si="0">D11*E11</f>
        <v>600000</v>
      </c>
      <c r="G11" s="93" t="s">
        <v>113</v>
      </c>
    </row>
    <row r="12" spans="1:7" x14ac:dyDescent="0.2">
      <c r="A12" s="103" t="s">
        <v>245</v>
      </c>
      <c r="B12" s="104"/>
      <c r="C12" s="95">
        <v>1</v>
      </c>
      <c r="D12" s="95">
        <v>40</v>
      </c>
      <c r="E12" s="94">
        <f>1800/1.19</f>
        <v>1512.6050420168067</v>
      </c>
      <c r="F12" s="94">
        <f t="shared" si="0"/>
        <v>60504.201680672268</v>
      </c>
      <c r="G12" s="93" t="s">
        <v>246</v>
      </c>
    </row>
    <row r="13" spans="1:7" x14ac:dyDescent="0.2">
      <c r="A13" s="103" t="s">
        <v>121</v>
      </c>
      <c r="B13" s="104" t="s">
        <v>173</v>
      </c>
      <c r="C13" s="95">
        <v>1</v>
      </c>
      <c r="D13" s="95">
        <v>31</v>
      </c>
      <c r="E13" s="105">
        <v>15000</v>
      </c>
      <c r="F13" s="94">
        <f t="shared" si="0"/>
        <v>465000</v>
      </c>
      <c r="G13" s="93" t="s">
        <v>212</v>
      </c>
    </row>
    <row r="14" spans="1:7" x14ac:dyDescent="0.2">
      <c r="A14" s="103" t="s">
        <v>216</v>
      </c>
      <c r="B14" s="104"/>
      <c r="C14" s="95">
        <v>1</v>
      </c>
      <c r="D14" s="95">
        <v>31</v>
      </c>
      <c r="E14" s="94">
        <f>1800/1.19</f>
        <v>1512.6050420168067</v>
      </c>
      <c r="F14" s="94">
        <f t="shared" si="0"/>
        <v>46890.756302521011</v>
      </c>
      <c r="G14" s="93" t="s">
        <v>246</v>
      </c>
    </row>
    <row r="15" spans="1:7" ht="16.5" customHeight="1" x14ac:dyDescent="0.2">
      <c r="A15" s="129" t="s">
        <v>375</v>
      </c>
      <c r="B15" s="130"/>
      <c r="C15" s="95">
        <v>1</v>
      </c>
      <c r="D15" s="95">
        <v>31</v>
      </c>
      <c r="E15" s="131">
        <v>47000</v>
      </c>
      <c r="F15" s="94">
        <f>D15*E15</f>
        <v>1457000</v>
      </c>
      <c r="G15" s="129" t="s">
        <v>376</v>
      </c>
    </row>
    <row r="16" spans="1:7" ht="16.5" customHeight="1" x14ac:dyDescent="0.2">
      <c r="A16" s="129" t="s">
        <v>148</v>
      </c>
      <c r="B16" s="130"/>
      <c r="C16" s="95">
        <v>0</v>
      </c>
      <c r="D16" s="95">
        <v>0</v>
      </c>
      <c r="E16" s="131">
        <f>E15+9500+5000</f>
        <v>61500</v>
      </c>
      <c r="F16" s="94">
        <f t="shared" si="0"/>
        <v>0</v>
      </c>
      <c r="G16" s="129" t="s">
        <v>224</v>
      </c>
    </row>
    <row r="17" spans="1:7" ht="16.5" customHeight="1" thickBot="1" x14ac:dyDescent="0.25">
      <c r="A17" s="2" t="s">
        <v>91</v>
      </c>
      <c r="B17" s="78"/>
      <c r="C17" s="33"/>
      <c r="D17" s="23"/>
      <c r="E17" s="7"/>
      <c r="F17" s="5">
        <f>SUM(F9:F16)</f>
        <v>2963394.9579831935</v>
      </c>
      <c r="G17" s="32" t="s">
        <v>2</v>
      </c>
    </row>
    <row r="18" spans="1:7" ht="16.5" customHeight="1" x14ac:dyDescent="0.2">
      <c r="A18" s="113" t="s">
        <v>125</v>
      </c>
      <c r="B18" s="114"/>
      <c r="C18" s="115" t="s">
        <v>123</v>
      </c>
      <c r="D18" s="115" t="s">
        <v>7</v>
      </c>
      <c r="E18" s="115" t="s">
        <v>0</v>
      </c>
      <c r="F18" s="115" t="s">
        <v>1</v>
      </c>
      <c r="G18" s="116" t="s">
        <v>8</v>
      </c>
    </row>
    <row r="19" spans="1:7" x14ac:dyDescent="0.2">
      <c r="A19" s="109" t="s">
        <v>9</v>
      </c>
      <c r="B19" s="110"/>
      <c r="C19" s="95">
        <v>1</v>
      </c>
      <c r="D19" s="95">
        <v>31</v>
      </c>
      <c r="E19" s="134">
        <v>10500</v>
      </c>
      <c r="F19" s="94" t="s">
        <v>126</v>
      </c>
      <c r="G19" s="93" t="s">
        <v>211</v>
      </c>
    </row>
    <row r="20" spans="1:7" x14ac:dyDescent="0.2">
      <c r="A20" s="103" t="s">
        <v>165</v>
      </c>
      <c r="B20" s="104"/>
      <c r="C20" s="95">
        <v>1</v>
      </c>
      <c r="D20" s="95">
        <v>31</v>
      </c>
      <c r="E20" s="105">
        <v>180000</v>
      </c>
      <c r="F20" s="94">
        <f>C20*E20</f>
        <v>180000</v>
      </c>
      <c r="G20" s="93" t="s">
        <v>220</v>
      </c>
    </row>
    <row r="21" spans="1:7" s="16" customFormat="1" ht="16.5" customHeight="1" x14ac:dyDescent="0.2">
      <c r="A21" s="103" t="s">
        <v>120</v>
      </c>
      <c r="B21" s="104" t="s">
        <v>172</v>
      </c>
      <c r="C21" s="95">
        <v>1</v>
      </c>
      <c r="D21" s="95">
        <v>31</v>
      </c>
      <c r="E21" s="94">
        <v>15000</v>
      </c>
      <c r="F21" s="135">
        <f t="shared" ref="F21:F26" si="1">D21*E21</f>
        <v>465000</v>
      </c>
      <c r="G21" s="93" t="s">
        <v>113</v>
      </c>
    </row>
    <row r="22" spans="1:7" x14ac:dyDescent="0.2">
      <c r="A22" s="103" t="s">
        <v>245</v>
      </c>
      <c r="B22" s="104"/>
      <c r="C22" s="95">
        <v>1</v>
      </c>
      <c r="D22" s="95">
        <v>31</v>
      </c>
      <c r="E22" s="94">
        <f>1800/1.19</f>
        <v>1512.6050420168067</v>
      </c>
      <c r="F22" s="94">
        <f t="shared" si="1"/>
        <v>46890.756302521011</v>
      </c>
      <c r="G22" s="93" t="s">
        <v>246</v>
      </c>
    </row>
    <row r="23" spans="1:7" x14ac:dyDescent="0.2">
      <c r="A23" s="103" t="s">
        <v>121</v>
      </c>
      <c r="B23" s="104" t="s">
        <v>173</v>
      </c>
      <c r="C23" s="95">
        <v>1</v>
      </c>
      <c r="D23" s="95">
        <v>9</v>
      </c>
      <c r="E23" s="105">
        <v>15000</v>
      </c>
      <c r="F23" s="94">
        <f t="shared" si="1"/>
        <v>135000</v>
      </c>
      <c r="G23" s="93" t="s">
        <v>212</v>
      </c>
    </row>
    <row r="24" spans="1:7" x14ac:dyDescent="0.2">
      <c r="A24" s="103" t="s">
        <v>216</v>
      </c>
      <c r="B24" s="104"/>
      <c r="C24" s="95">
        <v>1</v>
      </c>
      <c r="D24" s="95">
        <v>9</v>
      </c>
      <c r="E24" s="94">
        <f>1800/1.19</f>
        <v>1512.6050420168067</v>
      </c>
      <c r="F24" s="94">
        <f t="shared" si="1"/>
        <v>13613.44537815126</v>
      </c>
      <c r="G24" s="93" t="s">
        <v>246</v>
      </c>
    </row>
    <row r="25" spans="1:7" ht="16.5" customHeight="1" x14ac:dyDescent="0.2">
      <c r="A25" s="129" t="s">
        <v>375</v>
      </c>
      <c r="B25" s="130"/>
      <c r="C25" s="95">
        <v>1</v>
      </c>
      <c r="D25" s="95">
        <v>9</v>
      </c>
      <c r="E25" s="131">
        <v>47000</v>
      </c>
      <c r="F25" s="94">
        <f>D25*E25</f>
        <v>423000</v>
      </c>
      <c r="G25" s="129" t="s">
        <v>376</v>
      </c>
    </row>
    <row r="26" spans="1:7" ht="16.5" customHeight="1" x14ac:dyDescent="0.2">
      <c r="A26" s="129" t="s">
        <v>148</v>
      </c>
      <c r="B26" s="130"/>
      <c r="C26" s="95">
        <v>0</v>
      </c>
      <c r="D26" s="95">
        <v>0</v>
      </c>
      <c r="E26" s="131">
        <f>E25+9500+5000</f>
        <v>61500</v>
      </c>
      <c r="F26" s="94">
        <f t="shared" si="1"/>
        <v>0</v>
      </c>
      <c r="G26" s="129" t="s">
        <v>224</v>
      </c>
    </row>
    <row r="27" spans="1:7" ht="16.5" customHeight="1" thickBot="1" x14ac:dyDescent="0.25">
      <c r="A27" s="2" t="s">
        <v>91</v>
      </c>
      <c r="B27" s="78"/>
      <c r="C27" s="33"/>
      <c r="D27" s="23"/>
      <c r="E27" s="7"/>
      <c r="F27" s="5">
        <f>SUM(F19:F26)</f>
        <v>1263504.2016806724</v>
      </c>
      <c r="G27" s="32" t="s">
        <v>2</v>
      </c>
    </row>
    <row r="28" spans="1:7" ht="16.5" customHeight="1" x14ac:dyDescent="0.2">
      <c r="A28" s="113" t="s">
        <v>370</v>
      </c>
      <c r="B28" s="114"/>
      <c r="C28" s="115" t="s">
        <v>123</v>
      </c>
      <c r="D28" s="115" t="s">
        <v>7</v>
      </c>
      <c r="E28" s="115" t="s">
        <v>0</v>
      </c>
      <c r="F28" s="115" t="s">
        <v>1</v>
      </c>
      <c r="G28" s="116" t="s">
        <v>8</v>
      </c>
    </row>
    <row r="29" spans="1:7" x14ac:dyDescent="0.2">
      <c r="A29" s="109" t="s">
        <v>9</v>
      </c>
      <c r="B29" s="110"/>
      <c r="C29" s="95">
        <v>1</v>
      </c>
      <c r="D29" s="95">
        <v>9</v>
      </c>
      <c r="E29" s="134">
        <v>10500</v>
      </c>
      <c r="F29" s="94" t="s">
        <v>126</v>
      </c>
      <c r="G29" s="93" t="s">
        <v>211</v>
      </c>
    </row>
    <row r="30" spans="1:7" x14ac:dyDescent="0.2">
      <c r="A30" s="103" t="s">
        <v>371</v>
      </c>
      <c r="B30" s="104"/>
      <c r="C30" s="95">
        <v>1</v>
      </c>
      <c r="D30" s="95">
        <v>9</v>
      </c>
      <c r="E30" s="105">
        <v>95000</v>
      </c>
      <c r="F30" s="94">
        <f>C30*E30</f>
        <v>95000</v>
      </c>
      <c r="G30" s="93" t="s">
        <v>220</v>
      </c>
    </row>
    <row r="31" spans="1:7" s="16" customFormat="1" ht="16.5" customHeight="1" x14ac:dyDescent="0.2">
      <c r="A31" s="103" t="s">
        <v>380</v>
      </c>
      <c r="B31" s="104" t="s">
        <v>172</v>
      </c>
      <c r="C31" s="95">
        <v>1</v>
      </c>
      <c r="D31" s="95">
        <v>9</v>
      </c>
      <c r="E31" s="94">
        <v>15000</v>
      </c>
      <c r="F31" s="135">
        <f>D31*E31</f>
        <v>135000</v>
      </c>
      <c r="G31" s="93" t="s">
        <v>113</v>
      </c>
    </row>
    <row r="32" spans="1:7" x14ac:dyDescent="0.2">
      <c r="A32" s="103" t="s">
        <v>245</v>
      </c>
      <c r="B32" s="104"/>
      <c r="C32" s="95">
        <v>1</v>
      </c>
      <c r="D32" s="95">
        <v>9</v>
      </c>
      <c r="E32" s="94">
        <f>1800/1.19</f>
        <v>1512.6050420168067</v>
      </c>
      <c r="F32" s="94">
        <f t="shared" ref="F32" si="2">D32*E32</f>
        <v>13613.44537815126</v>
      </c>
      <c r="G32" s="93" t="s">
        <v>246</v>
      </c>
    </row>
    <row r="33" spans="1:7" x14ac:dyDescent="0.2">
      <c r="A33" s="124"/>
      <c r="B33" s="125"/>
      <c r="C33" s="126"/>
      <c r="D33" s="126"/>
      <c r="E33" s="127" t="s">
        <v>2</v>
      </c>
      <c r="F33" s="128">
        <f>SUM(F29:F32)</f>
        <v>243613.44537815126</v>
      </c>
      <c r="G33" s="156"/>
    </row>
    <row r="34" spans="1:7" x14ac:dyDescent="0.2">
      <c r="A34" s="117" t="s">
        <v>207</v>
      </c>
      <c r="B34" s="118" t="s">
        <v>226</v>
      </c>
      <c r="C34" s="119"/>
      <c r="D34" s="119"/>
      <c r="E34" s="120"/>
      <c r="F34" s="120" t="s">
        <v>2</v>
      </c>
      <c r="G34" s="117" t="s">
        <v>208</v>
      </c>
    </row>
    <row r="35" spans="1:7" x14ac:dyDescent="0.2">
      <c r="A35" s="96" t="s">
        <v>203</v>
      </c>
      <c r="B35" s="97" t="s">
        <v>2</v>
      </c>
      <c r="C35" s="98">
        <v>0</v>
      </c>
      <c r="D35" s="98">
        <v>0</v>
      </c>
      <c r="E35" s="99">
        <v>0</v>
      </c>
      <c r="F35" s="99">
        <f t="shared" ref="F35:F38" si="3">C35*D35*E35</f>
        <v>0</v>
      </c>
      <c r="G35" s="100" t="s">
        <v>205</v>
      </c>
    </row>
    <row r="36" spans="1:7" x14ac:dyDescent="0.2">
      <c r="A36" s="96" t="s">
        <v>199</v>
      </c>
      <c r="B36" s="97" t="s">
        <v>2</v>
      </c>
      <c r="C36" s="98">
        <v>0</v>
      </c>
      <c r="D36" s="98">
        <v>0</v>
      </c>
      <c r="E36" s="99">
        <v>0</v>
      </c>
      <c r="F36" s="99">
        <f t="shared" si="3"/>
        <v>0</v>
      </c>
      <c r="G36" s="100" t="s">
        <v>206</v>
      </c>
    </row>
    <row r="37" spans="1:7" ht="16.5" customHeight="1" x14ac:dyDescent="0.2">
      <c r="A37" s="96" t="s">
        <v>200</v>
      </c>
      <c r="B37" s="97" t="s">
        <v>2</v>
      </c>
      <c r="C37" s="98">
        <v>0</v>
      </c>
      <c r="D37" s="98">
        <v>0</v>
      </c>
      <c r="E37" s="99">
        <v>0</v>
      </c>
      <c r="F37" s="99">
        <f t="shared" si="3"/>
        <v>0</v>
      </c>
      <c r="G37" s="100" t="s">
        <v>204</v>
      </c>
    </row>
    <row r="38" spans="1:7" ht="17" thickBot="1" x14ac:dyDescent="0.25">
      <c r="A38" s="96" t="s">
        <v>201</v>
      </c>
      <c r="B38" s="97" t="s">
        <v>2</v>
      </c>
      <c r="C38" s="98">
        <v>0</v>
      </c>
      <c r="D38" s="98">
        <v>0</v>
      </c>
      <c r="E38" s="99">
        <v>0</v>
      </c>
      <c r="F38" s="99">
        <f t="shared" si="3"/>
        <v>0</v>
      </c>
      <c r="G38" s="96" t="s">
        <v>202</v>
      </c>
    </row>
    <row r="39" spans="1:7" ht="17" thickBot="1" x14ac:dyDescent="0.25">
      <c r="A39" s="36" t="s">
        <v>209</v>
      </c>
      <c r="B39" s="80"/>
      <c r="C39" s="37"/>
      <c r="D39" s="37"/>
      <c r="E39" s="38"/>
      <c r="F39" s="39">
        <f>F17+F27+F33</f>
        <v>4470512.6050420161</v>
      </c>
      <c r="G39" s="6" t="s">
        <v>146</v>
      </c>
    </row>
    <row r="40" spans="1:7" x14ac:dyDescent="0.2">
      <c r="A40" s="3" t="s">
        <v>147</v>
      </c>
      <c r="B40" s="79"/>
      <c r="C40" s="31"/>
      <c r="D40" s="23"/>
      <c r="E40" s="7"/>
      <c r="F40" s="5">
        <f>F39*1.19-F39</f>
        <v>849397.39495798294</v>
      </c>
      <c r="G40" s="6"/>
    </row>
    <row r="41" spans="1:7" x14ac:dyDescent="0.2">
      <c r="A41" s="81" t="s">
        <v>223</v>
      </c>
      <c r="B41" s="82"/>
      <c r="C41" s="83"/>
      <c r="D41" s="83"/>
      <c r="E41" s="84"/>
      <c r="F41" s="85">
        <f>F39+F40</f>
        <v>5319909.9999999991</v>
      </c>
      <c r="G41" s="6"/>
    </row>
    <row r="42" spans="1:7" x14ac:dyDescent="0.2">
      <c r="A42" s="3"/>
      <c r="B42" s="79"/>
      <c r="C42" s="31"/>
      <c r="D42" s="23"/>
      <c r="E42" s="7"/>
      <c r="F42" s="4"/>
      <c r="G42" s="6"/>
    </row>
    <row r="43" spans="1:7" ht="17" x14ac:dyDescent="0.2">
      <c r="A43" s="136" t="s">
        <v>176</v>
      </c>
      <c r="B43"/>
      <c r="E43" s="75"/>
      <c r="F43" s="75"/>
      <c r="G43" s="75"/>
    </row>
    <row r="44" spans="1:7" x14ac:dyDescent="0.2">
      <c r="A44" s="138" t="s">
        <v>239</v>
      </c>
      <c r="B44"/>
    </row>
    <row r="45" spans="1:7" x14ac:dyDescent="0.2">
      <c r="A45" s="138" t="s">
        <v>240</v>
      </c>
      <c r="B45"/>
    </row>
    <row r="47" spans="1:7" x14ac:dyDescent="0.2">
      <c r="A47" s="136" t="s">
        <v>241</v>
      </c>
      <c r="B47"/>
    </row>
    <row r="48" spans="1:7" x14ac:dyDescent="0.2">
      <c r="A48" s="136" t="s">
        <v>227</v>
      </c>
      <c r="B48"/>
      <c r="F48" s="136" t="s">
        <v>231</v>
      </c>
    </row>
    <row r="49" spans="1:6" x14ac:dyDescent="0.2">
      <c r="A49" s="138" t="s">
        <v>228</v>
      </c>
      <c r="B49"/>
      <c r="F49" s="138" t="s">
        <v>228</v>
      </c>
    </row>
    <row r="50" spans="1:6" x14ac:dyDescent="0.2">
      <c r="A50" s="138" t="s">
        <v>229</v>
      </c>
      <c r="B50"/>
      <c r="F50" s="138" t="s">
        <v>229</v>
      </c>
    </row>
    <row r="51" spans="1:6" x14ac:dyDescent="0.2">
      <c r="A51" s="138" t="s">
        <v>230</v>
      </c>
      <c r="B51"/>
      <c r="F51" s="138" t="s">
        <v>232</v>
      </c>
    </row>
    <row r="52" spans="1:6" x14ac:dyDescent="0.2">
      <c r="F52" s="138" t="s">
        <v>233</v>
      </c>
    </row>
    <row r="53" spans="1:6" x14ac:dyDescent="0.2">
      <c r="A53" s="136" t="s">
        <v>242</v>
      </c>
      <c r="B53"/>
    </row>
    <row r="54" spans="1:6" x14ac:dyDescent="0.2">
      <c r="A54" s="137" t="s">
        <v>149</v>
      </c>
      <c r="B54"/>
    </row>
    <row r="55" spans="1:6" x14ac:dyDescent="0.2">
      <c r="A55" s="137" t="s">
        <v>150</v>
      </c>
      <c r="B55"/>
    </row>
    <row r="56" spans="1:6" ht="17" x14ac:dyDescent="0.2">
      <c r="A56" s="137" t="s">
        <v>151</v>
      </c>
      <c r="B56"/>
      <c r="F56" s="75" t="s">
        <v>2</v>
      </c>
    </row>
    <row r="57" spans="1:6" ht="17" x14ac:dyDescent="0.2">
      <c r="A57" s="137" t="s">
        <v>152</v>
      </c>
      <c r="B57"/>
      <c r="F57" s="75" t="s">
        <v>2</v>
      </c>
    </row>
    <row r="58" spans="1:6" ht="17" x14ac:dyDescent="0.2">
      <c r="A58" s="137"/>
      <c r="B58"/>
      <c r="F58" s="75" t="s">
        <v>2</v>
      </c>
    </row>
    <row r="59" spans="1:6" ht="16" customHeight="1" x14ac:dyDescent="0.2">
      <c r="A59" s="137" t="s">
        <v>236</v>
      </c>
      <c r="B59"/>
    </row>
    <row r="60" spans="1:6" ht="16" customHeight="1" x14ac:dyDescent="0.2">
      <c r="A60" s="137" t="s">
        <v>234</v>
      </c>
      <c r="B60"/>
    </row>
    <row r="61" spans="1:6" ht="16" customHeight="1" x14ac:dyDescent="0.2">
      <c r="B61"/>
    </row>
    <row r="62" spans="1:6" ht="16" customHeight="1" x14ac:dyDescent="0.2">
      <c r="A62" s="136" t="s">
        <v>235</v>
      </c>
      <c r="B62"/>
      <c r="E62" s="137" t="s">
        <v>182</v>
      </c>
      <c r="F62" s="137" t="s">
        <v>183</v>
      </c>
    </row>
    <row r="63" spans="1:6" ht="16" customHeight="1" x14ac:dyDescent="0.2">
      <c r="A63" s="137" t="s">
        <v>177</v>
      </c>
      <c r="B63" s="137" t="s">
        <v>178</v>
      </c>
      <c r="E63" s="137" t="s">
        <v>184</v>
      </c>
      <c r="F63" s="137" t="s">
        <v>185</v>
      </c>
    </row>
    <row r="64" spans="1:6" ht="16" customHeight="1" x14ac:dyDescent="0.2">
      <c r="A64" s="137" t="s">
        <v>179</v>
      </c>
      <c r="B64" s="137" t="s">
        <v>180</v>
      </c>
      <c r="E64" s="137" t="s">
        <v>186</v>
      </c>
      <c r="F64" s="137" t="s">
        <v>187</v>
      </c>
    </row>
    <row r="65" spans="1:7" ht="16" customHeight="1" x14ac:dyDescent="0.2">
      <c r="A65" s="137" t="s">
        <v>181</v>
      </c>
      <c r="B65" s="137" t="s">
        <v>237</v>
      </c>
      <c r="E65" s="137" t="s">
        <v>5</v>
      </c>
      <c r="F65" s="137">
        <v>29539311</v>
      </c>
    </row>
    <row r="66" spans="1:7" ht="16" customHeight="1" x14ac:dyDescent="0.2">
      <c r="A66" s="139" t="s">
        <v>238</v>
      </c>
    </row>
    <row r="67" spans="1:7" ht="16" customHeight="1" x14ac:dyDescent="0.2">
      <c r="A67" s="75"/>
      <c r="B67"/>
    </row>
    <row r="68" spans="1:7" x14ac:dyDescent="0.2">
      <c r="A68" s="140" t="s">
        <v>122</v>
      </c>
      <c r="B68" s="141" t="s">
        <v>159</v>
      </c>
      <c r="C68" s="140" t="s">
        <v>88</v>
      </c>
      <c r="D68" s="140" t="s">
        <v>7</v>
      </c>
      <c r="E68" s="140" t="s">
        <v>6</v>
      </c>
      <c r="F68" s="140" t="s">
        <v>89</v>
      </c>
      <c r="G68" s="140" t="s">
        <v>8</v>
      </c>
    </row>
    <row r="69" spans="1:7" x14ac:dyDescent="0.2">
      <c r="A69" s="93" t="s">
        <v>175</v>
      </c>
      <c r="B69" s="101"/>
      <c r="C69" s="95">
        <v>0</v>
      </c>
      <c r="D69" s="95">
        <v>0</v>
      </c>
      <c r="E69" s="102">
        <v>200000</v>
      </c>
      <c r="F69" s="102">
        <f>C69*D69*E69</f>
        <v>0</v>
      </c>
      <c r="G69" s="93" t="s">
        <v>210</v>
      </c>
    </row>
    <row r="70" spans="1:7" x14ac:dyDescent="0.2">
      <c r="A70" s="103" t="s">
        <v>90</v>
      </c>
      <c r="B70" s="104"/>
      <c r="C70" s="95">
        <v>0</v>
      </c>
      <c r="D70" s="95">
        <v>0</v>
      </c>
      <c r="E70" s="94">
        <v>12000</v>
      </c>
      <c r="F70" s="94">
        <f t="shared" ref="F70:F79" si="4">C70*D70*E70</f>
        <v>0</v>
      </c>
      <c r="G70" s="93" t="s">
        <v>213</v>
      </c>
    </row>
    <row r="71" spans="1:7" x14ac:dyDescent="0.2">
      <c r="A71" s="103" t="s">
        <v>92</v>
      </c>
      <c r="B71" s="104"/>
      <c r="C71" s="95">
        <v>0</v>
      </c>
      <c r="D71" s="95">
        <v>0</v>
      </c>
      <c r="E71" s="94">
        <v>26000</v>
      </c>
      <c r="F71" s="94">
        <f t="shared" si="4"/>
        <v>0</v>
      </c>
      <c r="G71" s="93" t="s">
        <v>117</v>
      </c>
    </row>
    <row r="72" spans="1:7" x14ac:dyDescent="0.2">
      <c r="A72" s="103" t="s">
        <v>93</v>
      </c>
      <c r="B72" s="104"/>
      <c r="C72" s="95">
        <v>0</v>
      </c>
      <c r="D72" s="95">
        <v>0</v>
      </c>
      <c r="E72" s="94">
        <v>35000</v>
      </c>
      <c r="F72" s="94">
        <f t="shared" si="4"/>
        <v>0</v>
      </c>
      <c r="G72" s="93" t="s">
        <v>117</v>
      </c>
    </row>
    <row r="73" spans="1:7" x14ac:dyDescent="0.2">
      <c r="A73" s="103" t="s">
        <v>119</v>
      </c>
      <c r="B73" s="104"/>
      <c r="C73" s="95">
        <v>0</v>
      </c>
      <c r="D73" s="95">
        <v>0</v>
      </c>
      <c r="E73" s="94">
        <v>10000</v>
      </c>
      <c r="F73" s="94">
        <f t="shared" si="4"/>
        <v>0</v>
      </c>
      <c r="G73" s="93"/>
    </row>
    <row r="74" spans="1:7" x14ac:dyDescent="0.2">
      <c r="A74" s="103" t="s">
        <v>157</v>
      </c>
      <c r="B74" s="104"/>
      <c r="C74" s="95">
        <v>0</v>
      </c>
      <c r="D74" s="95">
        <v>0</v>
      </c>
      <c r="E74" s="94">
        <v>4500</v>
      </c>
      <c r="F74" s="94">
        <f t="shared" si="4"/>
        <v>0</v>
      </c>
      <c r="G74" s="93" t="s">
        <v>158</v>
      </c>
    </row>
    <row r="75" spans="1:7" x14ac:dyDescent="0.2">
      <c r="A75" s="103" t="s">
        <v>170</v>
      </c>
      <c r="B75" s="104"/>
      <c r="C75" s="95">
        <v>0</v>
      </c>
      <c r="D75" s="95">
        <v>0</v>
      </c>
      <c r="E75" s="94">
        <v>5000</v>
      </c>
      <c r="F75" s="94">
        <f t="shared" ref="F75:F76" si="5">C75*D75*E75</f>
        <v>0</v>
      </c>
      <c r="G75" s="93" t="s">
        <v>367</v>
      </c>
    </row>
    <row r="76" spans="1:7" x14ac:dyDescent="0.2">
      <c r="A76" s="103" t="s">
        <v>171</v>
      </c>
      <c r="B76" s="104"/>
      <c r="C76" s="95">
        <v>0</v>
      </c>
      <c r="D76" s="95">
        <v>0</v>
      </c>
      <c r="E76" s="94">
        <v>5000</v>
      </c>
      <c r="F76" s="94">
        <f t="shared" si="5"/>
        <v>0</v>
      </c>
      <c r="G76" s="93" t="s">
        <v>214</v>
      </c>
    </row>
    <row r="77" spans="1:7" x14ac:dyDescent="0.2">
      <c r="A77" s="103" t="s">
        <v>156</v>
      </c>
      <c r="B77" s="104"/>
      <c r="C77" s="95">
        <v>0</v>
      </c>
      <c r="D77" s="95">
        <v>0</v>
      </c>
      <c r="E77" s="94">
        <v>3000</v>
      </c>
      <c r="F77" s="94">
        <f t="shared" ref="F77" si="6">C77*D77*E77</f>
        <v>0</v>
      </c>
      <c r="G77" s="93" t="s">
        <v>215</v>
      </c>
    </row>
    <row r="78" spans="1:7" x14ac:dyDescent="0.2">
      <c r="A78" s="103" t="s">
        <v>118</v>
      </c>
      <c r="B78" s="104"/>
      <c r="C78" s="95">
        <v>0</v>
      </c>
      <c r="D78" s="95">
        <v>0</v>
      </c>
      <c r="E78" s="94">
        <v>16000</v>
      </c>
      <c r="F78" s="94">
        <f t="shared" si="4"/>
        <v>0</v>
      </c>
      <c r="G78" s="93" t="s">
        <v>145</v>
      </c>
    </row>
    <row r="79" spans="1:7" x14ac:dyDescent="0.2">
      <c r="A79" s="103" t="s">
        <v>10</v>
      </c>
      <c r="B79" s="104"/>
      <c r="C79" s="95">
        <v>0</v>
      </c>
      <c r="D79" s="95">
        <v>0</v>
      </c>
      <c r="E79" s="94">
        <v>7000</v>
      </c>
      <c r="F79" s="94">
        <f t="shared" si="4"/>
        <v>0</v>
      </c>
      <c r="G79" s="93" t="s">
        <v>160</v>
      </c>
    </row>
    <row r="80" spans="1:7" x14ac:dyDescent="0.2">
      <c r="A80" s="121" t="s">
        <v>217</v>
      </c>
      <c r="B80" s="122"/>
      <c r="C80" s="98">
        <v>0</v>
      </c>
      <c r="D80" s="98">
        <v>0</v>
      </c>
      <c r="E80" s="99">
        <v>1000</v>
      </c>
      <c r="F80" s="99">
        <f t="shared" ref="F80" si="7">C80*D80*E80</f>
        <v>0</v>
      </c>
      <c r="G80" s="96" t="s">
        <v>161</v>
      </c>
    </row>
    <row r="81" spans="1:7" x14ac:dyDescent="0.2">
      <c r="A81" s="121" t="s">
        <v>95</v>
      </c>
      <c r="B81" s="122"/>
      <c r="C81" s="98">
        <v>0</v>
      </c>
      <c r="D81" s="98">
        <v>0</v>
      </c>
      <c r="E81" s="123">
        <v>150000</v>
      </c>
      <c r="F81" s="99">
        <f t="shared" ref="F81:F88" si="8">C81*D81*E81</f>
        <v>0</v>
      </c>
      <c r="G81" s="96" t="s">
        <v>96</v>
      </c>
    </row>
    <row r="82" spans="1:7" x14ac:dyDescent="0.2">
      <c r="A82" s="103" t="s">
        <v>97</v>
      </c>
      <c r="B82" s="104"/>
      <c r="C82" s="95">
        <v>0</v>
      </c>
      <c r="D82" s="95">
        <v>0</v>
      </c>
      <c r="E82" s="105">
        <v>120000</v>
      </c>
      <c r="F82" s="94">
        <f t="shared" si="8"/>
        <v>0</v>
      </c>
      <c r="G82" s="93" t="s">
        <v>98</v>
      </c>
    </row>
    <row r="83" spans="1:7" x14ac:dyDescent="0.2">
      <c r="A83" s="106" t="s">
        <v>218</v>
      </c>
      <c r="B83" s="107"/>
      <c r="C83" s="95">
        <v>0</v>
      </c>
      <c r="D83" s="142">
        <v>0</v>
      </c>
      <c r="E83" s="105">
        <v>3850</v>
      </c>
      <c r="F83" s="135">
        <f>E83*D83*C83</f>
        <v>0</v>
      </c>
      <c r="G83" s="103" t="s">
        <v>153</v>
      </c>
    </row>
    <row r="84" spans="1:7" x14ac:dyDescent="0.2">
      <c r="A84" s="106" t="s">
        <v>114</v>
      </c>
      <c r="B84" s="107"/>
      <c r="C84" s="95">
        <v>0</v>
      </c>
      <c r="D84" s="95">
        <v>0</v>
      </c>
      <c r="E84" s="105">
        <v>4800</v>
      </c>
      <c r="F84" s="94">
        <f>C84*D84*E84</f>
        <v>0</v>
      </c>
      <c r="G84" s="103" t="s">
        <v>219</v>
      </c>
    </row>
    <row r="85" spans="1:7" ht="15" customHeight="1" x14ac:dyDescent="0.2">
      <c r="A85" s="106" t="s">
        <v>115</v>
      </c>
      <c r="B85" s="107"/>
      <c r="C85" s="95">
        <v>0</v>
      </c>
      <c r="D85" s="95">
        <v>0</v>
      </c>
      <c r="E85" s="105">
        <v>5500</v>
      </c>
      <c r="F85" s="94">
        <f>C85*D85*E85</f>
        <v>0</v>
      </c>
      <c r="G85" s="103" t="s">
        <v>155</v>
      </c>
    </row>
    <row r="86" spans="1:7" ht="15" customHeight="1" x14ac:dyDescent="0.2">
      <c r="A86" s="106" t="s">
        <v>116</v>
      </c>
      <c r="B86" s="107"/>
      <c r="C86" s="95">
        <v>0</v>
      </c>
      <c r="D86" s="95">
        <v>0</v>
      </c>
      <c r="E86" s="105">
        <v>7500</v>
      </c>
      <c r="F86" s="94">
        <f t="shared" si="8"/>
        <v>0</v>
      </c>
      <c r="G86" s="103" t="s">
        <v>154</v>
      </c>
    </row>
    <row r="87" spans="1:7" x14ac:dyDescent="0.2">
      <c r="A87" s="103" t="s">
        <v>169</v>
      </c>
      <c r="B87" s="104"/>
      <c r="C87" s="95">
        <v>0</v>
      </c>
      <c r="D87" s="95">
        <v>0</v>
      </c>
      <c r="E87" s="94">
        <v>8500</v>
      </c>
      <c r="F87" s="94">
        <f t="shared" si="8"/>
        <v>0</v>
      </c>
      <c r="G87" s="108" t="s">
        <v>243</v>
      </c>
    </row>
    <row r="88" spans="1:7" ht="32" x14ac:dyDescent="0.2">
      <c r="A88" s="103" t="s">
        <v>162</v>
      </c>
      <c r="B88" s="104"/>
      <c r="C88" s="95">
        <v>0</v>
      </c>
      <c r="D88" s="95">
        <v>0</v>
      </c>
      <c r="E88" s="94">
        <v>13500</v>
      </c>
      <c r="F88" s="94">
        <f t="shared" si="8"/>
        <v>0</v>
      </c>
      <c r="G88" s="143" t="s">
        <v>244</v>
      </c>
    </row>
    <row r="89" spans="1:7" x14ac:dyDescent="0.2">
      <c r="A89" s="103" t="s">
        <v>94</v>
      </c>
      <c r="B89" s="104"/>
      <c r="C89" s="95">
        <v>0</v>
      </c>
      <c r="D89" s="95">
        <v>0</v>
      </c>
      <c r="E89" s="94">
        <v>2500</v>
      </c>
      <c r="F89" s="94">
        <f>C89*D89*E89</f>
        <v>0</v>
      </c>
      <c r="G89" s="93" t="s">
        <v>221</v>
      </c>
    </row>
    <row r="90" spans="1:7" x14ac:dyDescent="0.2">
      <c r="A90" s="103" t="s">
        <v>163</v>
      </c>
      <c r="B90" s="104"/>
      <c r="C90" s="95">
        <v>0</v>
      </c>
      <c r="D90" s="95">
        <v>0</v>
      </c>
      <c r="E90" s="105">
        <v>300000</v>
      </c>
      <c r="F90" s="94">
        <f>C90*D90*E90</f>
        <v>0</v>
      </c>
      <c r="G90" s="93" t="s">
        <v>220</v>
      </c>
    </row>
    <row r="91" spans="1:7" x14ac:dyDescent="0.2">
      <c r="A91" s="103" t="s">
        <v>164</v>
      </c>
      <c r="B91" s="104"/>
      <c r="C91" s="95">
        <v>0</v>
      </c>
      <c r="D91" s="95">
        <v>0</v>
      </c>
      <c r="E91" s="105">
        <v>250000</v>
      </c>
      <c r="F91" s="94">
        <f>C91*D91*E91</f>
        <v>0</v>
      </c>
      <c r="G91" s="93" t="s">
        <v>220</v>
      </c>
    </row>
    <row r="92" spans="1:7" x14ac:dyDescent="0.2">
      <c r="A92" s="103" t="s">
        <v>143</v>
      </c>
      <c r="B92" s="104"/>
      <c r="C92" s="95">
        <v>0</v>
      </c>
      <c r="D92" s="95">
        <v>0</v>
      </c>
      <c r="E92" s="105">
        <v>210000</v>
      </c>
      <c r="F92" s="94">
        <f t="shared" ref="F92:F99" si="9">C92*D92*E92</f>
        <v>0</v>
      </c>
      <c r="G92" s="93" t="s">
        <v>220</v>
      </c>
    </row>
    <row r="93" spans="1:7" x14ac:dyDescent="0.2">
      <c r="A93" s="103" t="s">
        <v>144</v>
      </c>
      <c r="B93" s="104"/>
      <c r="C93" s="95">
        <v>0</v>
      </c>
      <c r="D93" s="95">
        <v>0</v>
      </c>
      <c r="E93" s="105">
        <v>210000</v>
      </c>
      <c r="F93" s="94">
        <f t="shared" si="9"/>
        <v>0</v>
      </c>
      <c r="G93" s="93" t="s">
        <v>220</v>
      </c>
    </row>
    <row r="94" spans="1:7" x14ac:dyDescent="0.2">
      <c r="A94" s="103" t="s">
        <v>165</v>
      </c>
      <c r="B94" s="104"/>
      <c r="C94" s="95">
        <v>0</v>
      </c>
      <c r="D94" s="95">
        <v>0</v>
      </c>
      <c r="E94" s="105">
        <v>180000</v>
      </c>
      <c r="F94" s="94">
        <f t="shared" si="9"/>
        <v>0</v>
      </c>
      <c r="G94" s="93" t="s">
        <v>220</v>
      </c>
    </row>
    <row r="95" spans="1:7" x14ac:dyDescent="0.2">
      <c r="A95" s="103" t="s">
        <v>142</v>
      </c>
      <c r="B95" s="104"/>
      <c r="C95" s="95">
        <v>0</v>
      </c>
      <c r="D95" s="95">
        <v>0</v>
      </c>
      <c r="E95" s="105">
        <v>180000</v>
      </c>
      <c r="F95" s="94">
        <f t="shared" si="9"/>
        <v>0</v>
      </c>
      <c r="G95" s="93" t="s">
        <v>220</v>
      </c>
    </row>
    <row r="96" spans="1:7" x14ac:dyDescent="0.2">
      <c r="A96" s="103" t="s">
        <v>167</v>
      </c>
      <c r="B96" s="104"/>
      <c r="C96" s="95">
        <v>0</v>
      </c>
      <c r="D96" s="95">
        <v>0</v>
      </c>
      <c r="E96" s="99">
        <v>120000</v>
      </c>
      <c r="F96" s="94">
        <f t="shared" si="9"/>
        <v>0</v>
      </c>
      <c r="G96" s="93" t="s">
        <v>220</v>
      </c>
    </row>
    <row r="97" spans="1:7" x14ac:dyDescent="0.2">
      <c r="A97" s="103" t="s">
        <v>166</v>
      </c>
      <c r="B97" s="104"/>
      <c r="C97" s="95">
        <v>0</v>
      </c>
      <c r="D97" s="95">
        <v>0</v>
      </c>
      <c r="E97" s="99">
        <v>90000</v>
      </c>
      <c r="F97" s="94">
        <f t="shared" si="9"/>
        <v>0</v>
      </c>
      <c r="G97" s="93" t="s">
        <v>220</v>
      </c>
    </row>
    <row r="98" spans="1:7" x14ac:dyDescent="0.2">
      <c r="A98" s="103" t="s">
        <v>174</v>
      </c>
      <c r="B98" s="104"/>
      <c r="C98" s="95">
        <v>0</v>
      </c>
      <c r="D98" s="95">
        <v>0</v>
      </c>
      <c r="E98" s="99">
        <v>150000</v>
      </c>
      <c r="F98" s="94">
        <f t="shared" si="9"/>
        <v>0</v>
      </c>
      <c r="G98" s="93" t="s">
        <v>222</v>
      </c>
    </row>
    <row r="99" spans="1:7" x14ac:dyDescent="0.2">
      <c r="A99" s="103" t="s">
        <v>168</v>
      </c>
      <c r="B99" s="104"/>
      <c r="C99" s="95">
        <v>0</v>
      </c>
      <c r="D99" s="95">
        <v>0</v>
      </c>
      <c r="E99" s="99">
        <v>300000</v>
      </c>
      <c r="F99" s="94">
        <f t="shared" si="9"/>
        <v>0</v>
      </c>
      <c r="G99" s="93" t="s">
        <v>220</v>
      </c>
    </row>
    <row r="100" spans="1:7" x14ac:dyDescent="0.2">
      <c r="A100" s="111"/>
      <c r="B100" s="112"/>
      <c r="C100" s="111"/>
      <c r="D100" s="111"/>
      <c r="E100" s="111"/>
      <c r="F100" s="111"/>
    </row>
    <row r="101" spans="1:7" x14ac:dyDescent="0.2">
      <c r="A101" s="111"/>
      <c r="B101" s="112"/>
      <c r="C101" s="111"/>
      <c r="D101" s="111"/>
      <c r="E101" s="111"/>
      <c r="F101" s="111"/>
    </row>
    <row r="102" spans="1:7" ht="24" x14ac:dyDescent="0.3">
      <c r="A102" s="147" t="s">
        <v>247</v>
      </c>
      <c r="B102" s="148"/>
      <c r="C102" s="149" t="s">
        <v>248</v>
      </c>
      <c r="D102" s="149" t="s">
        <v>249</v>
      </c>
      <c r="E102" s="111"/>
      <c r="F102" s="111"/>
    </row>
    <row r="103" spans="1:7" x14ac:dyDescent="0.2">
      <c r="A103" s="148"/>
      <c r="B103" s="148"/>
      <c r="C103" s="148"/>
      <c r="D103" s="148"/>
      <c r="E103" s="111"/>
      <c r="F103" s="111"/>
    </row>
    <row r="104" spans="1:7" x14ac:dyDescent="0.2">
      <c r="A104" s="150" t="s">
        <v>250</v>
      </c>
      <c r="B104" s="148"/>
      <c r="C104" s="151">
        <v>2500</v>
      </c>
      <c r="D104" s="151">
        <v>2100.8000000000002</v>
      </c>
      <c r="E104" s="111"/>
      <c r="F104" s="111"/>
    </row>
    <row r="105" spans="1:7" x14ac:dyDescent="0.2">
      <c r="A105" s="148" t="s">
        <v>251</v>
      </c>
      <c r="B105" s="148"/>
      <c r="C105" s="151"/>
      <c r="D105" s="152"/>
      <c r="E105" s="111"/>
      <c r="F105" s="111"/>
    </row>
    <row r="106" spans="1:7" x14ac:dyDescent="0.2">
      <c r="A106" s="150" t="s">
        <v>252</v>
      </c>
      <c r="B106" s="148"/>
      <c r="C106" s="151">
        <v>2800</v>
      </c>
      <c r="D106" s="151">
        <v>2352.9</v>
      </c>
      <c r="E106" s="111"/>
      <c r="F106" s="111"/>
    </row>
    <row r="107" spans="1:7" x14ac:dyDescent="0.2">
      <c r="A107" s="148" t="s">
        <v>253</v>
      </c>
      <c r="B107" s="148"/>
      <c r="C107" s="152"/>
      <c r="D107" s="152"/>
      <c r="E107" s="111"/>
      <c r="F107" s="111"/>
    </row>
    <row r="108" spans="1:7" x14ac:dyDescent="0.2">
      <c r="A108" s="150" t="s">
        <v>254</v>
      </c>
      <c r="B108" s="148"/>
      <c r="C108" s="151">
        <v>3200</v>
      </c>
      <c r="D108" s="151">
        <v>2689.1</v>
      </c>
      <c r="E108" s="111"/>
      <c r="F108" s="111"/>
    </row>
    <row r="109" spans="1:7" x14ac:dyDescent="0.2">
      <c r="A109" s="148" t="s">
        <v>255</v>
      </c>
      <c r="B109" s="148"/>
      <c r="C109" s="152"/>
      <c r="D109" s="152"/>
      <c r="E109" s="111"/>
      <c r="F109" s="111"/>
    </row>
    <row r="110" spans="1:7" x14ac:dyDescent="0.2">
      <c r="A110" s="150" t="s">
        <v>256</v>
      </c>
      <c r="B110" s="148"/>
      <c r="C110" s="151">
        <v>1800</v>
      </c>
      <c r="D110" s="151">
        <v>1512.6</v>
      </c>
      <c r="E110" s="111"/>
      <c r="F110" s="111"/>
    </row>
    <row r="111" spans="1:7" x14ac:dyDescent="0.2">
      <c r="A111" s="148" t="s">
        <v>257</v>
      </c>
      <c r="B111" s="148"/>
      <c r="C111" s="152"/>
      <c r="D111" s="152"/>
      <c r="E111" s="111"/>
      <c r="F111" s="111"/>
    </row>
    <row r="112" spans="1:7" x14ac:dyDescent="0.2">
      <c r="A112" s="148"/>
      <c r="B112" s="148"/>
      <c r="C112" s="152"/>
      <c r="D112" s="152"/>
      <c r="E112" s="111"/>
      <c r="F112" s="111"/>
    </row>
    <row r="113" spans="1:7" x14ac:dyDescent="0.2">
      <c r="A113" s="150" t="s">
        <v>258</v>
      </c>
      <c r="B113" s="148"/>
      <c r="C113" s="151">
        <v>1800</v>
      </c>
      <c r="D113" s="151">
        <v>1512.6</v>
      </c>
      <c r="E113" s="111"/>
      <c r="F113" s="111"/>
    </row>
    <row r="114" spans="1:7" x14ac:dyDescent="0.2">
      <c r="A114" s="150" t="s">
        <v>259</v>
      </c>
      <c r="B114" s="148"/>
      <c r="C114" s="151">
        <v>1800</v>
      </c>
      <c r="D114" s="151">
        <v>1512.6</v>
      </c>
      <c r="E114" s="111"/>
      <c r="F114" s="111"/>
    </row>
    <row r="115" spans="1:7" x14ac:dyDescent="0.2">
      <c r="A115" s="150" t="s">
        <v>260</v>
      </c>
      <c r="B115" s="148"/>
      <c r="C115" s="151">
        <v>1800</v>
      </c>
      <c r="D115" s="151">
        <v>1512.6</v>
      </c>
      <c r="E115" s="111"/>
      <c r="F115" s="111"/>
    </row>
    <row r="116" spans="1:7" x14ac:dyDescent="0.2">
      <c r="A116" s="150" t="s">
        <v>261</v>
      </c>
      <c r="B116" s="148"/>
      <c r="C116" s="151">
        <v>2500</v>
      </c>
      <c r="D116" s="151">
        <v>2100.8000000000002</v>
      </c>
      <c r="E116" s="111"/>
      <c r="F116" s="111"/>
    </row>
    <row r="117" spans="1:7" x14ac:dyDescent="0.2">
      <c r="A117" s="150" t="s">
        <v>262</v>
      </c>
      <c r="B117" s="148"/>
      <c r="C117" s="151">
        <v>8500</v>
      </c>
      <c r="D117" s="151">
        <v>7142.9</v>
      </c>
      <c r="E117" s="111"/>
      <c r="F117" s="111"/>
      <c r="G117" s="6"/>
    </row>
    <row r="118" spans="1:7" x14ac:dyDescent="0.2">
      <c r="A118" s="150" t="s">
        <v>263</v>
      </c>
      <c r="B118" s="148"/>
      <c r="C118" s="151">
        <v>3000</v>
      </c>
      <c r="D118" s="151">
        <v>2521</v>
      </c>
      <c r="E118" s="111"/>
      <c r="F118" s="111"/>
    </row>
    <row r="119" spans="1:7" x14ac:dyDescent="0.2">
      <c r="A119" s="150" t="s">
        <v>264</v>
      </c>
      <c r="B119" s="148"/>
      <c r="C119" s="151">
        <v>3600</v>
      </c>
      <c r="D119" s="151">
        <v>3025.2</v>
      </c>
      <c r="E119" s="111"/>
      <c r="F119" s="111"/>
    </row>
    <row r="120" spans="1:7" x14ac:dyDescent="0.2">
      <c r="A120" s="150" t="s">
        <v>265</v>
      </c>
      <c r="B120" s="148"/>
      <c r="C120" s="151">
        <v>2500</v>
      </c>
      <c r="D120" s="151">
        <v>2100.8000000000002</v>
      </c>
      <c r="E120" s="111"/>
      <c r="F120" s="111"/>
    </row>
    <row r="121" spans="1:7" x14ac:dyDescent="0.2">
      <c r="A121" s="148"/>
      <c r="B121" s="148"/>
      <c r="C121" s="152"/>
      <c r="D121" s="152"/>
      <c r="E121" s="111"/>
      <c r="F121" s="111"/>
    </row>
    <row r="122" spans="1:7" x14ac:dyDescent="0.2">
      <c r="A122" s="153" t="s">
        <v>266</v>
      </c>
      <c r="B122" s="148"/>
      <c r="C122" s="152"/>
      <c r="D122" s="152"/>
      <c r="E122" s="111"/>
      <c r="F122" s="111"/>
    </row>
    <row r="123" spans="1:7" x14ac:dyDescent="0.2">
      <c r="A123" s="150" t="s">
        <v>267</v>
      </c>
      <c r="B123" s="148"/>
      <c r="C123" s="151">
        <v>3600</v>
      </c>
      <c r="D123" s="151">
        <v>3025.2</v>
      </c>
      <c r="E123" s="111"/>
      <c r="F123" s="111"/>
    </row>
    <row r="124" spans="1:7" x14ac:dyDescent="0.2">
      <c r="A124" s="150" t="s">
        <v>268</v>
      </c>
      <c r="B124" s="148"/>
      <c r="C124" s="151">
        <v>4800</v>
      </c>
      <c r="D124" s="151">
        <v>4033.6</v>
      </c>
      <c r="E124" s="111"/>
      <c r="F124" s="111"/>
    </row>
    <row r="125" spans="1:7" x14ac:dyDescent="0.2">
      <c r="A125" s="153" t="s">
        <v>269</v>
      </c>
      <c r="B125" s="148"/>
      <c r="C125" s="152"/>
      <c r="D125" s="152"/>
      <c r="E125" s="111"/>
      <c r="F125" s="111"/>
    </row>
    <row r="126" spans="1:7" x14ac:dyDescent="0.2">
      <c r="A126" s="150" t="s">
        <v>270</v>
      </c>
      <c r="B126" s="148"/>
      <c r="C126" s="151">
        <v>3600</v>
      </c>
      <c r="D126" s="151">
        <v>3025.2</v>
      </c>
      <c r="E126" s="111"/>
      <c r="F126" s="111"/>
    </row>
    <row r="127" spans="1:7" x14ac:dyDescent="0.2">
      <c r="A127" s="150" t="s">
        <v>271</v>
      </c>
      <c r="B127" s="148"/>
      <c r="C127" s="151">
        <v>4500</v>
      </c>
      <c r="D127" s="151">
        <v>3781.5</v>
      </c>
      <c r="E127" s="111"/>
      <c r="F127" s="111"/>
    </row>
    <row r="128" spans="1:7" x14ac:dyDescent="0.2">
      <c r="A128" s="150" t="s">
        <v>272</v>
      </c>
      <c r="B128" s="148"/>
      <c r="C128" s="151">
        <v>4800</v>
      </c>
      <c r="D128" s="151">
        <v>4033.6</v>
      </c>
      <c r="E128" s="111"/>
      <c r="F128" s="111"/>
    </row>
    <row r="129" spans="1:6" x14ac:dyDescent="0.2">
      <c r="A129" s="153" t="s">
        <v>273</v>
      </c>
      <c r="B129" s="148"/>
      <c r="C129" s="152"/>
      <c r="D129" s="152"/>
      <c r="E129" s="111"/>
      <c r="F129" s="111"/>
    </row>
    <row r="130" spans="1:6" x14ac:dyDescent="0.2">
      <c r="A130" s="150" t="s">
        <v>274</v>
      </c>
      <c r="B130" s="148"/>
      <c r="C130" s="151">
        <v>4500</v>
      </c>
      <c r="D130" s="151">
        <v>3781.5</v>
      </c>
      <c r="E130" s="111"/>
      <c r="F130" s="111"/>
    </row>
    <row r="131" spans="1:6" x14ac:dyDescent="0.2">
      <c r="A131" s="150" t="s">
        <v>275</v>
      </c>
      <c r="B131" s="148"/>
      <c r="C131" s="151">
        <v>8000</v>
      </c>
      <c r="D131" s="151">
        <v>6722.7</v>
      </c>
      <c r="E131" s="111"/>
      <c r="F131" s="111"/>
    </row>
    <row r="132" spans="1:6" x14ac:dyDescent="0.2">
      <c r="A132" s="150" t="s">
        <v>276</v>
      </c>
      <c r="B132" s="148"/>
      <c r="C132" s="151">
        <v>4500</v>
      </c>
      <c r="D132" s="151">
        <v>3781.5</v>
      </c>
      <c r="E132" s="111"/>
      <c r="F132" s="111"/>
    </row>
    <row r="133" spans="1:6" x14ac:dyDescent="0.2">
      <c r="A133" s="150" t="s">
        <v>277</v>
      </c>
      <c r="B133" s="148"/>
      <c r="C133" s="151">
        <v>6500</v>
      </c>
      <c r="D133" s="151">
        <v>5462.2</v>
      </c>
      <c r="E133" s="111"/>
      <c r="F133" s="111"/>
    </row>
    <row r="134" spans="1:6" x14ac:dyDescent="0.2">
      <c r="A134" s="150" t="s">
        <v>278</v>
      </c>
      <c r="B134" s="148"/>
      <c r="C134" s="151">
        <v>7500</v>
      </c>
      <c r="D134" s="151">
        <v>6302.5</v>
      </c>
      <c r="E134" s="111"/>
      <c r="F134" s="111"/>
    </row>
    <row r="135" spans="1:6" x14ac:dyDescent="0.2">
      <c r="A135" s="153" t="s">
        <v>279</v>
      </c>
      <c r="B135" s="148"/>
      <c r="C135" s="152"/>
      <c r="D135" s="152"/>
      <c r="E135" s="111"/>
      <c r="F135" s="111"/>
    </row>
    <row r="136" spans="1:6" x14ac:dyDescent="0.2">
      <c r="A136" s="150" t="s">
        <v>280</v>
      </c>
      <c r="B136" s="148"/>
      <c r="C136" s="151">
        <v>4800</v>
      </c>
      <c r="D136" s="151">
        <v>4033.6</v>
      </c>
      <c r="E136" s="111"/>
      <c r="F136" s="111"/>
    </row>
    <row r="137" spans="1:6" x14ac:dyDescent="0.2">
      <c r="A137" s="150" t="s">
        <v>281</v>
      </c>
      <c r="B137" s="148"/>
      <c r="C137" s="151">
        <v>6000</v>
      </c>
      <c r="D137" s="151">
        <v>5042</v>
      </c>
      <c r="E137" s="111"/>
      <c r="F137" s="111"/>
    </row>
    <row r="138" spans="1:6" x14ac:dyDescent="0.2">
      <c r="A138" s="150" t="s">
        <v>282</v>
      </c>
      <c r="B138" s="148"/>
      <c r="C138" s="151">
        <v>4500</v>
      </c>
      <c r="D138" s="151">
        <v>3781.5</v>
      </c>
      <c r="E138" s="111"/>
      <c r="F138" s="111"/>
    </row>
    <row r="139" spans="1:6" x14ac:dyDescent="0.2">
      <c r="A139" s="153" t="s">
        <v>283</v>
      </c>
      <c r="B139" s="148"/>
      <c r="C139" s="152"/>
      <c r="D139" s="152"/>
      <c r="E139" s="111"/>
      <c r="F139" s="111"/>
    </row>
    <row r="140" spans="1:6" x14ac:dyDescent="0.2">
      <c r="A140" s="150" t="s">
        <v>284</v>
      </c>
      <c r="B140" s="148"/>
      <c r="C140" s="151">
        <v>3000</v>
      </c>
      <c r="D140" s="151">
        <v>2521</v>
      </c>
      <c r="E140" s="111"/>
      <c r="F140" s="111"/>
    </row>
    <row r="141" spans="1:6" x14ac:dyDescent="0.2">
      <c r="A141" s="150" t="s">
        <v>285</v>
      </c>
      <c r="B141" s="148"/>
      <c r="C141" s="151">
        <v>3200</v>
      </c>
      <c r="D141" s="151">
        <v>2689.1</v>
      </c>
      <c r="E141" s="111"/>
      <c r="F141" s="111"/>
    </row>
    <row r="142" spans="1:6" x14ac:dyDescent="0.2">
      <c r="A142" s="153" t="s">
        <v>286</v>
      </c>
      <c r="B142" s="148"/>
      <c r="C142" s="152"/>
      <c r="D142" s="152"/>
      <c r="E142" s="111"/>
      <c r="F142" s="111"/>
    </row>
    <row r="143" spans="1:6" x14ac:dyDescent="0.2">
      <c r="A143" s="150" t="s">
        <v>287</v>
      </c>
      <c r="B143" s="148"/>
      <c r="C143" s="151">
        <v>4800</v>
      </c>
      <c r="D143" s="151">
        <v>4033.6</v>
      </c>
      <c r="E143" s="111"/>
      <c r="F143" s="111"/>
    </row>
    <row r="144" spans="1:6" x14ac:dyDescent="0.2">
      <c r="A144" s="150" t="s">
        <v>288</v>
      </c>
      <c r="B144" s="148"/>
      <c r="C144" s="151">
        <v>4800</v>
      </c>
      <c r="D144" s="151">
        <v>4033.6</v>
      </c>
      <c r="E144" s="111"/>
      <c r="F144" s="111"/>
    </row>
    <row r="145" spans="1:6" x14ac:dyDescent="0.2">
      <c r="A145" s="150" t="s">
        <v>289</v>
      </c>
      <c r="B145" s="148"/>
      <c r="C145" s="151">
        <v>6000</v>
      </c>
      <c r="D145" s="151">
        <v>5042</v>
      </c>
      <c r="E145" s="111"/>
      <c r="F145" s="111"/>
    </row>
    <row r="146" spans="1:6" x14ac:dyDescent="0.2">
      <c r="A146" s="150" t="s">
        <v>290</v>
      </c>
      <c r="B146" s="148"/>
      <c r="C146" s="151">
        <v>6000</v>
      </c>
      <c r="D146" s="151">
        <v>5042</v>
      </c>
      <c r="E146" s="111"/>
      <c r="F146" s="111"/>
    </row>
    <row r="147" spans="1:6" x14ac:dyDescent="0.2">
      <c r="A147" s="150" t="s">
        <v>291</v>
      </c>
      <c r="B147" s="148"/>
      <c r="C147" s="151">
        <v>4500</v>
      </c>
      <c r="D147" s="151">
        <v>3781.5</v>
      </c>
      <c r="E147" s="111"/>
      <c r="F147" s="111"/>
    </row>
    <row r="148" spans="1:6" x14ac:dyDescent="0.2">
      <c r="A148" s="150" t="s">
        <v>292</v>
      </c>
      <c r="B148" s="148"/>
      <c r="C148" s="151">
        <v>4800</v>
      </c>
      <c r="D148" s="151">
        <v>4033.6</v>
      </c>
      <c r="E148" s="111"/>
      <c r="F148" s="111"/>
    </row>
    <row r="149" spans="1:6" x14ac:dyDescent="0.2">
      <c r="A149" s="150" t="s">
        <v>293</v>
      </c>
      <c r="B149" s="148"/>
      <c r="C149" s="151">
        <v>3600</v>
      </c>
      <c r="D149" s="151">
        <v>3025.2</v>
      </c>
      <c r="E149" s="111"/>
      <c r="F149" s="111"/>
    </row>
    <row r="150" spans="1:6" x14ac:dyDescent="0.2">
      <c r="A150" s="150" t="s">
        <v>294</v>
      </c>
      <c r="B150" s="148"/>
      <c r="C150" s="151">
        <v>6000</v>
      </c>
      <c r="D150" s="151">
        <v>5042</v>
      </c>
      <c r="E150" s="111"/>
      <c r="F150" s="111"/>
    </row>
    <row r="151" spans="1:6" x14ac:dyDescent="0.2">
      <c r="A151" s="153" t="s">
        <v>295</v>
      </c>
      <c r="B151" s="148"/>
      <c r="C151" s="152"/>
      <c r="D151" s="152"/>
      <c r="E151" s="111"/>
      <c r="F151" s="111"/>
    </row>
    <row r="152" spans="1:6" x14ac:dyDescent="0.2">
      <c r="A152" s="150" t="s">
        <v>296</v>
      </c>
      <c r="B152" s="148"/>
      <c r="C152" s="151">
        <v>2400</v>
      </c>
      <c r="D152" s="151">
        <v>2016.8</v>
      </c>
      <c r="E152" s="111"/>
      <c r="F152" s="111"/>
    </row>
    <row r="153" spans="1:6" x14ac:dyDescent="0.2">
      <c r="A153" s="150" t="s">
        <v>297</v>
      </c>
      <c r="B153" s="148"/>
      <c r="C153" s="151">
        <v>2400</v>
      </c>
      <c r="D153" s="151">
        <v>2016.8</v>
      </c>
      <c r="E153" s="111"/>
      <c r="F153" s="111"/>
    </row>
    <row r="154" spans="1:6" x14ac:dyDescent="0.2">
      <c r="A154" s="150" t="s">
        <v>298</v>
      </c>
      <c r="B154" s="148"/>
      <c r="C154" s="151">
        <v>2400</v>
      </c>
      <c r="D154" s="151">
        <v>2016.8</v>
      </c>
      <c r="E154" s="111"/>
      <c r="F154" s="111"/>
    </row>
    <row r="155" spans="1:6" x14ac:dyDescent="0.2">
      <c r="A155" s="148"/>
      <c r="B155" s="148"/>
      <c r="C155" s="152"/>
      <c r="D155" s="152"/>
      <c r="E155" s="111"/>
      <c r="F155" s="111"/>
    </row>
    <row r="156" spans="1:6" x14ac:dyDescent="0.2">
      <c r="A156" s="150" t="s">
        <v>299</v>
      </c>
      <c r="B156" s="148"/>
      <c r="C156" s="151">
        <v>3600</v>
      </c>
      <c r="D156" s="151">
        <v>3025.2</v>
      </c>
      <c r="E156" s="111"/>
      <c r="F156" s="111"/>
    </row>
    <row r="157" spans="1:6" x14ac:dyDescent="0.2">
      <c r="A157" s="148" t="s">
        <v>300</v>
      </c>
      <c r="B157" s="148"/>
      <c r="C157" s="152"/>
      <c r="D157" s="152"/>
      <c r="E157" s="111"/>
      <c r="F157" s="111"/>
    </row>
    <row r="158" spans="1:6" x14ac:dyDescent="0.2">
      <c r="A158" s="150" t="s">
        <v>301</v>
      </c>
      <c r="B158" s="148"/>
      <c r="C158" s="151">
        <v>3600</v>
      </c>
      <c r="D158" s="151">
        <v>3025.2</v>
      </c>
      <c r="E158" s="111"/>
      <c r="F158" s="111"/>
    </row>
    <row r="159" spans="1:6" x14ac:dyDescent="0.2">
      <c r="A159" s="148" t="s">
        <v>302</v>
      </c>
      <c r="B159" s="148"/>
      <c r="C159" s="152"/>
      <c r="D159" s="152"/>
      <c r="E159" s="111"/>
      <c r="F159" s="111"/>
    </row>
    <row r="160" spans="1:6" x14ac:dyDescent="0.2">
      <c r="A160" s="150" t="s">
        <v>303</v>
      </c>
      <c r="B160" s="148"/>
      <c r="C160" s="151">
        <v>4500</v>
      </c>
      <c r="D160" s="151">
        <v>3781.5</v>
      </c>
      <c r="E160" s="111"/>
      <c r="F160" s="111"/>
    </row>
    <row r="161" spans="1:6" x14ac:dyDescent="0.2">
      <c r="A161" s="148" t="s">
        <v>304</v>
      </c>
      <c r="B161" s="148"/>
      <c r="C161" s="152"/>
      <c r="D161" s="152"/>
      <c r="E161" s="111"/>
      <c r="F161" s="111"/>
    </row>
    <row r="162" spans="1:6" x14ac:dyDescent="0.2">
      <c r="A162" s="150" t="s">
        <v>305</v>
      </c>
      <c r="B162" s="148"/>
      <c r="C162" s="151">
        <v>4500</v>
      </c>
      <c r="D162" s="151">
        <v>3781.5</v>
      </c>
      <c r="E162" s="111"/>
      <c r="F162" s="111"/>
    </row>
    <row r="163" spans="1:6" x14ac:dyDescent="0.2">
      <c r="A163" s="154" t="s">
        <v>306</v>
      </c>
      <c r="B163" s="148"/>
      <c r="C163" s="152"/>
      <c r="D163" s="152"/>
      <c r="E163" s="111"/>
      <c r="F163" s="111"/>
    </row>
    <row r="164" spans="1:6" x14ac:dyDescent="0.2">
      <c r="A164" s="150" t="s">
        <v>307</v>
      </c>
      <c r="B164" s="148"/>
      <c r="C164" s="151">
        <v>4800</v>
      </c>
      <c r="D164" s="151">
        <v>4033.6</v>
      </c>
      <c r="E164" s="111"/>
      <c r="F164" s="111"/>
    </row>
    <row r="165" spans="1:6" x14ac:dyDescent="0.2">
      <c r="A165" s="148" t="s">
        <v>308</v>
      </c>
      <c r="B165" s="148"/>
      <c r="C165" s="152"/>
      <c r="D165" s="152"/>
      <c r="E165" s="111"/>
      <c r="F165" s="111"/>
    </row>
    <row r="166" spans="1:6" x14ac:dyDescent="0.2">
      <c r="A166" s="150" t="s">
        <v>309</v>
      </c>
      <c r="B166" s="148"/>
      <c r="C166" s="151">
        <v>4500</v>
      </c>
      <c r="D166" s="151">
        <v>3781.5</v>
      </c>
      <c r="E166" s="111"/>
      <c r="F166" s="111"/>
    </row>
    <row r="167" spans="1:6" x14ac:dyDescent="0.2">
      <c r="A167" s="148" t="s">
        <v>310</v>
      </c>
      <c r="B167" s="148"/>
      <c r="C167" s="152"/>
      <c r="D167" s="152"/>
      <c r="E167" s="111"/>
      <c r="F167" s="111"/>
    </row>
    <row r="168" spans="1:6" x14ac:dyDescent="0.2">
      <c r="A168" s="150" t="s">
        <v>311</v>
      </c>
      <c r="B168" s="148"/>
      <c r="C168" s="151">
        <v>5400</v>
      </c>
      <c r="D168" s="151">
        <v>4537.8</v>
      </c>
      <c r="E168" s="111"/>
      <c r="F168" s="111"/>
    </row>
    <row r="169" spans="1:6" x14ac:dyDescent="0.2">
      <c r="A169" s="148" t="s">
        <v>312</v>
      </c>
      <c r="B169" s="148"/>
      <c r="C169" s="152"/>
      <c r="D169" s="152"/>
      <c r="E169" s="111"/>
      <c r="F169" s="111"/>
    </row>
    <row r="170" spans="1:6" x14ac:dyDescent="0.2">
      <c r="A170" s="150" t="s">
        <v>313</v>
      </c>
      <c r="B170" s="148"/>
      <c r="C170" s="151">
        <v>4500</v>
      </c>
      <c r="D170" s="151">
        <v>3781.5</v>
      </c>
      <c r="E170" s="111"/>
      <c r="F170" s="111"/>
    </row>
    <row r="171" spans="1:6" x14ac:dyDescent="0.2">
      <c r="A171" s="148" t="s">
        <v>314</v>
      </c>
      <c r="B171" s="148"/>
      <c r="C171" s="152"/>
      <c r="D171" s="152"/>
      <c r="E171" s="111"/>
      <c r="F171" s="111"/>
    </row>
    <row r="172" spans="1:6" x14ac:dyDescent="0.2">
      <c r="A172" s="150" t="s">
        <v>315</v>
      </c>
      <c r="B172" s="148"/>
      <c r="C172" s="151">
        <v>4500</v>
      </c>
      <c r="D172" s="151">
        <v>3781.5</v>
      </c>
      <c r="E172" s="111"/>
      <c r="F172" s="111"/>
    </row>
    <row r="173" spans="1:6" x14ac:dyDescent="0.2">
      <c r="A173" s="148" t="s">
        <v>316</v>
      </c>
      <c r="B173" s="148"/>
      <c r="C173" s="152"/>
      <c r="D173" s="152"/>
      <c r="E173" s="111"/>
      <c r="F173" s="111"/>
    </row>
    <row r="174" spans="1:6" x14ac:dyDescent="0.2">
      <c r="A174" s="150" t="s">
        <v>317</v>
      </c>
      <c r="B174" s="148"/>
      <c r="C174" s="151">
        <v>4500</v>
      </c>
      <c r="D174" s="151">
        <v>3781.5</v>
      </c>
      <c r="E174" s="111"/>
      <c r="F174" s="111"/>
    </row>
    <row r="175" spans="1:6" x14ac:dyDescent="0.2">
      <c r="A175" s="148" t="s">
        <v>318</v>
      </c>
      <c r="B175" s="148"/>
      <c r="C175" s="152"/>
      <c r="D175" s="152"/>
      <c r="E175" s="111"/>
      <c r="F175" s="111"/>
    </row>
    <row r="176" spans="1:6" x14ac:dyDescent="0.2">
      <c r="A176" s="150" t="s">
        <v>319</v>
      </c>
      <c r="B176" s="148"/>
      <c r="C176" s="151">
        <v>4500</v>
      </c>
      <c r="D176" s="151">
        <v>3781.5</v>
      </c>
      <c r="E176" s="111"/>
      <c r="F176" s="111"/>
    </row>
    <row r="177" spans="1:6" x14ac:dyDescent="0.2">
      <c r="A177" s="148" t="s">
        <v>320</v>
      </c>
      <c r="B177" s="148"/>
      <c r="C177" s="152"/>
      <c r="D177" s="152"/>
      <c r="E177" s="111"/>
      <c r="F177" s="111"/>
    </row>
    <row r="178" spans="1:6" x14ac:dyDescent="0.2">
      <c r="A178" s="150" t="s">
        <v>321</v>
      </c>
      <c r="B178" s="148"/>
      <c r="C178" s="151">
        <v>4500</v>
      </c>
      <c r="D178" s="151">
        <v>3781.5</v>
      </c>
      <c r="E178" s="111"/>
      <c r="F178" s="111"/>
    </row>
    <row r="179" spans="1:6" x14ac:dyDescent="0.2">
      <c r="A179" s="148" t="s">
        <v>322</v>
      </c>
      <c r="B179" s="148"/>
      <c r="C179" s="152"/>
      <c r="D179" s="152"/>
      <c r="E179" s="111"/>
      <c r="F179" s="111"/>
    </row>
    <row r="180" spans="1:6" x14ac:dyDescent="0.2">
      <c r="A180" s="150" t="s">
        <v>323</v>
      </c>
      <c r="B180" s="148"/>
      <c r="C180" s="151">
        <v>6000</v>
      </c>
      <c r="D180" s="151">
        <v>5042</v>
      </c>
      <c r="E180" s="111"/>
      <c r="F180" s="111"/>
    </row>
    <row r="181" spans="1:6" x14ac:dyDescent="0.2">
      <c r="A181" s="148" t="s">
        <v>324</v>
      </c>
      <c r="B181" s="148"/>
      <c r="C181" s="152"/>
      <c r="D181" s="152"/>
      <c r="E181" s="111"/>
      <c r="F181" s="111"/>
    </row>
    <row r="182" spans="1:6" x14ac:dyDescent="0.2">
      <c r="A182" s="150" t="s">
        <v>325</v>
      </c>
      <c r="B182" s="148"/>
      <c r="C182" s="151">
        <v>4500</v>
      </c>
      <c r="D182" s="151">
        <v>3781.5</v>
      </c>
      <c r="E182" s="111"/>
      <c r="F182" s="111"/>
    </row>
    <row r="183" spans="1:6" x14ac:dyDescent="0.2">
      <c r="A183" s="148" t="s">
        <v>326</v>
      </c>
      <c r="B183" s="148"/>
      <c r="C183" s="152"/>
      <c r="D183" s="152"/>
      <c r="E183" s="111"/>
      <c r="F183" s="111"/>
    </row>
    <row r="184" spans="1:6" x14ac:dyDescent="0.2">
      <c r="A184" s="148"/>
      <c r="B184" s="148"/>
      <c r="C184" s="152"/>
      <c r="D184" s="152"/>
      <c r="E184" s="111"/>
      <c r="F184" s="111"/>
    </row>
    <row r="185" spans="1:6" x14ac:dyDescent="0.2">
      <c r="A185" s="150" t="s">
        <v>327</v>
      </c>
      <c r="B185" s="148"/>
      <c r="C185" s="151">
        <v>9000</v>
      </c>
      <c r="D185" s="151">
        <v>7563</v>
      </c>
      <c r="E185" s="111"/>
      <c r="F185" s="111"/>
    </row>
    <row r="186" spans="1:6" x14ac:dyDescent="0.2">
      <c r="A186" s="148" t="s">
        <v>328</v>
      </c>
      <c r="B186" s="148"/>
      <c r="C186" s="152"/>
      <c r="D186" s="152"/>
      <c r="E186" s="111"/>
      <c r="F186" s="111"/>
    </row>
    <row r="187" spans="1:6" x14ac:dyDescent="0.2">
      <c r="A187" s="150" t="s">
        <v>329</v>
      </c>
      <c r="B187" s="148"/>
      <c r="C187" s="151">
        <v>12000</v>
      </c>
      <c r="D187" s="151">
        <v>10084</v>
      </c>
      <c r="E187" s="111"/>
      <c r="F187" s="111"/>
    </row>
    <row r="188" spans="1:6" x14ac:dyDescent="0.2">
      <c r="A188" s="148" t="s">
        <v>328</v>
      </c>
      <c r="B188" s="148"/>
      <c r="C188" s="152"/>
      <c r="D188" s="152"/>
      <c r="E188" s="111"/>
      <c r="F188" s="111"/>
    </row>
    <row r="189" spans="1:6" x14ac:dyDescent="0.2">
      <c r="A189" s="150" t="s">
        <v>330</v>
      </c>
      <c r="B189" s="148"/>
      <c r="C189" s="151">
        <v>12000</v>
      </c>
      <c r="D189" s="151">
        <v>10084</v>
      </c>
      <c r="E189" s="111"/>
      <c r="F189" s="111"/>
    </row>
    <row r="190" spans="1:6" x14ac:dyDescent="0.2">
      <c r="A190" s="148" t="s">
        <v>331</v>
      </c>
      <c r="B190" s="148"/>
      <c r="C190" s="152"/>
      <c r="D190" s="152"/>
      <c r="E190" s="111"/>
      <c r="F190" s="111"/>
    </row>
    <row r="191" spans="1:6" x14ac:dyDescent="0.2">
      <c r="A191" s="150" t="s">
        <v>332</v>
      </c>
      <c r="B191" s="148"/>
      <c r="C191" s="151">
        <v>12000</v>
      </c>
      <c r="D191" s="151">
        <v>10084</v>
      </c>
      <c r="E191" s="111"/>
      <c r="F191" s="111"/>
    </row>
    <row r="192" spans="1:6" x14ac:dyDescent="0.2">
      <c r="A192" s="148" t="s">
        <v>333</v>
      </c>
      <c r="B192" s="148"/>
      <c r="C192" s="152"/>
      <c r="D192" s="152"/>
      <c r="E192" s="111"/>
      <c r="F192" s="111"/>
    </row>
    <row r="193" spans="1:6" x14ac:dyDescent="0.2">
      <c r="A193" s="150" t="s">
        <v>334</v>
      </c>
      <c r="B193" s="148"/>
      <c r="C193" s="151">
        <v>12000</v>
      </c>
      <c r="D193" s="151">
        <v>10084</v>
      </c>
      <c r="E193" s="111"/>
      <c r="F193" s="111"/>
    </row>
    <row r="194" spans="1:6" x14ac:dyDescent="0.2">
      <c r="A194" s="148" t="s">
        <v>335</v>
      </c>
      <c r="B194" s="148"/>
      <c r="C194" s="152"/>
      <c r="D194" s="152"/>
      <c r="E194" s="111"/>
      <c r="F194" s="111"/>
    </row>
    <row r="195" spans="1:6" x14ac:dyDescent="0.2">
      <c r="A195" s="150" t="s">
        <v>336</v>
      </c>
      <c r="B195" s="148"/>
      <c r="C195" s="151">
        <v>14000</v>
      </c>
      <c r="D195" s="151">
        <v>11764.7</v>
      </c>
      <c r="E195" s="111"/>
      <c r="F195" s="111"/>
    </row>
    <row r="196" spans="1:6" x14ac:dyDescent="0.2">
      <c r="A196" s="148" t="s">
        <v>328</v>
      </c>
      <c r="B196" s="148"/>
      <c r="C196" s="152"/>
      <c r="D196" s="152"/>
      <c r="E196" s="111"/>
      <c r="F196" s="111"/>
    </row>
    <row r="197" spans="1:6" x14ac:dyDescent="0.2">
      <c r="A197" s="150" t="s">
        <v>337</v>
      </c>
      <c r="B197" s="148"/>
      <c r="C197" s="151">
        <v>14000</v>
      </c>
      <c r="D197" s="151">
        <v>11764.7</v>
      </c>
      <c r="E197" s="111"/>
      <c r="F197" s="111"/>
    </row>
    <row r="198" spans="1:6" x14ac:dyDescent="0.2">
      <c r="A198" s="148" t="s">
        <v>338</v>
      </c>
      <c r="B198" s="148"/>
      <c r="C198" s="152"/>
      <c r="D198" s="152"/>
      <c r="E198" s="111"/>
      <c r="F198" s="111"/>
    </row>
    <row r="199" spans="1:6" x14ac:dyDescent="0.2">
      <c r="A199" s="150" t="s">
        <v>339</v>
      </c>
      <c r="B199" s="148"/>
      <c r="C199" s="151">
        <v>16000</v>
      </c>
      <c r="D199" s="151">
        <v>13445.4</v>
      </c>
      <c r="E199" s="111"/>
      <c r="F199" s="111"/>
    </row>
    <row r="200" spans="1:6" x14ac:dyDescent="0.2">
      <c r="A200" s="148" t="s">
        <v>340</v>
      </c>
      <c r="B200" s="148"/>
      <c r="C200" s="152"/>
      <c r="D200" s="152"/>
      <c r="E200" s="111"/>
      <c r="F200" s="111"/>
    </row>
    <row r="201" spans="1:6" x14ac:dyDescent="0.2">
      <c r="A201" s="150" t="s">
        <v>341</v>
      </c>
      <c r="B201" s="148"/>
      <c r="C201" s="151">
        <v>18000</v>
      </c>
      <c r="D201" s="151">
        <v>15126.1</v>
      </c>
      <c r="E201" s="111"/>
      <c r="F201" s="111"/>
    </row>
    <row r="202" spans="1:6" x14ac:dyDescent="0.2">
      <c r="A202" s="148" t="s">
        <v>328</v>
      </c>
      <c r="B202" s="148"/>
      <c r="C202" s="152"/>
      <c r="D202" s="152"/>
      <c r="E202" s="111"/>
      <c r="F202" s="111"/>
    </row>
    <row r="203" spans="1:6" x14ac:dyDescent="0.2">
      <c r="A203" s="150" t="s">
        <v>342</v>
      </c>
      <c r="B203" s="148"/>
      <c r="C203" s="151">
        <v>18000</v>
      </c>
      <c r="D203" s="151">
        <v>15126.1</v>
      </c>
      <c r="E203" s="111"/>
      <c r="F203" s="111"/>
    </row>
    <row r="204" spans="1:6" x14ac:dyDescent="0.2">
      <c r="A204" s="148" t="s">
        <v>343</v>
      </c>
      <c r="B204" s="148"/>
      <c r="C204" s="152"/>
      <c r="D204" s="152"/>
      <c r="E204" s="111"/>
      <c r="F204" s="111"/>
    </row>
    <row r="205" spans="1:6" x14ac:dyDescent="0.2">
      <c r="A205" s="148" t="s">
        <v>344</v>
      </c>
      <c r="B205" s="148"/>
      <c r="C205" s="152"/>
      <c r="D205" s="152"/>
      <c r="E205" s="111"/>
      <c r="F205" s="111"/>
    </row>
    <row r="206" spans="1:6" x14ac:dyDescent="0.2">
      <c r="A206" s="150" t="s">
        <v>345</v>
      </c>
      <c r="B206" s="148"/>
      <c r="C206" s="151">
        <v>21000</v>
      </c>
      <c r="D206" s="151">
        <v>17647.099999999999</v>
      </c>
      <c r="E206" s="111"/>
      <c r="F206" s="111"/>
    </row>
    <row r="207" spans="1:6" x14ac:dyDescent="0.2">
      <c r="A207" s="148" t="s">
        <v>346</v>
      </c>
      <c r="B207" s="148"/>
      <c r="C207" s="152"/>
      <c r="D207" s="152"/>
      <c r="E207" s="111"/>
      <c r="F207" s="111"/>
    </row>
    <row r="208" spans="1:6" x14ac:dyDescent="0.2">
      <c r="A208" s="150" t="s">
        <v>347</v>
      </c>
      <c r="B208" s="148"/>
      <c r="C208" s="151">
        <v>24000</v>
      </c>
      <c r="D208" s="151">
        <v>20168.099999999999</v>
      </c>
      <c r="E208" s="111"/>
      <c r="F208" s="111"/>
    </row>
    <row r="209" spans="1:6" x14ac:dyDescent="0.2">
      <c r="A209" s="148" t="s">
        <v>328</v>
      </c>
      <c r="B209" s="148"/>
      <c r="C209" s="152"/>
      <c r="D209" s="152"/>
      <c r="E209" s="111"/>
      <c r="F209" s="111"/>
    </row>
    <row r="210" spans="1:6" x14ac:dyDescent="0.2">
      <c r="A210" s="150" t="s">
        <v>348</v>
      </c>
      <c r="B210" s="148"/>
      <c r="C210" s="151">
        <v>6000</v>
      </c>
      <c r="D210" s="151">
        <v>5042</v>
      </c>
      <c r="E210" s="111"/>
      <c r="F210" s="111"/>
    </row>
    <row r="211" spans="1:6" x14ac:dyDescent="0.2">
      <c r="A211" s="148" t="s">
        <v>349</v>
      </c>
      <c r="B211" s="148"/>
      <c r="C211" s="152"/>
      <c r="D211" s="152"/>
      <c r="E211" s="111"/>
      <c r="F211" s="111"/>
    </row>
    <row r="212" spans="1:6" x14ac:dyDescent="0.2">
      <c r="A212" s="150" t="s">
        <v>350</v>
      </c>
      <c r="B212" s="148"/>
      <c r="C212" s="151">
        <v>10000</v>
      </c>
      <c r="D212" s="151">
        <v>8403.4</v>
      </c>
      <c r="E212" s="111"/>
      <c r="F212" s="111"/>
    </row>
    <row r="213" spans="1:6" x14ac:dyDescent="0.2">
      <c r="A213" s="148"/>
      <c r="B213" s="148"/>
      <c r="C213" s="152"/>
      <c r="D213" s="152"/>
      <c r="E213" s="111"/>
      <c r="F213" s="111"/>
    </row>
    <row r="214" spans="1:6" x14ac:dyDescent="0.2">
      <c r="A214" s="148"/>
      <c r="B214" s="148"/>
      <c r="C214" s="152"/>
      <c r="D214" s="152"/>
      <c r="E214" s="111"/>
      <c r="F214" s="111"/>
    </row>
    <row r="215" spans="1:6" x14ac:dyDescent="0.2">
      <c r="A215" s="150" t="s">
        <v>351</v>
      </c>
      <c r="B215" s="148"/>
      <c r="C215" s="151">
        <v>18000</v>
      </c>
      <c r="D215" s="151">
        <v>15126.1</v>
      </c>
      <c r="E215" s="111"/>
      <c r="F215" s="111"/>
    </row>
    <row r="216" spans="1:6" x14ac:dyDescent="0.2">
      <c r="A216" s="148" t="s">
        <v>352</v>
      </c>
      <c r="B216" s="148"/>
      <c r="C216" s="152"/>
      <c r="D216" s="152"/>
      <c r="E216" s="111"/>
      <c r="F216" s="111"/>
    </row>
    <row r="217" spans="1:6" x14ac:dyDescent="0.2">
      <c r="A217" s="148" t="s">
        <v>353</v>
      </c>
      <c r="B217" s="148"/>
      <c r="C217" s="152"/>
      <c r="D217" s="152"/>
      <c r="E217" s="111"/>
      <c r="F217" s="111"/>
    </row>
    <row r="218" spans="1:6" x14ac:dyDescent="0.2">
      <c r="A218" s="150" t="s">
        <v>354</v>
      </c>
      <c r="B218" s="148"/>
      <c r="C218" s="151">
        <v>22000</v>
      </c>
      <c r="D218" s="151">
        <v>18487.400000000001</v>
      </c>
      <c r="E218" s="111"/>
      <c r="F218" s="111"/>
    </row>
    <row r="219" spans="1:6" x14ac:dyDescent="0.2">
      <c r="A219" s="148" t="s">
        <v>355</v>
      </c>
      <c r="B219" s="148"/>
      <c r="C219" s="152"/>
      <c r="D219" s="152"/>
      <c r="E219" s="111"/>
      <c r="F219" s="111"/>
    </row>
    <row r="220" spans="1:6" x14ac:dyDescent="0.2">
      <c r="A220" s="148"/>
      <c r="B220" s="148"/>
      <c r="C220" s="152"/>
      <c r="D220" s="152"/>
      <c r="E220" s="111"/>
      <c r="F220" s="111"/>
    </row>
    <row r="221" spans="1:6" x14ac:dyDescent="0.2">
      <c r="A221" s="150" t="s">
        <v>356</v>
      </c>
      <c r="B221" s="148"/>
      <c r="C221" s="151">
        <v>9000</v>
      </c>
      <c r="D221" s="151">
        <v>7563</v>
      </c>
      <c r="E221" s="111"/>
      <c r="F221" s="111"/>
    </row>
    <row r="222" spans="1:6" x14ac:dyDescent="0.2">
      <c r="A222" s="148" t="s">
        <v>357</v>
      </c>
      <c r="B222" s="148"/>
      <c r="C222" s="152"/>
      <c r="D222" s="152"/>
      <c r="E222" s="111"/>
      <c r="F222" s="111"/>
    </row>
    <row r="223" spans="1:6" x14ac:dyDescent="0.2">
      <c r="A223" s="148" t="s">
        <v>358</v>
      </c>
      <c r="B223" s="148"/>
      <c r="C223" s="152"/>
      <c r="D223" s="152"/>
      <c r="E223" s="111"/>
      <c r="F223" s="111"/>
    </row>
    <row r="224" spans="1:6" x14ac:dyDescent="0.2">
      <c r="A224" s="150" t="s">
        <v>359</v>
      </c>
      <c r="B224" s="148"/>
      <c r="C224" s="151">
        <v>1500</v>
      </c>
      <c r="D224" s="151">
        <v>1260.5</v>
      </c>
      <c r="E224" s="111"/>
      <c r="F224" s="111"/>
    </row>
    <row r="225" spans="1:6" x14ac:dyDescent="0.2">
      <c r="A225" s="150" t="s">
        <v>360</v>
      </c>
      <c r="B225" s="148"/>
      <c r="C225" s="151">
        <v>3000</v>
      </c>
      <c r="D225" s="151">
        <v>2521</v>
      </c>
      <c r="E225" s="111"/>
      <c r="F225" s="111"/>
    </row>
    <row r="226" spans="1:6" x14ac:dyDescent="0.2">
      <c r="A226" s="150" t="s">
        <v>361</v>
      </c>
      <c r="B226" s="148"/>
      <c r="C226" s="151">
        <v>2500</v>
      </c>
      <c r="D226" s="151">
        <v>2100.8000000000002</v>
      </c>
      <c r="E226" s="111"/>
      <c r="F226" s="111"/>
    </row>
    <row r="227" spans="1:6" x14ac:dyDescent="0.2">
      <c r="A227" s="148"/>
      <c r="B227" s="148"/>
      <c r="C227" s="152"/>
      <c r="D227" s="152"/>
      <c r="E227" s="111"/>
      <c r="F227" s="111"/>
    </row>
    <row r="228" spans="1:6" x14ac:dyDescent="0.2">
      <c r="A228" s="148"/>
      <c r="B228" s="148"/>
      <c r="C228" s="152"/>
      <c r="D228" s="152"/>
      <c r="E228" s="111"/>
      <c r="F228" s="111"/>
    </row>
    <row r="229" spans="1:6" x14ac:dyDescent="0.2">
      <c r="A229" s="150" t="s">
        <v>362</v>
      </c>
      <c r="B229" s="148"/>
      <c r="C229" s="151">
        <v>5500</v>
      </c>
      <c r="D229" s="151">
        <v>4621.8</v>
      </c>
      <c r="E229" s="111"/>
      <c r="F229" s="111"/>
    </row>
    <row r="230" spans="1:6" x14ac:dyDescent="0.2">
      <c r="A230" s="150" t="s">
        <v>363</v>
      </c>
      <c r="B230" s="148"/>
      <c r="C230" s="151">
        <v>6500</v>
      </c>
      <c r="D230" s="151">
        <v>5462.2</v>
      </c>
      <c r="E230" s="111"/>
      <c r="F230" s="111"/>
    </row>
    <row r="231" spans="1:6" x14ac:dyDescent="0.2">
      <c r="A231" s="150" t="s">
        <v>364</v>
      </c>
      <c r="B231" s="148"/>
      <c r="C231" s="151">
        <v>6500</v>
      </c>
      <c r="D231" s="151">
        <v>5462.2</v>
      </c>
      <c r="E231" s="111"/>
      <c r="F231" s="111"/>
    </row>
    <row r="232" spans="1:6" x14ac:dyDescent="0.2">
      <c r="A232" s="150" t="s">
        <v>365</v>
      </c>
      <c r="B232" s="148"/>
      <c r="C232" s="151">
        <v>6500</v>
      </c>
      <c r="D232" s="151">
        <v>5462.2</v>
      </c>
      <c r="E232" s="111"/>
      <c r="F232" s="111"/>
    </row>
    <row r="233" spans="1:6" x14ac:dyDescent="0.2">
      <c r="A233" s="150" t="s">
        <v>366</v>
      </c>
      <c r="B233" s="148"/>
      <c r="C233" s="151">
        <v>4500</v>
      </c>
      <c r="D233" s="151">
        <v>3781.5</v>
      </c>
      <c r="E233" s="111"/>
      <c r="F233" s="111"/>
    </row>
    <row r="234" spans="1:6" x14ac:dyDescent="0.2">
      <c r="A234" s="144"/>
      <c r="B234" s="144"/>
      <c r="C234" s="145"/>
      <c r="D234" s="145"/>
      <c r="E234" s="111"/>
      <c r="F234" s="111"/>
    </row>
    <row r="235" spans="1:6" x14ac:dyDescent="0.2">
      <c r="C235" s="146"/>
      <c r="D235" s="146"/>
      <c r="E235" s="111"/>
      <c r="F235" s="111"/>
    </row>
    <row r="236" spans="1:6" x14ac:dyDescent="0.2">
      <c r="C236" s="146"/>
      <c r="D236" s="146"/>
      <c r="E236" s="111"/>
      <c r="F236" s="111"/>
    </row>
    <row r="237" spans="1:6" x14ac:dyDescent="0.2">
      <c r="C237" s="146"/>
      <c r="D237" s="146"/>
      <c r="E237" s="111"/>
      <c r="F237" s="111"/>
    </row>
    <row r="238" spans="1:6" x14ac:dyDescent="0.2">
      <c r="C238" s="146"/>
      <c r="D238" s="146"/>
      <c r="E238" s="111"/>
      <c r="F238" s="111"/>
    </row>
    <row r="239" spans="1:6" x14ac:dyDescent="0.2">
      <c r="C239" s="146"/>
      <c r="D239" s="146"/>
      <c r="E239" s="111"/>
      <c r="F239" s="111"/>
    </row>
    <row r="240" spans="1:6" x14ac:dyDescent="0.2">
      <c r="C240" s="146"/>
      <c r="D240" s="146"/>
      <c r="E240" s="111"/>
      <c r="F240" s="111"/>
    </row>
    <row r="241" spans="3:6" x14ac:dyDescent="0.2">
      <c r="C241" s="146"/>
      <c r="D241" s="146"/>
      <c r="E241" s="111"/>
      <c r="F241" s="111"/>
    </row>
    <row r="242" spans="3:6" x14ac:dyDescent="0.2">
      <c r="C242" s="146"/>
      <c r="D242" s="146"/>
      <c r="E242" s="111"/>
      <c r="F242" s="111"/>
    </row>
    <row r="243" spans="3:6" x14ac:dyDescent="0.2">
      <c r="C243" s="146"/>
      <c r="D243" s="146"/>
      <c r="E243" s="111"/>
      <c r="F243" s="111"/>
    </row>
    <row r="244" spans="3:6" x14ac:dyDescent="0.2">
      <c r="C244" s="146"/>
      <c r="D244" s="146"/>
      <c r="E244" s="111"/>
      <c r="F244" s="111"/>
    </row>
    <row r="245" spans="3:6" x14ac:dyDescent="0.2">
      <c r="C245" s="146"/>
      <c r="D245" s="146"/>
      <c r="E245" s="111"/>
      <c r="F245" s="111"/>
    </row>
    <row r="246" spans="3:6" x14ac:dyDescent="0.2">
      <c r="C246" s="146"/>
      <c r="D246" s="146"/>
      <c r="E246" s="111"/>
      <c r="F246" s="111"/>
    </row>
    <row r="247" spans="3:6" x14ac:dyDescent="0.2">
      <c r="C247" s="146"/>
      <c r="D247" s="146"/>
      <c r="E247" s="111"/>
      <c r="F247" s="111"/>
    </row>
    <row r="248" spans="3:6" x14ac:dyDescent="0.2">
      <c r="C248" s="146"/>
      <c r="D248" s="146"/>
      <c r="E248" s="111"/>
      <c r="F248" s="111"/>
    </row>
    <row r="249" spans="3:6" x14ac:dyDescent="0.2">
      <c r="C249" s="146"/>
      <c r="D249" s="146"/>
      <c r="E249" s="111"/>
      <c r="F249" s="111"/>
    </row>
    <row r="250" spans="3:6" x14ac:dyDescent="0.2">
      <c r="C250" s="146"/>
      <c r="D250" s="146"/>
      <c r="E250" s="111"/>
      <c r="F250" s="111"/>
    </row>
    <row r="251" spans="3:6" x14ac:dyDescent="0.2">
      <c r="C251" s="146"/>
      <c r="D251" s="146"/>
      <c r="E251" s="111"/>
      <c r="F251" s="111"/>
    </row>
    <row r="252" spans="3:6" x14ac:dyDescent="0.2">
      <c r="C252" s="146"/>
      <c r="D252" s="146"/>
      <c r="E252" s="111"/>
      <c r="F252" s="111"/>
    </row>
    <row r="253" spans="3:6" x14ac:dyDescent="0.2">
      <c r="C253" s="146"/>
      <c r="D253" s="146"/>
      <c r="E253" s="111"/>
      <c r="F253" s="111"/>
    </row>
    <row r="254" spans="3:6" x14ac:dyDescent="0.2">
      <c r="C254" s="146"/>
      <c r="D254" s="146"/>
      <c r="E254" s="111"/>
      <c r="F254" s="111"/>
    </row>
    <row r="255" spans="3:6" x14ac:dyDescent="0.2">
      <c r="C255" s="146"/>
      <c r="E255" s="111"/>
      <c r="F255" s="111"/>
    </row>
    <row r="256" spans="3:6" x14ac:dyDescent="0.2">
      <c r="C256" s="146"/>
      <c r="E256" s="111"/>
      <c r="F256" s="111"/>
    </row>
    <row r="257" spans="3:6" x14ac:dyDescent="0.2">
      <c r="C257" s="146"/>
      <c r="E257" s="111"/>
      <c r="F257" s="111"/>
    </row>
    <row r="258" spans="3:6" x14ac:dyDescent="0.2">
      <c r="C258" s="146"/>
      <c r="E258" s="111"/>
      <c r="F258" s="111"/>
    </row>
    <row r="259" spans="3:6" x14ac:dyDescent="0.2">
      <c r="C259" s="146"/>
      <c r="E259" s="111"/>
      <c r="F259" s="111"/>
    </row>
    <row r="260" spans="3:6" x14ac:dyDescent="0.2">
      <c r="C260" s="146"/>
      <c r="E260" s="111"/>
      <c r="F260" s="111"/>
    </row>
    <row r="261" spans="3:6" x14ac:dyDescent="0.2">
      <c r="C261" s="146"/>
      <c r="E261" s="111"/>
      <c r="F261" s="111"/>
    </row>
    <row r="262" spans="3:6" x14ac:dyDescent="0.2">
      <c r="C262" s="146"/>
      <c r="E262" s="111"/>
      <c r="F262" s="111"/>
    </row>
    <row r="263" spans="3:6" x14ac:dyDescent="0.2">
      <c r="C263" s="146"/>
    </row>
    <row r="264" spans="3:6" x14ac:dyDescent="0.2">
      <c r="C264" s="146"/>
    </row>
    <row r="265" spans="3:6" x14ac:dyDescent="0.2">
      <c r="C265" s="146"/>
    </row>
    <row r="266" spans="3:6" x14ac:dyDescent="0.2">
      <c r="C266" s="146"/>
    </row>
    <row r="267" spans="3:6" x14ac:dyDescent="0.2">
      <c r="C267" s="146"/>
    </row>
    <row r="268" spans="3:6" x14ac:dyDescent="0.2">
      <c r="C268" s="146"/>
    </row>
    <row r="269" spans="3:6" x14ac:dyDescent="0.2">
      <c r="C269" s="146"/>
    </row>
    <row r="270" spans="3:6" x14ac:dyDescent="0.2">
      <c r="C270" s="146"/>
    </row>
    <row r="271" spans="3:6" x14ac:dyDescent="0.2">
      <c r="C271" s="146"/>
    </row>
    <row r="272" spans="3:6" x14ac:dyDescent="0.2">
      <c r="C272" s="146"/>
    </row>
    <row r="273" spans="3:3" x14ac:dyDescent="0.2">
      <c r="C273" s="146"/>
    </row>
    <row r="274" spans="3:3" x14ac:dyDescent="0.2">
      <c r="C274" s="146"/>
    </row>
    <row r="275" spans="3:3" x14ac:dyDescent="0.2">
      <c r="C275" s="146"/>
    </row>
    <row r="276" spans="3:3" x14ac:dyDescent="0.2">
      <c r="C276" s="146"/>
    </row>
    <row r="277" spans="3:3" x14ac:dyDescent="0.2">
      <c r="C277" s="146"/>
    </row>
    <row r="278" spans="3:3" x14ac:dyDescent="0.2">
      <c r="C278" s="146"/>
    </row>
    <row r="279" spans="3:3" x14ac:dyDescent="0.2">
      <c r="C279" s="146"/>
    </row>
    <row r="280" spans="3:3" x14ac:dyDescent="0.2">
      <c r="C280" s="146"/>
    </row>
    <row r="281" spans="3:3" x14ac:dyDescent="0.2">
      <c r="C281" s="146"/>
    </row>
    <row r="282" spans="3:3" x14ac:dyDescent="0.2">
      <c r="C282" s="146"/>
    </row>
    <row r="283" spans="3:3" x14ac:dyDescent="0.2">
      <c r="C283" s="146"/>
    </row>
    <row r="284" spans="3:3" x14ac:dyDescent="0.2">
      <c r="C284" s="146"/>
    </row>
  </sheetData>
  <phoneticPr fontId="7" type="noConversion"/>
  <hyperlinks>
    <hyperlink ref="A66" r:id="rId1"/>
    <hyperlink ref="B4" r:id="rId2"/>
  </hyperlinks>
  <pageMargins left="0.75000000000000011" right="0.75000000000000011" top="1" bottom="1" header="0.5" footer="0.5"/>
  <pageSetup paperSize="5" orientation="portrait" horizontalDpi="4294967292" verticalDpi="4294967292" r:id="rId3"/>
  <ignoredErrors>
    <ignoredError sqref="F10" formula="1"/>
  </ignoredErrors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theme="9"/>
  </sheetPr>
  <dimension ref="A1:N53"/>
  <sheetViews>
    <sheetView topLeftCell="A10" workbookViewId="0">
      <selection activeCell="A7" sqref="A7"/>
    </sheetView>
  </sheetViews>
  <sheetFormatPr baseColWidth="10" defaultColWidth="11" defaultRowHeight="16" x14ac:dyDescent="0.2"/>
  <cols>
    <col min="1" max="2" width="11" style="70"/>
    <col min="6" max="8" width="11" style="70"/>
    <col min="9" max="9" width="31" customWidth="1"/>
  </cols>
  <sheetData>
    <row r="1" spans="1:14" x14ac:dyDescent="0.2">
      <c r="A1" s="167"/>
      <c r="B1" s="167"/>
      <c r="C1" s="167"/>
      <c r="D1" s="24"/>
      <c r="E1" s="24" t="s">
        <v>99</v>
      </c>
      <c r="F1" s="40"/>
      <c r="G1" s="40"/>
      <c r="H1" s="40"/>
      <c r="I1" s="24"/>
      <c r="J1" s="22"/>
      <c r="K1" s="22"/>
      <c r="L1" s="22"/>
      <c r="M1" s="22"/>
      <c r="N1" s="22"/>
    </row>
    <row r="2" spans="1:14" x14ac:dyDescent="0.2">
      <c r="A2" s="167"/>
      <c r="B2" s="167"/>
      <c r="C2" s="167"/>
      <c r="D2" s="24"/>
      <c r="E2" s="24"/>
      <c r="F2" s="40"/>
      <c r="G2" s="40"/>
      <c r="H2" s="40"/>
      <c r="I2" s="24"/>
      <c r="J2" s="22"/>
      <c r="K2" s="22"/>
      <c r="L2" s="22"/>
      <c r="M2" s="22"/>
      <c r="N2" s="22"/>
    </row>
    <row r="3" spans="1:14" x14ac:dyDescent="0.2">
      <c r="A3" s="167"/>
      <c r="B3" s="167"/>
      <c r="C3" s="167"/>
      <c r="D3" s="24"/>
      <c r="E3" s="24" t="s">
        <v>135</v>
      </c>
      <c r="F3" s="40"/>
      <c r="G3" s="40"/>
      <c r="H3" s="40"/>
      <c r="I3" s="24"/>
      <c r="J3" s="22"/>
      <c r="K3" s="22"/>
      <c r="L3" s="22"/>
      <c r="M3" s="22"/>
      <c r="N3" s="22"/>
    </row>
    <row r="4" spans="1:14" x14ac:dyDescent="0.2">
      <c r="A4" s="167"/>
      <c r="B4" s="167"/>
      <c r="C4" s="167"/>
      <c r="D4" s="41"/>
      <c r="E4" s="41" t="s">
        <v>136</v>
      </c>
      <c r="F4" s="42"/>
      <c r="G4" s="42"/>
      <c r="H4" s="42"/>
      <c r="I4" s="41"/>
      <c r="J4" s="22"/>
      <c r="K4" s="22"/>
      <c r="L4" s="22"/>
      <c r="M4" s="22"/>
      <c r="N4" s="22"/>
    </row>
    <row r="5" spans="1:14" x14ac:dyDescent="0.2">
      <c r="A5" s="35"/>
      <c r="B5" s="35"/>
      <c r="C5" s="35"/>
      <c r="D5" s="41"/>
      <c r="E5" s="41"/>
      <c r="F5" s="42"/>
      <c r="G5" s="42"/>
      <c r="H5" s="42"/>
      <c r="I5" s="41"/>
      <c r="J5" s="22"/>
      <c r="K5" s="22"/>
      <c r="L5" s="22"/>
      <c r="M5" s="22"/>
      <c r="N5" s="22"/>
    </row>
    <row r="6" spans="1:14" x14ac:dyDescent="0.2">
      <c r="A6" s="28" t="s">
        <v>100</v>
      </c>
      <c r="B6" s="29" t="s">
        <v>101</v>
      </c>
      <c r="C6" s="168" t="s">
        <v>129</v>
      </c>
      <c r="D6" s="169"/>
      <c r="E6" s="170"/>
      <c r="F6" s="29" t="s">
        <v>102</v>
      </c>
      <c r="G6" s="29" t="s">
        <v>103</v>
      </c>
      <c r="H6" s="29" t="s">
        <v>104</v>
      </c>
      <c r="I6" s="29" t="s">
        <v>105</v>
      </c>
      <c r="J6" s="22"/>
      <c r="K6" s="22"/>
      <c r="L6" s="22"/>
      <c r="M6" s="22"/>
      <c r="N6" s="22"/>
    </row>
    <row r="7" spans="1:14" x14ac:dyDescent="0.2">
      <c r="A7" s="50">
        <v>0.375</v>
      </c>
      <c r="B7" s="51">
        <v>0.45833333333333331</v>
      </c>
      <c r="C7" s="158" t="s">
        <v>130</v>
      </c>
      <c r="D7" s="159"/>
      <c r="E7" s="160"/>
      <c r="F7" s="52"/>
      <c r="G7" s="52"/>
      <c r="H7" s="52"/>
      <c r="I7" s="53" t="s">
        <v>131</v>
      </c>
      <c r="J7" s="22"/>
      <c r="K7" s="22"/>
      <c r="L7" s="22"/>
      <c r="M7" s="22"/>
      <c r="N7" s="22"/>
    </row>
    <row r="8" spans="1:14" x14ac:dyDescent="0.2">
      <c r="A8" s="50">
        <v>0.46875</v>
      </c>
      <c r="B8" s="51">
        <v>0.5625</v>
      </c>
      <c r="C8" s="158" t="s">
        <v>130</v>
      </c>
      <c r="D8" s="159"/>
      <c r="E8" s="160"/>
      <c r="F8" s="52"/>
      <c r="G8" s="52"/>
      <c r="H8" s="52"/>
      <c r="I8" s="53" t="s">
        <v>131</v>
      </c>
      <c r="J8" s="22"/>
      <c r="K8" s="22"/>
      <c r="L8" s="22"/>
      <c r="M8" s="22"/>
      <c r="N8" s="22"/>
    </row>
    <row r="9" spans="1:14" x14ac:dyDescent="0.2">
      <c r="A9" s="45">
        <v>0.5625</v>
      </c>
      <c r="B9" s="46">
        <v>0.60416666666666663</v>
      </c>
      <c r="C9" s="161" t="s">
        <v>108</v>
      </c>
      <c r="D9" s="162"/>
      <c r="E9" s="163"/>
      <c r="F9" s="47"/>
      <c r="G9" s="47">
        <v>60</v>
      </c>
      <c r="H9" s="48" t="s">
        <v>107</v>
      </c>
      <c r="I9" s="49"/>
      <c r="J9" s="22"/>
      <c r="K9" s="22"/>
      <c r="L9" s="22"/>
      <c r="M9" s="22"/>
      <c r="N9" s="22"/>
    </row>
    <row r="10" spans="1:14" x14ac:dyDescent="0.2">
      <c r="A10" s="50">
        <v>0.625</v>
      </c>
      <c r="B10" s="51">
        <v>0.70833333333333337</v>
      </c>
      <c r="C10" s="158" t="s">
        <v>130</v>
      </c>
      <c r="D10" s="159"/>
      <c r="E10" s="160"/>
      <c r="F10" s="52"/>
      <c r="G10" s="52"/>
      <c r="H10" s="52"/>
      <c r="I10" s="53" t="s">
        <v>131</v>
      </c>
      <c r="J10" s="22"/>
      <c r="K10" s="22"/>
      <c r="L10" s="22"/>
      <c r="M10" s="22"/>
      <c r="N10" s="22"/>
    </row>
    <row r="11" spans="1:14" x14ac:dyDescent="0.2">
      <c r="A11" s="50">
        <v>0.71875</v>
      </c>
      <c r="B11" s="51">
        <v>0.75</v>
      </c>
      <c r="C11" s="158" t="s">
        <v>130</v>
      </c>
      <c r="D11" s="159"/>
      <c r="E11" s="160"/>
      <c r="F11" s="52"/>
      <c r="G11" s="52"/>
      <c r="H11" s="52"/>
      <c r="I11" s="53" t="s">
        <v>131</v>
      </c>
      <c r="J11" s="22"/>
      <c r="K11" s="22"/>
      <c r="L11" s="22"/>
      <c r="M11" s="22"/>
      <c r="N11" s="22"/>
    </row>
    <row r="12" spans="1:14" x14ac:dyDescent="0.2">
      <c r="A12" s="25">
        <v>0.75</v>
      </c>
      <c r="B12" s="26">
        <v>0.79166666666666663</v>
      </c>
      <c r="C12" s="171" t="s">
        <v>109</v>
      </c>
      <c r="D12" s="172"/>
      <c r="E12" s="173"/>
      <c r="F12" s="44"/>
      <c r="G12" s="44"/>
      <c r="H12" s="43"/>
      <c r="I12" s="27" t="s">
        <v>127</v>
      </c>
      <c r="J12" s="22"/>
      <c r="K12" s="22"/>
      <c r="L12" s="22"/>
      <c r="M12" s="22"/>
      <c r="N12" s="22"/>
    </row>
    <row r="13" spans="1:14" ht="15" customHeight="1" x14ac:dyDescent="0.2">
      <c r="A13" s="56">
        <v>0.83333333333333337</v>
      </c>
      <c r="B13" s="57">
        <v>0.875</v>
      </c>
      <c r="C13" s="174" t="s">
        <v>128</v>
      </c>
      <c r="D13" s="175"/>
      <c r="E13" s="176"/>
      <c r="F13" s="58"/>
      <c r="G13" s="58">
        <v>60</v>
      </c>
      <c r="H13" s="48" t="s">
        <v>107</v>
      </c>
      <c r="I13" s="59"/>
      <c r="J13" s="22"/>
      <c r="K13" s="22"/>
      <c r="L13" s="22"/>
      <c r="M13" s="22"/>
      <c r="N13" s="22"/>
    </row>
    <row r="14" spans="1:14" x14ac:dyDescent="0.2">
      <c r="A14" s="62"/>
      <c r="B14" s="63"/>
      <c r="C14" s="63"/>
      <c r="D14" s="63"/>
      <c r="E14" s="63"/>
      <c r="F14" s="63"/>
      <c r="G14" s="63"/>
      <c r="H14" s="63"/>
      <c r="I14" s="64"/>
      <c r="J14" s="22"/>
      <c r="K14" s="22"/>
      <c r="L14" s="22"/>
      <c r="M14" s="22"/>
      <c r="N14" s="22"/>
    </row>
    <row r="15" spans="1:14" x14ac:dyDescent="0.2">
      <c r="A15" s="28" t="s">
        <v>100</v>
      </c>
      <c r="B15" s="29" t="s">
        <v>101</v>
      </c>
      <c r="C15" s="177" t="s">
        <v>132</v>
      </c>
      <c r="D15" s="169"/>
      <c r="E15" s="170"/>
      <c r="F15" s="29" t="s">
        <v>102</v>
      </c>
      <c r="G15" s="29" t="s">
        <v>103</v>
      </c>
      <c r="H15" s="29" t="s">
        <v>104</v>
      </c>
      <c r="I15" s="29" t="s">
        <v>105</v>
      </c>
      <c r="J15" s="22"/>
      <c r="K15" s="22"/>
      <c r="L15" s="22"/>
      <c r="M15" s="22"/>
      <c r="N15" s="22"/>
    </row>
    <row r="16" spans="1:14" x14ac:dyDescent="0.2">
      <c r="A16" s="45">
        <v>0.33333333333333331</v>
      </c>
      <c r="B16" s="46">
        <v>0.375</v>
      </c>
      <c r="C16" s="178" t="s">
        <v>106</v>
      </c>
      <c r="D16" s="179"/>
      <c r="E16" s="180"/>
      <c r="F16" s="60"/>
      <c r="G16" s="60">
        <v>60</v>
      </c>
      <c r="H16" s="60"/>
      <c r="I16" s="61"/>
      <c r="J16" s="22"/>
      <c r="K16" s="22"/>
      <c r="L16" s="22"/>
      <c r="M16" s="22"/>
      <c r="N16" s="22"/>
    </row>
    <row r="17" spans="1:14" x14ac:dyDescent="0.2">
      <c r="A17" s="50">
        <v>0.375</v>
      </c>
      <c r="B17" s="51">
        <v>0.45833333333333331</v>
      </c>
      <c r="C17" s="158" t="s">
        <v>130</v>
      </c>
      <c r="D17" s="159"/>
      <c r="E17" s="160"/>
      <c r="F17" s="52"/>
      <c r="G17" s="52"/>
      <c r="H17" s="52"/>
      <c r="I17" s="53" t="s">
        <v>131</v>
      </c>
      <c r="J17" s="22"/>
      <c r="K17" s="22"/>
      <c r="L17" s="22"/>
      <c r="M17" s="22"/>
      <c r="N17" s="22"/>
    </row>
    <row r="18" spans="1:14" x14ac:dyDescent="0.2">
      <c r="A18" s="50">
        <v>0.46875</v>
      </c>
      <c r="B18" s="51">
        <v>0.5625</v>
      </c>
      <c r="C18" s="158" t="s">
        <v>130</v>
      </c>
      <c r="D18" s="159"/>
      <c r="E18" s="160"/>
      <c r="F18" s="52"/>
      <c r="G18" s="52"/>
      <c r="H18" s="52"/>
      <c r="I18" s="53" t="s">
        <v>131</v>
      </c>
      <c r="J18" s="22"/>
      <c r="K18" s="22"/>
      <c r="L18" s="22"/>
      <c r="M18" s="22"/>
      <c r="N18" s="22"/>
    </row>
    <row r="19" spans="1:14" x14ac:dyDescent="0.2">
      <c r="A19" s="45">
        <v>0.5625</v>
      </c>
      <c r="B19" s="46">
        <v>0.60416666666666663</v>
      </c>
      <c r="C19" s="161" t="s">
        <v>108</v>
      </c>
      <c r="D19" s="162"/>
      <c r="E19" s="163"/>
      <c r="F19" s="47"/>
      <c r="G19" s="47">
        <v>60</v>
      </c>
      <c r="H19" s="48" t="s">
        <v>107</v>
      </c>
      <c r="I19" s="49"/>
      <c r="J19" s="22"/>
      <c r="K19" s="22"/>
      <c r="L19" s="22"/>
      <c r="M19" s="22"/>
      <c r="N19" s="22"/>
    </row>
    <row r="20" spans="1:14" x14ac:dyDescent="0.2">
      <c r="A20" s="50">
        <v>0.625</v>
      </c>
      <c r="B20" s="51">
        <v>0.70833333333333337</v>
      </c>
      <c r="C20" s="158" t="s">
        <v>130</v>
      </c>
      <c r="D20" s="159"/>
      <c r="E20" s="160"/>
      <c r="F20" s="52"/>
      <c r="G20" s="52"/>
      <c r="H20" s="52"/>
      <c r="I20" s="53" t="s">
        <v>131</v>
      </c>
      <c r="J20" s="22"/>
      <c r="K20" s="22"/>
      <c r="L20" s="22"/>
      <c r="M20" s="22"/>
      <c r="N20" s="22"/>
    </row>
    <row r="21" spans="1:14" x14ac:dyDescent="0.2">
      <c r="A21" s="50">
        <v>0.71875</v>
      </c>
      <c r="B21" s="51">
        <v>0.75</v>
      </c>
      <c r="C21" s="158" t="s">
        <v>130</v>
      </c>
      <c r="D21" s="159"/>
      <c r="E21" s="160"/>
      <c r="F21" s="52"/>
      <c r="G21" s="52"/>
      <c r="H21" s="52"/>
      <c r="I21" s="53" t="s">
        <v>131</v>
      </c>
      <c r="J21" s="22"/>
      <c r="K21" s="22"/>
      <c r="L21" s="22"/>
      <c r="M21" s="22"/>
      <c r="N21" s="22"/>
    </row>
    <row r="22" spans="1:14" x14ac:dyDescent="0.2">
      <c r="A22" s="25">
        <v>0.75</v>
      </c>
      <c r="B22" s="26">
        <v>0.79166666666666663</v>
      </c>
      <c r="C22" s="171" t="s">
        <v>109</v>
      </c>
      <c r="D22" s="172"/>
      <c r="E22" s="173"/>
      <c r="F22" s="44"/>
      <c r="G22" s="44"/>
      <c r="H22" s="43"/>
      <c r="I22" s="27" t="s">
        <v>127</v>
      </c>
      <c r="J22" s="22"/>
      <c r="K22" s="22"/>
      <c r="L22" s="22"/>
      <c r="M22" s="22"/>
      <c r="N22" s="22"/>
    </row>
    <row r="23" spans="1:14" ht="15" customHeight="1" x14ac:dyDescent="0.2">
      <c r="A23" s="56">
        <v>0.83333333333333337</v>
      </c>
      <c r="B23" s="57">
        <v>0.875</v>
      </c>
      <c r="C23" s="174" t="s">
        <v>128</v>
      </c>
      <c r="D23" s="175"/>
      <c r="E23" s="176"/>
      <c r="F23" s="58"/>
      <c r="G23" s="58">
        <v>60</v>
      </c>
      <c r="H23" s="48" t="s">
        <v>107</v>
      </c>
      <c r="I23" s="59"/>
      <c r="J23" s="22"/>
      <c r="K23" s="22"/>
      <c r="L23" s="22"/>
      <c r="M23" s="22"/>
      <c r="N23" s="22"/>
    </row>
    <row r="24" spans="1:14" s="55" customFormat="1" ht="15" customHeight="1" x14ac:dyDescent="0.2">
      <c r="A24" s="65"/>
      <c r="B24" s="65"/>
      <c r="C24" s="66"/>
      <c r="D24" s="66"/>
      <c r="E24" s="66"/>
      <c r="F24" s="67"/>
      <c r="G24" s="67"/>
      <c r="H24" s="68"/>
      <c r="I24" s="69"/>
      <c r="J24" s="54"/>
      <c r="K24" s="54"/>
      <c r="L24" s="54"/>
      <c r="M24" s="54"/>
      <c r="N24" s="54"/>
    </row>
    <row r="25" spans="1:14" x14ac:dyDescent="0.2">
      <c r="A25" s="28" t="s">
        <v>100</v>
      </c>
      <c r="B25" s="29" t="s">
        <v>101</v>
      </c>
      <c r="C25" s="177" t="s">
        <v>133</v>
      </c>
      <c r="D25" s="169"/>
      <c r="E25" s="170"/>
      <c r="F25" s="29" t="s">
        <v>102</v>
      </c>
      <c r="G25" s="29" t="s">
        <v>103</v>
      </c>
      <c r="H25" s="29" t="s">
        <v>104</v>
      </c>
      <c r="I25" s="29" t="s">
        <v>105</v>
      </c>
      <c r="J25" s="22"/>
      <c r="K25" s="22"/>
      <c r="L25" s="22"/>
      <c r="M25" s="22"/>
      <c r="N25" s="22"/>
    </row>
    <row r="26" spans="1:14" x14ac:dyDescent="0.2">
      <c r="A26" s="45">
        <v>0.33333333333333331</v>
      </c>
      <c r="B26" s="46">
        <v>0.375</v>
      </c>
      <c r="C26" s="178" t="s">
        <v>106</v>
      </c>
      <c r="D26" s="179"/>
      <c r="E26" s="180"/>
      <c r="F26" s="60"/>
      <c r="G26" s="60">
        <v>60</v>
      </c>
      <c r="H26" s="60"/>
      <c r="I26" s="61"/>
      <c r="J26" s="22"/>
      <c r="K26" s="22"/>
      <c r="L26" s="22"/>
      <c r="M26" s="22"/>
      <c r="N26" s="22"/>
    </row>
    <row r="27" spans="1:14" x14ac:dyDescent="0.2">
      <c r="A27" s="50">
        <v>0.375</v>
      </c>
      <c r="B27" s="51">
        <v>0.45833333333333331</v>
      </c>
      <c r="C27" s="158" t="s">
        <v>130</v>
      </c>
      <c r="D27" s="159"/>
      <c r="E27" s="160"/>
      <c r="F27" s="52"/>
      <c r="G27" s="52"/>
      <c r="H27" s="52"/>
      <c r="I27" s="53" t="s">
        <v>131</v>
      </c>
      <c r="J27" s="22"/>
      <c r="K27" s="22"/>
      <c r="L27" s="22"/>
      <c r="M27" s="22"/>
      <c r="N27" s="22"/>
    </row>
    <row r="28" spans="1:14" x14ac:dyDescent="0.2">
      <c r="A28" s="50">
        <v>0.46875</v>
      </c>
      <c r="B28" s="51">
        <v>0.5625</v>
      </c>
      <c r="C28" s="158" t="s">
        <v>130</v>
      </c>
      <c r="D28" s="159"/>
      <c r="E28" s="160"/>
      <c r="F28" s="52"/>
      <c r="G28" s="52"/>
      <c r="H28" s="52"/>
      <c r="I28" s="53" t="s">
        <v>131</v>
      </c>
      <c r="J28" s="22"/>
      <c r="K28" s="22"/>
      <c r="L28" s="22"/>
      <c r="M28" s="22"/>
      <c r="N28" s="22"/>
    </row>
    <row r="29" spans="1:14" x14ac:dyDescent="0.2">
      <c r="A29" s="45">
        <v>0.5625</v>
      </c>
      <c r="B29" s="46">
        <v>0.60416666666666663</v>
      </c>
      <c r="C29" s="161" t="s">
        <v>108</v>
      </c>
      <c r="D29" s="162"/>
      <c r="E29" s="163"/>
      <c r="F29" s="47"/>
      <c r="G29" s="47">
        <v>60</v>
      </c>
      <c r="H29" s="48" t="s">
        <v>107</v>
      </c>
      <c r="I29" s="49"/>
      <c r="J29" s="22"/>
      <c r="K29" s="22"/>
      <c r="L29" s="22"/>
      <c r="M29" s="22"/>
      <c r="N29" s="22"/>
    </row>
    <row r="30" spans="1:14" x14ac:dyDescent="0.2">
      <c r="A30" s="50">
        <v>0.625</v>
      </c>
      <c r="B30" s="51">
        <v>0.70833333333333337</v>
      </c>
      <c r="C30" s="158" t="s">
        <v>130</v>
      </c>
      <c r="D30" s="159"/>
      <c r="E30" s="160"/>
      <c r="F30" s="52"/>
      <c r="G30" s="52"/>
      <c r="H30" s="52"/>
      <c r="I30" s="53" t="s">
        <v>131</v>
      </c>
      <c r="J30" s="22"/>
      <c r="K30" s="22"/>
      <c r="L30" s="22"/>
      <c r="M30" s="22"/>
      <c r="N30" s="22"/>
    </row>
    <row r="31" spans="1:14" x14ac:dyDescent="0.2">
      <c r="A31" s="50">
        <v>0.71875</v>
      </c>
      <c r="B31" s="51">
        <v>0.75</v>
      </c>
      <c r="C31" s="158" t="s">
        <v>130</v>
      </c>
      <c r="D31" s="159"/>
      <c r="E31" s="160"/>
      <c r="F31" s="52"/>
      <c r="G31" s="52"/>
      <c r="H31" s="52"/>
      <c r="I31" s="53" t="s">
        <v>131</v>
      </c>
      <c r="J31" s="22"/>
      <c r="K31" s="22"/>
      <c r="L31" s="22"/>
      <c r="M31" s="22"/>
      <c r="N31" s="22"/>
    </row>
    <row r="32" spans="1:14" s="55" customFormat="1" ht="15" customHeight="1" x14ac:dyDescent="0.2">
      <c r="A32" s="164"/>
      <c r="B32" s="164"/>
      <c r="C32" s="164"/>
      <c r="D32" s="164"/>
      <c r="E32" s="164"/>
      <c r="F32" s="164"/>
      <c r="G32" s="164"/>
      <c r="H32" s="164"/>
      <c r="I32" s="164"/>
      <c r="J32" s="54"/>
      <c r="K32" s="54"/>
      <c r="L32" s="54"/>
      <c r="M32" s="54"/>
      <c r="N32" s="54"/>
    </row>
    <row r="33" spans="1:14" s="55" customFormat="1" ht="15" customHeight="1" x14ac:dyDescent="0.2">
      <c r="A33" s="165" t="s">
        <v>134</v>
      </c>
      <c r="B33" s="165"/>
      <c r="C33" s="165"/>
      <c r="D33" s="165"/>
      <c r="E33" s="165"/>
      <c r="F33" s="165"/>
      <c r="G33" s="165"/>
      <c r="H33" s="165"/>
      <c r="I33" s="165"/>
      <c r="J33" s="54"/>
      <c r="K33" s="54"/>
      <c r="L33" s="54"/>
      <c r="M33" s="54"/>
      <c r="N33" s="54"/>
    </row>
    <row r="34" spans="1:14" s="55" customFormat="1" ht="15" customHeight="1" x14ac:dyDescent="0.2">
      <c r="A34" s="164"/>
      <c r="B34" s="164"/>
      <c r="C34" s="164"/>
      <c r="D34" s="164"/>
      <c r="E34" s="164"/>
      <c r="F34" s="164"/>
      <c r="G34" s="164"/>
      <c r="H34" s="164"/>
      <c r="I34" s="164"/>
      <c r="J34" s="54"/>
      <c r="K34" s="54"/>
      <c r="L34" s="54"/>
      <c r="M34" s="54"/>
      <c r="N34" s="54"/>
    </row>
    <row r="35" spans="1:14" s="55" customFormat="1" ht="15" customHeight="1" x14ac:dyDescent="0.2">
      <c r="A35" s="164"/>
      <c r="B35" s="164"/>
      <c r="C35" s="164"/>
      <c r="D35" s="164"/>
      <c r="E35" s="164"/>
      <c r="F35" s="164"/>
      <c r="G35" s="164"/>
      <c r="H35" s="164"/>
      <c r="I35" s="164"/>
      <c r="J35" s="54"/>
      <c r="K35" s="54"/>
      <c r="L35" s="54"/>
      <c r="M35" s="54"/>
      <c r="N35" s="54"/>
    </row>
    <row r="36" spans="1:14" s="55" customFormat="1" ht="15" customHeight="1" x14ac:dyDescent="0.2">
      <c r="A36" s="164"/>
      <c r="B36" s="164"/>
      <c r="C36" s="164"/>
      <c r="D36" s="164"/>
      <c r="E36" s="164"/>
      <c r="F36" s="164"/>
      <c r="G36" s="164"/>
      <c r="H36" s="164"/>
      <c r="I36" s="164"/>
      <c r="J36" s="54"/>
      <c r="K36" s="54"/>
      <c r="L36" s="54"/>
      <c r="M36" s="54"/>
      <c r="N36" s="54"/>
    </row>
    <row r="37" spans="1:14" s="55" customFormat="1" ht="15" customHeight="1" x14ac:dyDescent="0.2">
      <c r="A37" s="164"/>
      <c r="B37" s="164"/>
      <c r="C37" s="164"/>
      <c r="D37" s="164"/>
      <c r="E37" s="164"/>
      <c r="F37" s="164"/>
      <c r="G37" s="164"/>
      <c r="H37" s="164"/>
      <c r="I37" s="164"/>
      <c r="J37" s="54"/>
      <c r="K37" s="54"/>
      <c r="L37" s="54"/>
      <c r="M37" s="54"/>
      <c r="N37" s="54"/>
    </row>
    <row r="38" spans="1:14" s="55" customFormat="1" ht="15" customHeight="1" x14ac:dyDescent="0.2">
      <c r="A38" s="164"/>
      <c r="B38" s="164"/>
      <c r="C38" s="164"/>
      <c r="D38" s="164"/>
      <c r="E38" s="164"/>
      <c r="F38" s="164"/>
      <c r="G38" s="164"/>
      <c r="H38" s="164"/>
      <c r="I38" s="164"/>
      <c r="J38" s="54"/>
      <c r="K38" s="54"/>
      <c r="L38" s="54"/>
      <c r="M38" s="54"/>
      <c r="N38" s="54"/>
    </row>
    <row r="39" spans="1:14" s="55" customFormat="1" ht="15" customHeight="1" x14ac:dyDescent="0.2">
      <c r="A39" s="164"/>
      <c r="B39" s="164"/>
      <c r="C39" s="164"/>
      <c r="D39" s="164"/>
      <c r="E39" s="164"/>
      <c r="F39" s="164"/>
      <c r="G39" s="164"/>
      <c r="H39" s="164"/>
      <c r="I39" s="164"/>
      <c r="J39" s="54"/>
      <c r="K39" s="54"/>
      <c r="L39" s="54"/>
      <c r="M39" s="54"/>
      <c r="N39" s="54"/>
    </row>
    <row r="40" spans="1:14" s="55" customFormat="1" ht="15" customHeight="1" x14ac:dyDescent="0.2">
      <c r="A40" s="65"/>
      <c r="B40" s="65"/>
      <c r="C40" s="66"/>
      <c r="D40" s="66"/>
      <c r="E40" s="66"/>
      <c r="F40" s="67"/>
      <c r="G40" s="67"/>
      <c r="H40" s="68"/>
      <c r="I40" s="69"/>
      <c r="J40" s="54"/>
      <c r="K40" s="54"/>
      <c r="L40" s="54"/>
      <c r="M40" s="54"/>
      <c r="N40" s="54"/>
    </row>
    <row r="41" spans="1:14" s="55" customFormat="1" ht="15" customHeight="1" x14ac:dyDescent="0.2">
      <c r="A41" s="65"/>
      <c r="B41" s="65"/>
      <c r="C41" s="66"/>
      <c r="D41" s="66"/>
      <c r="E41" s="66"/>
      <c r="F41" s="67"/>
      <c r="G41" s="67"/>
      <c r="H41" s="68"/>
      <c r="I41" s="69"/>
      <c r="J41" s="54"/>
      <c r="K41" s="54"/>
      <c r="L41" s="54"/>
      <c r="M41" s="54"/>
      <c r="N41" s="54"/>
    </row>
    <row r="42" spans="1:14" s="55" customFormat="1" ht="15" customHeight="1" x14ac:dyDescent="0.2">
      <c r="A42" s="65"/>
      <c r="B42" s="65"/>
      <c r="C42" s="66"/>
      <c r="D42" s="66"/>
      <c r="E42" s="66"/>
      <c r="F42" s="67"/>
      <c r="G42" s="67"/>
      <c r="H42" s="68"/>
      <c r="I42" s="69"/>
      <c r="J42" s="54"/>
      <c r="K42" s="54"/>
      <c r="L42" s="54"/>
      <c r="M42" s="54"/>
      <c r="N42" s="54"/>
    </row>
    <row r="43" spans="1:14" x14ac:dyDescent="0.2">
      <c r="A43" s="35"/>
      <c r="B43" s="35"/>
      <c r="C43" s="22"/>
      <c r="D43" s="35"/>
      <c r="E43" s="22"/>
      <c r="F43" s="35"/>
      <c r="G43" s="35"/>
      <c r="H43" s="35"/>
      <c r="I43" s="22"/>
      <c r="J43" s="22"/>
      <c r="K43" s="22"/>
      <c r="L43" s="22"/>
      <c r="M43" s="22"/>
      <c r="N43" s="22"/>
    </row>
    <row r="44" spans="1:14" ht="24" customHeight="1" x14ac:dyDescent="0.2">
      <c r="A44" s="166" t="s">
        <v>110</v>
      </c>
      <c r="B44" s="166"/>
      <c r="C44" s="166"/>
      <c r="D44" s="166"/>
      <c r="E44" s="166"/>
      <c r="F44" s="166"/>
      <c r="G44" s="166"/>
      <c r="H44" s="35"/>
      <c r="I44" s="30" t="s">
        <v>111</v>
      </c>
      <c r="J44" s="22"/>
      <c r="K44" s="22"/>
      <c r="L44" s="22"/>
      <c r="M44" s="22"/>
      <c r="N44" s="22"/>
    </row>
    <row r="45" spans="1:14" x14ac:dyDescent="0.2">
      <c r="A45" s="167"/>
      <c r="B45" s="167"/>
      <c r="C45" s="167"/>
      <c r="D45" s="167"/>
      <c r="E45" s="167"/>
      <c r="F45" s="167"/>
      <c r="G45" s="167"/>
      <c r="H45" s="35"/>
      <c r="I45" s="22"/>
      <c r="J45" s="22"/>
      <c r="K45" s="22"/>
      <c r="L45" s="22"/>
      <c r="M45" s="22"/>
      <c r="N45" s="22"/>
    </row>
    <row r="46" spans="1:14" x14ac:dyDescent="0.2">
      <c r="A46" s="157" t="s">
        <v>112</v>
      </c>
      <c r="B46" s="157"/>
      <c r="C46" s="157"/>
      <c r="D46" s="157"/>
      <c r="E46" s="157"/>
      <c r="F46" s="157"/>
      <c r="G46" s="157"/>
      <c r="H46" s="35"/>
      <c r="I46" s="22"/>
      <c r="J46" s="22"/>
      <c r="K46" s="22"/>
      <c r="L46" s="22"/>
      <c r="M46" s="22"/>
      <c r="N46" s="22"/>
    </row>
    <row r="47" spans="1:14" x14ac:dyDescent="0.2">
      <c r="A47" s="35"/>
      <c r="B47" s="35"/>
      <c r="C47" s="22"/>
      <c r="D47" s="22"/>
      <c r="E47" s="22"/>
      <c r="F47" s="35"/>
      <c r="G47" s="35"/>
      <c r="H47" s="35"/>
      <c r="I47" s="22"/>
      <c r="J47" s="22"/>
      <c r="K47" s="22"/>
      <c r="L47" s="22"/>
      <c r="M47" s="22"/>
      <c r="N47" s="22"/>
    </row>
    <row r="48" spans="1:14" x14ac:dyDescent="0.2">
      <c r="A48" s="35"/>
      <c r="B48" s="35"/>
      <c r="C48" s="22"/>
      <c r="D48" s="22"/>
      <c r="E48" s="22"/>
      <c r="F48" s="35"/>
      <c r="G48" s="35"/>
      <c r="H48" s="35"/>
      <c r="I48" s="22"/>
      <c r="J48" s="22"/>
      <c r="K48" s="22"/>
      <c r="L48" s="22"/>
      <c r="M48" s="22"/>
      <c r="N48" s="22"/>
    </row>
    <row r="49" spans="1:14" x14ac:dyDescent="0.2">
      <c r="A49" s="35"/>
      <c r="B49" s="35"/>
      <c r="C49" s="22"/>
      <c r="D49" s="22"/>
      <c r="E49" s="22"/>
      <c r="F49" s="35"/>
      <c r="G49" s="35"/>
      <c r="H49" s="35"/>
      <c r="I49" s="22"/>
      <c r="J49" s="22"/>
      <c r="K49" s="22"/>
      <c r="L49" s="22"/>
      <c r="M49" s="22"/>
      <c r="N49" s="22"/>
    </row>
    <row r="50" spans="1:14" x14ac:dyDescent="0.2">
      <c r="A50" s="35"/>
      <c r="B50" s="35"/>
      <c r="C50" s="22"/>
      <c r="D50" s="22"/>
      <c r="E50" s="22"/>
      <c r="F50" s="35"/>
      <c r="G50" s="35"/>
      <c r="H50" s="35"/>
      <c r="I50" s="22"/>
      <c r="J50" s="22"/>
      <c r="K50" s="22"/>
      <c r="L50" s="22"/>
      <c r="M50" s="22"/>
      <c r="N50" s="22"/>
    </row>
    <row r="51" spans="1:14" x14ac:dyDescent="0.2">
      <c r="A51" s="35"/>
      <c r="B51" s="35"/>
      <c r="C51" s="22"/>
      <c r="D51" s="22"/>
      <c r="E51" s="22"/>
      <c r="F51" s="35"/>
      <c r="G51" s="35"/>
      <c r="H51" s="35"/>
      <c r="I51" s="22"/>
      <c r="J51" s="22"/>
      <c r="K51" s="22"/>
      <c r="L51" s="22"/>
      <c r="M51" s="22"/>
      <c r="N51" s="22"/>
    </row>
    <row r="52" spans="1:14" x14ac:dyDescent="0.2">
      <c r="A52" s="35"/>
      <c r="B52" s="35"/>
      <c r="C52" s="22"/>
      <c r="D52" s="22"/>
      <c r="E52" s="22"/>
      <c r="F52" s="35"/>
      <c r="G52" s="35"/>
      <c r="H52" s="35"/>
      <c r="I52" s="22"/>
      <c r="J52" s="22"/>
      <c r="K52" s="22"/>
      <c r="L52" s="22"/>
      <c r="M52" s="22"/>
      <c r="N52" s="22"/>
    </row>
    <row r="53" spans="1:14" x14ac:dyDescent="0.2">
      <c r="A53" s="35"/>
      <c r="B53" s="35"/>
      <c r="C53" s="22"/>
      <c r="D53" s="22"/>
      <c r="E53" s="22"/>
      <c r="F53" s="35"/>
      <c r="G53" s="35"/>
      <c r="H53" s="35"/>
      <c r="I53" s="22"/>
      <c r="J53" s="22"/>
      <c r="K53" s="22"/>
      <c r="L53" s="22"/>
      <c r="M53" s="22"/>
      <c r="N53" s="22"/>
    </row>
  </sheetData>
  <mergeCells count="36">
    <mergeCell ref="C27:E27"/>
    <mergeCell ref="C18:E18"/>
    <mergeCell ref="C19:E19"/>
    <mergeCell ref="C20:E20"/>
    <mergeCell ref="C7:E7"/>
    <mergeCell ref="C11:E11"/>
    <mergeCell ref="C12:E12"/>
    <mergeCell ref="C13:E13"/>
    <mergeCell ref="C15:E15"/>
    <mergeCell ref="C16:E16"/>
    <mergeCell ref="C17:E17"/>
    <mergeCell ref="C21:E21"/>
    <mergeCell ref="C22:E22"/>
    <mergeCell ref="C23:E23"/>
    <mergeCell ref="C25:E25"/>
    <mergeCell ref="C26:E26"/>
    <mergeCell ref="A1:C4"/>
    <mergeCell ref="C6:E6"/>
    <mergeCell ref="C8:E8"/>
    <mergeCell ref="C9:E9"/>
    <mergeCell ref="C10:E10"/>
    <mergeCell ref="A46:G46"/>
    <mergeCell ref="C28:E28"/>
    <mergeCell ref="C29:E29"/>
    <mergeCell ref="C30:E30"/>
    <mergeCell ref="C31:E31"/>
    <mergeCell ref="A38:I38"/>
    <mergeCell ref="A36:I36"/>
    <mergeCell ref="A37:I37"/>
    <mergeCell ref="A33:I33"/>
    <mergeCell ref="A34:I34"/>
    <mergeCell ref="A35:I35"/>
    <mergeCell ref="A32:I32"/>
    <mergeCell ref="A39:I39"/>
    <mergeCell ref="A44:G44"/>
    <mergeCell ref="A45:G45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theme="7" tint="0.39997558519241921"/>
  </sheetPr>
  <dimension ref="A1:Z32"/>
  <sheetViews>
    <sheetView topLeftCell="B1" workbookViewId="0">
      <selection activeCell="G1" sqref="G1"/>
    </sheetView>
  </sheetViews>
  <sheetFormatPr baseColWidth="10" defaultRowHeight="16" x14ac:dyDescent="0.2"/>
  <sheetData>
    <row r="1" spans="1:26" ht="115" customHeight="1" x14ac:dyDescent="0.25">
      <c r="E1" s="8" t="s">
        <v>11</v>
      </c>
      <c r="L1" s="19" t="s">
        <v>2</v>
      </c>
    </row>
    <row r="2" spans="1:26" x14ac:dyDescent="0.2">
      <c r="A2" t="s">
        <v>12</v>
      </c>
      <c r="J2" t="s">
        <v>13</v>
      </c>
      <c r="P2" t="s">
        <v>2</v>
      </c>
      <c r="U2" t="s">
        <v>14</v>
      </c>
    </row>
    <row r="3" spans="1:26" ht="58" x14ac:dyDescent="0.2">
      <c r="A3" s="9" t="s">
        <v>15</v>
      </c>
      <c r="B3" s="10" t="s">
        <v>16</v>
      </c>
      <c r="C3" s="10" t="s">
        <v>17</v>
      </c>
      <c r="D3" s="10" t="s">
        <v>18</v>
      </c>
      <c r="E3" s="10" t="s">
        <v>19</v>
      </c>
      <c r="F3" s="10" t="s">
        <v>20</v>
      </c>
      <c r="H3" s="11" t="s">
        <v>21</v>
      </c>
      <c r="I3" s="10" t="s">
        <v>16</v>
      </c>
      <c r="J3" s="10" t="s">
        <v>17</v>
      </c>
      <c r="K3" s="10" t="s">
        <v>87</v>
      </c>
      <c r="L3" s="12"/>
      <c r="M3" s="11" t="s">
        <v>22</v>
      </c>
      <c r="N3" s="10" t="s">
        <v>16</v>
      </c>
      <c r="O3" s="10" t="s">
        <v>17</v>
      </c>
      <c r="P3" s="10" t="s">
        <v>18</v>
      </c>
      <c r="R3" s="13" t="s">
        <v>23</v>
      </c>
      <c r="S3" s="14" t="s">
        <v>24</v>
      </c>
      <c r="T3" s="14" t="s">
        <v>25</v>
      </c>
      <c r="U3" s="14" t="s">
        <v>26</v>
      </c>
      <c r="V3" s="14" t="s">
        <v>27</v>
      </c>
      <c r="W3" s="14" t="s">
        <v>28</v>
      </c>
      <c r="X3" s="14" t="s">
        <v>29</v>
      </c>
      <c r="Y3" s="14" t="s">
        <v>30</v>
      </c>
      <c r="Z3" s="15" t="s">
        <v>1</v>
      </c>
    </row>
    <row r="4" spans="1:26" x14ac:dyDescent="0.2">
      <c r="A4" s="9" t="s">
        <v>31</v>
      </c>
      <c r="B4" s="9">
        <v>1</v>
      </c>
      <c r="C4" s="9">
        <v>2</v>
      </c>
      <c r="D4" s="9">
        <v>2</v>
      </c>
      <c r="E4" s="9">
        <v>2</v>
      </c>
      <c r="F4" s="20">
        <v>2</v>
      </c>
      <c r="H4" s="9" t="s">
        <v>32</v>
      </c>
      <c r="I4" s="9">
        <v>1</v>
      </c>
      <c r="J4" s="9">
        <v>2</v>
      </c>
      <c r="K4" s="20">
        <v>4</v>
      </c>
      <c r="L4" s="16"/>
      <c r="M4" s="9" t="s">
        <v>32</v>
      </c>
      <c r="N4" s="9">
        <v>1</v>
      </c>
      <c r="O4" s="9">
        <v>2</v>
      </c>
      <c r="P4" s="20">
        <v>3</v>
      </c>
      <c r="R4" s="9">
        <v>41</v>
      </c>
      <c r="S4" s="9" t="s">
        <v>33</v>
      </c>
      <c r="T4" s="9" t="s">
        <v>33</v>
      </c>
      <c r="U4" s="9" t="s">
        <v>34</v>
      </c>
      <c r="V4" s="9" t="s">
        <v>34</v>
      </c>
      <c r="W4" s="9">
        <v>2</v>
      </c>
      <c r="X4" s="9">
        <v>1</v>
      </c>
      <c r="Y4" s="9">
        <v>1</v>
      </c>
      <c r="Z4" s="20">
        <v>12</v>
      </c>
    </row>
    <row r="5" spans="1:26" x14ac:dyDescent="0.2">
      <c r="A5" s="9" t="s">
        <v>35</v>
      </c>
      <c r="B5" s="9">
        <v>1</v>
      </c>
      <c r="C5" s="9">
        <v>2</v>
      </c>
      <c r="D5" s="9">
        <v>2</v>
      </c>
      <c r="E5" s="9">
        <v>2</v>
      </c>
      <c r="F5" s="20">
        <v>2</v>
      </c>
      <c r="H5" s="9" t="s">
        <v>36</v>
      </c>
      <c r="I5" s="9">
        <v>1</v>
      </c>
      <c r="J5" s="9">
        <v>2</v>
      </c>
      <c r="K5" s="20">
        <v>4</v>
      </c>
      <c r="L5" s="16"/>
      <c r="M5" s="9" t="s">
        <v>36</v>
      </c>
      <c r="N5" s="9">
        <v>1</v>
      </c>
      <c r="O5" s="9">
        <v>2</v>
      </c>
      <c r="P5" s="20">
        <v>3</v>
      </c>
      <c r="R5" s="9">
        <v>42</v>
      </c>
      <c r="S5" s="9" t="s">
        <v>33</v>
      </c>
      <c r="T5" s="9" t="s">
        <v>33</v>
      </c>
      <c r="U5" s="9" t="s">
        <v>34</v>
      </c>
      <c r="V5" s="9" t="s">
        <v>34</v>
      </c>
      <c r="W5" s="9">
        <v>2</v>
      </c>
      <c r="X5" s="9">
        <v>1</v>
      </c>
      <c r="Y5" s="9">
        <v>1</v>
      </c>
      <c r="Z5" s="20">
        <v>12</v>
      </c>
    </row>
    <row r="6" spans="1:26" x14ac:dyDescent="0.2">
      <c r="A6" s="9" t="s">
        <v>37</v>
      </c>
      <c r="B6" s="9">
        <v>1</v>
      </c>
      <c r="C6" s="9">
        <v>2</v>
      </c>
      <c r="D6" s="17">
        <v>2</v>
      </c>
      <c r="E6" s="9">
        <v>2</v>
      </c>
      <c r="F6" s="20">
        <v>2</v>
      </c>
      <c r="H6" s="9" t="s">
        <v>38</v>
      </c>
      <c r="I6" s="9">
        <v>1</v>
      </c>
      <c r="J6" s="9">
        <v>2</v>
      </c>
      <c r="K6" s="20">
        <v>4</v>
      </c>
      <c r="L6" s="16"/>
      <c r="M6" s="9" t="s">
        <v>38</v>
      </c>
      <c r="N6" s="9">
        <v>1</v>
      </c>
      <c r="O6" s="9">
        <v>2</v>
      </c>
      <c r="P6" s="20">
        <v>3</v>
      </c>
      <c r="R6" s="9">
        <v>43</v>
      </c>
      <c r="S6" s="9" t="s">
        <v>33</v>
      </c>
      <c r="T6" s="9" t="s">
        <v>33</v>
      </c>
      <c r="U6" s="9" t="s">
        <v>34</v>
      </c>
      <c r="V6" s="9" t="s">
        <v>34</v>
      </c>
      <c r="W6" s="9">
        <v>2</v>
      </c>
      <c r="X6" s="9">
        <v>1</v>
      </c>
      <c r="Y6" s="9">
        <v>1</v>
      </c>
      <c r="Z6" s="20">
        <v>12</v>
      </c>
    </row>
    <row r="7" spans="1:26" x14ac:dyDescent="0.2">
      <c r="A7" s="9" t="s">
        <v>39</v>
      </c>
      <c r="B7" s="9">
        <v>1</v>
      </c>
      <c r="C7" s="9">
        <v>2</v>
      </c>
      <c r="D7" s="9">
        <v>2</v>
      </c>
      <c r="E7" s="9">
        <v>2</v>
      </c>
      <c r="F7" s="20">
        <v>2</v>
      </c>
      <c r="H7" s="9" t="s">
        <v>40</v>
      </c>
      <c r="I7" s="9">
        <v>1</v>
      </c>
      <c r="J7" s="9">
        <v>2</v>
      </c>
      <c r="K7" s="20">
        <v>4</v>
      </c>
      <c r="L7" s="16"/>
      <c r="M7" s="9" t="s">
        <v>40</v>
      </c>
      <c r="N7" s="9">
        <v>1</v>
      </c>
      <c r="O7" s="9">
        <v>2</v>
      </c>
      <c r="P7" s="20">
        <v>3</v>
      </c>
      <c r="R7" s="9">
        <v>44</v>
      </c>
      <c r="S7" s="9" t="s">
        <v>33</v>
      </c>
      <c r="T7" s="9" t="s">
        <v>33</v>
      </c>
      <c r="U7" s="9" t="s">
        <v>34</v>
      </c>
      <c r="V7" s="9" t="s">
        <v>41</v>
      </c>
      <c r="W7" s="9">
        <v>2</v>
      </c>
      <c r="X7" s="9">
        <v>1</v>
      </c>
      <c r="Y7" s="9">
        <v>1</v>
      </c>
      <c r="Z7" s="20">
        <v>12</v>
      </c>
    </row>
    <row r="8" spans="1:26" x14ac:dyDescent="0.2">
      <c r="A8" s="9" t="s">
        <v>42</v>
      </c>
      <c r="B8" s="9">
        <v>2</v>
      </c>
      <c r="C8" s="9">
        <v>2</v>
      </c>
      <c r="D8" s="9">
        <v>3</v>
      </c>
      <c r="E8" s="9">
        <v>4</v>
      </c>
      <c r="F8" s="20">
        <v>5</v>
      </c>
      <c r="H8" s="9" t="s">
        <v>43</v>
      </c>
      <c r="I8" s="9">
        <v>1</v>
      </c>
      <c r="J8" s="9">
        <v>2</v>
      </c>
      <c r="K8" s="20" t="s">
        <v>2</v>
      </c>
      <c r="L8" s="16"/>
      <c r="M8" s="9" t="s">
        <v>43</v>
      </c>
      <c r="N8" s="9">
        <v>1</v>
      </c>
      <c r="O8" s="9">
        <v>2</v>
      </c>
      <c r="P8" s="20">
        <v>3</v>
      </c>
    </row>
    <row r="9" spans="1:26" x14ac:dyDescent="0.2">
      <c r="A9" s="9" t="s">
        <v>44</v>
      </c>
      <c r="B9" s="9">
        <v>2</v>
      </c>
      <c r="C9" s="9">
        <v>2</v>
      </c>
      <c r="D9" s="9">
        <v>3</v>
      </c>
      <c r="E9" s="9">
        <v>4</v>
      </c>
      <c r="F9" s="20">
        <v>5</v>
      </c>
      <c r="H9" s="9" t="s">
        <v>45</v>
      </c>
      <c r="I9" s="9">
        <v>1</v>
      </c>
      <c r="J9" s="9">
        <v>2</v>
      </c>
      <c r="K9" s="20" t="s">
        <v>2</v>
      </c>
      <c r="L9" s="16"/>
      <c r="M9" s="9" t="s">
        <v>45</v>
      </c>
      <c r="N9" s="9">
        <v>1</v>
      </c>
      <c r="O9" s="9">
        <v>2</v>
      </c>
      <c r="P9" s="20">
        <v>3</v>
      </c>
      <c r="R9" s="9">
        <v>31</v>
      </c>
      <c r="S9" s="9" t="s">
        <v>33</v>
      </c>
      <c r="T9" s="9" t="s">
        <v>46</v>
      </c>
      <c r="U9" s="9"/>
      <c r="V9" s="9"/>
      <c r="W9" s="9">
        <v>1</v>
      </c>
      <c r="X9" s="9">
        <v>1</v>
      </c>
      <c r="Y9" s="9">
        <v>1</v>
      </c>
      <c r="Z9" s="20">
        <v>4</v>
      </c>
    </row>
    <row r="10" spans="1:26" x14ac:dyDescent="0.2">
      <c r="A10" s="9" t="s">
        <v>47</v>
      </c>
      <c r="B10" s="9">
        <v>2</v>
      </c>
      <c r="C10" s="9">
        <v>2</v>
      </c>
      <c r="D10" s="9">
        <v>3</v>
      </c>
      <c r="E10" s="9">
        <v>4</v>
      </c>
      <c r="F10" s="20">
        <v>5</v>
      </c>
      <c r="H10" s="9" t="s">
        <v>48</v>
      </c>
      <c r="I10" s="9">
        <v>1</v>
      </c>
      <c r="J10" s="9">
        <v>2</v>
      </c>
      <c r="K10" s="20" t="s">
        <v>2</v>
      </c>
      <c r="L10" s="16"/>
      <c r="M10" s="9" t="s">
        <v>48</v>
      </c>
      <c r="N10" s="9">
        <v>1</v>
      </c>
      <c r="O10" s="9">
        <v>2</v>
      </c>
      <c r="P10" s="20">
        <v>3</v>
      </c>
      <c r="R10" s="9">
        <v>32</v>
      </c>
      <c r="S10" s="9" t="s">
        <v>33</v>
      </c>
      <c r="T10" s="9" t="s">
        <v>33</v>
      </c>
      <c r="U10" s="9" t="s">
        <v>34</v>
      </c>
      <c r="V10" s="9" t="s">
        <v>41</v>
      </c>
      <c r="W10" s="9">
        <v>1</v>
      </c>
      <c r="X10" s="9">
        <v>1</v>
      </c>
      <c r="Y10" s="9">
        <v>1</v>
      </c>
      <c r="Z10" s="20">
        <v>8</v>
      </c>
    </row>
    <row r="11" spans="1:26" x14ac:dyDescent="0.2">
      <c r="A11" s="9" t="s">
        <v>49</v>
      </c>
      <c r="B11" s="9">
        <v>2</v>
      </c>
      <c r="C11" s="9">
        <v>2</v>
      </c>
      <c r="D11" s="9">
        <v>3</v>
      </c>
      <c r="E11" s="9">
        <v>4</v>
      </c>
      <c r="F11" s="20">
        <v>5</v>
      </c>
      <c r="H11" s="9" t="s">
        <v>50</v>
      </c>
      <c r="I11" s="9">
        <v>1</v>
      </c>
      <c r="J11" s="9">
        <v>2</v>
      </c>
      <c r="K11" s="20" t="s">
        <v>2</v>
      </c>
      <c r="L11" s="16"/>
      <c r="M11" s="9" t="s">
        <v>50</v>
      </c>
      <c r="N11" s="9">
        <v>1</v>
      </c>
      <c r="O11" s="9">
        <v>2</v>
      </c>
      <c r="P11" s="20">
        <v>3</v>
      </c>
      <c r="R11" s="9">
        <v>33</v>
      </c>
      <c r="S11" s="9" t="s">
        <v>33</v>
      </c>
      <c r="T11" s="9" t="s">
        <v>33</v>
      </c>
      <c r="U11" s="9" t="s">
        <v>34</v>
      </c>
      <c r="V11" s="9" t="s">
        <v>41</v>
      </c>
      <c r="W11" s="9">
        <v>1</v>
      </c>
      <c r="X11" s="9">
        <v>1</v>
      </c>
      <c r="Y11" s="9">
        <v>1</v>
      </c>
      <c r="Z11" s="20">
        <v>8</v>
      </c>
    </row>
    <row r="12" spans="1:26" x14ac:dyDescent="0.2">
      <c r="A12" t="s">
        <v>51</v>
      </c>
      <c r="B12">
        <v>0</v>
      </c>
      <c r="C12">
        <v>2</v>
      </c>
      <c r="D12" t="s">
        <v>2</v>
      </c>
      <c r="H12" s="9" t="s">
        <v>52</v>
      </c>
      <c r="I12" s="9">
        <v>1</v>
      </c>
      <c r="J12" s="9">
        <v>2</v>
      </c>
      <c r="K12" s="20" t="s">
        <v>2</v>
      </c>
      <c r="L12" s="16"/>
      <c r="M12" s="9" t="s">
        <v>52</v>
      </c>
      <c r="N12" s="9">
        <v>1</v>
      </c>
      <c r="O12" s="9">
        <v>2</v>
      </c>
      <c r="P12" s="20">
        <v>3</v>
      </c>
      <c r="R12" s="9">
        <v>34</v>
      </c>
      <c r="S12" s="9" t="s">
        <v>33</v>
      </c>
      <c r="T12" s="9" t="s">
        <v>33</v>
      </c>
      <c r="U12" s="9" t="s">
        <v>34</v>
      </c>
      <c r="V12" s="9" t="s">
        <v>41</v>
      </c>
      <c r="W12" s="9">
        <v>1</v>
      </c>
      <c r="X12" s="9">
        <v>1</v>
      </c>
      <c r="Y12" s="9">
        <v>1</v>
      </c>
      <c r="Z12" s="20">
        <v>8</v>
      </c>
    </row>
    <row r="13" spans="1:26" x14ac:dyDescent="0.2">
      <c r="A13" s="9" t="s">
        <v>53</v>
      </c>
      <c r="B13" s="9">
        <v>1</v>
      </c>
      <c r="C13" s="9">
        <v>2</v>
      </c>
      <c r="D13" s="9">
        <v>2</v>
      </c>
      <c r="E13" s="9">
        <v>2</v>
      </c>
      <c r="F13" s="20">
        <v>2</v>
      </c>
      <c r="H13" s="9" t="s">
        <v>54</v>
      </c>
      <c r="I13" s="9">
        <v>1</v>
      </c>
      <c r="J13" s="9">
        <v>2</v>
      </c>
      <c r="K13" s="20">
        <v>3</v>
      </c>
      <c r="L13" s="16"/>
      <c r="M13" s="9" t="s">
        <v>54</v>
      </c>
      <c r="N13" s="9">
        <v>1</v>
      </c>
      <c r="O13" s="9">
        <v>2</v>
      </c>
      <c r="P13" s="20">
        <v>3</v>
      </c>
    </row>
    <row r="14" spans="1:26" x14ac:dyDescent="0.2">
      <c r="A14" s="9" t="s">
        <v>55</v>
      </c>
      <c r="B14" s="9">
        <v>1</v>
      </c>
      <c r="C14" s="9">
        <v>2</v>
      </c>
      <c r="D14" s="17">
        <v>2</v>
      </c>
      <c r="E14" s="17">
        <v>2</v>
      </c>
      <c r="F14" s="21">
        <v>2</v>
      </c>
      <c r="H14" s="9" t="s">
        <v>56</v>
      </c>
      <c r="I14" s="9">
        <v>1</v>
      </c>
      <c r="J14" s="9">
        <v>2</v>
      </c>
      <c r="K14" s="20">
        <v>3</v>
      </c>
      <c r="L14" s="16"/>
      <c r="M14" s="9" t="s">
        <v>56</v>
      </c>
      <c r="N14" s="9">
        <v>1</v>
      </c>
      <c r="O14" s="9">
        <v>2</v>
      </c>
      <c r="P14" s="20">
        <v>3</v>
      </c>
      <c r="R14" s="9">
        <v>21</v>
      </c>
      <c r="S14" s="9" t="s">
        <v>33</v>
      </c>
      <c r="T14" s="9" t="s">
        <v>46</v>
      </c>
      <c r="U14" s="9"/>
      <c r="V14" s="9"/>
      <c r="W14" s="9">
        <v>1</v>
      </c>
      <c r="X14" s="9">
        <v>1</v>
      </c>
      <c r="Y14" s="9">
        <v>1</v>
      </c>
      <c r="Z14" s="20">
        <v>4</v>
      </c>
    </row>
    <row r="15" spans="1:26" x14ac:dyDescent="0.2">
      <c r="A15" s="9" t="s">
        <v>57</v>
      </c>
      <c r="B15" s="9">
        <v>1</v>
      </c>
      <c r="C15" s="9">
        <v>2</v>
      </c>
      <c r="D15" s="9">
        <v>2</v>
      </c>
      <c r="E15" s="9">
        <v>2</v>
      </c>
      <c r="F15" s="20">
        <v>2</v>
      </c>
      <c r="H15" s="9" t="s">
        <v>58</v>
      </c>
      <c r="I15" s="9">
        <v>1</v>
      </c>
      <c r="J15" s="9">
        <v>2</v>
      </c>
      <c r="K15" s="20" t="s">
        <v>2</v>
      </c>
      <c r="L15" s="16"/>
      <c r="M15" s="9" t="s">
        <v>58</v>
      </c>
      <c r="N15" s="9">
        <v>1</v>
      </c>
      <c r="O15" s="9">
        <v>2</v>
      </c>
      <c r="P15" s="20">
        <v>3</v>
      </c>
      <c r="R15" s="9">
        <v>22</v>
      </c>
      <c r="S15" s="9" t="s">
        <v>33</v>
      </c>
      <c r="T15" s="9" t="s">
        <v>33</v>
      </c>
      <c r="U15" s="9" t="s">
        <v>34</v>
      </c>
      <c r="V15" s="9" t="s">
        <v>41</v>
      </c>
      <c r="W15" s="9">
        <v>1</v>
      </c>
      <c r="X15" s="9">
        <v>1</v>
      </c>
      <c r="Y15" s="9">
        <v>1</v>
      </c>
      <c r="Z15" s="20">
        <v>8</v>
      </c>
    </row>
    <row r="16" spans="1:26" x14ac:dyDescent="0.2">
      <c r="A16" s="9" t="s">
        <v>59</v>
      </c>
      <c r="B16" s="9">
        <v>1</v>
      </c>
      <c r="C16" s="9">
        <v>2</v>
      </c>
      <c r="D16" s="9">
        <v>2</v>
      </c>
      <c r="E16" s="9">
        <v>2</v>
      </c>
      <c r="F16" s="20">
        <v>2</v>
      </c>
      <c r="H16" t="s">
        <v>60</v>
      </c>
      <c r="I16" s="18" t="s">
        <v>2</v>
      </c>
      <c r="J16" t="s">
        <v>2</v>
      </c>
      <c r="K16" t="s">
        <v>2</v>
      </c>
      <c r="M16" t="s">
        <v>61</v>
      </c>
      <c r="N16" s="18"/>
      <c r="P16" t="s">
        <v>2</v>
      </c>
      <c r="R16" s="9">
        <v>23</v>
      </c>
      <c r="S16" s="9" t="s">
        <v>33</v>
      </c>
      <c r="T16" s="9" t="s">
        <v>33</v>
      </c>
      <c r="U16" s="9" t="s">
        <v>34</v>
      </c>
      <c r="V16" s="9" t="s">
        <v>41</v>
      </c>
      <c r="W16" s="9">
        <v>1</v>
      </c>
      <c r="X16" s="9">
        <v>1</v>
      </c>
      <c r="Y16" s="9">
        <v>1</v>
      </c>
      <c r="Z16" s="20">
        <v>8</v>
      </c>
    </row>
    <row r="17" spans="1:26" x14ac:dyDescent="0.2">
      <c r="A17" s="9" t="s">
        <v>62</v>
      </c>
      <c r="B17" s="9">
        <v>1</v>
      </c>
      <c r="C17" s="9">
        <v>2</v>
      </c>
      <c r="D17" s="9">
        <v>3</v>
      </c>
      <c r="E17" s="9">
        <v>4</v>
      </c>
      <c r="F17" s="20">
        <v>5</v>
      </c>
      <c r="H17" s="9" t="s">
        <v>63</v>
      </c>
      <c r="I17" s="9">
        <v>1</v>
      </c>
      <c r="J17" s="9">
        <v>2</v>
      </c>
      <c r="K17" s="20">
        <v>4</v>
      </c>
      <c r="L17" s="16"/>
      <c r="M17" s="9" t="s">
        <v>63</v>
      </c>
      <c r="N17" s="9">
        <v>1</v>
      </c>
      <c r="O17" s="9">
        <v>2</v>
      </c>
      <c r="P17" s="20">
        <v>3</v>
      </c>
      <c r="R17" s="9">
        <v>24</v>
      </c>
      <c r="S17" s="9" t="s">
        <v>33</v>
      </c>
      <c r="T17" s="9" t="s">
        <v>33</v>
      </c>
      <c r="U17" s="9" t="s">
        <v>34</v>
      </c>
      <c r="V17" s="9" t="s">
        <v>41</v>
      </c>
      <c r="W17" s="9">
        <v>1</v>
      </c>
      <c r="X17" s="9">
        <v>1</v>
      </c>
      <c r="Y17" s="9">
        <v>1</v>
      </c>
      <c r="Z17" s="20">
        <v>8</v>
      </c>
    </row>
    <row r="18" spans="1:26" x14ac:dyDescent="0.2">
      <c r="A18" s="9" t="s">
        <v>64</v>
      </c>
      <c r="B18" s="9">
        <v>1</v>
      </c>
      <c r="C18" s="9">
        <v>2</v>
      </c>
      <c r="D18" s="9">
        <v>3</v>
      </c>
      <c r="E18" s="9">
        <v>4</v>
      </c>
      <c r="F18" s="20">
        <v>5</v>
      </c>
      <c r="H18" s="9" t="s">
        <v>65</v>
      </c>
      <c r="I18" s="9">
        <v>1</v>
      </c>
      <c r="J18" s="9">
        <v>2</v>
      </c>
      <c r="K18" s="20">
        <v>4</v>
      </c>
      <c r="L18" s="16"/>
      <c r="M18" s="9" t="s">
        <v>65</v>
      </c>
      <c r="N18" s="9">
        <v>1</v>
      </c>
      <c r="O18" s="9">
        <v>2</v>
      </c>
      <c r="P18" s="20">
        <v>3</v>
      </c>
    </row>
    <row r="19" spans="1:26" x14ac:dyDescent="0.2">
      <c r="A19" s="9" t="s">
        <v>66</v>
      </c>
      <c r="B19" s="9">
        <v>1</v>
      </c>
      <c r="C19" s="9">
        <v>2</v>
      </c>
      <c r="D19" s="9">
        <v>3</v>
      </c>
      <c r="E19" s="9">
        <v>4</v>
      </c>
      <c r="F19" s="20">
        <v>5</v>
      </c>
      <c r="H19" s="9" t="s">
        <v>67</v>
      </c>
      <c r="I19" s="9">
        <v>1</v>
      </c>
      <c r="J19" s="9">
        <v>2</v>
      </c>
      <c r="K19" s="20">
        <v>4</v>
      </c>
      <c r="L19" s="16"/>
      <c r="M19" s="9" t="s">
        <v>67</v>
      </c>
      <c r="N19" s="9">
        <v>1</v>
      </c>
      <c r="O19" s="9">
        <v>2</v>
      </c>
      <c r="P19" s="20">
        <v>3</v>
      </c>
      <c r="R19" s="9">
        <v>11</v>
      </c>
      <c r="S19" s="9" t="s">
        <v>33</v>
      </c>
      <c r="T19" s="9" t="s">
        <v>46</v>
      </c>
      <c r="U19" s="9"/>
      <c r="V19" s="9"/>
      <c r="W19" s="9">
        <v>1</v>
      </c>
      <c r="X19" s="9">
        <v>1</v>
      </c>
      <c r="Y19" s="9">
        <v>1</v>
      </c>
      <c r="Z19" s="20">
        <v>4</v>
      </c>
    </row>
    <row r="20" spans="1:26" x14ac:dyDescent="0.2">
      <c r="A20" s="9" t="s">
        <v>68</v>
      </c>
      <c r="B20" s="9">
        <v>1</v>
      </c>
      <c r="C20" s="9">
        <v>2</v>
      </c>
      <c r="D20" s="9">
        <v>2</v>
      </c>
      <c r="E20" s="9">
        <v>2</v>
      </c>
      <c r="F20" s="20">
        <v>2</v>
      </c>
      <c r="H20" s="9" t="s">
        <v>69</v>
      </c>
      <c r="I20" s="9">
        <v>1</v>
      </c>
      <c r="J20" s="9">
        <v>2</v>
      </c>
      <c r="K20" s="20">
        <v>4</v>
      </c>
      <c r="L20" s="16"/>
      <c r="M20" s="9" t="s">
        <v>69</v>
      </c>
      <c r="N20" s="9">
        <v>1</v>
      </c>
      <c r="O20" s="9">
        <v>2</v>
      </c>
      <c r="P20" s="20">
        <v>3</v>
      </c>
      <c r="R20" s="9">
        <v>12</v>
      </c>
      <c r="S20" s="9" t="s">
        <v>33</v>
      </c>
      <c r="T20" s="9" t="s">
        <v>33</v>
      </c>
      <c r="U20" s="9" t="s">
        <v>34</v>
      </c>
      <c r="V20" s="9" t="s">
        <v>41</v>
      </c>
      <c r="W20" s="9">
        <v>1</v>
      </c>
      <c r="X20" s="9">
        <v>1</v>
      </c>
      <c r="Y20" s="9">
        <v>1</v>
      </c>
      <c r="Z20" s="20">
        <v>8</v>
      </c>
    </row>
    <row r="21" spans="1:26" x14ac:dyDescent="0.2">
      <c r="A21" t="s">
        <v>70</v>
      </c>
      <c r="B21" t="s">
        <v>2</v>
      </c>
      <c r="C21" t="s">
        <v>2</v>
      </c>
      <c r="D21" t="s">
        <v>2</v>
      </c>
      <c r="H21" s="9" t="s">
        <v>71</v>
      </c>
      <c r="I21" s="9">
        <v>1</v>
      </c>
      <c r="J21" s="9">
        <v>2</v>
      </c>
      <c r="K21" s="20" t="s">
        <v>2</v>
      </c>
      <c r="L21" s="16"/>
      <c r="M21" s="9" t="s">
        <v>71</v>
      </c>
      <c r="N21" s="9">
        <v>1</v>
      </c>
      <c r="O21" s="9">
        <v>2</v>
      </c>
      <c r="P21" s="20">
        <v>3</v>
      </c>
      <c r="R21" s="9">
        <v>13</v>
      </c>
      <c r="S21" s="9" t="s">
        <v>33</v>
      </c>
      <c r="T21" s="9" t="s">
        <v>33</v>
      </c>
      <c r="U21" s="9" t="s">
        <v>34</v>
      </c>
      <c r="V21" s="9" t="s">
        <v>41</v>
      </c>
      <c r="W21" s="9">
        <v>1</v>
      </c>
      <c r="X21" s="9">
        <v>1</v>
      </c>
      <c r="Y21" s="9">
        <v>1</v>
      </c>
      <c r="Z21" s="20">
        <v>8</v>
      </c>
    </row>
    <row r="22" spans="1:26" x14ac:dyDescent="0.2">
      <c r="A22" s="9" t="s">
        <v>72</v>
      </c>
      <c r="B22" s="9">
        <v>1</v>
      </c>
      <c r="C22" s="9">
        <v>2</v>
      </c>
      <c r="D22" s="9">
        <v>2</v>
      </c>
      <c r="E22" s="9">
        <v>2</v>
      </c>
      <c r="F22" s="20">
        <v>2</v>
      </c>
      <c r="H22" s="9" t="s">
        <v>73</v>
      </c>
      <c r="I22" s="9">
        <v>1</v>
      </c>
      <c r="J22" s="9">
        <v>2</v>
      </c>
      <c r="K22" s="20" t="s">
        <v>2</v>
      </c>
      <c r="L22" s="16"/>
      <c r="M22" s="9" t="s">
        <v>73</v>
      </c>
      <c r="N22" s="9">
        <v>1</v>
      </c>
      <c r="O22" s="9">
        <v>2</v>
      </c>
      <c r="P22" s="20">
        <v>3</v>
      </c>
      <c r="R22" s="9">
        <v>14</v>
      </c>
      <c r="S22" s="9" t="s">
        <v>33</v>
      </c>
      <c r="T22" s="9" t="s">
        <v>33</v>
      </c>
      <c r="U22" s="9" t="s">
        <v>34</v>
      </c>
      <c r="V22" s="9" t="s">
        <v>41</v>
      </c>
      <c r="W22" s="9">
        <v>1</v>
      </c>
      <c r="X22" s="9">
        <v>1</v>
      </c>
      <c r="Y22" s="9">
        <v>1</v>
      </c>
      <c r="Z22" s="20">
        <v>8</v>
      </c>
    </row>
    <row r="23" spans="1:26" x14ac:dyDescent="0.2">
      <c r="A23" s="9" t="s">
        <v>74</v>
      </c>
      <c r="B23" s="9">
        <v>1</v>
      </c>
      <c r="C23" s="9">
        <v>2</v>
      </c>
      <c r="D23" s="9">
        <v>2</v>
      </c>
      <c r="E23" s="9">
        <v>2</v>
      </c>
      <c r="F23" s="20">
        <v>2</v>
      </c>
      <c r="H23" s="9" t="s">
        <v>75</v>
      </c>
      <c r="I23" s="9">
        <v>1</v>
      </c>
      <c r="J23" s="9">
        <v>2</v>
      </c>
      <c r="K23" s="20" t="s">
        <v>2</v>
      </c>
      <c r="L23" s="16"/>
      <c r="M23" s="9" t="s">
        <v>75</v>
      </c>
      <c r="N23" s="9">
        <v>1</v>
      </c>
      <c r="O23" s="9">
        <v>2</v>
      </c>
      <c r="P23" s="20">
        <v>3</v>
      </c>
      <c r="Z23">
        <f>SUM(Z4:Z22)</f>
        <v>132</v>
      </c>
    </row>
    <row r="24" spans="1:26" x14ac:dyDescent="0.2">
      <c r="A24" s="9" t="s">
        <v>76</v>
      </c>
      <c r="B24" s="9">
        <v>1</v>
      </c>
      <c r="C24" s="9">
        <v>2</v>
      </c>
      <c r="D24" s="9">
        <v>2</v>
      </c>
      <c r="E24" s="9">
        <v>2</v>
      </c>
      <c r="F24" s="20">
        <v>2</v>
      </c>
      <c r="H24" s="9" t="s">
        <v>77</v>
      </c>
      <c r="I24" s="9">
        <v>1</v>
      </c>
      <c r="J24" s="9">
        <v>2</v>
      </c>
      <c r="K24" s="20" t="s">
        <v>2</v>
      </c>
      <c r="L24" s="16"/>
      <c r="M24" s="9" t="s">
        <v>77</v>
      </c>
      <c r="N24" s="9">
        <v>1</v>
      </c>
      <c r="O24" s="9">
        <v>2</v>
      </c>
      <c r="P24" s="20">
        <v>3</v>
      </c>
    </row>
    <row r="25" spans="1:26" x14ac:dyDescent="0.2">
      <c r="A25" s="9" t="s">
        <v>78</v>
      </c>
      <c r="B25" s="9">
        <v>1</v>
      </c>
      <c r="C25" s="9">
        <v>2</v>
      </c>
      <c r="D25" s="9">
        <v>2</v>
      </c>
      <c r="E25" s="9">
        <v>2</v>
      </c>
      <c r="F25" s="20">
        <v>2</v>
      </c>
      <c r="H25" s="9" t="s">
        <v>79</v>
      </c>
      <c r="I25" s="9">
        <v>1</v>
      </c>
      <c r="J25" s="9">
        <v>2</v>
      </c>
      <c r="K25" s="20" t="s">
        <v>2</v>
      </c>
      <c r="L25" s="16"/>
      <c r="M25" s="9" t="s">
        <v>79</v>
      </c>
      <c r="N25" s="9">
        <v>1</v>
      </c>
      <c r="O25" s="9">
        <v>2</v>
      </c>
      <c r="P25" s="20">
        <v>3</v>
      </c>
      <c r="T25" t="s">
        <v>2</v>
      </c>
    </row>
    <row r="26" spans="1:26" x14ac:dyDescent="0.2">
      <c r="A26" s="9" t="s">
        <v>80</v>
      </c>
      <c r="B26" s="9">
        <v>1</v>
      </c>
      <c r="C26" s="9">
        <v>2</v>
      </c>
      <c r="D26" s="9">
        <v>3</v>
      </c>
      <c r="E26" s="9">
        <v>4</v>
      </c>
      <c r="F26" s="20">
        <v>4</v>
      </c>
      <c r="H26" s="9" t="s">
        <v>81</v>
      </c>
      <c r="I26" s="9">
        <v>1</v>
      </c>
      <c r="J26" s="9">
        <v>2</v>
      </c>
      <c r="K26" s="20">
        <v>3</v>
      </c>
      <c r="L26" s="16"/>
      <c r="M26" s="9" t="s">
        <v>81</v>
      </c>
      <c r="N26" s="9">
        <v>1</v>
      </c>
      <c r="O26" s="9">
        <v>2</v>
      </c>
      <c r="P26" s="20">
        <v>3</v>
      </c>
    </row>
    <row r="27" spans="1:26" x14ac:dyDescent="0.2">
      <c r="A27" s="9" t="s">
        <v>82</v>
      </c>
      <c r="B27" s="9">
        <v>1</v>
      </c>
      <c r="C27" s="9">
        <v>2</v>
      </c>
      <c r="D27" s="9">
        <v>3</v>
      </c>
      <c r="E27" s="9">
        <v>4</v>
      </c>
      <c r="F27" s="20">
        <v>4</v>
      </c>
      <c r="H27" s="9" t="s">
        <v>83</v>
      </c>
      <c r="I27" s="9">
        <v>1</v>
      </c>
      <c r="J27" s="9">
        <v>2</v>
      </c>
      <c r="K27" s="20">
        <v>3</v>
      </c>
      <c r="L27" s="16"/>
      <c r="M27" s="9" t="s">
        <v>83</v>
      </c>
      <c r="N27" s="9">
        <v>1</v>
      </c>
      <c r="O27" s="9">
        <v>2</v>
      </c>
      <c r="P27" s="20">
        <v>3</v>
      </c>
    </row>
    <row r="28" spans="1:26" x14ac:dyDescent="0.2">
      <c r="A28" s="9" t="s">
        <v>84</v>
      </c>
      <c r="B28" s="9">
        <v>1</v>
      </c>
      <c r="C28" s="9">
        <v>2</v>
      </c>
      <c r="D28" s="9">
        <v>3</v>
      </c>
      <c r="E28" s="9">
        <v>4</v>
      </c>
      <c r="F28" s="20">
        <v>4</v>
      </c>
      <c r="H28" s="9" t="s">
        <v>85</v>
      </c>
      <c r="I28" s="9">
        <v>1</v>
      </c>
      <c r="J28" s="9">
        <v>2</v>
      </c>
      <c r="K28" s="20" t="s">
        <v>2</v>
      </c>
      <c r="L28" s="16"/>
      <c r="M28" s="9" t="s">
        <v>85</v>
      </c>
      <c r="N28" s="9">
        <v>1</v>
      </c>
      <c r="O28" s="9">
        <v>2</v>
      </c>
      <c r="P28" s="20">
        <v>3</v>
      </c>
    </row>
    <row r="29" spans="1:26" x14ac:dyDescent="0.2">
      <c r="A29" s="9" t="s">
        <v>86</v>
      </c>
      <c r="B29" s="9">
        <v>1</v>
      </c>
      <c r="C29" s="9">
        <v>2</v>
      </c>
      <c r="D29" s="9">
        <v>3</v>
      </c>
      <c r="E29" s="9">
        <v>4</v>
      </c>
      <c r="F29" s="20">
        <v>4</v>
      </c>
      <c r="I29">
        <f>SUM(I4:I28)</f>
        <v>24</v>
      </c>
      <c r="J29">
        <f>SUM(J4:J28)</f>
        <v>48</v>
      </c>
      <c r="K29">
        <f>SUM(K4:K28)</f>
        <v>44</v>
      </c>
      <c r="N29">
        <f>SUM(N4:N28)</f>
        <v>24</v>
      </c>
      <c r="O29">
        <f>SUM(O4:O28)</f>
        <v>48</v>
      </c>
      <c r="P29">
        <f>SUM(P4:P28)</f>
        <v>72</v>
      </c>
    </row>
    <row r="30" spans="1:26" x14ac:dyDescent="0.2">
      <c r="B30">
        <f>SUM(B4:B29)</f>
        <v>28</v>
      </c>
      <c r="C30">
        <f>SUM(C4:C29)</f>
        <v>50</v>
      </c>
      <c r="D30">
        <f>SUM(D4:D29)</f>
        <v>59</v>
      </c>
      <c r="E30">
        <f>SUM(E4:E29)</f>
        <v>70</v>
      </c>
      <c r="F30">
        <f>SUM(F4:F29)</f>
        <v>77</v>
      </c>
    </row>
    <row r="32" spans="1:26" x14ac:dyDescent="0.2">
      <c r="E32" t="s">
        <v>2</v>
      </c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Views>
    <sheetView workbookViewId="0">
      <selection activeCell="A3" sqref="A3"/>
    </sheetView>
  </sheetViews>
  <sheetFormatPr baseColWidth="10" defaultRowHeight="16" x14ac:dyDescent="0.2"/>
  <cols>
    <col min="1" max="1" width="121.1640625" customWidth="1"/>
  </cols>
  <sheetData>
    <row r="1" spans="1:1" ht="17" thickBot="1" x14ac:dyDescent="0.25"/>
    <row r="2" spans="1:1" ht="17" x14ac:dyDescent="0.2">
      <c r="A2" s="88" t="s">
        <v>193</v>
      </c>
    </row>
    <row r="3" spans="1:1" ht="28" customHeight="1" thickBot="1" x14ac:dyDescent="0.25">
      <c r="A3" s="89" t="s">
        <v>194</v>
      </c>
    </row>
    <row r="4" spans="1:1" ht="17" x14ac:dyDescent="0.2">
      <c r="A4" s="90" t="s">
        <v>195</v>
      </c>
    </row>
    <row r="5" spans="1:1" ht="41" customHeight="1" x14ac:dyDescent="0.2">
      <c r="A5" s="91" t="s">
        <v>196</v>
      </c>
    </row>
    <row r="6" spans="1:1" ht="33" customHeight="1" thickBot="1" x14ac:dyDescent="0.25">
      <c r="A6" s="89" t="s">
        <v>198</v>
      </c>
    </row>
    <row r="7" spans="1:1" ht="29" customHeight="1" thickBot="1" x14ac:dyDescent="0.25">
      <c r="A7" s="92" t="s">
        <v>197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Presupuesto valorizado</vt:lpstr>
      <vt:lpstr>Itinerario para firmar</vt:lpstr>
      <vt:lpstr>Detalle de alojamiento.</vt:lpstr>
      <vt:lpstr>Detalle de Alimentacion.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Carmen Rodriguez</dc:creator>
  <cp:lastModifiedBy>Usuario de Microsoft Office</cp:lastModifiedBy>
  <dcterms:created xsi:type="dcterms:W3CDTF">2014-07-29T17:30:41Z</dcterms:created>
  <dcterms:modified xsi:type="dcterms:W3CDTF">2018-10-26T18:22:03Z</dcterms:modified>
</cp:coreProperties>
</file>