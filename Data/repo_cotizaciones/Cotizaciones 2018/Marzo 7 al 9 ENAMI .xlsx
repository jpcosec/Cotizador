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eciliacorrea/Dropbox/Eventos lodge/Cotizaciones 2018 Carmen/"/>
    </mc:Choice>
  </mc:AlternateContent>
  <bookViews>
    <workbookView xWindow="3200" yWindow="1140" windowWidth="25600" windowHeight="1354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9" i="1" l="1"/>
  <c r="F20" i="1"/>
  <c r="F17" i="1"/>
  <c r="F30" i="1"/>
  <c r="F31" i="1"/>
  <c r="F18" i="1"/>
  <c r="F19" i="1"/>
  <c r="F21" i="1"/>
  <c r="F22" i="1"/>
  <c r="F23" i="1"/>
  <c r="F24" i="1"/>
  <c r="F16" i="1"/>
  <c r="F9" i="1"/>
  <c r="F10" i="1"/>
  <c r="F11" i="1"/>
  <c r="F12" i="1"/>
  <c r="F28" i="1"/>
  <c r="F35" i="1"/>
  <c r="F34" i="1"/>
  <c r="F30" i="5"/>
  <c r="E30" i="5"/>
  <c r="D30" i="5"/>
  <c r="C30" i="5"/>
  <c r="B30" i="5"/>
  <c r="P29" i="5"/>
  <c r="O29" i="5"/>
  <c r="N29" i="5"/>
  <c r="K29" i="5"/>
  <c r="J29" i="5"/>
  <c r="I29" i="5"/>
  <c r="Z23" i="5"/>
  <c r="F13" i="1" l="1"/>
  <c r="F32" i="1"/>
  <c r="F25" i="1"/>
  <c r="F39" i="1"/>
  <c r="F40" i="1" s="1"/>
  <c r="F41" i="1" s="1"/>
</calcChain>
</file>

<file path=xl/sharedStrings.xml><?xml version="1.0" encoding="utf-8"?>
<sst xmlns="http://schemas.openxmlformats.org/spreadsheetml/2006/main" count="400" uniqueCount="209">
  <si>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</si>
  <si>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</si>
  <si>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</si>
  <si>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</si>
  <si>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</si>
  <si>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</si>
  <si>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</si>
  <si>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Total neto Evento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</si>
  <si>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</si>
  <si>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</si>
  <si>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</si>
  <si>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</si>
  <si>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</si>
  <si>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</si>
  <si>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</si>
  <si>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</si>
  <si>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</si>
  <si>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</si>
  <si>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</si>
  <si>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</si>
  <si>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</si>
  <si>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</si>
  <si>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</si>
  <si>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</si>
  <si>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</si>
  <si>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</si>
  <si>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</si>
  <si>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</si>
  <si>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</si>
  <si>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</si>
  <si>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</si>
  <si>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</si>
  <si>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</si>
  <si>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</si>
  <si>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</si>
  <si>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</si>
  <si>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</si>
  <si>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</si>
  <si>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</si>
  <si>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</si>
  <si>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</si>
  <si>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</si>
  <si>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</si>
  <si>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</si>
  <si>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</si>
  <si>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</si>
  <si>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</si>
  <si>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</si>
  <si>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</si>
  <si>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</si>
  <si>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</si>
  <si>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</si>
  <si>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</si>
  <si>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</si>
  <si>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</si>
  <si>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</si>
  <si>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</si>
  <si>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</si>
  <si>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</si>
  <si>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</si>
  <si>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</si>
  <si>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</si>
  <si>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</si>
  <si>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</si>
  <si>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</si>
  <si>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</si>
  <si>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</si>
  <si>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</si>
  <si>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</si>
  <si>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</si>
  <si>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</si>
  <si>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</si>
  <si>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</si>
  <si>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</si>
  <si>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</si>
  <si>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</si>
  <si>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</si>
  <si>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</si>
  <si>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</si>
  <si>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</si>
  <si>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</si>
  <si>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</si>
  <si>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</si>
  <si>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</si>
  <si>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</si>
  <si>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</si>
  <si>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</si>
  <si>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</si>
  <si>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</si>
  <si>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</si>
  <si>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</si>
  <si>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</si>
  <si>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</si>
  <si>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</si>
  <si>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</si>
  <si>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</si>
  <si>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</si>
  <si>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</si>
  <si>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</si>
  <si>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</si>
  <si>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</si>
  <si>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</si>
  <si>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</si>
  <si>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Variados platos de carnes y acompañamientos, salad bar,  postres, líquidos en autoservicio</t>
  </si>
  <si>
    <t>Café, té, leche, yogurt, jamón, queso, huevos, palta, mermeladas, mantequilla, panes, minipastelitos, cereales</t>
  </si>
  <si>
    <t>Coffee Intermedio</t>
  </si>
  <si>
    <t>Almuerzos Buffet Parrilla</t>
  </si>
  <si>
    <t xml:space="preserve">Cena  Buffet </t>
  </si>
  <si>
    <t>Uds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</si>
  <si>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</si>
  <si>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</si>
  <si>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</si>
  <si>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</si>
  <si>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</si>
  <si>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</si>
  <si>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</si>
  <si>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</si>
  <si>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</si>
  <si>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</si>
  <si>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</si>
  <si>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Bebidas, ó gaseosas  ó cervezas</t>
  </si>
  <si>
    <t>gaseosas ó minerales  ó  jugos de botella ó cervezas Cristal o Escudo.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</si>
  <si>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</si>
  <si>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</si>
  <si>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</si>
  <si>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</si>
  <si>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</si>
  <si>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</si>
  <si>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</si>
  <si>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Equipado con data, telón papelógrafo, aire acondicionado y calefacción, 8 h. Día, 4 h Noche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</si>
  <si>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</si>
  <si>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</si>
  <si>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</si>
  <si>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</si>
  <si>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</si>
  <si>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</si>
  <si>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</si>
  <si>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</si>
  <si>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</si>
  <si>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</si>
  <si>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</si>
  <si>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</si>
  <si>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</si>
  <si>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Café, té, agua, jugo de pulpa, 1 muffins, 2 facturitas, 1 fruta y 1  tapadito.</t>
  </si>
  <si>
    <t xml:space="preserve">Desayuno Buffet  </t>
  </si>
  <si>
    <t>Hora</t>
  </si>
  <si>
    <t>Café, té, leche, yogurt, jamón, queso, huevos, mermeladas, mantequilla, panes, minipastelitos, cereales</t>
  </si>
  <si>
    <t>08:30-11:00</t>
  </si>
  <si>
    <t>13:00-15:00</t>
  </si>
  <si>
    <t>20:00- 21:00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</si>
  <si>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</si>
  <si>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</si>
  <si>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</si>
  <si>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</si>
  <si>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</si>
  <si>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</si>
  <si>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</si>
  <si>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</si>
  <si>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</si>
  <si>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</si>
  <si>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</si>
  <si>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</si>
  <si>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</si>
  <si>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</si>
  <si>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</si>
  <si>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</si>
  <si>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</si>
  <si>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</si>
  <si>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</si>
  <si>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</si>
  <si>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56 29539311</t>
  </si>
  <si>
    <t>Detalles Importantes:</t>
  </si>
  <si>
    <t>1.-</t>
  </si>
  <si>
    <t>2.-</t>
  </si>
  <si>
    <t>3.-</t>
  </si>
  <si>
    <t>4.-</t>
  </si>
  <si>
    <t>1 Bebidas ó gaseosa  ó cerveza</t>
  </si>
  <si>
    <t>Gaseosas ó minerales  ó  jugos de botella ó cervezas Cristal o Escudo.</t>
  </si>
  <si>
    <t>1 noche de alojamiento, 1  ó 2 desayunos, valor por persona.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</si>
  <si>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</si>
  <si>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</si>
  <si>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</si>
  <si>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</si>
  <si>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</si>
  <si>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</si>
  <si>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</si>
  <si>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</si>
  <si>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</si>
  <si>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</si>
  <si>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</si>
  <si>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</si>
  <si>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</si>
  <si>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</si>
  <si>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</si>
  <si>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</si>
  <si>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</si>
  <si>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</si>
  <si>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</si>
  <si>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Copiar abonos o transferencias a ventas@sflodge.cl y sf@sflodge.cl</t>
  </si>
  <si>
    <t>Cecilia Correa</t>
  </si>
  <si>
    <t>Jorge Rodriguez</t>
  </si>
  <si>
    <t>Enami</t>
  </si>
  <si>
    <t>7-8.9 marzo</t>
  </si>
  <si>
    <t>Día 8 de marzo</t>
  </si>
  <si>
    <t>Día 9 de marzo</t>
  </si>
  <si>
    <t>Incluido sin costo 8-9 marzo</t>
  </si>
  <si>
    <t>Hora uso?</t>
  </si>
  <si>
    <t>Día 7 de marzo</t>
  </si>
  <si>
    <t>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</si>
</sst>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;[Red]&quot;$&quot;\-#,##0"/>
    <numFmt numFmtId="167" formatCode="h:mm:ss;@"/>
  </numFmts>
  <fonts count="2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1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0">
    <xf numFmtId="0" fontId="0" fillId="0" borderId="0" xfId="0"/>
    <xf numFmtId="0" fontId="3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8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6" fillId="4" borderId="12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9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13" xfId="0" applyFont="1" applyBorder="1" applyAlignment="1">
      <alignment horizontal="right" vertic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8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8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8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9" xfId="0" applyFont="1" applyBorder="1" applyAlignment="1"/>
    <xf numFmtId="0" fontId="6" fillId="0" borderId="0" xfId="0" applyFont="1" applyBorder="1" applyAlignment="1"/>
    <xf numFmtId="0" fontId="6" fillId="0" borderId="18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167" fontId="3" fillId="0" borderId="0" xfId="0" applyNumberFormat="1" applyFont="1" applyAlignment="1">
      <alignment horizontal="right"/>
    </xf>
    <xf numFmtId="167" fontId="0" fillId="0" borderId="0" xfId="0" applyNumberFormat="1"/>
    <xf numFmtId="167" fontId="1" fillId="0" borderId="0" xfId="0" applyNumberFormat="1" applyFont="1" applyFill="1"/>
    <xf numFmtId="167" fontId="6" fillId="0" borderId="9" xfId="0" applyNumberFormat="1" applyFont="1" applyBorder="1" applyAlignment="1">
      <alignment horizontal="right"/>
    </xf>
    <xf numFmtId="167" fontId="6" fillId="0" borderId="0" xfId="0" applyNumberFormat="1" applyFont="1" applyBorder="1" applyAlignment="1">
      <alignment horizontal="right"/>
    </xf>
    <xf numFmtId="167" fontId="6" fillId="0" borderId="14" xfId="0" applyNumberFormat="1" applyFont="1" applyBorder="1" applyAlignment="1">
      <alignment horizontal="right" vertical="center"/>
    </xf>
    <xf numFmtId="167" fontId="9" fillId="4" borderId="0" xfId="0" applyNumberFormat="1" applyFont="1" applyFill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1" fillId="0" borderId="0" xfId="116" applyFont="1" applyAlignment="1">
      <alignment vertical="center"/>
    </xf>
    <xf numFmtId="20" fontId="18" fillId="0" borderId="0" xfId="0" applyNumberFormat="1" applyFont="1"/>
    <xf numFmtId="0" fontId="18" fillId="0" borderId="0" xfId="0" applyFont="1"/>
    <xf numFmtId="0" fontId="14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6" fillId="9" borderId="11" xfId="0" applyFont="1" applyFill="1" applyBorder="1"/>
    <xf numFmtId="167" fontId="6" fillId="9" borderId="2" xfId="0" applyNumberFormat="1" applyFont="1" applyFill="1" applyBorder="1"/>
    <xf numFmtId="0" fontId="6" fillId="9" borderId="2" xfId="0" applyFont="1" applyFill="1" applyBorder="1" applyAlignment="1">
      <alignment horizontal="center"/>
    </xf>
    <xf numFmtId="164" fontId="6" fillId="9" borderId="2" xfId="0" applyNumberFormat="1" applyFont="1" applyFill="1" applyBorder="1"/>
    <xf numFmtId="164" fontId="6" fillId="9" borderId="2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/>
    </xf>
    <xf numFmtId="0" fontId="6" fillId="9" borderId="7" xfId="0" applyFont="1" applyFill="1" applyBorder="1" applyAlignment="1">
      <alignment horizontal="left" vertical="center"/>
    </xf>
    <xf numFmtId="167" fontId="6" fillId="9" borderId="2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/>
    </xf>
    <xf numFmtId="167" fontId="6" fillId="9" borderId="17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left" vertical="center"/>
    </xf>
    <xf numFmtId="164" fontId="6" fillId="9" borderId="2" xfId="0" applyNumberFormat="1" applyFont="1" applyFill="1" applyBorder="1" applyAlignment="1">
      <alignment horizontal="right" vertical="center"/>
    </xf>
    <xf numFmtId="0" fontId="15" fillId="9" borderId="1" xfId="0" applyFont="1" applyFill="1" applyBorder="1" applyAlignment="1">
      <alignment horizontal="left"/>
    </xf>
    <xf numFmtId="167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164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19" fillId="0" borderId="0" xfId="0" applyFont="1" applyAlignment="1">
      <alignment vertical="center"/>
    </xf>
    <xf numFmtId="0" fontId="6" fillId="9" borderId="1" xfId="0" applyFont="1" applyFill="1" applyBorder="1" applyAlignment="1">
      <alignment horizontal="left" vertical="center"/>
    </xf>
    <xf numFmtId="167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7" fontId="6" fillId="9" borderId="1" xfId="0" applyNumberFormat="1" applyFont="1" applyFill="1" applyBorder="1" applyAlignment="1">
      <alignment vertical="center"/>
    </xf>
    <xf numFmtId="0" fontId="2" fillId="10" borderId="5" xfId="0" applyFont="1" applyFill="1" applyBorder="1" applyAlignment="1">
      <alignment horizontal="center"/>
    </xf>
    <xf numFmtId="167" fontId="2" fillId="10" borderId="10" xfId="0" applyNumberFormat="1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7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167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left" vertical="top"/>
    </xf>
    <xf numFmtId="0" fontId="2" fillId="0" borderId="3" xfId="0" applyFont="1" applyBorder="1" applyAlignment="1">
      <alignment horizontal="right"/>
    </xf>
    <xf numFmtId="167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right"/>
    </xf>
    <xf numFmtId="164" fontId="2" fillId="0" borderId="17" xfId="0" applyNumberFormat="1" applyFont="1" applyBorder="1" applyAlignment="1">
      <alignment horizontal="right"/>
    </xf>
    <xf numFmtId="0" fontId="10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6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6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left"/>
    </xf>
  </cellXfs>
  <cellStyles count="117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G68"/>
  <sheetViews>
    <sheetView tabSelected="1" workbookViewId="0">
      <selection activeCell="A68" sqref="A68:XFD144"/>
    </sheetView>
  </sheetViews>
  <sheetFormatPr baseColWidth="10" defaultRowHeight="16" x14ac:dyDescent="0.2"/>
  <cols>
    <col min="1" max="1" width="36.33203125" customWidth="1"/>
    <col min="2" max="2" width="10.83203125" style="79" customWidth="1"/>
    <col min="3" max="4" width="6.33203125" customWidth="1"/>
    <col min="5" max="5" width="10" customWidth="1"/>
    <col min="6" max="6" width="15.33203125" customWidth="1"/>
    <col min="7" max="7" width="78.5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8"/>
      <c r="C1" s="73" t="s">
        <v>122</v>
      </c>
    </row>
    <row r="2" spans="1:7" x14ac:dyDescent="0.2">
      <c r="G2" t="s">
        <v>171</v>
      </c>
    </row>
    <row r="3" spans="1:7" x14ac:dyDescent="0.2">
      <c r="A3" s="70" t="s">
        <v>123</v>
      </c>
      <c r="B3" s="130" t="s">
        <v>200</v>
      </c>
      <c r="E3" t="s">
        <v>3</v>
      </c>
      <c r="F3" s="129" t="s">
        <v>201</v>
      </c>
      <c r="G3" s="88" t="s">
        <v>172</v>
      </c>
    </row>
    <row r="4" spans="1:7" x14ac:dyDescent="0.2">
      <c r="A4" t="s">
        <v>124</v>
      </c>
      <c r="C4" s="74"/>
      <c r="E4" t="s">
        <v>5</v>
      </c>
      <c r="F4" s="129"/>
      <c r="G4" s="89" t="s">
        <v>173</v>
      </c>
    </row>
    <row r="5" spans="1:7" x14ac:dyDescent="0.2">
      <c r="A5" t="s">
        <v>125</v>
      </c>
      <c r="B5" s="79" t="s">
        <v>202</v>
      </c>
      <c r="E5" t="s">
        <v>4</v>
      </c>
      <c r="F5" s="129">
        <v>32</v>
      </c>
      <c r="G5" s="89" t="s">
        <v>174</v>
      </c>
    </row>
    <row r="6" spans="1:7" x14ac:dyDescent="0.2">
      <c r="A6" s="72" t="s">
        <v>127</v>
      </c>
      <c r="B6" s="127" t="s">
        <v>199</v>
      </c>
      <c r="C6" s="71"/>
      <c r="D6" s="71"/>
      <c r="E6" s="71" t="s">
        <v>126</v>
      </c>
      <c r="F6" s="128">
        <v>995347772</v>
      </c>
      <c r="G6" s="89" t="s">
        <v>175</v>
      </c>
    </row>
    <row r="7" spans="1:7" ht="17" thickBot="1" x14ac:dyDescent="0.25">
      <c r="A7" s="71"/>
      <c r="B7" s="80"/>
      <c r="C7" s="71"/>
      <c r="D7" s="71"/>
      <c r="E7" s="71"/>
      <c r="F7" s="71"/>
      <c r="G7" s="89"/>
    </row>
    <row r="8" spans="1:7" ht="15.75" customHeight="1" x14ac:dyDescent="0.2">
      <c r="A8" s="119" t="s">
        <v>207</v>
      </c>
      <c r="B8" s="120" t="s">
        <v>145</v>
      </c>
      <c r="C8" s="121" t="s">
        <v>108</v>
      </c>
      <c r="D8" s="121" t="s">
        <v>6</v>
      </c>
      <c r="E8" s="121" t="s">
        <v>0</v>
      </c>
      <c r="F8" s="121" t="s">
        <v>1</v>
      </c>
      <c r="G8" s="122" t="s">
        <v>8</v>
      </c>
    </row>
    <row r="9" spans="1:7" x14ac:dyDescent="0.2">
      <c r="A9" s="106" t="s">
        <v>107</v>
      </c>
      <c r="B9" s="102" t="s">
        <v>149</v>
      </c>
      <c r="C9" s="97">
        <v>1</v>
      </c>
      <c r="D9" s="97">
        <v>32</v>
      </c>
      <c r="E9" s="107">
        <v>15000</v>
      </c>
      <c r="F9" s="99">
        <f t="shared" ref="F9:F12" si="0">C9*D9*E9</f>
        <v>480000</v>
      </c>
      <c r="G9" s="100" t="s">
        <v>103</v>
      </c>
    </row>
    <row r="10" spans="1:7" x14ac:dyDescent="0.2">
      <c r="A10" s="101" t="s">
        <v>176</v>
      </c>
      <c r="B10" s="104"/>
      <c r="C10" s="97">
        <v>1</v>
      </c>
      <c r="D10" s="97">
        <v>32</v>
      </c>
      <c r="E10" s="103">
        <v>1500</v>
      </c>
      <c r="F10" s="103">
        <f t="shared" si="0"/>
        <v>48000</v>
      </c>
      <c r="G10" s="100" t="s">
        <v>177</v>
      </c>
    </row>
    <row r="11" spans="1:7" x14ac:dyDescent="0.2">
      <c r="A11" s="108" t="s">
        <v>132</v>
      </c>
      <c r="B11" s="109"/>
      <c r="C11" s="110">
        <v>1</v>
      </c>
      <c r="D11" s="110">
        <v>2</v>
      </c>
      <c r="E11" s="111">
        <v>99000</v>
      </c>
      <c r="F11" s="111">
        <f t="shared" si="0"/>
        <v>198000</v>
      </c>
      <c r="G11" s="108" t="s">
        <v>178</v>
      </c>
    </row>
    <row r="12" spans="1:7" x14ac:dyDescent="0.2">
      <c r="A12" s="108" t="s">
        <v>133</v>
      </c>
      <c r="B12" s="109"/>
      <c r="C12" s="110">
        <v>1</v>
      </c>
      <c r="D12" s="110">
        <v>15</v>
      </c>
      <c r="E12" s="111">
        <v>113500</v>
      </c>
      <c r="F12" s="111">
        <f t="shared" si="0"/>
        <v>1702500</v>
      </c>
      <c r="G12" s="108" t="s">
        <v>179</v>
      </c>
    </row>
    <row r="13" spans="1:7" ht="16.5" customHeight="1" thickBot="1" x14ac:dyDescent="0.25">
      <c r="A13" s="2" t="s">
        <v>87</v>
      </c>
      <c r="B13" s="81"/>
      <c r="C13" s="34"/>
      <c r="D13" s="24"/>
      <c r="E13" s="7"/>
      <c r="F13" s="5">
        <f>SUM(F9:F12)</f>
        <v>2428500</v>
      </c>
      <c r="G13" s="33" t="s">
        <v>2</v>
      </c>
    </row>
    <row r="14" spans="1:7" ht="15.75" customHeight="1" x14ac:dyDescent="0.2">
      <c r="A14" s="119" t="s">
        <v>203</v>
      </c>
      <c r="B14" s="120" t="s">
        <v>145</v>
      </c>
      <c r="C14" s="121" t="s">
        <v>108</v>
      </c>
      <c r="D14" s="121" t="s">
        <v>6</v>
      </c>
      <c r="E14" s="121" t="s">
        <v>0</v>
      </c>
      <c r="F14" s="121" t="s">
        <v>1</v>
      </c>
      <c r="G14" s="122" t="s">
        <v>8</v>
      </c>
    </row>
    <row r="15" spans="1:7" ht="16.5" customHeight="1" x14ac:dyDescent="0.2">
      <c r="A15" s="95" t="s">
        <v>144</v>
      </c>
      <c r="B15" s="96" t="s">
        <v>147</v>
      </c>
      <c r="C15" s="97">
        <v>0</v>
      </c>
      <c r="D15" s="97">
        <v>32</v>
      </c>
      <c r="E15" s="98">
        <v>9500</v>
      </c>
      <c r="F15" s="99" t="s">
        <v>208</v>
      </c>
      <c r="G15" s="100" t="s">
        <v>146</v>
      </c>
    </row>
    <row r="16" spans="1:7" x14ac:dyDescent="0.2">
      <c r="A16" s="114" t="s">
        <v>128</v>
      </c>
      <c r="B16" s="115"/>
      <c r="C16" s="105">
        <v>1</v>
      </c>
      <c r="D16" s="105">
        <v>1</v>
      </c>
      <c r="E16" s="116">
        <v>180000</v>
      </c>
      <c r="F16" s="103">
        <f t="shared" ref="F16" si="1">C16*D16*E16</f>
        <v>180000</v>
      </c>
      <c r="G16" s="100" t="s">
        <v>129</v>
      </c>
    </row>
    <row r="17" spans="1:7" x14ac:dyDescent="0.2">
      <c r="A17" s="117" t="s">
        <v>105</v>
      </c>
      <c r="B17" s="118"/>
      <c r="C17" s="105">
        <v>1</v>
      </c>
      <c r="D17" s="105">
        <v>32</v>
      </c>
      <c r="E17" s="116">
        <v>5500</v>
      </c>
      <c r="F17" s="103">
        <f>C17*D17*E17</f>
        <v>176000</v>
      </c>
      <c r="G17" s="114" t="s">
        <v>143</v>
      </c>
    </row>
    <row r="18" spans="1:7" ht="16.5" customHeight="1" x14ac:dyDescent="0.2">
      <c r="A18" s="101" t="s">
        <v>106</v>
      </c>
      <c r="B18" s="102" t="s">
        <v>148</v>
      </c>
      <c r="C18" s="97">
        <v>1</v>
      </c>
      <c r="D18" s="97">
        <v>32</v>
      </c>
      <c r="E18" s="103">
        <v>15000</v>
      </c>
      <c r="F18" s="103">
        <f t="shared" ref="F18:F24" si="2">C18*D18*E18</f>
        <v>480000</v>
      </c>
      <c r="G18" s="100" t="s">
        <v>102</v>
      </c>
    </row>
    <row r="19" spans="1:7" x14ac:dyDescent="0.2">
      <c r="A19" s="101" t="s">
        <v>120</v>
      </c>
      <c r="B19" s="104"/>
      <c r="C19" s="97">
        <v>1</v>
      </c>
      <c r="D19" s="97">
        <v>32</v>
      </c>
      <c r="E19" s="103">
        <v>1500</v>
      </c>
      <c r="F19" s="103">
        <f t="shared" si="2"/>
        <v>48000</v>
      </c>
      <c r="G19" s="100" t="s">
        <v>121</v>
      </c>
    </row>
    <row r="20" spans="1:7" x14ac:dyDescent="0.2">
      <c r="A20" s="117" t="s">
        <v>105</v>
      </c>
      <c r="B20" s="118"/>
      <c r="C20" s="105">
        <v>1</v>
      </c>
      <c r="D20" s="105">
        <v>32</v>
      </c>
      <c r="E20" s="116">
        <v>5500</v>
      </c>
      <c r="F20" s="103">
        <f>C20*D20*E20</f>
        <v>176000</v>
      </c>
      <c r="G20" s="114" t="s">
        <v>143</v>
      </c>
    </row>
    <row r="21" spans="1:7" x14ac:dyDescent="0.2">
      <c r="A21" s="106" t="s">
        <v>107</v>
      </c>
      <c r="B21" s="102" t="s">
        <v>149</v>
      </c>
      <c r="C21" s="97">
        <v>1</v>
      </c>
      <c r="D21" s="97">
        <v>32</v>
      </c>
      <c r="E21" s="107">
        <v>15000</v>
      </c>
      <c r="F21" s="99">
        <f t="shared" si="2"/>
        <v>480000</v>
      </c>
      <c r="G21" s="100" t="s">
        <v>103</v>
      </c>
    </row>
    <row r="22" spans="1:7" x14ac:dyDescent="0.2">
      <c r="A22" s="101" t="s">
        <v>176</v>
      </c>
      <c r="B22" s="104"/>
      <c r="C22" s="97">
        <v>1</v>
      </c>
      <c r="D22" s="97">
        <v>32</v>
      </c>
      <c r="E22" s="103">
        <v>1500</v>
      </c>
      <c r="F22" s="103">
        <f t="shared" si="2"/>
        <v>48000</v>
      </c>
      <c r="G22" s="100" t="s">
        <v>177</v>
      </c>
    </row>
    <row r="23" spans="1:7" x14ac:dyDescent="0.2">
      <c r="A23" s="108" t="s">
        <v>132</v>
      </c>
      <c r="B23" s="109"/>
      <c r="C23" s="110">
        <v>1</v>
      </c>
      <c r="D23" s="110">
        <v>2</v>
      </c>
      <c r="E23" s="111">
        <v>99000</v>
      </c>
      <c r="F23" s="111">
        <f t="shared" si="2"/>
        <v>198000</v>
      </c>
      <c r="G23" s="108" t="s">
        <v>178</v>
      </c>
    </row>
    <row r="24" spans="1:7" x14ac:dyDescent="0.2">
      <c r="A24" s="108" t="s">
        <v>133</v>
      </c>
      <c r="B24" s="109"/>
      <c r="C24" s="110">
        <v>1</v>
      </c>
      <c r="D24" s="110">
        <v>15</v>
      </c>
      <c r="E24" s="111">
        <v>113500</v>
      </c>
      <c r="F24" s="111">
        <f t="shared" si="2"/>
        <v>1702500</v>
      </c>
      <c r="G24" s="108" t="s">
        <v>179</v>
      </c>
    </row>
    <row r="25" spans="1:7" ht="16.5" customHeight="1" thickBot="1" x14ac:dyDescent="0.25">
      <c r="A25" s="2" t="s">
        <v>87</v>
      </c>
      <c r="B25" s="81"/>
      <c r="C25" s="34"/>
      <c r="D25" s="24"/>
      <c r="E25" s="7"/>
      <c r="F25" s="5">
        <f>SUM(F15:F24)</f>
        <v>3488500</v>
      </c>
      <c r="G25" s="33" t="s">
        <v>2</v>
      </c>
    </row>
    <row r="26" spans="1:7" ht="16.5" customHeight="1" x14ac:dyDescent="0.2">
      <c r="A26" s="119" t="s">
        <v>204</v>
      </c>
      <c r="B26" s="120"/>
      <c r="C26" s="121" t="s">
        <v>108</v>
      </c>
      <c r="D26" s="121" t="s">
        <v>6</v>
      </c>
      <c r="E26" s="121" t="s">
        <v>0</v>
      </c>
      <c r="F26" s="121" t="s">
        <v>1</v>
      </c>
      <c r="G26" s="122" t="s">
        <v>8</v>
      </c>
    </row>
    <row r="27" spans="1:7" ht="16.5" customHeight="1" x14ac:dyDescent="0.2">
      <c r="A27" s="95" t="s">
        <v>9</v>
      </c>
      <c r="B27" s="96"/>
      <c r="C27" s="97">
        <v>1</v>
      </c>
      <c r="D27" s="97">
        <v>32</v>
      </c>
      <c r="E27" s="98">
        <v>9500</v>
      </c>
      <c r="F27" s="99" t="s">
        <v>109</v>
      </c>
      <c r="G27" s="100" t="s">
        <v>104</v>
      </c>
    </row>
    <row r="28" spans="1:7" x14ac:dyDescent="0.2">
      <c r="A28" s="114" t="s">
        <v>128</v>
      </c>
      <c r="B28" s="115"/>
      <c r="C28" s="105">
        <v>1</v>
      </c>
      <c r="D28" s="105">
        <v>1</v>
      </c>
      <c r="E28" s="116">
        <v>180000</v>
      </c>
      <c r="F28" s="103">
        <f t="shared" ref="F28" si="3">C28*D28*E28</f>
        <v>180000</v>
      </c>
      <c r="G28" s="100" t="s">
        <v>129</v>
      </c>
    </row>
    <row r="29" spans="1:7" x14ac:dyDescent="0.2">
      <c r="A29" s="117" t="s">
        <v>105</v>
      </c>
      <c r="B29" s="118"/>
      <c r="C29" s="105">
        <v>1</v>
      </c>
      <c r="D29" s="105">
        <v>32</v>
      </c>
      <c r="E29" s="116">
        <v>5500</v>
      </c>
      <c r="F29" s="103">
        <f>C29*D29*E29</f>
        <v>176000</v>
      </c>
      <c r="G29" s="114" t="s">
        <v>143</v>
      </c>
    </row>
    <row r="30" spans="1:7" ht="16.5" customHeight="1" x14ac:dyDescent="0.2">
      <c r="A30" s="101" t="s">
        <v>106</v>
      </c>
      <c r="B30" s="102"/>
      <c r="C30" s="97">
        <v>1</v>
      </c>
      <c r="D30" s="97">
        <v>32</v>
      </c>
      <c r="E30" s="103">
        <v>15000</v>
      </c>
      <c r="F30" s="103">
        <f>C30*D30*E30</f>
        <v>480000</v>
      </c>
      <c r="G30" s="100" t="s">
        <v>102</v>
      </c>
    </row>
    <row r="31" spans="1:7" x14ac:dyDescent="0.2">
      <c r="A31" s="101" t="s">
        <v>120</v>
      </c>
      <c r="B31" s="104"/>
      <c r="C31" s="105">
        <v>1</v>
      </c>
      <c r="D31" s="105">
        <v>32</v>
      </c>
      <c r="E31" s="103">
        <v>1500</v>
      </c>
      <c r="F31" s="103">
        <f>C31*D31*E31</f>
        <v>48000</v>
      </c>
      <c r="G31" s="100" t="s">
        <v>121</v>
      </c>
    </row>
    <row r="32" spans="1:7" ht="16.5" customHeight="1" x14ac:dyDescent="0.2">
      <c r="A32" s="2" t="s">
        <v>87</v>
      </c>
      <c r="B32" s="81"/>
      <c r="C32" s="34"/>
      <c r="D32" s="24"/>
      <c r="E32" s="7"/>
      <c r="F32" s="5">
        <f>SUM(F27:F31)</f>
        <v>884000</v>
      </c>
      <c r="G32" s="33" t="s">
        <v>2</v>
      </c>
    </row>
    <row r="33" spans="1:7" x14ac:dyDescent="0.2">
      <c r="A33" s="125" t="s">
        <v>205</v>
      </c>
      <c r="B33" s="124" t="s">
        <v>196</v>
      </c>
      <c r="C33" s="125"/>
      <c r="D33" s="125"/>
      <c r="E33" s="126"/>
      <c r="F33" s="126"/>
      <c r="G33" s="123" t="s">
        <v>194</v>
      </c>
    </row>
    <row r="34" spans="1:7" x14ac:dyDescent="0.2">
      <c r="A34" s="108" t="s">
        <v>190</v>
      </c>
      <c r="B34" s="109" t="s">
        <v>206</v>
      </c>
      <c r="C34" s="110">
        <v>0</v>
      </c>
      <c r="D34" s="110">
        <v>0</v>
      </c>
      <c r="E34" s="111">
        <v>0</v>
      </c>
      <c r="F34" s="111">
        <f t="shared" ref="F34:F35" si="4">C34*D34*E34</f>
        <v>0</v>
      </c>
      <c r="G34" s="112" t="s">
        <v>192</v>
      </c>
    </row>
    <row r="35" spans="1:7" x14ac:dyDescent="0.2">
      <c r="A35" s="108" t="s">
        <v>186</v>
      </c>
      <c r="B35" s="109" t="s">
        <v>206</v>
      </c>
      <c r="C35" s="110">
        <v>0</v>
      </c>
      <c r="D35" s="110">
        <v>0</v>
      </c>
      <c r="E35" s="111">
        <v>0</v>
      </c>
      <c r="F35" s="111">
        <f t="shared" si="4"/>
        <v>0</v>
      </c>
      <c r="G35" s="112" t="s">
        <v>193</v>
      </c>
    </row>
    <row r="36" spans="1:7" x14ac:dyDescent="0.2">
      <c r="A36" s="108" t="s">
        <v>187</v>
      </c>
      <c r="B36" s="109" t="s">
        <v>206</v>
      </c>
      <c r="C36" s="110">
        <v>0</v>
      </c>
      <c r="D36" s="110">
        <v>0</v>
      </c>
      <c r="E36" s="111">
        <v>0</v>
      </c>
      <c r="F36" s="111"/>
      <c r="G36" s="112" t="s">
        <v>191</v>
      </c>
    </row>
    <row r="37" spans="1:7" x14ac:dyDescent="0.2">
      <c r="A37" s="108" t="s">
        <v>188</v>
      </c>
      <c r="B37" s="109" t="s">
        <v>206</v>
      </c>
      <c r="C37" s="110">
        <v>0</v>
      </c>
      <c r="D37" s="110">
        <v>0</v>
      </c>
      <c r="E37" s="111">
        <v>0</v>
      </c>
      <c r="F37" s="111"/>
      <c r="G37" s="108" t="s">
        <v>189</v>
      </c>
    </row>
    <row r="38" spans="1:7" ht="17" thickBot="1" x14ac:dyDescent="0.25"/>
    <row r="39" spans="1:7" ht="17" thickBot="1" x14ac:dyDescent="0.25">
      <c r="A39" s="36" t="s">
        <v>195</v>
      </c>
      <c r="B39" s="83"/>
      <c r="C39" s="37"/>
      <c r="D39" s="37"/>
      <c r="E39" s="38"/>
      <c r="F39" s="39">
        <f>F13+F32+F25</f>
        <v>6801000</v>
      </c>
      <c r="G39" s="6" t="s">
        <v>130</v>
      </c>
    </row>
    <row r="40" spans="1:7" x14ac:dyDescent="0.2">
      <c r="A40" s="3" t="s">
        <v>131</v>
      </c>
      <c r="B40" s="82"/>
      <c r="C40" s="32"/>
      <c r="D40" s="24"/>
      <c r="E40" s="7"/>
      <c r="F40" s="5">
        <f>F39*1.19-F39</f>
        <v>1292190</v>
      </c>
      <c r="G40" s="6"/>
    </row>
    <row r="41" spans="1:7" x14ac:dyDescent="0.2">
      <c r="A41" s="131" t="s">
        <v>7</v>
      </c>
      <c r="B41" s="132"/>
      <c r="C41" s="133"/>
      <c r="D41" s="133"/>
      <c r="E41" s="134"/>
      <c r="F41" s="135">
        <f>F39+F40</f>
        <v>8093190</v>
      </c>
      <c r="G41" s="6"/>
    </row>
    <row r="42" spans="1:7" x14ac:dyDescent="0.2">
      <c r="A42" s="3"/>
      <c r="B42" s="82"/>
      <c r="C42" s="32"/>
      <c r="D42" s="24"/>
      <c r="E42" s="7"/>
      <c r="F42" s="4"/>
      <c r="G42" s="6"/>
    </row>
    <row r="43" spans="1:7" ht="19" x14ac:dyDescent="0.2">
      <c r="A43" s="86" t="s">
        <v>150</v>
      </c>
      <c r="B43"/>
      <c r="E43" s="77"/>
      <c r="F43" s="77"/>
      <c r="G43" s="77"/>
    </row>
    <row r="44" spans="1:7" ht="19" x14ac:dyDescent="0.2">
      <c r="A44" s="85" t="s">
        <v>151</v>
      </c>
      <c r="B44"/>
      <c r="E44" s="76"/>
      <c r="F44" s="76"/>
      <c r="G44" s="76"/>
    </row>
    <row r="45" spans="1:7" ht="17" x14ac:dyDescent="0.2">
      <c r="A45" s="77" t="s">
        <v>152</v>
      </c>
      <c r="B45"/>
    </row>
    <row r="46" spans="1:7" ht="17" x14ac:dyDescent="0.2">
      <c r="A46" s="77"/>
      <c r="B46"/>
    </row>
    <row r="47" spans="1:7" ht="19" x14ac:dyDescent="0.2">
      <c r="A47" s="86" t="s">
        <v>134</v>
      </c>
      <c r="B47"/>
    </row>
    <row r="48" spans="1:7" ht="17" x14ac:dyDescent="0.2">
      <c r="A48" s="77" t="s">
        <v>153</v>
      </c>
      <c r="B48"/>
    </row>
    <row r="49" spans="1:6" ht="17" x14ac:dyDescent="0.2">
      <c r="A49" s="77" t="s">
        <v>154</v>
      </c>
      <c r="B49"/>
    </row>
    <row r="50" spans="1:6" ht="17" x14ac:dyDescent="0.2">
      <c r="A50" s="77" t="s">
        <v>155</v>
      </c>
      <c r="B50"/>
    </row>
    <row r="51" spans="1:6" ht="17" x14ac:dyDescent="0.2">
      <c r="A51" s="75" t="s">
        <v>135</v>
      </c>
      <c r="B51"/>
    </row>
    <row r="52" spans="1:6" ht="17" x14ac:dyDescent="0.2">
      <c r="A52" s="77" t="s">
        <v>156</v>
      </c>
      <c r="B52"/>
    </row>
    <row r="53" spans="1:6" ht="17" x14ac:dyDescent="0.2">
      <c r="A53" s="77" t="s">
        <v>136</v>
      </c>
      <c r="B53"/>
    </row>
    <row r="54" spans="1:6" ht="17" x14ac:dyDescent="0.2">
      <c r="A54" s="75" t="s">
        <v>157</v>
      </c>
      <c r="B54"/>
    </row>
    <row r="55" spans="1:6" ht="17" x14ac:dyDescent="0.2">
      <c r="A55" s="77" t="s">
        <v>137</v>
      </c>
      <c r="B55"/>
    </row>
    <row r="56" spans="1:6" ht="17" x14ac:dyDescent="0.2">
      <c r="A56" s="77" t="s">
        <v>138</v>
      </c>
      <c r="B56"/>
    </row>
    <row r="57" spans="1:6" ht="17" x14ac:dyDescent="0.2">
      <c r="A57" s="77" t="s">
        <v>139</v>
      </c>
      <c r="B57"/>
    </row>
    <row r="58" spans="1:6" ht="17" x14ac:dyDescent="0.2">
      <c r="A58" s="77" t="s">
        <v>140</v>
      </c>
      <c r="B58"/>
    </row>
    <row r="59" spans="1:6" ht="17" x14ac:dyDescent="0.2">
      <c r="A59" s="77" t="s">
        <v>141</v>
      </c>
      <c r="B59"/>
    </row>
    <row r="60" spans="1:6" ht="17" x14ac:dyDescent="0.2">
      <c r="A60" s="77" t="s">
        <v>142</v>
      </c>
      <c r="B60"/>
    </row>
    <row r="61" spans="1:6" ht="17" x14ac:dyDescent="0.2">
      <c r="A61" s="77"/>
      <c r="B61"/>
    </row>
    <row r="62" spans="1:6" ht="17" x14ac:dyDescent="0.2">
      <c r="A62" s="113" t="s">
        <v>197</v>
      </c>
      <c r="B62"/>
    </row>
    <row r="63" spans="1:6" ht="17" x14ac:dyDescent="0.2">
      <c r="A63" s="77" t="s">
        <v>158</v>
      </c>
      <c r="B63" s="77" t="s">
        <v>159</v>
      </c>
      <c r="D63" s="77" t="s">
        <v>160</v>
      </c>
      <c r="F63" s="77" t="s">
        <v>161</v>
      </c>
    </row>
    <row r="64" spans="1:6" ht="17" x14ac:dyDescent="0.2">
      <c r="A64" s="77" t="s">
        <v>164</v>
      </c>
      <c r="B64" s="77" t="s">
        <v>165</v>
      </c>
      <c r="D64" s="77" t="s">
        <v>162</v>
      </c>
      <c r="F64" s="77" t="s">
        <v>163</v>
      </c>
    </row>
    <row r="65" spans="1:7" ht="17" x14ac:dyDescent="0.2">
      <c r="A65" s="77" t="s">
        <v>166</v>
      </c>
      <c r="B65" s="77" t="s">
        <v>167</v>
      </c>
      <c r="D65" s="77" t="s">
        <v>168</v>
      </c>
      <c r="F65" s="77" t="s">
        <v>169</v>
      </c>
    </row>
    <row r="66" spans="1:7" ht="17" x14ac:dyDescent="0.2">
      <c r="A66" s="77" t="s">
        <v>5</v>
      </c>
      <c r="B66" s="77" t="s">
        <v>170</v>
      </c>
      <c r="D66" s="87" t="s">
        <v>198</v>
      </c>
    </row>
    <row r="67" spans="1:7" ht="17" x14ac:dyDescent="0.2">
      <c r="A67" s="77"/>
      <c r="B67"/>
    </row>
    <row r="68" spans="1:7" ht="17" x14ac:dyDescent="0.2">
      <c r="A68" s="23"/>
      <c r="B68" s="84"/>
      <c r="C68" s="6"/>
      <c r="D68" s="6"/>
      <c r="E68" s="6"/>
      <c r="F68" s="6"/>
      <c r="G68" s="6"/>
    </row>
  </sheetData>
  <phoneticPr fontId="7" type="noConversion"/>
  <hyperlinks>
    <hyperlink ref="D66" r:id="rId1" display="Copiar abonos o transferencias a sf@sflodge.cl y correo de la vendedora.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46"/>
      <c r="B1" s="146"/>
      <c r="C1" s="146"/>
      <c r="D1" s="25"/>
      <c r="E1" s="25" t="s">
        <v>88</v>
      </c>
      <c r="F1" s="40"/>
      <c r="G1" s="40"/>
      <c r="H1" s="40"/>
      <c r="I1" s="25"/>
      <c r="J1" s="22"/>
      <c r="K1" s="22"/>
      <c r="L1" s="22"/>
      <c r="M1" s="22"/>
      <c r="N1" s="22"/>
    </row>
    <row r="2" spans="1:14" x14ac:dyDescent="0.2">
      <c r="A2" s="146"/>
      <c r="B2" s="146"/>
      <c r="C2" s="146"/>
      <c r="D2" s="25"/>
      <c r="E2" s="25"/>
      <c r="F2" s="40"/>
      <c r="G2" s="40"/>
      <c r="H2" s="40"/>
      <c r="I2" s="25"/>
      <c r="J2" s="22"/>
      <c r="K2" s="22"/>
      <c r="L2" s="22"/>
      <c r="M2" s="22"/>
      <c r="N2" s="22"/>
    </row>
    <row r="3" spans="1:14" x14ac:dyDescent="0.2">
      <c r="A3" s="146"/>
      <c r="B3" s="146"/>
      <c r="C3" s="146"/>
      <c r="D3" s="25"/>
      <c r="E3" s="25" t="s">
        <v>118</v>
      </c>
      <c r="F3" s="40"/>
      <c r="G3" s="40"/>
      <c r="H3" s="40"/>
      <c r="I3" s="25"/>
      <c r="J3" s="22"/>
      <c r="K3" s="22"/>
      <c r="L3" s="22"/>
      <c r="M3" s="22"/>
      <c r="N3" s="22"/>
    </row>
    <row r="4" spans="1:14" x14ac:dyDescent="0.2">
      <c r="A4" s="146"/>
      <c r="B4" s="146"/>
      <c r="C4" s="146"/>
      <c r="D4" s="41"/>
      <c r="E4" s="41" t="s">
        <v>119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9" t="s">
        <v>89</v>
      </c>
      <c r="B6" s="30" t="s">
        <v>90</v>
      </c>
      <c r="C6" s="147" t="s">
        <v>112</v>
      </c>
      <c r="D6" s="148"/>
      <c r="E6" s="149"/>
      <c r="F6" s="30" t="s">
        <v>91</v>
      </c>
      <c r="G6" s="30" t="s">
        <v>92</v>
      </c>
      <c r="H6" s="30" t="s">
        <v>93</v>
      </c>
      <c r="I6" s="30" t="s">
        <v>94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37" t="s">
        <v>113</v>
      </c>
      <c r="D7" s="138"/>
      <c r="E7" s="139"/>
      <c r="F7" s="52"/>
      <c r="G7" s="52"/>
      <c r="H7" s="52"/>
      <c r="I7" s="53" t="s">
        <v>114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37" t="s">
        <v>113</v>
      </c>
      <c r="D8" s="138"/>
      <c r="E8" s="139"/>
      <c r="F8" s="52"/>
      <c r="G8" s="52"/>
      <c r="H8" s="52"/>
      <c r="I8" s="53" t="s">
        <v>114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40" t="s">
        <v>97</v>
      </c>
      <c r="D9" s="141"/>
      <c r="E9" s="142"/>
      <c r="F9" s="47"/>
      <c r="G9" s="47">
        <v>60</v>
      </c>
      <c r="H9" s="48" t="s">
        <v>96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37" t="s">
        <v>113</v>
      </c>
      <c r="D10" s="138"/>
      <c r="E10" s="139"/>
      <c r="F10" s="52"/>
      <c r="G10" s="52"/>
      <c r="H10" s="52"/>
      <c r="I10" s="53" t="s">
        <v>114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37" t="s">
        <v>113</v>
      </c>
      <c r="D11" s="138"/>
      <c r="E11" s="139"/>
      <c r="F11" s="52"/>
      <c r="G11" s="52"/>
      <c r="H11" s="52"/>
      <c r="I11" s="53" t="s">
        <v>114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50" t="s">
        <v>98</v>
      </c>
      <c r="D12" s="151"/>
      <c r="E12" s="152"/>
      <c r="F12" s="44"/>
      <c r="G12" s="44"/>
      <c r="H12" s="43"/>
      <c r="I12" s="28" t="s">
        <v>110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53" t="s">
        <v>111</v>
      </c>
      <c r="D13" s="154"/>
      <c r="E13" s="155"/>
      <c r="F13" s="58"/>
      <c r="G13" s="58">
        <v>60</v>
      </c>
      <c r="H13" s="48" t="s">
        <v>96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9" t="s">
        <v>89</v>
      </c>
      <c r="B15" s="30" t="s">
        <v>90</v>
      </c>
      <c r="C15" s="156" t="s">
        <v>115</v>
      </c>
      <c r="D15" s="148"/>
      <c r="E15" s="149"/>
      <c r="F15" s="30" t="s">
        <v>91</v>
      </c>
      <c r="G15" s="30" t="s">
        <v>92</v>
      </c>
      <c r="H15" s="30" t="s">
        <v>93</v>
      </c>
      <c r="I15" s="30" t="s">
        <v>94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57" t="s">
        <v>95</v>
      </c>
      <c r="D16" s="158"/>
      <c r="E16" s="159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37" t="s">
        <v>113</v>
      </c>
      <c r="D17" s="138"/>
      <c r="E17" s="139"/>
      <c r="F17" s="52"/>
      <c r="G17" s="52"/>
      <c r="H17" s="52"/>
      <c r="I17" s="53" t="s">
        <v>114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37" t="s">
        <v>113</v>
      </c>
      <c r="D18" s="138"/>
      <c r="E18" s="139"/>
      <c r="F18" s="52"/>
      <c r="G18" s="52"/>
      <c r="H18" s="52"/>
      <c r="I18" s="53" t="s">
        <v>114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40" t="s">
        <v>97</v>
      </c>
      <c r="D19" s="141"/>
      <c r="E19" s="142"/>
      <c r="F19" s="47"/>
      <c r="G19" s="47">
        <v>60</v>
      </c>
      <c r="H19" s="48" t="s">
        <v>96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37" t="s">
        <v>113</v>
      </c>
      <c r="D20" s="138"/>
      <c r="E20" s="139"/>
      <c r="F20" s="52"/>
      <c r="G20" s="52"/>
      <c r="H20" s="52"/>
      <c r="I20" s="53" t="s">
        <v>114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37" t="s">
        <v>113</v>
      </c>
      <c r="D21" s="138"/>
      <c r="E21" s="139"/>
      <c r="F21" s="52"/>
      <c r="G21" s="52"/>
      <c r="H21" s="52"/>
      <c r="I21" s="53" t="s">
        <v>114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50" t="s">
        <v>98</v>
      </c>
      <c r="D22" s="151"/>
      <c r="E22" s="152"/>
      <c r="F22" s="44"/>
      <c r="G22" s="44"/>
      <c r="H22" s="43"/>
      <c r="I22" s="28" t="s">
        <v>110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53" t="s">
        <v>111</v>
      </c>
      <c r="D23" s="154"/>
      <c r="E23" s="155"/>
      <c r="F23" s="58"/>
      <c r="G23" s="58">
        <v>60</v>
      </c>
      <c r="H23" s="48" t="s">
        <v>96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9" t="s">
        <v>89</v>
      </c>
      <c r="B25" s="30" t="s">
        <v>90</v>
      </c>
      <c r="C25" s="156" t="s">
        <v>116</v>
      </c>
      <c r="D25" s="148"/>
      <c r="E25" s="149"/>
      <c r="F25" s="30" t="s">
        <v>91</v>
      </c>
      <c r="G25" s="30" t="s">
        <v>92</v>
      </c>
      <c r="H25" s="30" t="s">
        <v>93</v>
      </c>
      <c r="I25" s="30" t="s">
        <v>94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57" t="s">
        <v>95</v>
      </c>
      <c r="D26" s="158"/>
      <c r="E26" s="159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37" t="s">
        <v>113</v>
      </c>
      <c r="D27" s="138"/>
      <c r="E27" s="139"/>
      <c r="F27" s="52"/>
      <c r="G27" s="52"/>
      <c r="H27" s="52"/>
      <c r="I27" s="53" t="s">
        <v>114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37" t="s">
        <v>113</v>
      </c>
      <c r="D28" s="138"/>
      <c r="E28" s="139"/>
      <c r="F28" s="52"/>
      <c r="G28" s="52"/>
      <c r="H28" s="52"/>
      <c r="I28" s="53" t="s">
        <v>114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40" t="s">
        <v>97</v>
      </c>
      <c r="D29" s="141"/>
      <c r="E29" s="142"/>
      <c r="F29" s="47"/>
      <c r="G29" s="47">
        <v>60</v>
      </c>
      <c r="H29" s="48" t="s">
        <v>96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37" t="s">
        <v>113</v>
      </c>
      <c r="D30" s="138"/>
      <c r="E30" s="139"/>
      <c r="F30" s="52"/>
      <c r="G30" s="52"/>
      <c r="H30" s="52"/>
      <c r="I30" s="53" t="s">
        <v>114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37" t="s">
        <v>113</v>
      </c>
      <c r="D31" s="138"/>
      <c r="E31" s="139"/>
      <c r="F31" s="52"/>
      <c r="G31" s="52"/>
      <c r="H31" s="52"/>
      <c r="I31" s="53" t="s">
        <v>114</v>
      </c>
      <c r="J31" s="22"/>
      <c r="K31" s="22"/>
      <c r="L31" s="22"/>
      <c r="M31" s="22"/>
      <c r="N31" s="22"/>
    </row>
    <row r="32" spans="1:14" s="55" customFormat="1" ht="15" customHeight="1" x14ac:dyDescent="0.2">
      <c r="A32" s="143"/>
      <c r="B32" s="143"/>
      <c r="C32" s="143"/>
      <c r="D32" s="143"/>
      <c r="E32" s="143"/>
      <c r="F32" s="143"/>
      <c r="G32" s="143"/>
      <c r="H32" s="143"/>
      <c r="I32" s="143"/>
      <c r="J32" s="54"/>
      <c r="K32" s="54"/>
      <c r="L32" s="54"/>
      <c r="M32" s="54"/>
      <c r="N32" s="54"/>
    </row>
    <row r="33" spans="1:14" s="55" customFormat="1" ht="15" customHeight="1" x14ac:dyDescent="0.2">
      <c r="A33" s="144" t="s">
        <v>117</v>
      </c>
      <c r="B33" s="144"/>
      <c r="C33" s="144"/>
      <c r="D33" s="144"/>
      <c r="E33" s="144"/>
      <c r="F33" s="144"/>
      <c r="G33" s="144"/>
      <c r="H33" s="144"/>
      <c r="I33" s="144"/>
      <c r="J33" s="54"/>
      <c r="K33" s="54"/>
      <c r="L33" s="54"/>
      <c r="M33" s="54"/>
      <c r="N33" s="54"/>
    </row>
    <row r="34" spans="1:14" s="55" customFormat="1" ht="1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54"/>
      <c r="K34" s="54"/>
      <c r="L34" s="54"/>
      <c r="M34" s="54"/>
      <c r="N34" s="54"/>
    </row>
    <row r="35" spans="1:14" s="55" customFormat="1" ht="15" customHeight="1" x14ac:dyDescent="0.2">
      <c r="A35" s="143"/>
      <c r="B35" s="143"/>
      <c r="C35" s="143"/>
      <c r="D35" s="143"/>
      <c r="E35" s="143"/>
      <c r="F35" s="143"/>
      <c r="G35" s="143"/>
      <c r="H35" s="143"/>
      <c r="I35" s="143"/>
      <c r="J35" s="54"/>
      <c r="K35" s="54"/>
      <c r="L35" s="54"/>
      <c r="M35" s="54"/>
      <c r="N35" s="54"/>
    </row>
    <row r="36" spans="1:14" s="55" customFormat="1" ht="15" customHeight="1" x14ac:dyDescent="0.2">
      <c r="A36" s="143"/>
      <c r="B36" s="143"/>
      <c r="C36" s="143"/>
      <c r="D36" s="143"/>
      <c r="E36" s="143"/>
      <c r="F36" s="143"/>
      <c r="G36" s="143"/>
      <c r="H36" s="143"/>
      <c r="I36" s="143"/>
      <c r="J36" s="54"/>
      <c r="K36" s="54"/>
      <c r="L36" s="54"/>
      <c r="M36" s="54"/>
      <c r="N36" s="54"/>
    </row>
    <row r="37" spans="1:14" s="55" customFormat="1" ht="15" customHeight="1" x14ac:dyDescent="0.2">
      <c r="A37" s="143"/>
      <c r="B37" s="143"/>
      <c r="C37" s="143"/>
      <c r="D37" s="143"/>
      <c r="E37" s="143"/>
      <c r="F37" s="143"/>
      <c r="G37" s="143"/>
      <c r="H37" s="143"/>
      <c r="I37" s="143"/>
      <c r="J37" s="54"/>
      <c r="K37" s="54"/>
      <c r="L37" s="54"/>
      <c r="M37" s="54"/>
      <c r="N37" s="54"/>
    </row>
    <row r="38" spans="1:14" s="55" customFormat="1" ht="15" customHeight="1" x14ac:dyDescent="0.2">
      <c r="A38" s="143"/>
      <c r="B38" s="143"/>
      <c r="C38" s="143"/>
      <c r="D38" s="143"/>
      <c r="E38" s="143"/>
      <c r="F38" s="143"/>
      <c r="G38" s="143"/>
      <c r="H38" s="143"/>
      <c r="I38" s="143"/>
      <c r="J38" s="54"/>
      <c r="K38" s="54"/>
      <c r="L38" s="54"/>
      <c r="M38" s="54"/>
      <c r="N38" s="54"/>
    </row>
    <row r="39" spans="1:14" s="55" customFormat="1" ht="15" customHeight="1" x14ac:dyDescent="0.2">
      <c r="A39" s="143"/>
      <c r="B39" s="143"/>
      <c r="C39" s="143"/>
      <c r="D39" s="143"/>
      <c r="E39" s="143"/>
      <c r="F39" s="143"/>
      <c r="G39" s="143"/>
      <c r="H39" s="143"/>
      <c r="I39" s="143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45" t="s">
        <v>99</v>
      </c>
      <c r="B44" s="145"/>
      <c r="C44" s="145"/>
      <c r="D44" s="145"/>
      <c r="E44" s="145"/>
      <c r="F44" s="145"/>
      <c r="G44" s="145"/>
      <c r="H44" s="35"/>
      <c r="I44" s="31" t="s">
        <v>100</v>
      </c>
      <c r="J44" s="22"/>
      <c r="K44" s="22"/>
      <c r="L44" s="22"/>
      <c r="M44" s="22"/>
      <c r="N44" s="22"/>
    </row>
    <row r="45" spans="1:14" x14ac:dyDescent="0.2">
      <c r="A45" s="146"/>
      <c r="B45" s="146"/>
      <c r="C45" s="146"/>
      <c r="D45" s="146"/>
      <c r="E45" s="146"/>
      <c r="F45" s="146"/>
      <c r="G45" s="146"/>
      <c r="H45" s="35"/>
      <c r="I45" s="22"/>
      <c r="J45" s="22"/>
      <c r="K45" s="22"/>
      <c r="L45" s="22"/>
      <c r="M45" s="22"/>
      <c r="N45" s="22"/>
    </row>
    <row r="46" spans="1:14" x14ac:dyDescent="0.2">
      <c r="A46" s="136" t="s">
        <v>101</v>
      </c>
      <c r="B46" s="136"/>
      <c r="C46" s="136"/>
      <c r="D46" s="136"/>
      <c r="E46" s="136"/>
      <c r="F46" s="136"/>
      <c r="G46" s="136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10</v>
      </c>
      <c r="L1" s="19" t="s">
        <v>2</v>
      </c>
    </row>
    <row r="2" spans="1:26" x14ac:dyDescent="0.2">
      <c r="A2" t="s">
        <v>11</v>
      </c>
      <c r="J2" t="s">
        <v>12</v>
      </c>
      <c r="P2" t="s">
        <v>2</v>
      </c>
      <c r="U2" t="s">
        <v>13</v>
      </c>
    </row>
    <row r="3" spans="1:26" ht="58" x14ac:dyDescent="0.2">
      <c r="A3" s="9" t="s">
        <v>14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H3" s="11" t="s">
        <v>20</v>
      </c>
      <c r="I3" s="10" t="s">
        <v>15</v>
      </c>
      <c r="J3" s="10" t="s">
        <v>16</v>
      </c>
      <c r="K3" s="10" t="s">
        <v>86</v>
      </c>
      <c r="L3" s="12"/>
      <c r="M3" s="11" t="s">
        <v>21</v>
      </c>
      <c r="N3" s="10" t="s">
        <v>15</v>
      </c>
      <c r="O3" s="10" t="s">
        <v>16</v>
      </c>
      <c r="P3" s="10" t="s">
        <v>17</v>
      </c>
      <c r="R3" s="13" t="s">
        <v>22</v>
      </c>
      <c r="S3" s="14" t="s">
        <v>23</v>
      </c>
      <c r="T3" s="14" t="s">
        <v>24</v>
      </c>
      <c r="U3" s="14" t="s">
        <v>25</v>
      </c>
      <c r="V3" s="14" t="s">
        <v>26</v>
      </c>
      <c r="W3" s="14" t="s">
        <v>27</v>
      </c>
      <c r="X3" s="14" t="s">
        <v>28</v>
      </c>
      <c r="Y3" s="14" t="s">
        <v>29</v>
      </c>
      <c r="Z3" s="15" t="s">
        <v>1</v>
      </c>
    </row>
    <row r="4" spans="1:26" x14ac:dyDescent="0.2">
      <c r="A4" s="9" t="s">
        <v>30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31</v>
      </c>
      <c r="I4" s="9">
        <v>1</v>
      </c>
      <c r="J4" s="9">
        <v>2</v>
      </c>
      <c r="K4" s="20">
        <v>4</v>
      </c>
      <c r="L4" s="16"/>
      <c r="M4" s="9" t="s">
        <v>31</v>
      </c>
      <c r="N4" s="9">
        <v>1</v>
      </c>
      <c r="O4" s="9">
        <v>2</v>
      </c>
      <c r="P4" s="20">
        <v>3</v>
      </c>
      <c r="R4" s="9">
        <v>41</v>
      </c>
      <c r="S4" s="9" t="s">
        <v>32</v>
      </c>
      <c r="T4" s="9" t="s">
        <v>32</v>
      </c>
      <c r="U4" s="9" t="s">
        <v>33</v>
      </c>
      <c r="V4" s="9" t="s">
        <v>33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34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35</v>
      </c>
      <c r="I5" s="9">
        <v>1</v>
      </c>
      <c r="J5" s="9">
        <v>2</v>
      </c>
      <c r="K5" s="20">
        <v>4</v>
      </c>
      <c r="L5" s="16"/>
      <c r="M5" s="9" t="s">
        <v>35</v>
      </c>
      <c r="N5" s="9">
        <v>1</v>
      </c>
      <c r="O5" s="9">
        <v>2</v>
      </c>
      <c r="P5" s="20">
        <v>3</v>
      </c>
      <c r="R5" s="9">
        <v>42</v>
      </c>
      <c r="S5" s="9" t="s">
        <v>32</v>
      </c>
      <c r="T5" s="9" t="s">
        <v>32</v>
      </c>
      <c r="U5" s="9" t="s">
        <v>33</v>
      </c>
      <c r="V5" s="9" t="s">
        <v>33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36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37</v>
      </c>
      <c r="I6" s="9">
        <v>1</v>
      </c>
      <c r="J6" s="9">
        <v>2</v>
      </c>
      <c r="K6" s="20">
        <v>4</v>
      </c>
      <c r="L6" s="16"/>
      <c r="M6" s="9" t="s">
        <v>37</v>
      </c>
      <c r="N6" s="9">
        <v>1</v>
      </c>
      <c r="O6" s="9">
        <v>2</v>
      </c>
      <c r="P6" s="20">
        <v>3</v>
      </c>
      <c r="R6" s="9">
        <v>43</v>
      </c>
      <c r="S6" s="9" t="s">
        <v>32</v>
      </c>
      <c r="T6" s="9" t="s">
        <v>32</v>
      </c>
      <c r="U6" s="9" t="s">
        <v>33</v>
      </c>
      <c r="V6" s="9" t="s">
        <v>33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38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39</v>
      </c>
      <c r="I7" s="9">
        <v>1</v>
      </c>
      <c r="J7" s="9">
        <v>2</v>
      </c>
      <c r="K7" s="20">
        <v>4</v>
      </c>
      <c r="L7" s="16"/>
      <c r="M7" s="9" t="s">
        <v>39</v>
      </c>
      <c r="N7" s="9">
        <v>1</v>
      </c>
      <c r="O7" s="9">
        <v>2</v>
      </c>
      <c r="P7" s="20">
        <v>3</v>
      </c>
      <c r="R7" s="9">
        <v>44</v>
      </c>
      <c r="S7" s="9" t="s">
        <v>32</v>
      </c>
      <c r="T7" s="9" t="s">
        <v>32</v>
      </c>
      <c r="U7" s="9" t="s">
        <v>33</v>
      </c>
      <c r="V7" s="9" t="s">
        <v>40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41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42</v>
      </c>
      <c r="I8" s="9">
        <v>1</v>
      </c>
      <c r="J8" s="9">
        <v>2</v>
      </c>
      <c r="K8" s="20" t="s">
        <v>2</v>
      </c>
      <c r="L8" s="16"/>
      <c r="M8" s="9" t="s">
        <v>42</v>
      </c>
      <c r="N8" s="9">
        <v>1</v>
      </c>
      <c r="O8" s="9">
        <v>2</v>
      </c>
      <c r="P8" s="20">
        <v>3</v>
      </c>
    </row>
    <row r="9" spans="1:26" x14ac:dyDescent="0.2">
      <c r="A9" s="9" t="s">
        <v>43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44</v>
      </c>
      <c r="I9" s="9">
        <v>1</v>
      </c>
      <c r="J9" s="9">
        <v>2</v>
      </c>
      <c r="K9" s="20" t="s">
        <v>2</v>
      </c>
      <c r="L9" s="16"/>
      <c r="M9" s="9" t="s">
        <v>44</v>
      </c>
      <c r="N9" s="9">
        <v>1</v>
      </c>
      <c r="O9" s="9">
        <v>2</v>
      </c>
      <c r="P9" s="20">
        <v>3</v>
      </c>
      <c r="R9" s="9">
        <v>31</v>
      </c>
      <c r="S9" s="9" t="s">
        <v>32</v>
      </c>
      <c r="T9" s="9" t="s">
        <v>45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46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47</v>
      </c>
      <c r="I10" s="9">
        <v>1</v>
      </c>
      <c r="J10" s="9">
        <v>2</v>
      </c>
      <c r="K10" s="20" t="s">
        <v>2</v>
      </c>
      <c r="L10" s="16"/>
      <c r="M10" s="9" t="s">
        <v>47</v>
      </c>
      <c r="N10" s="9">
        <v>1</v>
      </c>
      <c r="O10" s="9">
        <v>2</v>
      </c>
      <c r="P10" s="20">
        <v>3</v>
      </c>
      <c r="R10" s="9">
        <v>32</v>
      </c>
      <c r="S10" s="9" t="s">
        <v>32</v>
      </c>
      <c r="T10" s="9" t="s">
        <v>32</v>
      </c>
      <c r="U10" s="9" t="s">
        <v>33</v>
      </c>
      <c r="V10" s="9" t="s">
        <v>40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48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49</v>
      </c>
      <c r="I11" s="9">
        <v>1</v>
      </c>
      <c r="J11" s="9">
        <v>2</v>
      </c>
      <c r="K11" s="20" t="s">
        <v>2</v>
      </c>
      <c r="L11" s="16"/>
      <c r="M11" s="9" t="s">
        <v>49</v>
      </c>
      <c r="N11" s="9">
        <v>1</v>
      </c>
      <c r="O11" s="9">
        <v>2</v>
      </c>
      <c r="P11" s="20">
        <v>3</v>
      </c>
      <c r="R11" s="9">
        <v>33</v>
      </c>
      <c r="S11" s="9" t="s">
        <v>32</v>
      </c>
      <c r="T11" s="9" t="s">
        <v>32</v>
      </c>
      <c r="U11" s="9" t="s">
        <v>33</v>
      </c>
      <c r="V11" s="9" t="s">
        <v>40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50</v>
      </c>
      <c r="B12">
        <v>0</v>
      </c>
      <c r="C12">
        <v>2</v>
      </c>
      <c r="D12" t="s">
        <v>2</v>
      </c>
      <c r="H12" s="9" t="s">
        <v>51</v>
      </c>
      <c r="I12" s="9">
        <v>1</v>
      </c>
      <c r="J12" s="9">
        <v>2</v>
      </c>
      <c r="K12" s="20" t="s">
        <v>2</v>
      </c>
      <c r="L12" s="16"/>
      <c r="M12" s="9" t="s">
        <v>51</v>
      </c>
      <c r="N12" s="9">
        <v>1</v>
      </c>
      <c r="O12" s="9">
        <v>2</v>
      </c>
      <c r="P12" s="20">
        <v>3</v>
      </c>
      <c r="R12" s="9">
        <v>34</v>
      </c>
      <c r="S12" s="9" t="s">
        <v>32</v>
      </c>
      <c r="T12" s="9" t="s">
        <v>32</v>
      </c>
      <c r="U12" s="9" t="s">
        <v>33</v>
      </c>
      <c r="V12" s="9" t="s">
        <v>40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52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53</v>
      </c>
      <c r="I13" s="9">
        <v>1</v>
      </c>
      <c r="J13" s="9">
        <v>2</v>
      </c>
      <c r="K13" s="20">
        <v>3</v>
      </c>
      <c r="L13" s="16"/>
      <c r="M13" s="9" t="s">
        <v>53</v>
      </c>
      <c r="N13" s="9">
        <v>1</v>
      </c>
      <c r="O13" s="9">
        <v>2</v>
      </c>
      <c r="P13" s="20">
        <v>3</v>
      </c>
    </row>
    <row r="14" spans="1:26" x14ac:dyDescent="0.2">
      <c r="A14" s="9" t="s">
        <v>54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55</v>
      </c>
      <c r="I14" s="9">
        <v>1</v>
      </c>
      <c r="J14" s="9">
        <v>2</v>
      </c>
      <c r="K14" s="20">
        <v>3</v>
      </c>
      <c r="L14" s="16"/>
      <c r="M14" s="9" t="s">
        <v>55</v>
      </c>
      <c r="N14" s="9">
        <v>1</v>
      </c>
      <c r="O14" s="9">
        <v>2</v>
      </c>
      <c r="P14" s="20">
        <v>3</v>
      </c>
      <c r="R14" s="9">
        <v>21</v>
      </c>
      <c r="S14" s="9" t="s">
        <v>32</v>
      </c>
      <c r="T14" s="9" t="s">
        <v>45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56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57</v>
      </c>
      <c r="I15" s="9">
        <v>1</v>
      </c>
      <c r="J15" s="9">
        <v>2</v>
      </c>
      <c r="K15" s="20" t="s">
        <v>2</v>
      </c>
      <c r="L15" s="16"/>
      <c r="M15" s="9" t="s">
        <v>57</v>
      </c>
      <c r="N15" s="9">
        <v>1</v>
      </c>
      <c r="O15" s="9">
        <v>2</v>
      </c>
      <c r="P15" s="20">
        <v>3</v>
      </c>
      <c r="R15" s="9">
        <v>22</v>
      </c>
      <c r="S15" s="9" t="s">
        <v>32</v>
      </c>
      <c r="T15" s="9" t="s">
        <v>32</v>
      </c>
      <c r="U15" s="9" t="s">
        <v>33</v>
      </c>
      <c r="V15" s="9" t="s">
        <v>40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58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59</v>
      </c>
      <c r="I16" s="18" t="s">
        <v>2</v>
      </c>
      <c r="J16" t="s">
        <v>2</v>
      </c>
      <c r="K16" t="s">
        <v>2</v>
      </c>
      <c r="M16" t="s">
        <v>60</v>
      </c>
      <c r="N16" s="18"/>
      <c r="P16" t="s">
        <v>2</v>
      </c>
      <c r="R16" s="9">
        <v>23</v>
      </c>
      <c r="S16" s="9" t="s">
        <v>32</v>
      </c>
      <c r="T16" s="9" t="s">
        <v>32</v>
      </c>
      <c r="U16" s="9" t="s">
        <v>33</v>
      </c>
      <c r="V16" s="9" t="s">
        <v>40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61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62</v>
      </c>
      <c r="I17" s="9">
        <v>1</v>
      </c>
      <c r="J17" s="9">
        <v>2</v>
      </c>
      <c r="K17" s="20">
        <v>4</v>
      </c>
      <c r="L17" s="16"/>
      <c r="M17" s="9" t="s">
        <v>62</v>
      </c>
      <c r="N17" s="9">
        <v>1</v>
      </c>
      <c r="O17" s="9">
        <v>2</v>
      </c>
      <c r="P17" s="20">
        <v>3</v>
      </c>
      <c r="R17" s="9">
        <v>24</v>
      </c>
      <c r="S17" s="9" t="s">
        <v>32</v>
      </c>
      <c r="T17" s="9" t="s">
        <v>32</v>
      </c>
      <c r="U17" s="9" t="s">
        <v>33</v>
      </c>
      <c r="V17" s="9" t="s">
        <v>40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63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64</v>
      </c>
      <c r="I18" s="9">
        <v>1</v>
      </c>
      <c r="J18" s="9">
        <v>2</v>
      </c>
      <c r="K18" s="20">
        <v>4</v>
      </c>
      <c r="L18" s="16"/>
      <c r="M18" s="9" t="s">
        <v>64</v>
      </c>
      <c r="N18" s="9">
        <v>1</v>
      </c>
      <c r="O18" s="9">
        <v>2</v>
      </c>
      <c r="P18" s="20">
        <v>3</v>
      </c>
    </row>
    <row r="19" spans="1:26" x14ac:dyDescent="0.2">
      <c r="A19" s="9" t="s">
        <v>65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66</v>
      </c>
      <c r="I19" s="9">
        <v>1</v>
      </c>
      <c r="J19" s="9">
        <v>2</v>
      </c>
      <c r="K19" s="20">
        <v>4</v>
      </c>
      <c r="L19" s="16"/>
      <c r="M19" s="9" t="s">
        <v>66</v>
      </c>
      <c r="N19" s="9">
        <v>1</v>
      </c>
      <c r="O19" s="9">
        <v>2</v>
      </c>
      <c r="P19" s="20">
        <v>3</v>
      </c>
      <c r="R19" s="9">
        <v>11</v>
      </c>
      <c r="S19" s="9" t="s">
        <v>32</v>
      </c>
      <c r="T19" s="9" t="s">
        <v>45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67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68</v>
      </c>
      <c r="I20" s="9">
        <v>1</v>
      </c>
      <c r="J20" s="9">
        <v>2</v>
      </c>
      <c r="K20" s="20">
        <v>4</v>
      </c>
      <c r="L20" s="16"/>
      <c r="M20" s="9" t="s">
        <v>68</v>
      </c>
      <c r="N20" s="9">
        <v>1</v>
      </c>
      <c r="O20" s="9">
        <v>2</v>
      </c>
      <c r="P20" s="20">
        <v>3</v>
      </c>
      <c r="R20" s="9">
        <v>12</v>
      </c>
      <c r="S20" s="9" t="s">
        <v>32</v>
      </c>
      <c r="T20" s="9" t="s">
        <v>32</v>
      </c>
      <c r="U20" s="9" t="s">
        <v>33</v>
      </c>
      <c r="V20" s="9" t="s">
        <v>40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69</v>
      </c>
      <c r="B21" t="s">
        <v>2</v>
      </c>
      <c r="C21" t="s">
        <v>2</v>
      </c>
      <c r="D21" t="s">
        <v>2</v>
      </c>
      <c r="H21" s="9" t="s">
        <v>70</v>
      </c>
      <c r="I21" s="9">
        <v>1</v>
      </c>
      <c r="J21" s="9">
        <v>2</v>
      </c>
      <c r="K21" s="20" t="s">
        <v>2</v>
      </c>
      <c r="L21" s="16"/>
      <c r="M21" s="9" t="s">
        <v>70</v>
      </c>
      <c r="N21" s="9">
        <v>1</v>
      </c>
      <c r="O21" s="9">
        <v>2</v>
      </c>
      <c r="P21" s="20">
        <v>3</v>
      </c>
      <c r="R21" s="9">
        <v>13</v>
      </c>
      <c r="S21" s="9" t="s">
        <v>32</v>
      </c>
      <c r="T21" s="9" t="s">
        <v>32</v>
      </c>
      <c r="U21" s="9" t="s">
        <v>33</v>
      </c>
      <c r="V21" s="9" t="s">
        <v>40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71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72</v>
      </c>
      <c r="I22" s="9">
        <v>1</v>
      </c>
      <c r="J22" s="9">
        <v>2</v>
      </c>
      <c r="K22" s="20" t="s">
        <v>2</v>
      </c>
      <c r="L22" s="16"/>
      <c r="M22" s="9" t="s">
        <v>72</v>
      </c>
      <c r="N22" s="9">
        <v>1</v>
      </c>
      <c r="O22" s="9">
        <v>2</v>
      </c>
      <c r="P22" s="20">
        <v>3</v>
      </c>
      <c r="R22" s="9">
        <v>14</v>
      </c>
      <c r="S22" s="9" t="s">
        <v>32</v>
      </c>
      <c r="T22" s="9" t="s">
        <v>32</v>
      </c>
      <c r="U22" s="9" t="s">
        <v>33</v>
      </c>
      <c r="V22" s="9" t="s">
        <v>40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73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74</v>
      </c>
      <c r="I23" s="9">
        <v>1</v>
      </c>
      <c r="J23" s="9">
        <v>2</v>
      </c>
      <c r="K23" s="20" t="s">
        <v>2</v>
      </c>
      <c r="L23" s="16"/>
      <c r="M23" s="9" t="s">
        <v>74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75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76</v>
      </c>
      <c r="I24" s="9">
        <v>1</v>
      </c>
      <c r="J24" s="9">
        <v>2</v>
      </c>
      <c r="K24" s="20" t="s">
        <v>2</v>
      </c>
      <c r="L24" s="16"/>
      <c r="M24" s="9" t="s">
        <v>76</v>
      </c>
      <c r="N24" s="9">
        <v>1</v>
      </c>
      <c r="O24" s="9">
        <v>2</v>
      </c>
      <c r="P24" s="20">
        <v>3</v>
      </c>
    </row>
    <row r="25" spans="1:26" x14ac:dyDescent="0.2">
      <c r="A25" s="9" t="s">
        <v>77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78</v>
      </c>
      <c r="I25" s="9">
        <v>1</v>
      </c>
      <c r="J25" s="9">
        <v>2</v>
      </c>
      <c r="K25" s="20" t="s">
        <v>2</v>
      </c>
      <c r="L25" s="16"/>
      <c r="M25" s="9" t="s">
        <v>78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79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80</v>
      </c>
      <c r="I26" s="9">
        <v>1</v>
      </c>
      <c r="J26" s="9">
        <v>2</v>
      </c>
      <c r="K26" s="20">
        <v>3</v>
      </c>
      <c r="L26" s="16"/>
      <c r="M26" s="9" t="s">
        <v>80</v>
      </c>
      <c r="N26" s="9">
        <v>1</v>
      </c>
      <c r="O26" s="9">
        <v>2</v>
      </c>
      <c r="P26" s="20">
        <v>3</v>
      </c>
    </row>
    <row r="27" spans="1:26" x14ac:dyDescent="0.2">
      <c r="A27" s="9" t="s">
        <v>81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82</v>
      </c>
      <c r="I27" s="9">
        <v>1</v>
      </c>
      <c r="J27" s="9">
        <v>2</v>
      </c>
      <c r="K27" s="20">
        <v>3</v>
      </c>
      <c r="L27" s="16"/>
      <c r="M27" s="9" t="s">
        <v>82</v>
      </c>
      <c r="N27" s="9">
        <v>1</v>
      </c>
      <c r="O27" s="9">
        <v>2</v>
      </c>
      <c r="P27" s="20">
        <v>3</v>
      </c>
    </row>
    <row r="28" spans="1:26" x14ac:dyDescent="0.2">
      <c r="A28" s="9" t="s">
        <v>83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84</v>
      </c>
      <c r="I28" s="9">
        <v>1</v>
      </c>
      <c r="J28" s="9">
        <v>2</v>
      </c>
      <c r="K28" s="20" t="s">
        <v>2</v>
      </c>
      <c r="L28" s="16"/>
      <c r="M28" s="9" t="s">
        <v>84</v>
      </c>
      <c r="N28" s="9">
        <v>1</v>
      </c>
      <c r="O28" s="9">
        <v>2</v>
      </c>
      <c r="P28" s="20">
        <v>3</v>
      </c>
    </row>
    <row r="29" spans="1:26" x14ac:dyDescent="0.2">
      <c r="A29" s="9" t="s">
        <v>85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0" t="s">
        <v>180</v>
      </c>
    </row>
    <row r="3" spans="1:1" ht="28" customHeight="1" thickBot="1" x14ac:dyDescent="0.25">
      <c r="A3" s="91" t="s">
        <v>181</v>
      </c>
    </row>
    <row r="4" spans="1:1" ht="17" x14ac:dyDescent="0.2">
      <c r="A4" s="92" t="s">
        <v>182</v>
      </c>
    </row>
    <row r="5" spans="1:1" ht="41" customHeight="1" x14ac:dyDescent="0.2">
      <c r="A5" s="93" t="s">
        <v>183</v>
      </c>
    </row>
    <row r="6" spans="1:1" ht="33" customHeight="1" thickBot="1" x14ac:dyDescent="0.25">
      <c r="A6" s="91" t="s">
        <v>185</v>
      </c>
    </row>
    <row r="7" spans="1:1" ht="29" customHeight="1" thickBot="1" x14ac:dyDescent="0.25">
      <c r="A7" s="94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Maria Cecilia Correa Cuevas</cp:lastModifiedBy>
  <dcterms:created xsi:type="dcterms:W3CDTF">2014-07-29T17:30:41Z</dcterms:created>
  <dcterms:modified xsi:type="dcterms:W3CDTF">2018-02-22T12:33:36Z</dcterms:modified>
</cp:coreProperties>
</file>