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3200" yWindow="460" windowWidth="25600" windowHeight="140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5" i="1" l="1"/>
  <c r="E33" i="1"/>
  <c r="F35" i="1"/>
  <c r="F33" i="1"/>
  <c r="F10" i="1"/>
  <c r="F12" i="1"/>
  <c r="F13" i="1"/>
  <c r="F14" i="1"/>
  <c r="F15" i="1"/>
  <c r="F11" i="1"/>
  <c r="F16" i="1"/>
  <c r="F19" i="1"/>
  <c r="F20" i="1"/>
  <c r="F21" i="1"/>
  <c r="F28" i="1"/>
  <c r="F25" i="1"/>
  <c r="F26" i="1"/>
  <c r="F9" i="1"/>
  <c r="F121" i="1"/>
  <c r="F120" i="1"/>
  <c r="F117" i="1"/>
  <c r="F118" i="1"/>
  <c r="F119" i="1"/>
  <c r="F77" i="1"/>
  <c r="F66" i="1"/>
  <c r="F116" i="1"/>
  <c r="F24" i="1"/>
  <c r="F23" i="1"/>
  <c r="F115" i="1"/>
  <c r="F73" i="1"/>
  <c r="F72" i="1"/>
  <c r="F74" i="1"/>
  <c r="F112" i="1"/>
  <c r="F113" i="1"/>
  <c r="F114" i="1"/>
  <c r="F107" i="1"/>
  <c r="F106" i="1"/>
  <c r="F105" i="1"/>
  <c r="F79" i="1"/>
  <c r="F98" i="1"/>
  <c r="F111" i="1"/>
  <c r="F94" i="1"/>
  <c r="F92" i="1"/>
  <c r="F93" i="1"/>
  <c r="F95" i="1"/>
  <c r="F96" i="1"/>
  <c r="F97" i="1"/>
  <c r="F99" i="1"/>
  <c r="F103" i="1"/>
  <c r="F104" i="1"/>
  <c r="F108" i="1"/>
  <c r="F91" i="1"/>
  <c r="F88" i="1"/>
  <c r="F83" i="1"/>
  <c r="F90" i="1"/>
  <c r="F109" i="1"/>
  <c r="F110" i="1"/>
  <c r="F70" i="1"/>
  <c r="F75" i="1"/>
  <c r="F71" i="1"/>
  <c r="F86" i="1"/>
  <c r="F81" i="1"/>
  <c r="F82" i="1"/>
  <c r="F84" i="1"/>
  <c r="F85" i="1"/>
  <c r="F87" i="1"/>
  <c r="F89" i="1"/>
  <c r="F67" i="1"/>
  <c r="F68" i="1"/>
  <c r="F69" i="1"/>
  <c r="F76" i="1"/>
  <c r="F78" i="1"/>
  <c r="F80" i="1"/>
  <c r="F30" i="5"/>
  <c r="E30" i="5"/>
  <c r="D30" i="5"/>
  <c r="C30" i="5"/>
  <c r="B30" i="5"/>
  <c r="P29" i="5"/>
  <c r="O29" i="5"/>
  <c r="N29" i="5"/>
  <c r="K29" i="5"/>
  <c r="J29" i="5"/>
  <c r="I29" i="5"/>
  <c r="Z23" i="5"/>
  <c r="F29" i="1"/>
  <c r="F30" i="1"/>
</calcChain>
</file>

<file path=xl/sharedStrings.xml><?xml version="1.0" encoding="utf-8"?>
<sst xmlns="http://schemas.openxmlformats.org/spreadsheetml/2006/main" count="498" uniqueCount="303">
  <si>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</si>
  <si>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</si>
  <si>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</si>
  <si>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</si>
  <si>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</si>
  <si>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</si>
  <si>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</si>
  <si>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</si>
  <si>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</si>
  <si>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</si>
  <si>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</si>
  <si>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</si>
  <si>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</si>
  <si>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</si>
  <si>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</si>
  <si>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</si>
  <si>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</si>
  <si>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</si>
  <si>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</si>
  <si>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</si>
  <si>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</si>
  <si>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</si>
  <si>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</si>
  <si>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</si>
  <si>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</si>
  <si>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</si>
  <si>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</si>
  <si>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</si>
  <si>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</si>
  <si>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</si>
  <si>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</si>
  <si>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</si>
  <si>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</si>
  <si>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</si>
  <si>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</si>
  <si>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</si>
  <si>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</si>
  <si>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</si>
  <si>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</si>
  <si>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</si>
  <si>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</si>
  <si>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</si>
  <si>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</si>
  <si>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</si>
  <si>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</si>
  <si>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</si>
  <si>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</si>
  <si>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</si>
  <si>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</si>
  <si>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</si>
  <si>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</si>
  <si>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</si>
  <si>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</si>
  <si>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</si>
  <si>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</si>
  <si>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</si>
  <si>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</si>
  <si>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</si>
  <si>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</si>
  <si>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</si>
  <si>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</si>
  <si>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</si>
  <si>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</si>
  <si>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</si>
  <si>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</si>
  <si>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</si>
  <si>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</si>
  <si>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</si>
  <si>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</si>
  <si>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</si>
  <si>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</si>
  <si>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</si>
  <si>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</si>
  <si>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</si>
  <si>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</si>
  <si>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</si>
  <si>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</si>
  <si>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</si>
  <si>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</si>
  <si>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</si>
  <si>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</si>
  <si>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</si>
  <si>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</si>
  <si>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</si>
  <si>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</si>
  <si>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</si>
  <si>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</si>
  <si>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</si>
  <si>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</si>
  <si>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</si>
  <si>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</si>
  <si>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</si>
  <si>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</si>
  <si>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</si>
  <si>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</si>
  <si>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</si>
  <si>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</si>
  <si>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</si>
  <si>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</si>
  <si>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</si>
  <si>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</si>
  <si>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</si>
  <si>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</si>
  <si>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</si>
  <si>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</si>
  <si>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</si>
  <si>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</si>
  <si>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</si>
  <si>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</si>
  <si>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</si>
  <si>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</si>
  <si>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</si>
  <si>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</si>
  <si>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</si>
  <si>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</si>
  <si>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</si>
  <si>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</si>
  <si>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</si>
  <si>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</si>
  <si>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</si>
  <si>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</si>
  <si>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</si>
  <si>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</si>
  <si>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</si>
  <si>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</si>
  <si>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</si>
  <si>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</si>
  <si>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</si>
  <si>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</si>
  <si>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</si>
  <si>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</si>
  <si>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</si>
  <si>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</si>
  <si>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</si>
  <si>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</si>
  <si>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</si>
  <si>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</si>
  <si>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</si>
  <si>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</si>
  <si>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</si>
  <si>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</si>
  <si>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</si>
  <si>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</si>
  <si>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</si>
  <si>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</si>
  <si>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</si>
  <si>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</si>
  <si>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</si>
  <si>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</si>
  <si>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</si>
  <si>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</si>
  <si>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</si>
  <si>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</si>
  <si>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</si>
  <si>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</si>
  <si>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</si>
  <si>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</si>
  <si>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</si>
  <si>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</si>
  <si>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</si>
  <si>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</si>
  <si>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</si>
  <si>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</si>
  <si>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</si>
  <si>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</si>
  <si>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</si>
  <si>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</si>
  <si>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</si>
  <si>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</si>
  <si>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</si>
  <si>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</si>
  <si>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</si>
  <si>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</si>
  <si>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</si>
  <si>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</si>
  <si>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</si>
  <si>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</si>
  <si>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</si>
  <si>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</si>
  <si>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</si>
  <si>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</si>
  <si>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</si>
  <si>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</si>
  <si>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</si>
  <si>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</si>
  <si>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</si>
  <si>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</si>
  <si>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</si>
  <si>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</si>
  <si>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</si>
  <si>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</si>
  <si>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</si>
  <si>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</si>
  <si>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</si>
  <si>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</si>
  <si>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</si>
  <si>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</si>
  <si>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</si>
  <si>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</si>
  <si>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</si>
  <si>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</si>
  <si>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</si>
  <si>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</si>
  <si>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</si>
  <si>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</si>
  <si>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</si>
  <si>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</si>
  <si>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</si>
  <si>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</si>
  <si>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</si>
  <si>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</si>
  <si>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</si>
  <si>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</si>
  <si>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</si>
  <si>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</si>
  <si>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</si>
  <si>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</si>
  <si>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</si>
  <si>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</si>
  <si>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</si>
  <si>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</si>
  <si>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</si>
  <si>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</si>
  <si>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</si>
  <si>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</si>
  <si>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</si>
  <si>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</si>
  <si>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</si>
  <si>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</si>
  <si>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</si>
  <si>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</si>
  <si>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</si>
  <si>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</si>
  <si>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</si>
  <si>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</si>
  <si>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</si>
  <si>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</si>
  <si>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</si>
  <si>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</si>
  <si>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</si>
  <si>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</si>
  <si>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</si>
  <si>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</si>
  <si>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</si>
  <si>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</si>
  <si>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</si>
  <si>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</si>
  <si>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</si>
  <si>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</si>
  <si>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</si>
  <si>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</si>
  <si>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</si>
  <si>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</si>
  <si>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</si>
  <si>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</si>
  <si>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</si>
  <si>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</si>
  <si>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</si>
  <si>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</si>
  <si>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</si>
  <si>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</si>
  <si>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</si>
  <si>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</si>
  <si>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</si>
  <si>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</si>
  <si>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</si>
  <si>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</si>
  <si>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</si>
  <si>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</si>
  <si>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</si>
  <si>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</si>
  <si>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</si>
  <si>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</si>
  <si>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</si>
  <si>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</si>
  <si>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</si>
  <si>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</si>
  <si>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</si>
  <si>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</si>
  <si>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</si>
  <si>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</si>
  <si>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</si>
  <si>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</si>
  <si>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</si>
  <si>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</si>
  <si>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</si>
  <si>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</si>
  <si>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</si>
  <si>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</si>
  <si>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</si>
  <si>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Guillermina Muñoz</t>
  </si>
  <si>
    <t>Unosalud</t>
  </si>
  <si>
    <t>Carmen Rodriguez D.</t>
  </si>
  <si>
    <t xml:space="preserve">   Abril 2018</t>
  </si>
  <si>
    <t xml:space="preserve">                                                            E Mail:</t>
  </si>
  <si>
    <t xml:space="preserve">                                                            Fecha:</t>
  </si>
  <si>
    <t>9 74961403</t>
  </si>
  <si>
    <t>Team Building, Trabajo en equipo</t>
  </si>
  <si>
    <t>Circuito de alianzas para  25 pasajeros</t>
  </si>
  <si>
    <t>Analisis de Francisco Correa</t>
  </si>
  <si>
    <t>1 hora de bajada de la actividad, alineandonos con los objetivos de la empresa.</t>
  </si>
  <si>
    <t>Actividad de la luz para 25 pasajeros</t>
  </si>
  <si>
    <t>app 1,5 hora detalle en descripcion de Tem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</si>
</sst>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;[Red]&quot;$&quot;\-#,##0"/>
    <numFmt numFmtId="165" formatCode="_ &quot;$&quot;* #,##0_ ;_ &quot;$&quot;* \-#,##0_ ;_ &quot;$&quot;* &quot;-&quot;_ ;_ @_ "/>
    <numFmt numFmtId="166" formatCode="&quot;$&quot;#,##0"/>
    <numFmt numFmtId="167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4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7" fontId="4" fillId="0" borderId="0" xfId="0" applyNumberFormat="1" applyFont="1" applyAlignment="1">
      <alignment horizontal="right"/>
    </xf>
    <xf numFmtId="167" fontId="0" fillId="0" borderId="0" xfId="0" applyNumberFormat="1"/>
    <xf numFmtId="167" fontId="2" fillId="0" borderId="0" xfId="0" applyNumberFormat="1" applyFont="1" applyFill="1"/>
    <xf numFmtId="167" fontId="7" fillId="0" borderId="9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7" fontId="7" fillId="0" borderId="15" xfId="0" applyNumberFormat="1" applyFont="1" applyBorder="1" applyAlignment="1">
      <alignment horizontal="right" vertical="center"/>
    </xf>
    <xf numFmtId="167" fontId="10" fillId="4" borderId="0" xfId="0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7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164" fontId="7" fillId="9" borderId="2" xfId="0" applyNumberFormat="1" applyFont="1" applyFill="1" applyBorder="1"/>
    <xf numFmtId="164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7" fontId="7" fillId="9" borderId="2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/>
    </xf>
    <xf numFmtId="167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164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7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164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7" fontId="7" fillId="9" borderId="1" xfId="0" applyNumberFormat="1" applyFont="1" applyFill="1" applyBorder="1" applyAlignment="1">
      <alignment horizontal="center"/>
    </xf>
    <xf numFmtId="16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7" fontId="7" fillId="9" borderId="1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7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164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7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7" fontId="7" fillId="9" borderId="1" xfId="0" applyNumberFormat="1" applyFont="1" applyFill="1" applyBorder="1" applyAlignment="1">
      <alignment horizontal="justify" vertical="center"/>
    </xf>
    <xf numFmtId="167" fontId="0" fillId="3" borderId="1" xfId="0" applyNumberFormat="1" applyFill="1" applyBorder="1"/>
    <xf numFmtId="165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7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7" fontId="7" fillId="9" borderId="1" xfId="0" applyNumberFormat="1" applyFont="1" applyFill="1" applyBorder="1"/>
    <xf numFmtId="0" fontId="0" fillId="3" borderId="0" xfId="0" applyFill="1"/>
    <xf numFmtId="167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7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7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7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7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7" fontId="16" fillId="9" borderId="1" xfId="0" applyNumberFormat="1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165" fontId="16" fillId="9" borderId="1" xfId="117" applyFont="1" applyFill="1" applyBorder="1" applyAlignment="1">
      <alignment horizontal="right" vertical="center"/>
    </xf>
    <xf numFmtId="166" fontId="0" fillId="3" borderId="1" xfId="0" applyNumberFormat="1" applyFill="1" applyBorder="1"/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167" fontId="2" fillId="0" borderId="0" xfId="0" applyNumberFormat="1" applyFont="1" applyFill="1" applyAlignment="1">
      <alignment horizontal="left"/>
    </xf>
    <xf numFmtId="167" fontId="0" fillId="0" borderId="0" xfId="0" applyNumberFormat="1" applyAlignment="1">
      <alignment horizontal="left"/>
    </xf>
    <xf numFmtId="0" fontId="7" fillId="11" borderId="3" xfId="0" applyFont="1" applyFill="1" applyBorder="1" applyAlignment="1">
      <alignment horizontal="right"/>
    </xf>
    <xf numFmtId="167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center"/>
    </xf>
    <xf numFmtId="164" fontId="7" fillId="11" borderId="4" xfId="0" applyNumberFormat="1" applyFont="1" applyFill="1" applyBorder="1" applyAlignment="1">
      <alignment horizontal="right"/>
    </xf>
    <xf numFmtId="164" fontId="7" fillId="11" borderId="18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167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0" fontId="7" fillId="0" borderId="1" xfId="0" applyFont="1" applyBorder="1"/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41"/>
  <sheetViews>
    <sheetView tabSelected="1" topLeftCell="A12" workbookViewId="0">
      <selection activeCell="E36" sqref="E36"/>
    </sheetView>
  </sheetViews>
  <sheetFormatPr baseColWidth="10" defaultRowHeight="16" x14ac:dyDescent="0.2"/>
  <cols>
    <col min="1" max="1" width="33.5" customWidth="1"/>
    <col min="2" max="2" width="10.83203125" style="80" customWidth="1"/>
    <col min="3" max="4" width="6.33203125" customWidth="1"/>
    <col min="5" max="5" width="12.6640625" customWidth="1"/>
    <col min="6" max="6" width="13.16406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138</v>
      </c>
    </row>
    <row r="2" spans="1:7" x14ac:dyDescent="0.2">
      <c r="G2" t="s">
        <v>231</v>
      </c>
    </row>
    <row r="3" spans="1:7" x14ac:dyDescent="0.2">
      <c r="A3" s="71" t="s">
        <v>139</v>
      </c>
      <c r="B3" s="183" t="s">
        <v>290</v>
      </c>
      <c r="E3" t="s">
        <v>3</v>
      </c>
      <c r="F3" s="35" t="s">
        <v>291</v>
      </c>
      <c r="G3" s="89" t="s">
        <v>232</v>
      </c>
    </row>
    <row r="4" spans="1:7" x14ac:dyDescent="0.2">
      <c r="A4" t="s">
        <v>294</v>
      </c>
      <c r="C4" s="75"/>
      <c r="E4" t="s">
        <v>5</v>
      </c>
      <c r="F4">
        <v>227639090</v>
      </c>
      <c r="G4" s="90" t="s">
        <v>233</v>
      </c>
    </row>
    <row r="5" spans="1:7" x14ac:dyDescent="0.2">
      <c r="A5" t="s">
        <v>295</v>
      </c>
      <c r="B5" s="80" t="s">
        <v>293</v>
      </c>
      <c r="E5" t="s">
        <v>4</v>
      </c>
      <c r="F5" s="35">
        <v>14</v>
      </c>
      <c r="G5" s="90" t="s">
        <v>234</v>
      </c>
    </row>
    <row r="6" spans="1:7" x14ac:dyDescent="0.2">
      <c r="A6" s="73" t="s">
        <v>141</v>
      </c>
      <c r="B6" s="182" t="s">
        <v>292</v>
      </c>
      <c r="C6" s="72"/>
      <c r="D6" s="72"/>
      <c r="E6" s="72" t="s">
        <v>140</v>
      </c>
      <c r="F6" s="73" t="s">
        <v>296</v>
      </c>
      <c r="G6" s="90" t="s">
        <v>235</v>
      </c>
    </row>
    <row r="7" spans="1:7" ht="17" thickBot="1" x14ac:dyDescent="0.25">
      <c r="A7" s="72"/>
      <c r="B7" s="81"/>
      <c r="C7" s="72"/>
      <c r="D7" s="72"/>
      <c r="E7" s="72"/>
      <c r="F7" s="72"/>
      <c r="G7" s="90"/>
    </row>
    <row r="8" spans="1:7" ht="15.75" customHeight="1" x14ac:dyDescent="0.2">
      <c r="A8" s="138" t="s">
        <v>125</v>
      </c>
      <c r="B8" s="139" t="s">
        <v>180</v>
      </c>
      <c r="C8" s="140" t="s">
        <v>124</v>
      </c>
      <c r="D8" s="140" t="s">
        <v>7</v>
      </c>
      <c r="E8" s="140" t="s">
        <v>0</v>
      </c>
      <c r="F8" s="140" t="s">
        <v>1</v>
      </c>
      <c r="G8" s="141" t="s">
        <v>8</v>
      </c>
    </row>
    <row r="9" spans="1:7" ht="16.5" customHeight="1" x14ac:dyDescent="0.2">
      <c r="A9" s="96" t="s">
        <v>179</v>
      </c>
      <c r="B9" s="97" t="s">
        <v>204</v>
      </c>
      <c r="C9" s="98">
        <v>0</v>
      </c>
      <c r="D9" s="98">
        <v>0</v>
      </c>
      <c r="E9" s="99">
        <v>8500</v>
      </c>
      <c r="F9" s="100">
        <f>C9*D9*E9</f>
        <v>0</v>
      </c>
      <c r="G9" s="101" t="s">
        <v>262</v>
      </c>
    </row>
    <row r="10" spans="1:7" ht="16.5" customHeight="1" x14ac:dyDescent="0.2">
      <c r="A10" s="102" t="s">
        <v>121</v>
      </c>
      <c r="B10" s="103" t="s">
        <v>205</v>
      </c>
      <c r="C10" s="98">
        <v>1</v>
      </c>
      <c r="D10" s="98">
        <v>14</v>
      </c>
      <c r="E10" s="104">
        <v>15000</v>
      </c>
      <c r="F10" s="104">
        <f t="shared" ref="F10:F15" si="0">C10*D10*E10</f>
        <v>210000</v>
      </c>
      <c r="G10" s="101" t="s">
        <v>114</v>
      </c>
    </row>
    <row r="11" spans="1:7" x14ac:dyDescent="0.2">
      <c r="A11" s="102" t="s">
        <v>269</v>
      </c>
      <c r="B11" s="105"/>
      <c r="C11" s="98">
        <v>1</v>
      </c>
      <c r="D11" s="98">
        <v>14</v>
      </c>
      <c r="E11" s="104">
        <v>1500</v>
      </c>
      <c r="F11" s="104">
        <f t="shared" ref="F11" si="1">C11*D11*E11</f>
        <v>21000</v>
      </c>
      <c r="G11" s="101" t="s">
        <v>260</v>
      </c>
    </row>
    <row r="12" spans="1:7" x14ac:dyDescent="0.2">
      <c r="A12" s="107" t="s">
        <v>122</v>
      </c>
      <c r="B12" s="103" t="s">
        <v>206</v>
      </c>
      <c r="C12" s="98">
        <v>1</v>
      </c>
      <c r="D12" s="98">
        <v>14</v>
      </c>
      <c r="E12" s="108">
        <v>15000</v>
      </c>
      <c r="F12" s="100">
        <f t="shared" si="0"/>
        <v>210000</v>
      </c>
      <c r="G12" s="101" t="s">
        <v>263</v>
      </c>
    </row>
    <row r="13" spans="1:7" x14ac:dyDescent="0.2">
      <c r="A13" s="102" t="s">
        <v>269</v>
      </c>
      <c r="B13" s="105"/>
      <c r="C13" s="98">
        <v>1</v>
      </c>
      <c r="D13" s="98">
        <v>14</v>
      </c>
      <c r="E13" s="104">
        <v>1500</v>
      </c>
      <c r="F13" s="104">
        <f t="shared" si="0"/>
        <v>21000</v>
      </c>
      <c r="G13" s="101" t="s">
        <v>260</v>
      </c>
    </row>
    <row r="14" spans="1:7" x14ac:dyDescent="0.2">
      <c r="A14" s="109" t="s">
        <v>150</v>
      </c>
      <c r="B14" s="110"/>
      <c r="C14" s="111">
        <v>0</v>
      </c>
      <c r="D14" s="111">
        <v>0</v>
      </c>
      <c r="E14" s="112">
        <v>99000</v>
      </c>
      <c r="F14" s="112">
        <f t="shared" si="0"/>
        <v>0</v>
      </c>
      <c r="G14" s="109" t="s">
        <v>261</v>
      </c>
    </row>
    <row r="15" spans="1:7" x14ac:dyDescent="0.2">
      <c r="A15" s="109" t="s">
        <v>151</v>
      </c>
      <c r="B15" s="110"/>
      <c r="C15" s="111">
        <v>1</v>
      </c>
      <c r="D15" s="111">
        <v>7</v>
      </c>
      <c r="E15" s="112">
        <v>113500</v>
      </c>
      <c r="F15" s="112">
        <f t="shared" si="0"/>
        <v>794500</v>
      </c>
      <c r="G15" s="109" t="s">
        <v>236</v>
      </c>
    </row>
    <row r="16" spans="1:7" ht="16.5" customHeight="1" thickBot="1" x14ac:dyDescent="0.25">
      <c r="A16" s="2" t="s">
        <v>92</v>
      </c>
      <c r="B16" s="82"/>
      <c r="C16" s="34"/>
      <c r="D16" s="24"/>
      <c r="E16" s="7"/>
      <c r="F16" s="5">
        <f>SUM(F9:F15)</f>
        <v>1256500</v>
      </c>
      <c r="G16" s="33" t="s">
        <v>2</v>
      </c>
    </row>
    <row r="17" spans="1:7" ht="16.5" customHeight="1" x14ac:dyDescent="0.2">
      <c r="A17" s="138" t="s">
        <v>126</v>
      </c>
      <c r="B17" s="139"/>
      <c r="C17" s="140" t="s">
        <v>124</v>
      </c>
      <c r="D17" s="140" t="s">
        <v>7</v>
      </c>
      <c r="E17" s="140" t="s">
        <v>0</v>
      </c>
      <c r="F17" s="140" t="s">
        <v>1</v>
      </c>
      <c r="G17" s="141" t="s">
        <v>8</v>
      </c>
    </row>
    <row r="18" spans="1:7" ht="16.5" customHeight="1" x14ac:dyDescent="0.2">
      <c r="A18" s="96" t="s">
        <v>10</v>
      </c>
      <c r="B18" s="97"/>
      <c r="C18" s="98">
        <v>1</v>
      </c>
      <c r="D18" s="98">
        <v>14</v>
      </c>
      <c r="E18" s="99">
        <v>9500</v>
      </c>
      <c r="F18" s="100" t="s">
        <v>127</v>
      </c>
      <c r="G18" s="101" t="s">
        <v>262</v>
      </c>
    </row>
    <row r="19" spans="1:7" ht="16.5" customHeight="1" x14ac:dyDescent="0.2">
      <c r="A19" s="102" t="s">
        <v>121</v>
      </c>
      <c r="B19" s="103"/>
      <c r="C19" s="98">
        <v>1</v>
      </c>
      <c r="D19" s="98">
        <v>14</v>
      </c>
      <c r="E19" s="104">
        <v>15000</v>
      </c>
      <c r="F19" s="104">
        <f>C19*D19*E19</f>
        <v>210000</v>
      </c>
      <c r="G19" s="101" t="s">
        <v>114</v>
      </c>
    </row>
    <row r="20" spans="1:7" x14ac:dyDescent="0.2">
      <c r="A20" s="102" t="s">
        <v>269</v>
      </c>
      <c r="B20" s="105"/>
      <c r="C20" s="98">
        <v>1</v>
      </c>
      <c r="D20" s="98">
        <v>14</v>
      </c>
      <c r="E20" s="104">
        <v>1500</v>
      </c>
      <c r="F20" s="104">
        <f t="shared" ref="F20" si="2">C20*D20*E20</f>
        <v>21000</v>
      </c>
      <c r="G20" s="101" t="s">
        <v>260</v>
      </c>
    </row>
    <row r="21" spans="1:7" ht="16.5" customHeight="1" x14ac:dyDescent="0.2">
      <c r="A21" s="2" t="s">
        <v>92</v>
      </c>
      <c r="B21" s="82"/>
      <c r="C21" s="34"/>
      <c r="D21" s="24"/>
      <c r="E21" s="7"/>
      <c r="F21" s="5">
        <f>SUM(F18:F20)</f>
        <v>231000</v>
      </c>
      <c r="G21" s="33" t="s">
        <v>2</v>
      </c>
    </row>
    <row r="22" spans="1:7" x14ac:dyDescent="0.2">
      <c r="A22" s="142" t="s">
        <v>253</v>
      </c>
      <c r="B22" s="143" t="s">
        <v>256</v>
      </c>
      <c r="C22" s="144"/>
      <c r="D22" s="144"/>
      <c r="E22" s="145"/>
      <c r="F22" s="145"/>
      <c r="G22" s="142" t="s">
        <v>254</v>
      </c>
    </row>
    <row r="23" spans="1:7" x14ac:dyDescent="0.2">
      <c r="A23" s="109" t="s">
        <v>247</v>
      </c>
      <c r="B23" s="110" t="s">
        <v>251</v>
      </c>
      <c r="C23" s="111">
        <v>0</v>
      </c>
      <c r="D23" s="111">
        <v>0</v>
      </c>
      <c r="E23" s="112">
        <v>0</v>
      </c>
      <c r="F23" s="112">
        <f t="shared" ref="F23:F24" si="3">C23*D23*E23</f>
        <v>0</v>
      </c>
      <c r="G23" s="113" t="s">
        <v>249</v>
      </c>
    </row>
    <row r="24" spans="1:7" x14ac:dyDescent="0.2">
      <c r="A24" s="109" t="s">
        <v>243</v>
      </c>
      <c r="B24" s="110" t="s">
        <v>251</v>
      </c>
      <c r="C24" s="111">
        <v>0</v>
      </c>
      <c r="D24" s="111">
        <v>0</v>
      </c>
      <c r="E24" s="112">
        <v>0</v>
      </c>
      <c r="F24" s="112">
        <f t="shared" si="3"/>
        <v>0</v>
      </c>
      <c r="G24" s="113" t="s">
        <v>250</v>
      </c>
    </row>
    <row r="25" spans="1:7" x14ac:dyDescent="0.2">
      <c r="A25" s="109" t="s">
        <v>244</v>
      </c>
      <c r="B25" s="110" t="s">
        <v>252</v>
      </c>
      <c r="C25" s="111">
        <v>0</v>
      </c>
      <c r="D25" s="111">
        <v>0</v>
      </c>
      <c r="E25" s="112">
        <v>0</v>
      </c>
      <c r="F25" s="112">
        <f t="shared" ref="F25:F26" si="4">C25*D25*E25</f>
        <v>0</v>
      </c>
      <c r="G25" s="113" t="s">
        <v>248</v>
      </c>
    </row>
    <row r="26" spans="1:7" x14ac:dyDescent="0.2">
      <c r="A26" s="109" t="s">
        <v>245</v>
      </c>
      <c r="B26" s="110" t="s">
        <v>252</v>
      </c>
      <c r="C26" s="111">
        <v>0</v>
      </c>
      <c r="D26" s="111">
        <v>0</v>
      </c>
      <c r="E26" s="112">
        <v>0</v>
      </c>
      <c r="F26" s="112">
        <f t="shared" si="4"/>
        <v>0</v>
      </c>
      <c r="G26" s="109" t="s">
        <v>246</v>
      </c>
    </row>
    <row r="27" spans="1:7" ht="17" thickBot="1" x14ac:dyDescent="0.25"/>
    <row r="28" spans="1:7" ht="17" thickBot="1" x14ac:dyDescent="0.25">
      <c r="A28" s="37" t="s">
        <v>255</v>
      </c>
      <c r="B28" s="84"/>
      <c r="C28" s="38"/>
      <c r="D28" s="38"/>
      <c r="E28" s="39"/>
      <c r="F28" s="40">
        <f>F16+F21</f>
        <v>1487500</v>
      </c>
      <c r="G28" s="6" t="s">
        <v>148</v>
      </c>
    </row>
    <row r="29" spans="1:7" x14ac:dyDescent="0.2">
      <c r="A29" s="3" t="s">
        <v>149</v>
      </c>
      <c r="B29" s="83"/>
      <c r="C29" s="32"/>
      <c r="D29" s="24"/>
      <c r="E29" s="7"/>
      <c r="F29" s="5">
        <f>F28*1.19-F28</f>
        <v>282625</v>
      </c>
      <c r="G29" s="6"/>
    </row>
    <row r="30" spans="1:7" x14ac:dyDescent="0.2">
      <c r="A30" s="184" t="s">
        <v>289</v>
      </c>
      <c r="B30" s="185"/>
      <c r="C30" s="186"/>
      <c r="D30" s="186"/>
      <c r="E30" s="187"/>
      <c r="F30" s="188">
        <f>F28+F29</f>
        <v>1770125</v>
      </c>
      <c r="G30" s="6"/>
    </row>
    <row r="31" spans="1:7" ht="17" thickBot="1" x14ac:dyDescent="0.25">
      <c r="A31" s="3"/>
      <c r="B31" s="83"/>
      <c r="C31" s="32"/>
      <c r="D31" s="24"/>
      <c r="E31" s="7"/>
      <c r="F31" s="4"/>
      <c r="G31" s="6"/>
    </row>
    <row r="32" spans="1:7" ht="16.5" customHeight="1" x14ac:dyDescent="0.2">
      <c r="A32" s="138" t="s">
        <v>297</v>
      </c>
      <c r="B32" s="139" t="s">
        <v>180</v>
      </c>
      <c r="C32" s="140" t="s">
        <v>124</v>
      </c>
      <c r="D32" s="140" t="s">
        <v>7</v>
      </c>
      <c r="E32" s="140" t="s">
        <v>0</v>
      </c>
      <c r="F32" s="140" t="s">
        <v>1</v>
      </c>
      <c r="G32" s="141" t="s">
        <v>8</v>
      </c>
    </row>
    <row r="33" spans="1:7" x14ac:dyDescent="0.2">
      <c r="A33" s="189" t="s">
        <v>298</v>
      </c>
      <c r="B33" s="190"/>
      <c r="C33" s="191">
        <v>1</v>
      </c>
      <c r="D33" s="191">
        <v>25</v>
      </c>
      <c r="E33" s="192">
        <f>400000+6000*14</f>
        <v>484000</v>
      </c>
      <c r="F33" s="192">
        <f>E33</f>
        <v>484000</v>
      </c>
      <c r="G33" s="193" t="s">
        <v>302</v>
      </c>
    </row>
    <row r="34" spans="1:7" x14ac:dyDescent="0.2">
      <c r="A34" s="189" t="s">
        <v>299</v>
      </c>
      <c r="B34" s="190"/>
      <c r="C34" s="191">
        <v>1</v>
      </c>
      <c r="D34" s="191">
        <v>25</v>
      </c>
      <c r="E34" s="192">
        <v>1000000</v>
      </c>
      <c r="F34" s="192">
        <v>1000000</v>
      </c>
      <c r="G34" s="193" t="s">
        <v>300</v>
      </c>
    </row>
    <row r="35" spans="1:7" x14ac:dyDescent="0.2">
      <c r="A35" s="189" t="s">
        <v>301</v>
      </c>
      <c r="B35" s="190"/>
      <c r="C35" s="191">
        <v>1</v>
      </c>
      <c r="D35" s="191">
        <v>25</v>
      </c>
      <c r="E35" s="192">
        <f>300000+6000*14</f>
        <v>384000</v>
      </c>
      <c r="F35" s="192">
        <f>E35</f>
        <v>384000</v>
      </c>
      <c r="G35" s="193" t="s">
        <v>302</v>
      </c>
    </row>
    <row r="36" spans="1:7" x14ac:dyDescent="0.2">
      <c r="A36" s="3"/>
      <c r="B36" s="83"/>
      <c r="C36" s="32"/>
      <c r="D36" s="24"/>
      <c r="E36" s="7"/>
      <c r="F36" s="4"/>
      <c r="G36" s="6"/>
    </row>
    <row r="37" spans="1:7" x14ac:dyDescent="0.2">
      <c r="A37" s="3"/>
      <c r="B37" s="83"/>
      <c r="C37" s="32"/>
      <c r="D37" s="24"/>
      <c r="E37" s="7"/>
      <c r="F37" s="4"/>
      <c r="G37" s="6"/>
    </row>
    <row r="38" spans="1:7" x14ac:dyDescent="0.2">
      <c r="A38" s="3"/>
      <c r="B38" s="83"/>
      <c r="C38" s="32"/>
      <c r="D38" s="24"/>
      <c r="E38" s="7"/>
      <c r="F38" s="4"/>
      <c r="G38" s="6"/>
    </row>
    <row r="39" spans="1:7" x14ac:dyDescent="0.2">
      <c r="A39" s="3"/>
      <c r="B39" s="83"/>
      <c r="C39" s="32"/>
      <c r="D39" s="24"/>
      <c r="E39" s="7"/>
      <c r="F39" s="4"/>
      <c r="G39" s="6"/>
    </row>
    <row r="40" spans="1:7" ht="19" x14ac:dyDescent="0.2">
      <c r="A40" s="87" t="s">
        <v>209</v>
      </c>
      <c r="B40"/>
      <c r="E40" s="78"/>
      <c r="F40" s="78"/>
      <c r="G40" s="78"/>
    </row>
    <row r="41" spans="1:7" ht="19" x14ac:dyDescent="0.2">
      <c r="A41" s="86" t="s">
        <v>210</v>
      </c>
      <c r="B41"/>
      <c r="E41" s="77"/>
      <c r="F41" s="77"/>
      <c r="G41" s="77"/>
    </row>
    <row r="42" spans="1:7" ht="17" x14ac:dyDescent="0.2">
      <c r="A42" s="78" t="s">
        <v>211</v>
      </c>
      <c r="B42"/>
    </row>
    <row r="43" spans="1:7" ht="17" x14ac:dyDescent="0.2">
      <c r="A43" s="78"/>
      <c r="B43"/>
    </row>
    <row r="44" spans="1:7" ht="19" x14ac:dyDescent="0.2">
      <c r="A44" s="87" t="s">
        <v>152</v>
      </c>
      <c r="B44"/>
    </row>
    <row r="45" spans="1:7" ht="17" x14ac:dyDescent="0.2">
      <c r="A45" s="78" t="s">
        <v>212</v>
      </c>
      <c r="B45"/>
    </row>
    <row r="46" spans="1:7" ht="17" x14ac:dyDescent="0.2">
      <c r="A46" s="78" t="s">
        <v>213</v>
      </c>
      <c r="B46"/>
    </row>
    <row r="47" spans="1:7" ht="17" x14ac:dyDescent="0.2">
      <c r="A47" s="78" t="s">
        <v>214</v>
      </c>
      <c r="B47"/>
    </row>
    <row r="48" spans="1:7" ht="17" x14ac:dyDescent="0.2">
      <c r="A48" s="76" t="s">
        <v>153</v>
      </c>
      <c r="B48"/>
    </row>
    <row r="49" spans="1:6" ht="17" x14ac:dyDescent="0.2">
      <c r="A49" s="78" t="s">
        <v>215</v>
      </c>
      <c r="B49"/>
    </row>
    <row r="50" spans="1:6" ht="17" x14ac:dyDescent="0.2">
      <c r="A50" s="78" t="s">
        <v>154</v>
      </c>
      <c r="B50"/>
    </row>
    <row r="51" spans="1:6" ht="17" x14ac:dyDescent="0.2">
      <c r="A51" s="76" t="s">
        <v>216</v>
      </c>
      <c r="B51"/>
    </row>
    <row r="52" spans="1:6" ht="17" x14ac:dyDescent="0.2">
      <c r="A52" s="78" t="s">
        <v>155</v>
      </c>
      <c r="B52"/>
    </row>
    <row r="53" spans="1:6" ht="17" x14ac:dyDescent="0.2">
      <c r="A53" s="78" t="s">
        <v>156</v>
      </c>
      <c r="B53"/>
    </row>
    <row r="54" spans="1:6" ht="17" x14ac:dyDescent="0.2">
      <c r="A54" s="78" t="s">
        <v>157</v>
      </c>
      <c r="B54"/>
    </row>
    <row r="55" spans="1:6" ht="17" x14ac:dyDescent="0.2">
      <c r="A55" s="78" t="s">
        <v>158</v>
      </c>
      <c r="B55"/>
    </row>
    <row r="56" spans="1:6" ht="17" x14ac:dyDescent="0.2">
      <c r="A56" s="78" t="s">
        <v>159</v>
      </c>
      <c r="B56"/>
    </row>
    <row r="57" spans="1:6" ht="17" x14ac:dyDescent="0.2">
      <c r="A57" s="78" t="s">
        <v>160</v>
      </c>
      <c r="B57"/>
    </row>
    <row r="58" spans="1:6" ht="17" x14ac:dyDescent="0.2">
      <c r="A58" s="78"/>
      <c r="B58"/>
    </row>
    <row r="59" spans="1:6" ht="17" x14ac:dyDescent="0.2">
      <c r="A59" s="114" t="s">
        <v>257</v>
      </c>
      <c r="B59"/>
    </row>
    <row r="60" spans="1:6" ht="17" x14ac:dyDescent="0.2">
      <c r="A60" s="78" t="s">
        <v>217</v>
      </c>
      <c r="B60" s="78" t="s">
        <v>218</v>
      </c>
      <c r="D60" s="78" t="s">
        <v>219</v>
      </c>
      <c r="F60" s="78" t="s">
        <v>220</v>
      </c>
    </row>
    <row r="61" spans="1:6" ht="17" x14ac:dyDescent="0.2">
      <c r="A61" s="78" t="s">
        <v>223</v>
      </c>
      <c r="B61" s="78" t="s">
        <v>224</v>
      </c>
      <c r="D61" s="78" t="s">
        <v>221</v>
      </c>
      <c r="F61" s="78" t="s">
        <v>222</v>
      </c>
    </row>
    <row r="62" spans="1:6" ht="17" x14ac:dyDescent="0.2">
      <c r="A62" s="78" t="s">
        <v>225</v>
      </c>
      <c r="B62" s="78" t="s">
        <v>226</v>
      </c>
      <c r="D62" s="78" t="s">
        <v>227</v>
      </c>
      <c r="F62" s="78" t="s">
        <v>228</v>
      </c>
    </row>
    <row r="63" spans="1:6" ht="17" x14ac:dyDescent="0.2">
      <c r="A63" s="78" t="s">
        <v>5</v>
      </c>
      <c r="B63" s="78" t="s">
        <v>230</v>
      </c>
      <c r="D63" s="88" t="s">
        <v>229</v>
      </c>
    </row>
    <row r="64" spans="1:6" ht="18" thickBot="1" x14ac:dyDescent="0.25">
      <c r="A64" s="78"/>
      <c r="B64"/>
    </row>
    <row r="65" spans="1:7" ht="16" customHeight="1" x14ac:dyDescent="0.2">
      <c r="A65" s="146" t="s">
        <v>123</v>
      </c>
      <c r="B65" s="147" t="s">
        <v>180</v>
      </c>
      <c r="C65" s="148" t="s">
        <v>89</v>
      </c>
      <c r="D65" s="148" t="s">
        <v>7</v>
      </c>
      <c r="E65" s="148" t="s">
        <v>6</v>
      </c>
      <c r="F65" s="148" t="s">
        <v>90</v>
      </c>
      <c r="G65" s="149" t="s">
        <v>8</v>
      </c>
    </row>
    <row r="66" spans="1:7" ht="16" customHeight="1" x14ac:dyDescent="0.2">
      <c r="A66" s="101" t="s">
        <v>208</v>
      </c>
      <c r="B66" s="115"/>
      <c r="C66" s="106">
        <v>0</v>
      </c>
      <c r="D66" s="106">
        <v>0</v>
      </c>
      <c r="E66" s="116">
        <v>200000</v>
      </c>
      <c r="F66" s="116">
        <f>C66*D66*E66</f>
        <v>0</v>
      </c>
      <c r="G66" s="101" t="s">
        <v>258</v>
      </c>
    </row>
    <row r="67" spans="1:7" x14ac:dyDescent="0.2">
      <c r="A67" s="117" t="s">
        <v>91</v>
      </c>
      <c r="B67" s="118"/>
      <c r="C67" s="106">
        <v>0</v>
      </c>
      <c r="D67" s="106">
        <v>0</v>
      </c>
      <c r="E67" s="104">
        <v>12000</v>
      </c>
      <c r="F67" s="104">
        <f t="shared" ref="F67:F80" si="5">C67*D67*E67</f>
        <v>0</v>
      </c>
      <c r="G67" s="101" t="s">
        <v>265</v>
      </c>
    </row>
    <row r="68" spans="1:7" x14ac:dyDescent="0.2">
      <c r="A68" s="117" t="s">
        <v>93</v>
      </c>
      <c r="B68" s="118"/>
      <c r="C68" s="106">
        <v>0</v>
      </c>
      <c r="D68" s="106">
        <v>0</v>
      </c>
      <c r="E68" s="104">
        <v>26000</v>
      </c>
      <c r="F68" s="104">
        <f t="shared" si="5"/>
        <v>0</v>
      </c>
      <c r="G68" s="101" t="s">
        <v>118</v>
      </c>
    </row>
    <row r="69" spans="1:7" x14ac:dyDescent="0.2">
      <c r="A69" s="117" t="s">
        <v>94</v>
      </c>
      <c r="B69" s="118"/>
      <c r="C69" s="106">
        <v>0</v>
      </c>
      <c r="D69" s="106">
        <v>0</v>
      </c>
      <c r="E69" s="104">
        <v>35000</v>
      </c>
      <c r="F69" s="104">
        <f t="shared" si="5"/>
        <v>0</v>
      </c>
      <c r="G69" s="101" t="s">
        <v>118</v>
      </c>
    </row>
    <row r="70" spans="1:7" x14ac:dyDescent="0.2">
      <c r="A70" s="117" t="s">
        <v>120</v>
      </c>
      <c r="B70" s="118"/>
      <c r="C70" s="106">
        <v>0</v>
      </c>
      <c r="D70" s="106">
        <v>0</v>
      </c>
      <c r="E70" s="104">
        <v>10000</v>
      </c>
      <c r="F70" s="104">
        <f t="shared" si="5"/>
        <v>0</v>
      </c>
      <c r="G70" s="101"/>
    </row>
    <row r="71" spans="1:7" x14ac:dyDescent="0.2">
      <c r="A71" s="117" t="s">
        <v>177</v>
      </c>
      <c r="B71" s="118"/>
      <c r="C71" s="106">
        <v>0</v>
      </c>
      <c r="D71" s="106">
        <v>0</v>
      </c>
      <c r="E71" s="104">
        <v>4500</v>
      </c>
      <c r="F71" s="104">
        <f t="shared" si="5"/>
        <v>0</v>
      </c>
      <c r="G71" s="101" t="s">
        <v>178</v>
      </c>
    </row>
    <row r="72" spans="1:7" x14ac:dyDescent="0.2">
      <c r="A72" s="117" t="s">
        <v>201</v>
      </c>
      <c r="B72" s="118"/>
      <c r="C72" s="106">
        <v>0</v>
      </c>
      <c r="D72" s="106">
        <v>0</v>
      </c>
      <c r="E72" s="104">
        <v>5000</v>
      </c>
      <c r="F72" s="104">
        <f t="shared" ref="F72:F73" si="6">C72*D72*E72</f>
        <v>0</v>
      </c>
      <c r="G72" s="101" t="s">
        <v>266</v>
      </c>
    </row>
    <row r="73" spans="1:7" x14ac:dyDescent="0.2">
      <c r="A73" s="117" t="s">
        <v>202</v>
      </c>
      <c r="B73" s="118"/>
      <c r="C73" s="106">
        <v>0</v>
      </c>
      <c r="D73" s="106">
        <v>0</v>
      </c>
      <c r="E73" s="104">
        <v>5000</v>
      </c>
      <c r="F73" s="104">
        <f t="shared" si="6"/>
        <v>0</v>
      </c>
      <c r="G73" s="101" t="s">
        <v>267</v>
      </c>
    </row>
    <row r="74" spans="1:7" x14ac:dyDescent="0.2">
      <c r="A74" s="117" t="s">
        <v>176</v>
      </c>
      <c r="B74" s="118"/>
      <c r="C74" s="106">
        <v>0</v>
      </c>
      <c r="D74" s="106">
        <v>0</v>
      </c>
      <c r="E74" s="104">
        <v>3000</v>
      </c>
      <c r="F74" s="104">
        <f t="shared" ref="F74" si="7">C74*D74*E74</f>
        <v>0</v>
      </c>
      <c r="G74" s="101" t="s">
        <v>268</v>
      </c>
    </row>
    <row r="75" spans="1:7" x14ac:dyDescent="0.2">
      <c r="A75" s="117" t="s">
        <v>119</v>
      </c>
      <c r="B75" s="118"/>
      <c r="C75" s="106">
        <v>0</v>
      </c>
      <c r="D75" s="106">
        <v>0</v>
      </c>
      <c r="E75" s="104">
        <v>16000</v>
      </c>
      <c r="F75" s="104">
        <f t="shared" si="5"/>
        <v>0</v>
      </c>
      <c r="G75" s="101" t="s">
        <v>145</v>
      </c>
    </row>
    <row r="76" spans="1:7" x14ac:dyDescent="0.2">
      <c r="A76" s="117" t="s">
        <v>11</v>
      </c>
      <c r="B76" s="118"/>
      <c r="C76" s="106">
        <v>0</v>
      </c>
      <c r="D76" s="106">
        <v>0</v>
      </c>
      <c r="E76" s="104">
        <v>7000</v>
      </c>
      <c r="F76" s="104">
        <f t="shared" si="5"/>
        <v>0</v>
      </c>
      <c r="G76" s="101" t="s">
        <v>181</v>
      </c>
    </row>
    <row r="77" spans="1:7" x14ac:dyDescent="0.2">
      <c r="A77" s="151" t="s">
        <v>269</v>
      </c>
      <c r="B77" s="152"/>
      <c r="C77" s="111">
        <v>0</v>
      </c>
      <c r="D77" s="111">
        <v>0</v>
      </c>
      <c r="E77" s="112">
        <v>1500</v>
      </c>
      <c r="F77" s="112">
        <f t="shared" si="5"/>
        <v>0</v>
      </c>
      <c r="G77" s="109" t="s">
        <v>260</v>
      </c>
    </row>
    <row r="78" spans="1:7" x14ac:dyDescent="0.2">
      <c r="A78" s="153" t="s">
        <v>182</v>
      </c>
      <c r="B78" s="154"/>
      <c r="C78" s="111">
        <v>0</v>
      </c>
      <c r="D78" s="111">
        <v>0</v>
      </c>
      <c r="E78" s="112">
        <v>3000</v>
      </c>
      <c r="F78" s="112">
        <f t="shared" si="5"/>
        <v>0</v>
      </c>
      <c r="G78" s="109"/>
    </row>
    <row r="79" spans="1:7" x14ac:dyDescent="0.2">
      <c r="A79" s="153" t="s">
        <v>270</v>
      </c>
      <c r="B79" s="154"/>
      <c r="C79" s="111">
        <v>0</v>
      </c>
      <c r="D79" s="111">
        <v>0</v>
      </c>
      <c r="E79" s="112">
        <v>1000</v>
      </c>
      <c r="F79" s="112">
        <f t="shared" ref="F79" si="8">C79*D79*E79</f>
        <v>0</v>
      </c>
      <c r="G79" s="109" t="s">
        <v>183</v>
      </c>
    </row>
    <row r="80" spans="1:7" x14ac:dyDescent="0.2">
      <c r="A80" s="153" t="s">
        <v>277</v>
      </c>
      <c r="B80" s="154"/>
      <c r="C80" s="111">
        <v>0</v>
      </c>
      <c r="D80" s="111">
        <v>0</v>
      </c>
      <c r="E80" s="112">
        <v>3000</v>
      </c>
      <c r="F80" s="112">
        <f t="shared" si="5"/>
        <v>0</v>
      </c>
      <c r="G80" s="109" t="s">
        <v>9</v>
      </c>
    </row>
    <row r="81" spans="1:7" x14ac:dyDescent="0.2">
      <c r="A81" s="153" t="s">
        <v>96</v>
      </c>
      <c r="B81" s="154"/>
      <c r="C81" s="111">
        <v>0</v>
      </c>
      <c r="D81" s="111">
        <v>0</v>
      </c>
      <c r="E81" s="155">
        <v>150000</v>
      </c>
      <c r="F81" s="112">
        <f t="shared" ref="F81:F88" si="9">C81*D81*E81</f>
        <v>0</v>
      </c>
      <c r="G81" s="109" t="s">
        <v>97</v>
      </c>
    </row>
    <row r="82" spans="1:7" x14ac:dyDescent="0.2">
      <c r="A82" s="117" t="s">
        <v>98</v>
      </c>
      <c r="B82" s="118"/>
      <c r="C82" s="106">
        <v>0</v>
      </c>
      <c r="D82" s="106">
        <v>0</v>
      </c>
      <c r="E82" s="119">
        <v>100000</v>
      </c>
      <c r="F82" s="104">
        <f t="shared" si="9"/>
        <v>0</v>
      </c>
      <c r="G82" s="101" t="s">
        <v>99</v>
      </c>
    </row>
    <row r="83" spans="1:7" x14ac:dyDescent="0.2">
      <c r="A83" s="120" t="s">
        <v>271</v>
      </c>
      <c r="B83" s="121"/>
      <c r="C83" s="98">
        <v>0</v>
      </c>
      <c r="D83" s="122">
        <v>0</v>
      </c>
      <c r="E83" s="108">
        <v>3850</v>
      </c>
      <c r="F83" s="123">
        <f>E83*D83*C83</f>
        <v>0</v>
      </c>
      <c r="G83" s="124" t="s">
        <v>173</v>
      </c>
    </row>
    <row r="84" spans="1:7" x14ac:dyDescent="0.2">
      <c r="A84" s="125" t="s">
        <v>115</v>
      </c>
      <c r="B84" s="126"/>
      <c r="C84" s="106">
        <v>0</v>
      </c>
      <c r="D84" s="106">
        <v>0</v>
      </c>
      <c r="E84" s="119">
        <v>4800</v>
      </c>
      <c r="F84" s="104">
        <f>C84*D84*E84</f>
        <v>0</v>
      </c>
      <c r="G84" s="117" t="s">
        <v>272</v>
      </c>
    </row>
    <row r="85" spans="1:7" x14ac:dyDescent="0.2">
      <c r="A85" s="125" t="s">
        <v>116</v>
      </c>
      <c r="B85" s="126"/>
      <c r="C85" s="106">
        <v>0</v>
      </c>
      <c r="D85" s="106">
        <v>0</v>
      </c>
      <c r="E85" s="119">
        <v>5500</v>
      </c>
      <c r="F85" s="104">
        <f>C85*D85*E85</f>
        <v>0</v>
      </c>
      <c r="G85" s="117" t="s">
        <v>175</v>
      </c>
    </row>
    <row r="86" spans="1:7" x14ac:dyDescent="0.2">
      <c r="A86" s="125" t="s">
        <v>117</v>
      </c>
      <c r="B86" s="126"/>
      <c r="C86" s="106">
        <v>0</v>
      </c>
      <c r="D86" s="106">
        <v>0</v>
      </c>
      <c r="E86" s="119">
        <v>7500</v>
      </c>
      <c r="F86" s="104">
        <f t="shared" si="9"/>
        <v>0</v>
      </c>
      <c r="G86" s="117" t="s">
        <v>174</v>
      </c>
    </row>
    <row r="87" spans="1:7" ht="15" customHeight="1" x14ac:dyDescent="0.2">
      <c r="A87" s="117" t="s">
        <v>200</v>
      </c>
      <c r="B87" s="118"/>
      <c r="C87" s="106">
        <v>0</v>
      </c>
      <c r="D87" s="106">
        <v>0</v>
      </c>
      <c r="E87" s="104">
        <v>8500</v>
      </c>
      <c r="F87" s="104">
        <f t="shared" si="9"/>
        <v>0</v>
      </c>
      <c r="G87" s="127" t="s">
        <v>280</v>
      </c>
    </row>
    <row r="88" spans="1:7" ht="15" customHeight="1" x14ac:dyDescent="0.2">
      <c r="A88" s="102" t="s">
        <v>184</v>
      </c>
      <c r="B88" s="105"/>
      <c r="C88" s="106">
        <v>0</v>
      </c>
      <c r="D88" s="106">
        <v>0</v>
      </c>
      <c r="E88" s="104">
        <v>13500</v>
      </c>
      <c r="F88" s="104">
        <f t="shared" si="9"/>
        <v>0</v>
      </c>
      <c r="G88" s="150" t="s">
        <v>146</v>
      </c>
    </row>
    <row r="89" spans="1:7" x14ac:dyDescent="0.2">
      <c r="A89" s="117" t="s">
        <v>95</v>
      </c>
      <c r="B89" s="118"/>
      <c r="C89" s="106">
        <v>0</v>
      </c>
      <c r="D89" s="106">
        <v>0</v>
      </c>
      <c r="E89" s="104">
        <v>2500</v>
      </c>
      <c r="F89" s="104">
        <f>C89*D89*E89</f>
        <v>0</v>
      </c>
      <c r="G89" s="101" t="s">
        <v>278</v>
      </c>
    </row>
    <row r="90" spans="1:7" x14ac:dyDescent="0.2">
      <c r="A90" s="117" t="s">
        <v>185</v>
      </c>
      <c r="B90" s="118"/>
      <c r="C90" s="106">
        <v>0</v>
      </c>
      <c r="D90" s="106">
        <v>0</v>
      </c>
      <c r="E90" s="119">
        <v>300000</v>
      </c>
      <c r="F90" s="104">
        <f>C90*D90*E90</f>
        <v>0</v>
      </c>
      <c r="G90" s="101" t="s">
        <v>273</v>
      </c>
    </row>
    <row r="91" spans="1:7" x14ac:dyDescent="0.2">
      <c r="A91" s="117" t="s">
        <v>186</v>
      </c>
      <c r="B91" s="118"/>
      <c r="C91" s="106">
        <v>0</v>
      </c>
      <c r="D91" s="106">
        <v>0</v>
      </c>
      <c r="E91" s="119">
        <v>250000</v>
      </c>
      <c r="F91" s="104">
        <f>C91*D91*E91</f>
        <v>0</v>
      </c>
      <c r="G91" s="101" t="s">
        <v>273</v>
      </c>
    </row>
    <row r="92" spans="1:7" x14ac:dyDescent="0.2">
      <c r="A92" s="117" t="s">
        <v>143</v>
      </c>
      <c r="B92" s="118"/>
      <c r="C92" s="106">
        <v>0</v>
      </c>
      <c r="D92" s="106">
        <v>0</v>
      </c>
      <c r="E92" s="119">
        <v>210000</v>
      </c>
      <c r="F92" s="104">
        <f t="shared" ref="F92:F108" si="10">C92*D92*E92</f>
        <v>0</v>
      </c>
      <c r="G92" s="101" t="s">
        <v>273</v>
      </c>
    </row>
    <row r="93" spans="1:7" x14ac:dyDescent="0.2">
      <c r="A93" s="117" t="s">
        <v>144</v>
      </c>
      <c r="B93" s="118"/>
      <c r="C93" s="106">
        <v>0</v>
      </c>
      <c r="D93" s="106">
        <v>0</v>
      </c>
      <c r="E93" s="119">
        <v>210000</v>
      </c>
      <c r="F93" s="104">
        <f t="shared" si="10"/>
        <v>0</v>
      </c>
      <c r="G93" s="101" t="s">
        <v>273</v>
      </c>
    </row>
    <row r="94" spans="1:7" x14ac:dyDescent="0.2">
      <c r="A94" s="117" t="s">
        <v>187</v>
      </c>
      <c r="B94" s="118"/>
      <c r="C94" s="106">
        <v>0</v>
      </c>
      <c r="D94" s="106">
        <v>0</v>
      </c>
      <c r="E94" s="119">
        <v>180000</v>
      </c>
      <c r="F94" s="104">
        <f t="shared" si="10"/>
        <v>0</v>
      </c>
      <c r="G94" s="101" t="s">
        <v>273</v>
      </c>
    </row>
    <row r="95" spans="1:7" x14ac:dyDescent="0.2">
      <c r="A95" s="117" t="s">
        <v>142</v>
      </c>
      <c r="B95" s="118"/>
      <c r="C95" s="106">
        <v>0</v>
      </c>
      <c r="D95" s="106">
        <v>0</v>
      </c>
      <c r="E95" s="119">
        <v>180000</v>
      </c>
      <c r="F95" s="104">
        <f t="shared" si="10"/>
        <v>0</v>
      </c>
      <c r="G95" s="101" t="s">
        <v>273</v>
      </c>
    </row>
    <row r="96" spans="1:7" x14ac:dyDescent="0.2">
      <c r="A96" s="117" t="s">
        <v>189</v>
      </c>
      <c r="B96" s="118"/>
      <c r="C96" s="106">
        <v>0</v>
      </c>
      <c r="D96" s="106">
        <v>0</v>
      </c>
      <c r="E96" s="112">
        <v>120000</v>
      </c>
      <c r="F96" s="104">
        <f t="shared" si="10"/>
        <v>0</v>
      </c>
      <c r="G96" s="101" t="s">
        <v>273</v>
      </c>
    </row>
    <row r="97" spans="1:7" x14ac:dyDescent="0.2">
      <c r="A97" s="117" t="s">
        <v>188</v>
      </c>
      <c r="B97" s="118"/>
      <c r="C97" s="106">
        <v>0</v>
      </c>
      <c r="D97" s="106">
        <v>0</v>
      </c>
      <c r="E97" s="112">
        <v>90000</v>
      </c>
      <c r="F97" s="104">
        <f t="shared" si="10"/>
        <v>0</v>
      </c>
      <c r="G97" s="101" t="s">
        <v>273</v>
      </c>
    </row>
    <row r="98" spans="1:7" x14ac:dyDescent="0.2">
      <c r="A98" s="117" t="s">
        <v>207</v>
      </c>
      <c r="B98" s="118"/>
      <c r="C98" s="106">
        <v>0</v>
      </c>
      <c r="D98" s="106">
        <v>0</v>
      </c>
      <c r="E98" s="112">
        <v>100000</v>
      </c>
      <c r="F98" s="104">
        <f t="shared" si="10"/>
        <v>0</v>
      </c>
      <c r="G98" s="101" t="s">
        <v>279</v>
      </c>
    </row>
    <row r="99" spans="1:7" x14ac:dyDescent="0.2">
      <c r="A99" s="117" t="s">
        <v>190</v>
      </c>
      <c r="B99" s="118"/>
      <c r="C99" s="106">
        <v>0</v>
      </c>
      <c r="D99" s="106">
        <v>0</v>
      </c>
      <c r="E99" s="112">
        <v>300000</v>
      </c>
      <c r="F99" s="104">
        <f t="shared" si="10"/>
        <v>0</v>
      </c>
      <c r="G99" s="101" t="s">
        <v>273</v>
      </c>
    </row>
    <row r="100" spans="1:7" x14ac:dyDescent="0.2">
      <c r="A100" s="128" t="s">
        <v>197</v>
      </c>
      <c r="B100" s="130"/>
      <c r="C100" s="106">
        <v>0</v>
      </c>
      <c r="D100" s="106">
        <v>0</v>
      </c>
      <c r="E100" s="156">
        <v>25000</v>
      </c>
      <c r="F100" s="132"/>
      <c r="G100" s="101" t="s">
        <v>198</v>
      </c>
    </row>
    <row r="101" spans="1:7" x14ac:dyDescent="0.2">
      <c r="A101" s="128" t="s">
        <v>274</v>
      </c>
      <c r="B101" s="130"/>
      <c r="C101" s="106">
        <v>0</v>
      </c>
      <c r="D101" s="106">
        <v>0</v>
      </c>
      <c r="E101" s="131">
        <v>15000</v>
      </c>
      <c r="F101" s="132"/>
      <c r="G101" s="101" t="s">
        <v>198</v>
      </c>
    </row>
    <row r="102" spans="1:7" x14ac:dyDescent="0.2">
      <c r="A102" s="128" t="s">
        <v>199</v>
      </c>
      <c r="B102" s="130"/>
      <c r="C102" s="106">
        <v>0</v>
      </c>
      <c r="D102" s="106">
        <v>0</v>
      </c>
      <c r="E102" s="131">
        <v>60000</v>
      </c>
      <c r="F102" s="132"/>
      <c r="G102" s="101"/>
    </row>
    <row r="103" spans="1:7" x14ac:dyDescent="0.2">
      <c r="A103" s="128" t="s">
        <v>147</v>
      </c>
      <c r="B103" s="129"/>
      <c r="C103" s="106">
        <v>0</v>
      </c>
      <c r="D103" s="106">
        <v>0</v>
      </c>
      <c r="E103" s="119">
        <v>150000</v>
      </c>
      <c r="F103" s="104">
        <f t="shared" si="10"/>
        <v>0</v>
      </c>
      <c r="G103" s="101" t="s">
        <v>275</v>
      </c>
    </row>
    <row r="104" spans="1:7" x14ac:dyDescent="0.2">
      <c r="A104" s="101" t="s">
        <v>191</v>
      </c>
      <c r="B104" s="133"/>
      <c r="C104" s="106">
        <v>0</v>
      </c>
      <c r="D104" s="106">
        <v>0</v>
      </c>
      <c r="E104" s="104">
        <v>100000</v>
      </c>
      <c r="F104" s="104">
        <f t="shared" si="10"/>
        <v>0</v>
      </c>
      <c r="G104" s="101" t="s">
        <v>259</v>
      </c>
    </row>
    <row r="105" spans="1:7" x14ac:dyDescent="0.2">
      <c r="A105" s="101" t="s">
        <v>192</v>
      </c>
      <c r="B105" s="133"/>
      <c r="C105" s="106">
        <v>0</v>
      </c>
      <c r="D105" s="106">
        <v>0</v>
      </c>
      <c r="E105" s="112">
        <v>150000</v>
      </c>
      <c r="F105" s="104">
        <f t="shared" si="10"/>
        <v>0</v>
      </c>
      <c r="G105" s="101" t="s">
        <v>193</v>
      </c>
    </row>
    <row r="106" spans="1:7" x14ac:dyDescent="0.2">
      <c r="A106" s="101" t="s">
        <v>194</v>
      </c>
      <c r="B106" s="133"/>
      <c r="C106" s="106">
        <v>0</v>
      </c>
      <c r="D106" s="106">
        <v>0</v>
      </c>
      <c r="E106" s="112">
        <v>380000</v>
      </c>
      <c r="F106" s="104">
        <f t="shared" si="10"/>
        <v>0</v>
      </c>
      <c r="G106" s="101" t="s">
        <v>195</v>
      </c>
    </row>
    <row r="107" spans="1:7" x14ac:dyDescent="0.2">
      <c r="A107" s="101" t="s">
        <v>196</v>
      </c>
      <c r="B107" s="133"/>
      <c r="C107" s="106">
        <v>0</v>
      </c>
      <c r="D107" s="106">
        <v>0</v>
      </c>
      <c r="E107" s="112">
        <v>280000</v>
      </c>
      <c r="F107" s="104">
        <f t="shared" si="10"/>
        <v>0</v>
      </c>
      <c r="G107" s="101" t="s">
        <v>193</v>
      </c>
    </row>
    <row r="108" spans="1:7" x14ac:dyDescent="0.2">
      <c r="A108" s="134" t="s">
        <v>162</v>
      </c>
      <c r="B108" s="135"/>
      <c r="C108" s="106">
        <v>0</v>
      </c>
      <c r="D108" s="106">
        <v>0</v>
      </c>
      <c r="E108" s="112">
        <v>650000</v>
      </c>
      <c r="F108" s="104">
        <f t="shared" si="10"/>
        <v>0</v>
      </c>
      <c r="G108" s="101" t="s">
        <v>168</v>
      </c>
    </row>
    <row r="109" spans="1:7" ht="15" customHeight="1" x14ac:dyDescent="0.2">
      <c r="A109" s="134" t="s">
        <v>161</v>
      </c>
      <c r="B109" s="135"/>
      <c r="C109" s="106">
        <v>0</v>
      </c>
      <c r="D109" s="106">
        <v>0</v>
      </c>
      <c r="E109" s="112">
        <v>450000</v>
      </c>
      <c r="F109" s="116">
        <f t="shared" ref="F109:F110" si="11">C109*D109*E109</f>
        <v>0</v>
      </c>
      <c r="G109" s="101" t="s">
        <v>172</v>
      </c>
    </row>
    <row r="110" spans="1:7" ht="15" customHeight="1" x14ac:dyDescent="0.2">
      <c r="A110" s="134" t="s">
        <v>163</v>
      </c>
      <c r="B110" s="135"/>
      <c r="C110" s="106">
        <v>0</v>
      </c>
      <c r="D110" s="106">
        <v>0</v>
      </c>
      <c r="E110" s="112">
        <v>80000</v>
      </c>
      <c r="F110" s="116">
        <f t="shared" si="11"/>
        <v>0</v>
      </c>
      <c r="G110" s="101"/>
    </row>
    <row r="111" spans="1:7" ht="15" customHeight="1" x14ac:dyDescent="0.2">
      <c r="A111" s="134" t="s">
        <v>167</v>
      </c>
      <c r="B111" s="135"/>
      <c r="C111" s="106">
        <v>0</v>
      </c>
      <c r="D111" s="106">
        <v>0</v>
      </c>
      <c r="E111" s="112">
        <v>300000</v>
      </c>
      <c r="F111" s="116">
        <f t="shared" ref="F111:F114" si="12">C111*D111*E111</f>
        <v>0</v>
      </c>
      <c r="G111" s="101" t="s">
        <v>171</v>
      </c>
    </row>
    <row r="112" spans="1:7" ht="15" customHeight="1" x14ac:dyDescent="0.2">
      <c r="A112" s="134" t="s">
        <v>164</v>
      </c>
      <c r="B112" s="135"/>
      <c r="C112" s="106">
        <v>0</v>
      </c>
      <c r="D112" s="106">
        <v>0</v>
      </c>
      <c r="E112" s="104">
        <v>680000</v>
      </c>
      <c r="F112" s="116">
        <f t="shared" si="12"/>
        <v>0</v>
      </c>
      <c r="G112" s="101" t="s">
        <v>169</v>
      </c>
    </row>
    <row r="113" spans="1:7" ht="15" customHeight="1" x14ac:dyDescent="0.2">
      <c r="A113" s="134" t="s">
        <v>164</v>
      </c>
      <c r="B113" s="135"/>
      <c r="C113" s="106">
        <v>0</v>
      </c>
      <c r="D113" s="106">
        <v>0</v>
      </c>
      <c r="E113" s="104">
        <v>580000</v>
      </c>
      <c r="F113" s="116">
        <f t="shared" si="12"/>
        <v>0</v>
      </c>
      <c r="G113" s="101" t="s">
        <v>170</v>
      </c>
    </row>
    <row r="114" spans="1:7" ht="15" customHeight="1" x14ac:dyDescent="0.2">
      <c r="A114" s="134" t="s">
        <v>166</v>
      </c>
      <c r="B114" s="135"/>
      <c r="C114" s="106">
        <v>0</v>
      </c>
      <c r="D114" s="106">
        <v>0</v>
      </c>
      <c r="E114" s="104">
        <v>580000</v>
      </c>
      <c r="F114" s="116">
        <f t="shared" si="12"/>
        <v>0</v>
      </c>
      <c r="G114" s="101" t="s">
        <v>165</v>
      </c>
    </row>
    <row r="115" spans="1:7" x14ac:dyDescent="0.2">
      <c r="A115" s="101" t="s">
        <v>203</v>
      </c>
      <c r="B115" s="133"/>
      <c r="C115" s="106">
        <v>0</v>
      </c>
      <c r="D115" s="106">
        <v>0</v>
      </c>
      <c r="E115" s="104">
        <v>180000</v>
      </c>
      <c r="F115" s="104">
        <f>C115*D115*E115</f>
        <v>0</v>
      </c>
      <c r="G115" s="101" t="s">
        <v>276</v>
      </c>
    </row>
    <row r="116" spans="1:7" x14ac:dyDescent="0.2">
      <c r="A116" s="109" t="s">
        <v>281</v>
      </c>
      <c r="B116" s="110"/>
      <c r="C116" s="111">
        <v>0</v>
      </c>
      <c r="D116" s="111">
        <v>0</v>
      </c>
      <c r="E116" s="112">
        <v>35000</v>
      </c>
      <c r="F116" s="112">
        <f t="shared" ref="F116" si="13">C116*D116*E116</f>
        <v>0</v>
      </c>
      <c r="G116" s="109" t="s">
        <v>287</v>
      </c>
    </row>
    <row r="117" spans="1:7" x14ac:dyDescent="0.2">
      <c r="A117" s="109" t="s">
        <v>282</v>
      </c>
      <c r="B117" s="110"/>
      <c r="C117" s="111">
        <v>0</v>
      </c>
      <c r="D117" s="111">
        <v>0</v>
      </c>
      <c r="E117" s="112">
        <v>55000</v>
      </c>
      <c r="F117" s="112">
        <f t="shared" ref="F117:F121" si="14">C117*D117*E117</f>
        <v>0</v>
      </c>
      <c r="G117" s="109" t="s">
        <v>287</v>
      </c>
    </row>
    <row r="118" spans="1:7" ht="17" customHeight="1" x14ac:dyDescent="0.2">
      <c r="A118" s="109" t="s">
        <v>283</v>
      </c>
      <c r="B118" s="110"/>
      <c r="C118" s="111">
        <v>0</v>
      </c>
      <c r="D118" s="111">
        <v>0</v>
      </c>
      <c r="E118" s="112">
        <v>35000</v>
      </c>
      <c r="F118" s="112">
        <f t="shared" si="14"/>
        <v>0</v>
      </c>
      <c r="G118" s="109" t="s">
        <v>264</v>
      </c>
    </row>
    <row r="119" spans="1:7" ht="17" customHeight="1" x14ac:dyDescent="0.2">
      <c r="A119" s="109" t="s">
        <v>286</v>
      </c>
      <c r="B119" s="110"/>
      <c r="C119" s="111">
        <v>0</v>
      </c>
      <c r="D119" s="111">
        <v>0</v>
      </c>
      <c r="E119" s="112">
        <v>55000</v>
      </c>
      <c r="F119" s="112">
        <f t="shared" si="14"/>
        <v>0</v>
      </c>
      <c r="G119" s="109" t="s">
        <v>288</v>
      </c>
    </row>
    <row r="120" spans="1:7" x14ac:dyDescent="0.2">
      <c r="A120" s="132" t="s">
        <v>284</v>
      </c>
      <c r="B120" s="130"/>
      <c r="C120" s="132"/>
      <c r="D120" s="132"/>
      <c r="E120" s="157">
        <v>120000</v>
      </c>
      <c r="F120" s="112">
        <f t="shared" si="14"/>
        <v>0</v>
      </c>
      <c r="G120" s="132"/>
    </row>
    <row r="121" spans="1:7" x14ac:dyDescent="0.2">
      <c r="A121" s="132" t="s">
        <v>285</v>
      </c>
      <c r="B121" s="130"/>
      <c r="C121" s="132"/>
      <c r="D121" s="132"/>
      <c r="E121" s="157">
        <v>200000</v>
      </c>
      <c r="F121" s="112">
        <f t="shared" si="14"/>
        <v>0</v>
      </c>
      <c r="G121" s="132"/>
    </row>
    <row r="122" spans="1:7" ht="17" customHeight="1" x14ac:dyDescent="0.2">
      <c r="A122" s="136"/>
      <c r="B122" s="137"/>
      <c r="C122" s="136"/>
      <c r="D122" s="136"/>
      <c r="E122" s="136"/>
      <c r="F122" s="136"/>
      <c r="G122" s="136"/>
    </row>
    <row r="123" spans="1:7" ht="17" customHeight="1" x14ac:dyDescent="0.2">
      <c r="A123" s="136"/>
      <c r="B123" s="137"/>
      <c r="C123" s="136"/>
      <c r="D123" s="136"/>
      <c r="E123" s="136"/>
      <c r="F123" s="136"/>
      <c r="G123" s="136"/>
    </row>
    <row r="124" spans="1:7" x14ac:dyDescent="0.2">
      <c r="A124" s="136"/>
      <c r="B124" s="137"/>
      <c r="C124" s="136"/>
      <c r="D124" s="136"/>
      <c r="E124" s="136"/>
      <c r="F124" s="136"/>
      <c r="G124" s="136"/>
    </row>
    <row r="125" spans="1:7" x14ac:dyDescent="0.2">
      <c r="A125" s="136"/>
      <c r="B125" s="137"/>
      <c r="C125" s="136"/>
      <c r="D125" s="136"/>
      <c r="E125" s="136"/>
      <c r="F125" s="136"/>
      <c r="G125" s="136"/>
    </row>
    <row r="141" spans="1:7" ht="17" x14ac:dyDescent="0.2">
      <c r="A141" s="23"/>
      <c r="B141" s="85"/>
      <c r="C141" s="6"/>
      <c r="D141" s="6"/>
      <c r="E141" s="6"/>
      <c r="F141" s="6"/>
      <c r="G141" s="6"/>
    </row>
  </sheetData>
  <phoneticPr fontId="8" type="noConversion"/>
  <hyperlinks>
    <hyperlink ref="D63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76"/>
      <c r="B1" s="176"/>
      <c r="C1" s="176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76"/>
      <c r="B2" s="176"/>
      <c r="C2" s="176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76"/>
      <c r="B3" s="176"/>
      <c r="C3" s="176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76"/>
      <c r="B4" s="176"/>
      <c r="C4" s="176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77" t="s">
        <v>130</v>
      </c>
      <c r="D6" s="171"/>
      <c r="E6" s="172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58" t="s">
        <v>131</v>
      </c>
      <c r="D7" s="159"/>
      <c r="E7" s="160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58" t="s">
        <v>131</v>
      </c>
      <c r="D8" s="159"/>
      <c r="E8" s="160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61" t="s">
        <v>109</v>
      </c>
      <c r="D9" s="162"/>
      <c r="E9" s="163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58" t="s">
        <v>131</v>
      </c>
      <c r="D10" s="159"/>
      <c r="E10" s="160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58" t="s">
        <v>131</v>
      </c>
      <c r="D11" s="159"/>
      <c r="E11" s="160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4" t="s">
        <v>110</v>
      </c>
      <c r="D12" s="165"/>
      <c r="E12" s="166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7" t="s">
        <v>129</v>
      </c>
      <c r="D13" s="168"/>
      <c r="E13" s="169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70" t="s">
        <v>133</v>
      </c>
      <c r="D15" s="171"/>
      <c r="E15" s="172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73" t="s">
        <v>107</v>
      </c>
      <c r="D16" s="174"/>
      <c r="E16" s="175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58" t="s">
        <v>131</v>
      </c>
      <c r="D17" s="159"/>
      <c r="E17" s="160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58" t="s">
        <v>131</v>
      </c>
      <c r="D18" s="159"/>
      <c r="E18" s="160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61" t="s">
        <v>109</v>
      </c>
      <c r="D19" s="162"/>
      <c r="E19" s="163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58" t="s">
        <v>131</v>
      </c>
      <c r="D20" s="159"/>
      <c r="E20" s="160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58" t="s">
        <v>131</v>
      </c>
      <c r="D21" s="159"/>
      <c r="E21" s="160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4" t="s">
        <v>110</v>
      </c>
      <c r="D22" s="165"/>
      <c r="E22" s="166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7" t="s">
        <v>129</v>
      </c>
      <c r="D23" s="168"/>
      <c r="E23" s="169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70" t="s">
        <v>134</v>
      </c>
      <c r="D25" s="171"/>
      <c r="E25" s="172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73" t="s">
        <v>107</v>
      </c>
      <c r="D26" s="174"/>
      <c r="E26" s="175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58" t="s">
        <v>131</v>
      </c>
      <c r="D27" s="159"/>
      <c r="E27" s="160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58" t="s">
        <v>131</v>
      </c>
      <c r="D28" s="159"/>
      <c r="E28" s="160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61" t="s">
        <v>109</v>
      </c>
      <c r="D29" s="162"/>
      <c r="E29" s="163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58" t="s">
        <v>131</v>
      </c>
      <c r="D30" s="159"/>
      <c r="E30" s="160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58" t="s">
        <v>131</v>
      </c>
      <c r="D31" s="159"/>
      <c r="E31" s="160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79"/>
      <c r="B32" s="179"/>
      <c r="C32" s="179"/>
      <c r="D32" s="179"/>
      <c r="E32" s="179"/>
      <c r="F32" s="179"/>
      <c r="G32" s="179"/>
      <c r="H32" s="179"/>
      <c r="I32" s="179"/>
      <c r="J32" s="55"/>
      <c r="K32" s="55"/>
      <c r="L32" s="55"/>
      <c r="M32" s="55"/>
      <c r="N32" s="55"/>
    </row>
    <row r="33" spans="1:14" s="56" customFormat="1" ht="15" customHeight="1" x14ac:dyDescent="0.2">
      <c r="A33" s="180" t="s">
        <v>135</v>
      </c>
      <c r="B33" s="180"/>
      <c r="C33" s="180"/>
      <c r="D33" s="180"/>
      <c r="E33" s="180"/>
      <c r="F33" s="180"/>
      <c r="G33" s="180"/>
      <c r="H33" s="180"/>
      <c r="I33" s="180"/>
      <c r="J33" s="55"/>
      <c r="K33" s="55"/>
      <c r="L33" s="55"/>
      <c r="M33" s="55"/>
      <c r="N33" s="55"/>
    </row>
    <row r="34" spans="1:14" s="56" customFormat="1" ht="15" customHeight="1" x14ac:dyDescent="0.2">
      <c r="A34" s="179"/>
      <c r="B34" s="179"/>
      <c r="C34" s="179"/>
      <c r="D34" s="179"/>
      <c r="E34" s="179"/>
      <c r="F34" s="179"/>
      <c r="G34" s="179"/>
      <c r="H34" s="179"/>
      <c r="I34" s="179"/>
      <c r="J34" s="55"/>
      <c r="K34" s="55"/>
      <c r="L34" s="55"/>
      <c r="M34" s="55"/>
      <c r="N34" s="55"/>
    </row>
    <row r="35" spans="1:14" s="56" customFormat="1" ht="15" customHeight="1" x14ac:dyDescent="0.2">
      <c r="A35" s="179"/>
      <c r="B35" s="179"/>
      <c r="C35" s="179"/>
      <c r="D35" s="179"/>
      <c r="E35" s="179"/>
      <c r="F35" s="179"/>
      <c r="G35" s="179"/>
      <c r="H35" s="179"/>
      <c r="I35" s="179"/>
      <c r="J35" s="55"/>
      <c r="K35" s="55"/>
      <c r="L35" s="55"/>
      <c r="M35" s="55"/>
      <c r="N35" s="55"/>
    </row>
    <row r="36" spans="1:14" s="56" customFormat="1" ht="15" customHeight="1" x14ac:dyDescent="0.2">
      <c r="A36" s="179"/>
      <c r="B36" s="179"/>
      <c r="C36" s="179"/>
      <c r="D36" s="179"/>
      <c r="E36" s="179"/>
      <c r="F36" s="179"/>
      <c r="G36" s="179"/>
      <c r="H36" s="179"/>
      <c r="I36" s="179"/>
      <c r="J36" s="55"/>
      <c r="K36" s="55"/>
      <c r="L36" s="55"/>
      <c r="M36" s="55"/>
      <c r="N36" s="55"/>
    </row>
    <row r="37" spans="1:14" s="56" customFormat="1" ht="15" customHeight="1" x14ac:dyDescent="0.2">
      <c r="A37" s="179"/>
      <c r="B37" s="179"/>
      <c r="C37" s="179"/>
      <c r="D37" s="179"/>
      <c r="E37" s="179"/>
      <c r="F37" s="179"/>
      <c r="G37" s="179"/>
      <c r="H37" s="179"/>
      <c r="I37" s="179"/>
      <c r="J37" s="55"/>
      <c r="K37" s="55"/>
      <c r="L37" s="55"/>
      <c r="M37" s="55"/>
      <c r="N37" s="55"/>
    </row>
    <row r="38" spans="1:14" s="56" customFormat="1" ht="15" customHeight="1" x14ac:dyDescent="0.2">
      <c r="A38" s="179"/>
      <c r="B38" s="179"/>
      <c r="C38" s="179"/>
      <c r="D38" s="179"/>
      <c r="E38" s="179"/>
      <c r="F38" s="179"/>
      <c r="G38" s="179"/>
      <c r="H38" s="179"/>
      <c r="I38" s="179"/>
      <c r="J38" s="55"/>
      <c r="K38" s="55"/>
      <c r="L38" s="55"/>
      <c r="M38" s="55"/>
      <c r="N38" s="55"/>
    </row>
    <row r="39" spans="1:14" s="56" customFormat="1" ht="15" customHeight="1" x14ac:dyDescent="0.2">
      <c r="A39" s="179"/>
      <c r="B39" s="179"/>
      <c r="C39" s="179"/>
      <c r="D39" s="179"/>
      <c r="E39" s="179"/>
      <c r="F39" s="179"/>
      <c r="G39" s="179"/>
      <c r="H39" s="179"/>
      <c r="I39" s="179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81" t="s">
        <v>111</v>
      </c>
      <c r="B44" s="181"/>
      <c r="C44" s="181"/>
      <c r="D44" s="181"/>
      <c r="E44" s="181"/>
      <c r="F44" s="181"/>
      <c r="G44" s="181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76"/>
      <c r="B45" s="176"/>
      <c r="C45" s="176"/>
      <c r="D45" s="176"/>
      <c r="E45" s="176"/>
      <c r="F45" s="176"/>
      <c r="G45" s="176"/>
      <c r="H45" s="36"/>
      <c r="I45" s="22"/>
      <c r="J45" s="22"/>
      <c r="K45" s="22"/>
      <c r="L45" s="22"/>
      <c r="M45" s="22"/>
      <c r="N45" s="22"/>
    </row>
    <row r="46" spans="1:14" x14ac:dyDescent="0.2">
      <c r="A46" s="178" t="s">
        <v>113</v>
      </c>
      <c r="B46" s="178"/>
      <c r="C46" s="178"/>
      <c r="D46" s="178"/>
      <c r="E46" s="178"/>
      <c r="F46" s="178"/>
      <c r="G46" s="178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1" t="s">
        <v>237</v>
      </c>
    </row>
    <row r="3" spans="1:1" ht="28" customHeight="1" thickBot="1" x14ac:dyDescent="0.25">
      <c r="A3" s="92" t="s">
        <v>238</v>
      </c>
    </row>
    <row r="4" spans="1:1" ht="17" x14ac:dyDescent="0.2">
      <c r="A4" s="93" t="s">
        <v>239</v>
      </c>
    </row>
    <row r="5" spans="1:1" ht="41" customHeight="1" x14ac:dyDescent="0.25">
      <c r="A5" s="94" t="s">
        <v>240</v>
      </c>
    </row>
    <row r="6" spans="1:1" ht="33" customHeight="1" thickBot="1" x14ac:dyDescent="0.25">
      <c r="A6" s="92" t="s">
        <v>242</v>
      </c>
    </row>
    <row r="7" spans="1:1" ht="29" customHeight="1" thickBot="1" x14ac:dyDescent="0.25">
      <c r="A7" s="9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2018-01-31T20:39:35Z</dcterms:modified>
</cp:coreProperties>
</file>