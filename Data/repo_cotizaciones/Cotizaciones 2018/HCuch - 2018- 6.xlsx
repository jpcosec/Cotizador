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1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0" i="1" l="1"/>
  <c r="E29" i="1"/>
  <c r="E17" i="1"/>
  <c r="E13" i="1"/>
  <c r="E14" i="1"/>
  <c r="E15" i="1"/>
  <c r="E12" i="1"/>
  <c r="E10" i="1"/>
  <c r="F25" i="1"/>
  <c r="F36" i="1"/>
  <c r="F37" i="1"/>
  <c r="F38" i="1"/>
  <c r="F39" i="1"/>
  <c r="F16" i="1"/>
  <c r="F28" i="1"/>
  <c r="F78" i="1"/>
  <c r="F67" i="1"/>
  <c r="F116" i="1"/>
  <c r="F74" i="1"/>
  <c r="F73" i="1"/>
  <c r="F75" i="1"/>
  <c r="F113" i="1"/>
  <c r="F114" i="1"/>
  <c r="F115" i="1"/>
  <c r="F108" i="1"/>
  <c r="F107" i="1"/>
  <c r="F106" i="1"/>
  <c r="F80" i="1"/>
  <c r="F99" i="1"/>
  <c r="F112" i="1"/>
  <c r="F95" i="1"/>
  <c r="F93" i="1"/>
  <c r="F94" i="1"/>
  <c r="F96" i="1"/>
  <c r="F97" i="1"/>
  <c r="F98" i="1"/>
  <c r="F100" i="1"/>
  <c r="F104" i="1"/>
  <c r="F105" i="1"/>
  <c r="F109" i="1"/>
  <c r="F92" i="1"/>
  <c r="F89" i="1"/>
  <c r="F84" i="1"/>
  <c r="F91" i="1"/>
  <c r="F110" i="1"/>
  <c r="F111" i="1"/>
  <c r="F71" i="1"/>
  <c r="F76" i="1"/>
  <c r="F72" i="1"/>
  <c r="F87" i="1"/>
  <c r="F82" i="1"/>
  <c r="F83" i="1"/>
  <c r="F85" i="1"/>
  <c r="F86" i="1"/>
  <c r="F88" i="1"/>
  <c r="F90" i="1"/>
  <c r="F68" i="1"/>
  <c r="F69" i="1"/>
  <c r="F70" i="1"/>
  <c r="F77" i="1"/>
  <c r="F79" i="1"/>
  <c r="F81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<sst xmlns="http://schemas.openxmlformats.org/spreadsheetml/2006/main" count="514" uniqueCount="296">
  <si>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</si>
  <si>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</si>
  <si>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</si>
  <si>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</si>
  <si>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</si>
  <si>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</si>
  <si>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</si>
  <si>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</si>
  <si>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</si>
  <si>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</si>
  <si>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</si>
  <si>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</si>
  <si>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</si>
  <si>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</si>
  <si>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</si>
  <si>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</si>
  <si>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</si>
  <si>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</si>
  <si>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</si>
  <si>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</si>
  <si>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</si>
  <si>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</si>
  <si>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</si>
  <si>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</si>
  <si>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</si>
  <si>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</si>
  <si>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</si>
  <si>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</si>
  <si>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</si>
  <si>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</si>
  <si>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</si>
  <si>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</si>
  <si>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</si>
  <si>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</si>
  <si>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</si>
  <si>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</si>
  <si>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</si>
  <si>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</si>
  <si>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</si>
  <si>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</si>
  <si>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</si>
  <si>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</si>
  <si>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</si>
  <si>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</si>
  <si>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</si>
  <si>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</si>
  <si>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</si>
  <si>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</si>
  <si>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</si>
  <si>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</si>
  <si>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</si>
  <si>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</si>
  <si>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</si>
  <si>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</si>
  <si>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</si>
  <si>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</si>
  <si>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</si>
  <si>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</si>
  <si>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</si>
  <si>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</si>
  <si>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</si>
  <si>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</si>
  <si>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</si>
  <si>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</si>
  <si>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</si>
  <si>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</si>
  <si>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</si>
  <si>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</si>
  <si>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</si>
  <si>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</si>
  <si>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</si>
  <si>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</si>
  <si>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</si>
  <si>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</si>
  <si>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</si>
  <si>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</si>
  <si>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</si>
  <si>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</si>
  <si>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</si>
  <si>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</si>
  <si>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</si>
  <si>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</si>
  <si>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</si>
  <si>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</si>
  <si>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</si>
  <si>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</si>
  <si>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</si>
  <si>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</si>
  <si>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</si>
  <si>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</si>
  <si>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</si>
  <si>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</si>
  <si>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</si>
  <si>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</si>
  <si>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</si>
  <si>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</si>
  <si>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</si>
  <si>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</si>
  <si>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</si>
  <si>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</si>
  <si>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</si>
  <si>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</si>
  <si>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</si>
  <si>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</si>
  <si>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</si>
  <si>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</si>
  <si>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</si>
  <si>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</si>
  <si>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</si>
  <si>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</si>
  <si>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</si>
  <si>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</si>
  <si>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</si>
  <si>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</si>
  <si>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</si>
  <si>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</si>
  <si>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</si>
  <si>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</si>
  <si>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</si>
  <si>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</si>
  <si>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</si>
  <si>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</si>
  <si>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</si>
  <si>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</si>
  <si>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</si>
  <si>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</si>
  <si>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</si>
  <si>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</si>
  <si>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</si>
  <si>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</si>
  <si>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</si>
  <si>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</si>
  <si>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</si>
  <si>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</si>
  <si>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</si>
  <si>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</si>
  <si>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</si>
  <si>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</si>
  <si>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</si>
  <si>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</si>
  <si>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</si>
  <si>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</si>
  <si>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</si>
  <si>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</si>
  <si>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</si>
  <si>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</si>
  <si>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</si>
  <si>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</si>
  <si>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</si>
  <si>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</si>
  <si>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</si>
  <si>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</si>
  <si>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</si>
  <si>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</si>
  <si>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</si>
  <si>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</si>
  <si>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</si>
  <si>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</si>
  <si>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</si>
  <si>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</si>
  <si>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</si>
  <si>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</si>
  <si>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</si>
  <si>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</si>
  <si>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</si>
  <si>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</si>
  <si>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</si>
  <si>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</si>
  <si>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</si>
  <si>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</si>
  <si>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</si>
  <si>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</si>
  <si>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</si>
  <si>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</si>
  <si>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</si>
  <si>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</si>
  <si>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</si>
  <si>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</si>
  <si>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</si>
  <si>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 xml:space="preserve">Desayuno Buffet 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</si>
  <si>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</si>
  <si>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</si>
  <si>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</si>
  <si>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</si>
  <si>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</si>
  <si>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</si>
  <si>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</si>
  <si>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</si>
  <si>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</si>
  <si>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</si>
  <si>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</si>
  <si>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</si>
  <si>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</si>
  <si>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</si>
  <si>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</si>
  <si>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</si>
  <si>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</si>
  <si>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</si>
  <si>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</si>
  <si>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</si>
  <si>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</si>
  <si>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</si>
  <si>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</si>
  <si>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</si>
  <si>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08:30-11:00</t>
  </si>
  <si>
    <t>13:00-15:00</t>
  </si>
  <si>
    <t>20:00- 21:00</t>
  </si>
  <si>
    <t>Pergola uso exclusivo 8 horas</t>
  </si>
  <si>
    <t>horarios entre las 10:00 y 14:00 y 15:00 a 19:00, adjuntar ficha de horarios de masajes.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</si>
  <si>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</si>
  <si>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</si>
  <si>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</si>
  <si>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</si>
  <si>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</si>
  <si>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</si>
  <si>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</si>
  <si>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</si>
  <si>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</si>
  <si>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</si>
  <si>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</si>
  <si>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</si>
  <si>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</si>
  <si>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</si>
  <si>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</si>
  <si>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</si>
  <si>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</si>
  <si>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</si>
  <si>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</si>
  <si>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</si>
  <si>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</si>
  <si>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</si>
  <si>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</si>
  <si>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</si>
  <si>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</si>
  <si>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</si>
  <si>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</si>
  <si>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</si>
  <si>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</si>
  <si>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</si>
  <si>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</si>
  <si>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</si>
  <si>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</si>
  <si>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</si>
  <si>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</si>
  <si>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</si>
  <si>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</si>
  <si>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</si>
  <si>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</si>
  <si>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</si>
  <si>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</si>
  <si>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</si>
  <si>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</si>
  <si>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>Horario</t>
  </si>
  <si>
    <t>Confirmar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</si>
  <si>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</si>
  <si>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</si>
  <si>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</si>
  <si>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</si>
  <si>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</si>
  <si>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</si>
  <si>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</si>
  <si>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</si>
  <si>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</si>
  <si>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</si>
  <si>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</si>
  <si>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</si>
  <si>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</si>
  <si>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</si>
  <si>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</si>
  <si>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</si>
  <si>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</si>
  <si>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</si>
  <si>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</si>
  <si>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</si>
  <si>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</si>
  <si>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</si>
  <si>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</si>
  <si>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</si>
  <si>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HCUCH</t>
  </si>
  <si>
    <t xml:space="preserve">      Detalles Importantes:</t>
  </si>
  <si>
    <t xml:space="preserve">      1.-</t>
  </si>
  <si>
    <t xml:space="preserve">      2.-</t>
  </si>
  <si>
    <t xml:space="preserve">      3.-</t>
  </si>
  <si>
    <t xml:space="preserve">      4.-</t>
  </si>
  <si>
    <t>Marcela Soto</t>
  </si>
  <si>
    <t xml:space="preserve">                                                        Atiende:</t>
  </si>
  <si>
    <t>sin costo</t>
  </si>
  <si>
    <t>Total a Facturar</t>
  </si>
  <si>
    <t xml:space="preserve">Salón Arcoiris 1, hasta 80 pasajeros </t>
  </si>
  <si>
    <t>Karaoke hasta 4 hora</t>
  </si>
  <si>
    <t>trago de cortesía</t>
  </si>
  <si>
    <t>incluye salon, equipos, y persona a cargo</t>
  </si>
  <si>
    <t>piscola, ó roncola, ó  pisco sour, ó cerveza, ó copa de vino.</t>
  </si>
  <si>
    <t xml:space="preserve">                                                        Nombre: </t>
  </si>
  <si>
    <t xml:space="preserve">                                                 Valor por pasajero</t>
  </si>
  <si>
    <t xml:space="preserve">   $149.700+IVA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</si>
</sst>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1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</cellStyleXfs>
  <cellXfs count="199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0" xfId="0" applyNumberFormat="1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7" fillId="0" borderId="9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 vertical="center"/>
    </xf>
    <xf numFmtId="165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7" fillId="9" borderId="12" xfId="0" applyFont="1" applyFill="1" applyBorder="1"/>
    <xf numFmtId="165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5" fontId="7" fillId="9" borderId="2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165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5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1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5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5" fontId="7" fillId="9" borderId="1" xfId="0" applyNumberFormat="1" applyFont="1" applyFill="1" applyBorder="1" applyAlignment="1">
      <alignment horizontal="justify" vertical="center"/>
    </xf>
    <xf numFmtId="165" fontId="0" fillId="3" borderId="1" xfId="0" applyNumberFormat="1" applyFill="1" applyBorder="1"/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5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5" fontId="7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7" fillId="9" borderId="25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left"/>
    </xf>
    <xf numFmtId="165" fontId="2" fillId="8" borderId="0" xfId="0" applyNumberFormat="1" applyFont="1" applyFill="1" applyAlignment="1">
      <alignment horizontal="center"/>
    </xf>
    <xf numFmtId="0" fontId="20" fillId="10" borderId="4" xfId="0" applyFont="1" applyFill="1" applyBorder="1" applyAlignment="1"/>
    <xf numFmtId="0" fontId="20" fillId="10" borderId="3" xfId="0" applyFont="1" applyFill="1" applyBorder="1" applyAlignment="1"/>
    <xf numFmtId="0" fontId="2" fillId="10" borderId="1" xfId="0" applyFont="1" applyFill="1" applyBorder="1" applyAlignment="1">
      <alignment horizontal="left"/>
    </xf>
    <xf numFmtId="165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5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6" fontId="16" fillId="9" borderId="1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righ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2" fillId="0" borderId="0" xfId="0" applyNumberFormat="1" applyFont="1" applyFill="1" applyAlignment="1">
      <alignment horizontal="left"/>
    </xf>
    <xf numFmtId="0" fontId="2" fillId="0" borderId="0" xfId="0" applyFont="1" applyFill="1" applyAlignment="1"/>
    <xf numFmtId="0" fontId="0" fillId="0" borderId="0" xfId="0" applyFont="1" applyFill="1" applyAlignment="1">
      <alignment horizontal="left"/>
    </xf>
    <xf numFmtId="165" fontId="0" fillId="0" borderId="0" xfId="0" applyNumberFormat="1" applyFont="1" applyFill="1" applyAlignment="1">
      <alignment horizontal="right"/>
    </xf>
    <xf numFmtId="0" fontId="0" fillId="0" borderId="0" xfId="0" applyFont="1" applyFill="1"/>
    <xf numFmtId="0" fontId="2" fillId="0" borderId="0" xfId="0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</cellXfs>
  <cellStyles count="118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42"/>
  <sheetViews>
    <sheetView tabSelected="1" zoomScale="117" zoomScaleNormal="117" zoomScalePageLayoutView="117" workbookViewId="0">
      <selection activeCell="E31" sqref="E31"/>
    </sheetView>
  </sheetViews>
  <sheetFormatPr baseColWidth="10" defaultRowHeight="16" x14ac:dyDescent="0.2"/>
  <cols>
    <col min="1" max="1" width="33.6640625" customWidth="1"/>
    <col min="2" max="2" width="10.83203125" style="79" customWidth="1"/>
    <col min="3" max="3" width="6.83203125" customWidth="1"/>
    <col min="4" max="4" width="6.33203125" customWidth="1"/>
    <col min="5" max="5" width="10" customWidth="1"/>
    <col min="6" max="6" width="10.1640625" customWidth="1"/>
    <col min="7" max="7" width="89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8"/>
      <c r="C1" s="73" t="s">
        <v>138</v>
      </c>
    </row>
    <row r="2" spans="1:7" x14ac:dyDescent="0.2">
      <c r="G2" t="s">
        <v>279</v>
      </c>
    </row>
    <row r="3" spans="1:7" x14ac:dyDescent="0.2">
      <c r="A3" s="71" t="s">
        <v>293</v>
      </c>
      <c r="B3" s="167" t="s">
        <v>284</v>
      </c>
      <c r="C3" s="168"/>
      <c r="E3" t="s">
        <v>3</v>
      </c>
      <c r="F3" s="35" t="s">
        <v>278</v>
      </c>
      <c r="G3" s="92" t="s">
        <v>280</v>
      </c>
    </row>
    <row r="4" spans="1:7" x14ac:dyDescent="0.2">
      <c r="A4" t="s">
        <v>139</v>
      </c>
      <c r="C4" s="74"/>
      <c r="E4" t="s">
        <v>5</v>
      </c>
      <c r="F4">
        <v>90827788</v>
      </c>
      <c r="G4" s="93" t="s">
        <v>281</v>
      </c>
    </row>
    <row r="5" spans="1:7" x14ac:dyDescent="0.2">
      <c r="A5" t="s">
        <v>140</v>
      </c>
      <c r="E5" t="s">
        <v>4</v>
      </c>
      <c r="F5" s="35">
        <v>30</v>
      </c>
      <c r="G5" s="93" t="s">
        <v>282</v>
      </c>
    </row>
    <row r="6" spans="1:7" x14ac:dyDescent="0.2">
      <c r="A6" s="171" t="s">
        <v>285</v>
      </c>
      <c r="B6" s="172"/>
      <c r="C6" s="173"/>
      <c r="D6" s="173"/>
      <c r="E6" s="173" t="s">
        <v>141</v>
      </c>
      <c r="F6" s="173">
        <v>74961403</v>
      </c>
      <c r="G6" s="93" t="s">
        <v>283</v>
      </c>
    </row>
    <row r="7" spans="1:7" x14ac:dyDescent="0.2">
      <c r="A7" s="174" t="s">
        <v>294</v>
      </c>
      <c r="B7" s="174"/>
      <c r="C7" s="169" t="s">
        <v>295</v>
      </c>
      <c r="E7" s="72"/>
      <c r="F7" s="72" t="s">
        <v>2</v>
      </c>
      <c r="G7" s="93"/>
    </row>
    <row r="8" spans="1:7" ht="17" thickBot="1" x14ac:dyDescent="0.25">
      <c r="A8" s="166"/>
      <c r="B8" s="169"/>
      <c r="C8" s="170" t="s">
        <v>2</v>
      </c>
      <c r="D8" s="72"/>
      <c r="E8" s="72"/>
      <c r="F8" s="72"/>
      <c r="G8" s="93"/>
    </row>
    <row r="9" spans="1:7" ht="15.75" customHeight="1" x14ac:dyDescent="0.2">
      <c r="A9" s="142" t="s">
        <v>125</v>
      </c>
      <c r="B9" s="143" t="s">
        <v>180</v>
      </c>
      <c r="C9" s="144" t="s">
        <v>124</v>
      </c>
      <c r="D9" s="144" t="s">
        <v>7</v>
      </c>
      <c r="E9" s="144" t="s">
        <v>0</v>
      </c>
      <c r="F9" s="144" t="s">
        <v>1</v>
      </c>
      <c r="G9" s="145" t="s">
        <v>8</v>
      </c>
    </row>
    <row r="10" spans="1:7" ht="16.5" customHeight="1" x14ac:dyDescent="0.2">
      <c r="A10" s="99" t="s">
        <v>179</v>
      </c>
      <c r="B10" s="100" t="s">
        <v>204</v>
      </c>
      <c r="C10" s="101">
        <v>1</v>
      </c>
      <c r="D10" s="101">
        <v>36</v>
      </c>
      <c r="E10" s="102">
        <f>F10/30</f>
        <v>10200</v>
      </c>
      <c r="F10" s="103">
        <v>306000</v>
      </c>
      <c r="G10" s="104" t="s">
        <v>260</v>
      </c>
    </row>
    <row r="11" spans="1:7" x14ac:dyDescent="0.2">
      <c r="A11" s="120" t="s">
        <v>142</v>
      </c>
      <c r="B11" s="121"/>
      <c r="C11" s="109">
        <v>1</v>
      </c>
      <c r="D11" s="109">
        <v>1</v>
      </c>
      <c r="E11" s="122">
        <v>180000</v>
      </c>
      <c r="F11" s="107">
        <v>180000</v>
      </c>
      <c r="G11" s="104" t="s">
        <v>270</v>
      </c>
    </row>
    <row r="12" spans="1:7" ht="16.5" customHeight="1" x14ac:dyDescent="0.2">
      <c r="A12" s="105" t="s">
        <v>121</v>
      </c>
      <c r="B12" s="106" t="s">
        <v>205</v>
      </c>
      <c r="C12" s="101">
        <v>1</v>
      </c>
      <c r="D12" s="101">
        <v>36</v>
      </c>
      <c r="E12" s="107">
        <f>F12/30</f>
        <v>18000</v>
      </c>
      <c r="F12" s="107">
        <v>540000</v>
      </c>
      <c r="G12" s="104" t="s">
        <v>114</v>
      </c>
    </row>
    <row r="13" spans="1:7" x14ac:dyDescent="0.2">
      <c r="A13" s="105" t="s">
        <v>266</v>
      </c>
      <c r="B13" s="108"/>
      <c r="C13" s="109">
        <v>1</v>
      </c>
      <c r="D13" s="101">
        <v>36</v>
      </c>
      <c r="E13" s="107">
        <f t="shared" ref="E13:E15" si="0">F13/30</f>
        <v>1800</v>
      </c>
      <c r="F13" s="107">
        <v>54000</v>
      </c>
      <c r="G13" s="104" t="s">
        <v>258</v>
      </c>
    </row>
    <row r="14" spans="1:7" x14ac:dyDescent="0.2">
      <c r="A14" s="110" t="s">
        <v>122</v>
      </c>
      <c r="B14" s="106" t="s">
        <v>206</v>
      </c>
      <c r="C14" s="101">
        <v>1</v>
      </c>
      <c r="D14" s="101">
        <v>36</v>
      </c>
      <c r="E14" s="107">
        <f t="shared" si="0"/>
        <v>18000</v>
      </c>
      <c r="F14" s="103">
        <v>540000</v>
      </c>
      <c r="G14" s="104" t="s">
        <v>261</v>
      </c>
    </row>
    <row r="15" spans="1:7" x14ac:dyDescent="0.2">
      <c r="A15" s="105" t="s">
        <v>266</v>
      </c>
      <c r="B15" s="108"/>
      <c r="C15" s="109">
        <v>1</v>
      </c>
      <c r="D15" s="101">
        <v>36</v>
      </c>
      <c r="E15" s="107">
        <f t="shared" si="0"/>
        <v>1800</v>
      </c>
      <c r="F15" s="107">
        <v>54000</v>
      </c>
      <c r="G15" s="104" t="s">
        <v>258</v>
      </c>
    </row>
    <row r="16" spans="1:7" x14ac:dyDescent="0.2">
      <c r="A16" s="112" t="s">
        <v>150</v>
      </c>
      <c r="B16" s="113"/>
      <c r="C16" s="114">
        <v>0</v>
      </c>
      <c r="D16" s="114">
        <v>0</v>
      </c>
      <c r="E16" s="115">
        <v>99000</v>
      </c>
      <c r="F16" s="115">
        <f t="shared" ref="F12:F17" si="1">C16*D16*E16</f>
        <v>0</v>
      </c>
      <c r="G16" s="112" t="s">
        <v>259</v>
      </c>
    </row>
    <row r="17" spans="1:7" x14ac:dyDescent="0.2">
      <c r="A17" s="112" t="s">
        <v>151</v>
      </c>
      <c r="B17" s="113"/>
      <c r="C17" s="114">
        <v>1</v>
      </c>
      <c r="D17" s="114">
        <v>18</v>
      </c>
      <c r="E17" s="115">
        <f>F17/15</f>
        <v>136200</v>
      </c>
      <c r="F17" s="115">
        <v>2043000</v>
      </c>
      <c r="G17" s="112" t="s">
        <v>232</v>
      </c>
    </row>
    <row r="18" spans="1:7" x14ac:dyDescent="0.2">
      <c r="A18" s="146" t="s">
        <v>249</v>
      </c>
      <c r="B18" s="147" t="s">
        <v>253</v>
      </c>
      <c r="C18" s="148"/>
      <c r="D18" s="148"/>
      <c r="E18" s="148"/>
      <c r="F18" s="148"/>
      <c r="G18" s="149" t="s">
        <v>250</v>
      </c>
    </row>
    <row r="19" spans="1:7" x14ac:dyDescent="0.2">
      <c r="A19" s="112" t="s">
        <v>243</v>
      </c>
      <c r="B19" s="113" t="s">
        <v>252</v>
      </c>
      <c r="C19" s="114">
        <v>1</v>
      </c>
      <c r="D19" s="114">
        <v>30</v>
      </c>
      <c r="E19" s="115">
        <v>0</v>
      </c>
      <c r="F19" s="165" t="s">
        <v>286</v>
      </c>
      <c r="G19" s="116" t="s">
        <v>245</v>
      </c>
    </row>
    <row r="20" spans="1:7" x14ac:dyDescent="0.2">
      <c r="A20" s="112" t="s">
        <v>239</v>
      </c>
      <c r="B20" s="113" t="s">
        <v>252</v>
      </c>
      <c r="C20" s="114">
        <v>1</v>
      </c>
      <c r="D20" s="114">
        <v>30</v>
      </c>
      <c r="E20" s="115">
        <v>0</v>
      </c>
      <c r="F20" s="165" t="s">
        <v>286</v>
      </c>
      <c r="G20" s="116" t="s">
        <v>246</v>
      </c>
    </row>
    <row r="21" spans="1:7" x14ac:dyDescent="0.2">
      <c r="A21" s="112" t="s">
        <v>240</v>
      </c>
      <c r="B21" s="113" t="s">
        <v>248</v>
      </c>
      <c r="C21" s="114">
        <v>1</v>
      </c>
      <c r="D21" s="114">
        <v>30</v>
      </c>
      <c r="E21" s="115">
        <v>0</v>
      </c>
      <c r="F21" s="165" t="s">
        <v>286</v>
      </c>
      <c r="G21" s="116" t="s">
        <v>244</v>
      </c>
    </row>
    <row r="22" spans="1:7" x14ac:dyDescent="0.2">
      <c r="A22" s="112" t="s">
        <v>241</v>
      </c>
      <c r="B22" s="113" t="s">
        <v>248</v>
      </c>
      <c r="C22" s="114">
        <v>1</v>
      </c>
      <c r="D22" s="114">
        <v>30</v>
      </c>
      <c r="E22" s="115">
        <v>0</v>
      </c>
      <c r="F22" s="165" t="s">
        <v>286</v>
      </c>
      <c r="G22" s="112" t="s">
        <v>242</v>
      </c>
    </row>
    <row r="23" spans="1:7" x14ac:dyDescent="0.2">
      <c r="A23" s="112" t="s">
        <v>289</v>
      </c>
      <c r="B23" s="113"/>
      <c r="C23" s="114">
        <v>1</v>
      </c>
      <c r="D23" s="114">
        <v>1</v>
      </c>
      <c r="E23" s="115">
        <v>280000</v>
      </c>
      <c r="F23" s="165" t="s">
        <v>286</v>
      </c>
      <c r="G23" s="112" t="s">
        <v>291</v>
      </c>
    </row>
    <row r="24" spans="1:7" x14ac:dyDescent="0.2">
      <c r="A24" s="112" t="s">
        <v>290</v>
      </c>
      <c r="B24" s="113"/>
      <c r="C24" s="114">
        <v>1</v>
      </c>
      <c r="D24" s="114">
        <v>30</v>
      </c>
      <c r="E24" s="115"/>
      <c r="F24" s="165" t="s">
        <v>286</v>
      </c>
      <c r="G24" s="112" t="s">
        <v>292</v>
      </c>
    </row>
    <row r="25" spans="1:7" ht="16.5" customHeight="1" thickBot="1" x14ac:dyDescent="0.25">
      <c r="A25" s="2" t="s">
        <v>92</v>
      </c>
      <c r="B25" s="80"/>
      <c r="C25" s="34"/>
      <c r="D25" s="24"/>
      <c r="E25" s="7"/>
      <c r="F25" s="5">
        <f>SUM(F10:F22)</f>
        <v>3717000</v>
      </c>
      <c r="G25" s="33" t="s">
        <v>2</v>
      </c>
    </row>
    <row r="26" spans="1:7" ht="16.5" customHeight="1" x14ac:dyDescent="0.2">
      <c r="A26" s="142" t="s">
        <v>126</v>
      </c>
      <c r="B26" s="143"/>
      <c r="C26" s="144" t="s">
        <v>124</v>
      </c>
      <c r="D26" s="144" t="s">
        <v>7</v>
      </c>
      <c r="E26" s="144" t="s">
        <v>0</v>
      </c>
      <c r="F26" s="144" t="s">
        <v>1</v>
      </c>
      <c r="G26" s="145" t="s">
        <v>8</v>
      </c>
    </row>
    <row r="27" spans="1:7" ht="16.5" customHeight="1" x14ac:dyDescent="0.2">
      <c r="A27" s="99" t="s">
        <v>10</v>
      </c>
      <c r="B27" s="100"/>
      <c r="C27" s="101">
        <v>1</v>
      </c>
      <c r="D27" s="101">
        <v>30</v>
      </c>
      <c r="E27" s="102">
        <v>10200</v>
      </c>
      <c r="F27" s="103" t="s">
        <v>127</v>
      </c>
      <c r="G27" s="104" t="s">
        <v>260</v>
      </c>
    </row>
    <row r="28" spans="1:7" x14ac:dyDescent="0.2">
      <c r="A28" s="120" t="s">
        <v>288</v>
      </c>
      <c r="B28" s="121"/>
      <c r="C28" s="109">
        <v>1</v>
      </c>
      <c r="D28" s="109">
        <v>1</v>
      </c>
      <c r="E28" s="122">
        <v>180000</v>
      </c>
      <c r="F28" s="107">
        <f t="shared" ref="F28" si="2">C28*D28*E28</f>
        <v>180000</v>
      </c>
      <c r="G28" s="104" t="s">
        <v>270</v>
      </c>
    </row>
    <row r="29" spans="1:7" ht="16.5" customHeight="1" x14ac:dyDescent="0.2">
      <c r="A29" s="105" t="s">
        <v>121</v>
      </c>
      <c r="B29" s="106"/>
      <c r="C29" s="101">
        <v>1</v>
      </c>
      <c r="D29" s="101">
        <v>30</v>
      </c>
      <c r="E29" s="107">
        <f>F29/30</f>
        <v>18000</v>
      </c>
      <c r="F29" s="107">
        <v>540000</v>
      </c>
      <c r="G29" s="104" t="s">
        <v>114</v>
      </c>
    </row>
    <row r="30" spans="1:7" x14ac:dyDescent="0.2">
      <c r="A30" s="105" t="s">
        <v>266</v>
      </c>
      <c r="B30" s="108"/>
      <c r="C30" s="109">
        <v>1</v>
      </c>
      <c r="D30" s="109">
        <v>30</v>
      </c>
      <c r="E30" s="107">
        <f>F30/30</f>
        <v>1800</v>
      </c>
      <c r="F30" s="107">
        <v>54000</v>
      </c>
      <c r="G30" s="104" t="s">
        <v>258</v>
      </c>
    </row>
    <row r="31" spans="1:7" x14ac:dyDescent="0.2">
      <c r="A31" s="150" t="s">
        <v>249</v>
      </c>
      <c r="B31" s="151" t="s">
        <v>254</v>
      </c>
      <c r="C31" s="152"/>
      <c r="D31" s="152"/>
      <c r="E31" s="153"/>
      <c r="F31" s="153"/>
      <c r="G31" s="150" t="s">
        <v>250</v>
      </c>
    </row>
    <row r="32" spans="1:7" x14ac:dyDescent="0.2">
      <c r="A32" s="112" t="s">
        <v>243</v>
      </c>
      <c r="B32" s="113" t="s">
        <v>247</v>
      </c>
      <c r="C32" s="114">
        <v>1</v>
      </c>
      <c r="D32" s="114">
        <v>30</v>
      </c>
      <c r="E32" s="115">
        <v>0</v>
      </c>
      <c r="F32" s="165" t="s">
        <v>286</v>
      </c>
      <c r="G32" s="116" t="s">
        <v>245</v>
      </c>
    </row>
    <row r="33" spans="1:7" x14ac:dyDescent="0.2">
      <c r="A33" s="112" t="s">
        <v>239</v>
      </c>
      <c r="B33" s="113" t="s">
        <v>247</v>
      </c>
      <c r="C33" s="114">
        <v>1</v>
      </c>
      <c r="D33" s="114">
        <v>30</v>
      </c>
      <c r="E33" s="115">
        <v>0</v>
      </c>
      <c r="F33" s="165" t="s">
        <v>286</v>
      </c>
      <c r="G33" s="116" t="s">
        <v>246</v>
      </c>
    </row>
    <row r="34" spans="1:7" x14ac:dyDescent="0.2">
      <c r="A34" s="112" t="s">
        <v>240</v>
      </c>
      <c r="B34" s="113" t="s">
        <v>248</v>
      </c>
      <c r="C34" s="114">
        <v>1</v>
      </c>
      <c r="D34" s="114">
        <v>30</v>
      </c>
      <c r="E34" s="115">
        <v>0</v>
      </c>
      <c r="F34" s="165" t="s">
        <v>286</v>
      </c>
      <c r="G34" s="116" t="s">
        <v>244</v>
      </c>
    </row>
    <row r="35" spans="1:7" x14ac:dyDescent="0.2">
      <c r="A35" s="112" t="s">
        <v>241</v>
      </c>
      <c r="B35" s="113" t="s">
        <v>248</v>
      </c>
      <c r="C35" s="114">
        <v>1</v>
      </c>
      <c r="D35" s="114">
        <v>30</v>
      </c>
      <c r="E35" s="115">
        <v>0</v>
      </c>
      <c r="F35" s="165" t="s">
        <v>286</v>
      </c>
      <c r="G35" s="112" t="s">
        <v>242</v>
      </c>
    </row>
    <row r="36" spans="1:7" ht="16.5" customHeight="1" thickBot="1" x14ac:dyDescent="0.25">
      <c r="A36" s="2" t="s">
        <v>92</v>
      </c>
      <c r="B36" s="80"/>
      <c r="C36" s="34"/>
      <c r="D36" s="24"/>
      <c r="E36" s="7"/>
      <c r="F36" s="5">
        <f>SUM(F27:F30)</f>
        <v>774000</v>
      </c>
      <c r="G36" s="33" t="s">
        <v>2</v>
      </c>
    </row>
    <row r="37" spans="1:7" ht="17" thickBot="1" x14ac:dyDescent="0.25">
      <c r="A37" s="37" t="s">
        <v>251</v>
      </c>
      <c r="B37" s="82"/>
      <c r="C37" s="38"/>
      <c r="D37" s="38"/>
      <c r="E37" s="39"/>
      <c r="F37" s="40">
        <f>F25+F36</f>
        <v>4491000</v>
      </c>
      <c r="G37" s="6" t="s">
        <v>148</v>
      </c>
    </row>
    <row r="38" spans="1:7" x14ac:dyDescent="0.2">
      <c r="A38" s="3" t="s">
        <v>149</v>
      </c>
      <c r="B38" s="81"/>
      <c r="C38" s="32"/>
      <c r="D38" s="24"/>
      <c r="E38" s="7"/>
      <c r="F38" s="5">
        <f>F37*1.19-F37</f>
        <v>853290</v>
      </c>
      <c r="G38" s="6"/>
    </row>
    <row r="39" spans="1:7" x14ac:dyDescent="0.2">
      <c r="A39" s="84" t="s">
        <v>287</v>
      </c>
      <c r="B39" s="85"/>
      <c r="C39" s="86"/>
      <c r="D39" s="86"/>
      <c r="E39" s="87"/>
      <c r="F39" s="88">
        <f>F37+F38</f>
        <v>5344290</v>
      </c>
      <c r="G39" s="6"/>
    </row>
    <row r="40" spans="1:7" x14ac:dyDescent="0.2">
      <c r="A40" s="3"/>
      <c r="B40" s="81"/>
      <c r="C40" s="32"/>
      <c r="D40" s="24"/>
      <c r="E40" s="7"/>
      <c r="F40" s="4" t="s">
        <v>2</v>
      </c>
      <c r="G40" s="6"/>
    </row>
    <row r="41" spans="1:7" ht="19" x14ac:dyDescent="0.2">
      <c r="A41" s="90" t="s">
        <v>210</v>
      </c>
      <c r="B41"/>
      <c r="E41" s="77"/>
      <c r="F41" s="77"/>
      <c r="G41" s="77"/>
    </row>
    <row r="42" spans="1:7" ht="19" x14ac:dyDescent="0.2">
      <c r="A42" s="89" t="s">
        <v>211</v>
      </c>
      <c r="B42"/>
      <c r="E42" s="76"/>
      <c r="F42" s="76"/>
      <c r="G42" s="76"/>
    </row>
    <row r="43" spans="1:7" ht="17" x14ac:dyDescent="0.2">
      <c r="A43" s="77" t="s">
        <v>212</v>
      </c>
      <c r="B43"/>
    </row>
    <row r="44" spans="1:7" ht="17" x14ac:dyDescent="0.2">
      <c r="A44" s="77"/>
      <c r="B44"/>
    </row>
    <row r="45" spans="1:7" ht="19" x14ac:dyDescent="0.2">
      <c r="A45" s="90" t="s">
        <v>152</v>
      </c>
      <c r="B45"/>
    </row>
    <row r="46" spans="1:7" ht="17" x14ac:dyDescent="0.2">
      <c r="A46" s="77" t="s">
        <v>213</v>
      </c>
      <c r="B46"/>
    </row>
    <row r="47" spans="1:7" ht="17" x14ac:dyDescent="0.2">
      <c r="A47" s="77" t="s">
        <v>214</v>
      </c>
      <c r="B47"/>
    </row>
    <row r="48" spans="1:7" ht="17" x14ac:dyDescent="0.2">
      <c r="A48" s="77" t="s">
        <v>215</v>
      </c>
      <c r="B48"/>
    </row>
    <row r="49" spans="1:6" ht="17" x14ac:dyDescent="0.2">
      <c r="A49" s="75" t="s">
        <v>153</v>
      </c>
      <c r="B49"/>
    </row>
    <row r="50" spans="1:6" ht="17" x14ac:dyDescent="0.2">
      <c r="A50" s="77" t="s">
        <v>216</v>
      </c>
      <c r="B50"/>
    </row>
    <row r="51" spans="1:6" ht="17" x14ac:dyDescent="0.2">
      <c r="A51" s="77" t="s">
        <v>154</v>
      </c>
      <c r="B51"/>
    </row>
    <row r="52" spans="1:6" ht="17" x14ac:dyDescent="0.2">
      <c r="A52" s="75" t="s">
        <v>217</v>
      </c>
      <c r="B52"/>
    </row>
    <row r="53" spans="1:6" ht="17" x14ac:dyDescent="0.2">
      <c r="A53" s="77" t="s">
        <v>155</v>
      </c>
      <c r="B53"/>
    </row>
    <row r="54" spans="1:6" ht="17" x14ac:dyDescent="0.2">
      <c r="A54" s="77" t="s">
        <v>156</v>
      </c>
      <c r="B54"/>
    </row>
    <row r="55" spans="1:6" ht="17" x14ac:dyDescent="0.2">
      <c r="A55" s="77" t="s">
        <v>157</v>
      </c>
      <c r="B55"/>
    </row>
    <row r="56" spans="1:6" ht="17" x14ac:dyDescent="0.2">
      <c r="A56" s="77" t="s">
        <v>158</v>
      </c>
      <c r="B56"/>
    </row>
    <row r="57" spans="1:6" ht="17" x14ac:dyDescent="0.2">
      <c r="A57" s="77" t="s">
        <v>159</v>
      </c>
      <c r="B57"/>
    </row>
    <row r="58" spans="1:6" ht="17" x14ac:dyDescent="0.2">
      <c r="A58" s="77" t="s">
        <v>160</v>
      </c>
      <c r="B58"/>
    </row>
    <row r="59" spans="1:6" ht="17" x14ac:dyDescent="0.2">
      <c r="A59" s="77"/>
      <c r="B59"/>
    </row>
    <row r="60" spans="1:6" ht="17" x14ac:dyDescent="0.2">
      <c r="A60" s="117" t="s">
        <v>255</v>
      </c>
      <c r="B60"/>
    </row>
    <row r="61" spans="1:6" ht="17" x14ac:dyDescent="0.2">
      <c r="A61" s="77" t="s">
        <v>218</v>
      </c>
      <c r="B61" s="77" t="s">
        <v>219</v>
      </c>
      <c r="D61" s="77" t="s">
        <v>220</v>
      </c>
      <c r="F61" s="77" t="s">
        <v>221</v>
      </c>
    </row>
    <row r="62" spans="1:6" ht="17" x14ac:dyDescent="0.2">
      <c r="A62" s="77" t="s">
        <v>224</v>
      </c>
      <c r="B62" s="77" t="s">
        <v>225</v>
      </c>
      <c r="D62" s="77" t="s">
        <v>222</v>
      </c>
      <c r="F62" s="77" t="s">
        <v>223</v>
      </c>
    </row>
    <row r="63" spans="1:6" ht="17" x14ac:dyDescent="0.2">
      <c r="A63" s="77" t="s">
        <v>226</v>
      </c>
      <c r="B63" s="77" t="s">
        <v>227</v>
      </c>
      <c r="D63" s="77" t="s">
        <v>228</v>
      </c>
      <c r="F63" s="77" t="s">
        <v>229</v>
      </c>
    </row>
    <row r="64" spans="1:6" ht="17" x14ac:dyDescent="0.2">
      <c r="A64" s="77" t="s">
        <v>5</v>
      </c>
      <c r="B64" s="77" t="s">
        <v>231</v>
      </c>
      <c r="D64" s="91" t="s">
        <v>230</v>
      </c>
    </row>
    <row r="65" spans="1:7" ht="18" thickBot="1" x14ac:dyDescent="0.25">
      <c r="A65" s="77"/>
      <c r="B65"/>
    </row>
    <row r="66" spans="1:7" ht="16" customHeight="1" x14ac:dyDescent="0.2">
      <c r="A66" s="154" t="s">
        <v>123</v>
      </c>
      <c r="B66" s="155" t="s">
        <v>180</v>
      </c>
      <c r="C66" s="156" t="s">
        <v>89</v>
      </c>
      <c r="D66" s="156" t="s">
        <v>7</v>
      </c>
      <c r="E66" s="156" t="s">
        <v>6</v>
      </c>
      <c r="F66" s="156" t="s">
        <v>90</v>
      </c>
      <c r="G66" s="157" t="s">
        <v>8</v>
      </c>
    </row>
    <row r="67" spans="1:7" ht="16" customHeight="1" x14ac:dyDescent="0.2">
      <c r="A67" s="104" t="s">
        <v>209</v>
      </c>
      <c r="B67" s="118"/>
      <c r="C67" s="109">
        <v>0</v>
      </c>
      <c r="D67" s="109">
        <v>0</v>
      </c>
      <c r="E67" s="119">
        <v>200000</v>
      </c>
      <c r="F67" s="119">
        <f>C67*D67*E67</f>
        <v>0</v>
      </c>
      <c r="G67" s="104" t="s">
        <v>256</v>
      </c>
    </row>
    <row r="68" spans="1:7" x14ac:dyDescent="0.2">
      <c r="A68" s="120" t="s">
        <v>91</v>
      </c>
      <c r="B68" s="121"/>
      <c r="C68" s="109">
        <v>0</v>
      </c>
      <c r="D68" s="109">
        <v>0</v>
      </c>
      <c r="E68" s="107">
        <v>12000</v>
      </c>
      <c r="F68" s="107">
        <f t="shared" ref="F68:F81" si="3">C68*D68*E68</f>
        <v>0</v>
      </c>
      <c r="G68" s="104" t="s">
        <v>262</v>
      </c>
    </row>
    <row r="69" spans="1:7" x14ac:dyDescent="0.2">
      <c r="A69" s="120" t="s">
        <v>93</v>
      </c>
      <c r="B69" s="121"/>
      <c r="C69" s="109">
        <v>0</v>
      </c>
      <c r="D69" s="109">
        <v>0</v>
      </c>
      <c r="E69" s="107">
        <v>26000</v>
      </c>
      <c r="F69" s="107">
        <f t="shared" si="3"/>
        <v>0</v>
      </c>
      <c r="G69" s="104" t="s">
        <v>118</v>
      </c>
    </row>
    <row r="70" spans="1:7" x14ac:dyDescent="0.2">
      <c r="A70" s="120" t="s">
        <v>94</v>
      </c>
      <c r="B70" s="121"/>
      <c r="C70" s="109">
        <v>0</v>
      </c>
      <c r="D70" s="109">
        <v>0</v>
      </c>
      <c r="E70" s="107">
        <v>35000</v>
      </c>
      <c r="F70" s="107">
        <f t="shared" si="3"/>
        <v>0</v>
      </c>
      <c r="G70" s="104" t="s">
        <v>118</v>
      </c>
    </row>
    <row r="71" spans="1:7" x14ac:dyDescent="0.2">
      <c r="A71" s="120" t="s">
        <v>120</v>
      </c>
      <c r="B71" s="121"/>
      <c r="C71" s="109">
        <v>0</v>
      </c>
      <c r="D71" s="109">
        <v>0</v>
      </c>
      <c r="E71" s="107">
        <v>10000</v>
      </c>
      <c r="F71" s="107">
        <f t="shared" si="3"/>
        <v>0</v>
      </c>
      <c r="G71" s="104"/>
    </row>
    <row r="72" spans="1:7" x14ac:dyDescent="0.2">
      <c r="A72" s="120" t="s">
        <v>177</v>
      </c>
      <c r="B72" s="121"/>
      <c r="C72" s="109">
        <v>0</v>
      </c>
      <c r="D72" s="109">
        <v>0</v>
      </c>
      <c r="E72" s="107">
        <v>4500</v>
      </c>
      <c r="F72" s="107">
        <f t="shared" si="3"/>
        <v>0</v>
      </c>
      <c r="G72" s="104" t="s">
        <v>178</v>
      </c>
    </row>
    <row r="73" spans="1:7" x14ac:dyDescent="0.2">
      <c r="A73" s="120" t="s">
        <v>201</v>
      </c>
      <c r="B73" s="121"/>
      <c r="C73" s="109">
        <v>0</v>
      </c>
      <c r="D73" s="109">
        <v>0</v>
      </c>
      <c r="E73" s="107">
        <v>5000</v>
      </c>
      <c r="F73" s="107">
        <f t="shared" ref="F73:F74" si="4">C73*D73*E73</f>
        <v>0</v>
      </c>
      <c r="G73" s="104" t="s">
        <v>263</v>
      </c>
    </row>
    <row r="74" spans="1:7" x14ac:dyDescent="0.2">
      <c r="A74" s="120" t="s">
        <v>202</v>
      </c>
      <c r="B74" s="121"/>
      <c r="C74" s="109">
        <v>0</v>
      </c>
      <c r="D74" s="109">
        <v>0</v>
      </c>
      <c r="E74" s="107">
        <v>5000</v>
      </c>
      <c r="F74" s="107">
        <f t="shared" si="4"/>
        <v>0</v>
      </c>
      <c r="G74" s="104" t="s">
        <v>264</v>
      </c>
    </row>
    <row r="75" spans="1:7" x14ac:dyDescent="0.2">
      <c r="A75" s="120" t="s">
        <v>176</v>
      </c>
      <c r="B75" s="121"/>
      <c r="C75" s="109">
        <v>0</v>
      </c>
      <c r="D75" s="109">
        <v>0</v>
      </c>
      <c r="E75" s="107">
        <v>3000</v>
      </c>
      <c r="F75" s="107">
        <f t="shared" ref="F75" si="5">C75*D75*E75</f>
        <v>0</v>
      </c>
      <c r="G75" s="104" t="s">
        <v>265</v>
      </c>
    </row>
    <row r="76" spans="1:7" x14ac:dyDescent="0.2">
      <c r="A76" s="120" t="s">
        <v>119</v>
      </c>
      <c r="B76" s="121"/>
      <c r="C76" s="109">
        <v>0</v>
      </c>
      <c r="D76" s="109">
        <v>0</v>
      </c>
      <c r="E76" s="107">
        <v>16000</v>
      </c>
      <c r="F76" s="107">
        <f t="shared" si="3"/>
        <v>0</v>
      </c>
      <c r="G76" s="104" t="s">
        <v>145</v>
      </c>
    </row>
    <row r="77" spans="1:7" x14ac:dyDescent="0.2">
      <c r="A77" s="120" t="s">
        <v>11</v>
      </c>
      <c r="B77" s="121"/>
      <c r="C77" s="109">
        <v>0</v>
      </c>
      <c r="D77" s="109">
        <v>0</v>
      </c>
      <c r="E77" s="107">
        <v>7000</v>
      </c>
      <c r="F77" s="107">
        <f t="shared" si="3"/>
        <v>0</v>
      </c>
      <c r="G77" s="104" t="s">
        <v>181</v>
      </c>
    </row>
    <row r="78" spans="1:7" x14ac:dyDescent="0.2">
      <c r="A78" s="159" t="s">
        <v>266</v>
      </c>
      <c r="B78" s="160"/>
      <c r="C78" s="114">
        <v>0</v>
      </c>
      <c r="D78" s="114">
        <v>0</v>
      </c>
      <c r="E78" s="115">
        <v>1500</v>
      </c>
      <c r="F78" s="115">
        <f t="shared" si="3"/>
        <v>0</v>
      </c>
      <c r="G78" s="112" t="s">
        <v>258</v>
      </c>
    </row>
    <row r="79" spans="1:7" x14ac:dyDescent="0.2">
      <c r="A79" s="161" t="s">
        <v>182</v>
      </c>
      <c r="B79" s="162"/>
      <c r="C79" s="114">
        <v>0</v>
      </c>
      <c r="D79" s="114">
        <v>0</v>
      </c>
      <c r="E79" s="115">
        <v>3000</v>
      </c>
      <c r="F79" s="115">
        <f t="shared" si="3"/>
        <v>0</v>
      </c>
      <c r="G79" s="112"/>
    </row>
    <row r="80" spans="1:7" x14ac:dyDescent="0.2">
      <c r="A80" s="161" t="s">
        <v>267</v>
      </c>
      <c r="B80" s="162"/>
      <c r="C80" s="114">
        <v>0</v>
      </c>
      <c r="D80" s="114">
        <v>0</v>
      </c>
      <c r="E80" s="115">
        <v>1000</v>
      </c>
      <c r="F80" s="115">
        <f t="shared" ref="F80" si="6">C80*D80*E80</f>
        <v>0</v>
      </c>
      <c r="G80" s="112" t="s">
        <v>183</v>
      </c>
    </row>
    <row r="81" spans="1:7" x14ac:dyDescent="0.2">
      <c r="A81" s="161" t="s">
        <v>274</v>
      </c>
      <c r="B81" s="162"/>
      <c r="C81" s="114">
        <v>0</v>
      </c>
      <c r="D81" s="114">
        <v>0</v>
      </c>
      <c r="E81" s="115">
        <v>3000</v>
      </c>
      <c r="F81" s="115">
        <f t="shared" si="3"/>
        <v>0</v>
      </c>
      <c r="G81" s="112" t="s">
        <v>9</v>
      </c>
    </row>
    <row r="82" spans="1:7" x14ac:dyDescent="0.2">
      <c r="A82" s="161" t="s">
        <v>96</v>
      </c>
      <c r="B82" s="162"/>
      <c r="C82" s="114">
        <v>0</v>
      </c>
      <c r="D82" s="114">
        <v>0</v>
      </c>
      <c r="E82" s="163">
        <v>150000</v>
      </c>
      <c r="F82" s="115">
        <f t="shared" ref="F82:F89" si="7">C82*D82*E82</f>
        <v>0</v>
      </c>
      <c r="G82" s="112" t="s">
        <v>97</v>
      </c>
    </row>
    <row r="83" spans="1:7" x14ac:dyDescent="0.2">
      <c r="A83" s="120" t="s">
        <v>98</v>
      </c>
      <c r="B83" s="121"/>
      <c r="C83" s="109">
        <v>0</v>
      </c>
      <c r="D83" s="109">
        <v>0</v>
      </c>
      <c r="E83" s="122">
        <v>100000</v>
      </c>
      <c r="F83" s="107">
        <f t="shared" si="7"/>
        <v>0</v>
      </c>
      <c r="G83" s="104" t="s">
        <v>99</v>
      </c>
    </row>
    <row r="84" spans="1:7" x14ac:dyDescent="0.2">
      <c r="A84" s="123" t="s">
        <v>268</v>
      </c>
      <c r="B84" s="124"/>
      <c r="C84" s="101">
        <v>0</v>
      </c>
      <c r="D84" s="125">
        <v>0</v>
      </c>
      <c r="E84" s="111">
        <v>3850</v>
      </c>
      <c r="F84" s="126">
        <f>E84*D84*C84</f>
        <v>0</v>
      </c>
      <c r="G84" s="127" t="s">
        <v>173</v>
      </c>
    </row>
    <row r="85" spans="1:7" x14ac:dyDescent="0.2">
      <c r="A85" s="128" t="s">
        <v>115</v>
      </c>
      <c r="B85" s="129"/>
      <c r="C85" s="109">
        <v>0</v>
      </c>
      <c r="D85" s="109">
        <v>0</v>
      </c>
      <c r="E85" s="122">
        <v>4800</v>
      </c>
      <c r="F85" s="107">
        <f>C85*D85*E85</f>
        <v>0</v>
      </c>
      <c r="G85" s="120" t="s">
        <v>269</v>
      </c>
    </row>
    <row r="86" spans="1:7" x14ac:dyDescent="0.2">
      <c r="A86" s="128" t="s">
        <v>116</v>
      </c>
      <c r="B86" s="129"/>
      <c r="C86" s="109">
        <v>0</v>
      </c>
      <c r="D86" s="109">
        <v>0</v>
      </c>
      <c r="E86" s="122">
        <v>5500</v>
      </c>
      <c r="F86" s="107">
        <f>C86*D86*E86</f>
        <v>0</v>
      </c>
      <c r="G86" s="120" t="s">
        <v>175</v>
      </c>
    </row>
    <row r="87" spans="1:7" x14ac:dyDescent="0.2">
      <c r="A87" s="128" t="s">
        <v>117</v>
      </c>
      <c r="B87" s="129"/>
      <c r="C87" s="109">
        <v>0</v>
      </c>
      <c r="D87" s="109">
        <v>0</v>
      </c>
      <c r="E87" s="122">
        <v>7500</v>
      </c>
      <c r="F87" s="107">
        <f t="shared" si="7"/>
        <v>0</v>
      </c>
      <c r="G87" s="120" t="s">
        <v>174</v>
      </c>
    </row>
    <row r="88" spans="1:7" ht="15" customHeight="1" x14ac:dyDescent="0.2">
      <c r="A88" s="120" t="s">
        <v>200</v>
      </c>
      <c r="B88" s="121"/>
      <c r="C88" s="109">
        <v>0</v>
      </c>
      <c r="D88" s="109">
        <v>0</v>
      </c>
      <c r="E88" s="107">
        <v>8500</v>
      </c>
      <c r="F88" s="107">
        <f t="shared" si="7"/>
        <v>0</v>
      </c>
      <c r="G88" s="130" t="s">
        <v>277</v>
      </c>
    </row>
    <row r="89" spans="1:7" ht="15" customHeight="1" x14ac:dyDescent="0.2">
      <c r="A89" s="105" t="s">
        <v>184</v>
      </c>
      <c r="B89" s="108"/>
      <c r="C89" s="109">
        <v>0</v>
      </c>
      <c r="D89" s="109">
        <v>0</v>
      </c>
      <c r="E89" s="107">
        <v>13500</v>
      </c>
      <c r="F89" s="107">
        <f t="shared" si="7"/>
        <v>0</v>
      </c>
      <c r="G89" s="158" t="s">
        <v>146</v>
      </c>
    </row>
    <row r="90" spans="1:7" x14ac:dyDescent="0.2">
      <c r="A90" s="120" t="s">
        <v>95</v>
      </c>
      <c r="B90" s="121"/>
      <c r="C90" s="109">
        <v>0</v>
      </c>
      <c r="D90" s="109">
        <v>0</v>
      </c>
      <c r="E90" s="107">
        <v>2500</v>
      </c>
      <c r="F90" s="107">
        <f>C90*D90*E90</f>
        <v>0</v>
      </c>
      <c r="G90" s="104" t="s">
        <v>275</v>
      </c>
    </row>
    <row r="91" spans="1:7" x14ac:dyDescent="0.2">
      <c r="A91" s="120" t="s">
        <v>185</v>
      </c>
      <c r="B91" s="121"/>
      <c r="C91" s="109">
        <v>0</v>
      </c>
      <c r="D91" s="109">
        <v>0</v>
      </c>
      <c r="E91" s="122">
        <v>300000</v>
      </c>
      <c r="F91" s="107">
        <f>C91*D91*E91</f>
        <v>0</v>
      </c>
      <c r="G91" s="104" t="s">
        <v>270</v>
      </c>
    </row>
    <row r="92" spans="1:7" x14ac:dyDescent="0.2">
      <c r="A92" s="120" t="s">
        <v>186</v>
      </c>
      <c r="B92" s="121"/>
      <c r="C92" s="109">
        <v>0</v>
      </c>
      <c r="D92" s="109">
        <v>0</v>
      </c>
      <c r="E92" s="122">
        <v>250000</v>
      </c>
      <c r="F92" s="107">
        <f>C92*D92*E92</f>
        <v>0</v>
      </c>
      <c r="G92" s="104" t="s">
        <v>270</v>
      </c>
    </row>
    <row r="93" spans="1:7" x14ac:dyDescent="0.2">
      <c r="A93" s="120" t="s">
        <v>143</v>
      </c>
      <c r="B93" s="121"/>
      <c r="C93" s="109">
        <v>0</v>
      </c>
      <c r="D93" s="109">
        <v>0</v>
      </c>
      <c r="E93" s="122">
        <v>210000</v>
      </c>
      <c r="F93" s="107">
        <f t="shared" ref="F93:F109" si="8">C93*D93*E93</f>
        <v>0</v>
      </c>
      <c r="G93" s="104" t="s">
        <v>270</v>
      </c>
    </row>
    <row r="94" spans="1:7" x14ac:dyDescent="0.2">
      <c r="A94" s="120" t="s">
        <v>144</v>
      </c>
      <c r="B94" s="121"/>
      <c r="C94" s="109">
        <v>0</v>
      </c>
      <c r="D94" s="109">
        <v>0</v>
      </c>
      <c r="E94" s="122">
        <v>210000</v>
      </c>
      <c r="F94" s="107">
        <f t="shared" si="8"/>
        <v>0</v>
      </c>
      <c r="G94" s="104" t="s">
        <v>270</v>
      </c>
    </row>
    <row r="95" spans="1:7" x14ac:dyDescent="0.2">
      <c r="A95" s="120" t="s">
        <v>187</v>
      </c>
      <c r="B95" s="121"/>
      <c r="C95" s="109">
        <v>0</v>
      </c>
      <c r="D95" s="109">
        <v>0</v>
      </c>
      <c r="E95" s="122">
        <v>180000</v>
      </c>
      <c r="F95" s="107">
        <f t="shared" si="8"/>
        <v>0</v>
      </c>
      <c r="G95" s="104" t="s">
        <v>270</v>
      </c>
    </row>
    <row r="96" spans="1:7" x14ac:dyDescent="0.2">
      <c r="A96" s="120" t="s">
        <v>142</v>
      </c>
      <c r="B96" s="121"/>
      <c r="C96" s="109">
        <v>0</v>
      </c>
      <c r="D96" s="109">
        <v>0</v>
      </c>
      <c r="E96" s="122">
        <v>180000</v>
      </c>
      <c r="F96" s="107">
        <f t="shared" si="8"/>
        <v>0</v>
      </c>
      <c r="G96" s="104" t="s">
        <v>270</v>
      </c>
    </row>
    <row r="97" spans="1:7" x14ac:dyDescent="0.2">
      <c r="A97" s="120" t="s">
        <v>189</v>
      </c>
      <c r="B97" s="121"/>
      <c r="C97" s="109">
        <v>0</v>
      </c>
      <c r="D97" s="109">
        <v>0</v>
      </c>
      <c r="E97" s="115">
        <v>120000</v>
      </c>
      <c r="F97" s="107">
        <f t="shared" si="8"/>
        <v>0</v>
      </c>
      <c r="G97" s="104" t="s">
        <v>270</v>
      </c>
    </row>
    <row r="98" spans="1:7" x14ac:dyDescent="0.2">
      <c r="A98" s="120" t="s">
        <v>188</v>
      </c>
      <c r="B98" s="121"/>
      <c r="C98" s="109">
        <v>0</v>
      </c>
      <c r="D98" s="109">
        <v>0</v>
      </c>
      <c r="E98" s="115">
        <v>90000</v>
      </c>
      <c r="F98" s="107">
        <f t="shared" si="8"/>
        <v>0</v>
      </c>
      <c r="G98" s="104" t="s">
        <v>270</v>
      </c>
    </row>
    <row r="99" spans="1:7" x14ac:dyDescent="0.2">
      <c r="A99" s="120" t="s">
        <v>207</v>
      </c>
      <c r="B99" s="121"/>
      <c r="C99" s="109">
        <v>0</v>
      </c>
      <c r="D99" s="109">
        <v>0</v>
      </c>
      <c r="E99" s="115">
        <v>100000</v>
      </c>
      <c r="F99" s="107">
        <f t="shared" si="8"/>
        <v>0</v>
      </c>
      <c r="G99" s="104" t="s">
        <v>276</v>
      </c>
    </row>
    <row r="100" spans="1:7" x14ac:dyDescent="0.2">
      <c r="A100" s="120" t="s">
        <v>190</v>
      </c>
      <c r="B100" s="121"/>
      <c r="C100" s="109">
        <v>0</v>
      </c>
      <c r="D100" s="109">
        <v>0</v>
      </c>
      <c r="E100" s="115">
        <v>300000</v>
      </c>
      <c r="F100" s="107">
        <f t="shared" si="8"/>
        <v>0</v>
      </c>
      <c r="G100" s="104" t="s">
        <v>270</v>
      </c>
    </row>
    <row r="101" spans="1:7" x14ac:dyDescent="0.2">
      <c r="A101" s="131" t="s">
        <v>197</v>
      </c>
      <c r="B101" s="133"/>
      <c r="C101" s="109">
        <v>0</v>
      </c>
      <c r="D101" s="109">
        <v>0</v>
      </c>
      <c r="E101" s="164">
        <v>25000</v>
      </c>
      <c r="F101" s="135"/>
      <c r="G101" s="104" t="s">
        <v>198</v>
      </c>
    </row>
    <row r="102" spans="1:7" x14ac:dyDescent="0.2">
      <c r="A102" s="131" t="s">
        <v>271</v>
      </c>
      <c r="B102" s="133"/>
      <c r="C102" s="109">
        <v>0</v>
      </c>
      <c r="D102" s="109">
        <v>0</v>
      </c>
      <c r="E102" s="134">
        <v>15000</v>
      </c>
      <c r="F102" s="135"/>
      <c r="G102" s="104" t="s">
        <v>198</v>
      </c>
    </row>
    <row r="103" spans="1:7" x14ac:dyDescent="0.2">
      <c r="A103" s="131" t="s">
        <v>199</v>
      </c>
      <c r="B103" s="133"/>
      <c r="C103" s="109">
        <v>0</v>
      </c>
      <c r="D103" s="109">
        <v>0</v>
      </c>
      <c r="E103" s="134">
        <v>60000</v>
      </c>
      <c r="F103" s="135"/>
      <c r="G103" s="104"/>
    </row>
    <row r="104" spans="1:7" x14ac:dyDescent="0.2">
      <c r="A104" s="131" t="s">
        <v>147</v>
      </c>
      <c r="B104" s="132"/>
      <c r="C104" s="109">
        <v>0</v>
      </c>
      <c r="D104" s="109">
        <v>0</v>
      </c>
      <c r="E104" s="122">
        <v>150000</v>
      </c>
      <c r="F104" s="107">
        <f t="shared" si="8"/>
        <v>0</v>
      </c>
      <c r="G104" s="104" t="s">
        <v>272</v>
      </c>
    </row>
    <row r="105" spans="1:7" x14ac:dyDescent="0.2">
      <c r="A105" s="104" t="s">
        <v>191</v>
      </c>
      <c r="B105" s="136"/>
      <c r="C105" s="109">
        <v>0</v>
      </c>
      <c r="D105" s="109">
        <v>0</v>
      </c>
      <c r="E105" s="107">
        <v>100000</v>
      </c>
      <c r="F105" s="107">
        <f t="shared" si="8"/>
        <v>0</v>
      </c>
      <c r="G105" s="104" t="s">
        <v>257</v>
      </c>
    </row>
    <row r="106" spans="1:7" x14ac:dyDescent="0.2">
      <c r="A106" s="104" t="s">
        <v>192</v>
      </c>
      <c r="B106" s="136"/>
      <c r="C106" s="109">
        <v>0</v>
      </c>
      <c r="D106" s="109">
        <v>0</v>
      </c>
      <c r="E106" s="115">
        <v>150000</v>
      </c>
      <c r="F106" s="107">
        <f t="shared" si="8"/>
        <v>0</v>
      </c>
      <c r="G106" s="104" t="s">
        <v>193</v>
      </c>
    </row>
    <row r="107" spans="1:7" x14ac:dyDescent="0.2">
      <c r="A107" s="104" t="s">
        <v>194</v>
      </c>
      <c r="B107" s="136"/>
      <c r="C107" s="109">
        <v>0</v>
      </c>
      <c r="D107" s="109">
        <v>0</v>
      </c>
      <c r="E107" s="115">
        <v>380000</v>
      </c>
      <c r="F107" s="107">
        <f t="shared" si="8"/>
        <v>0</v>
      </c>
      <c r="G107" s="104" t="s">
        <v>195</v>
      </c>
    </row>
    <row r="108" spans="1:7" x14ac:dyDescent="0.2">
      <c r="A108" s="104" t="s">
        <v>196</v>
      </c>
      <c r="B108" s="136"/>
      <c r="C108" s="109">
        <v>0</v>
      </c>
      <c r="D108" s="109">
        <v>0</v>
      </c>
      <c r="E108" s="115">
        <v>280000</v>
      </c>
      <c r="F108" s="107">
        <f t="shared" si="8"/>
        <v>0</v>
      </c>
      <c r="G108" s="104" t="s">
        <v>193</v>
      </c>
    </row>
    <row r="109" spans="1:7" x14ac:dyDescent="0.2">
      <c r="A109" s="137" t="s">
        <v>162</v>
      </c>
      <c r="B109" s="138"/>
      <c r="C109" s="109">
        <v>0</v>
      </c>
      <c r="D109" s="109">
        <v>0</v>
      </c>
      <c r="E109" s="115">
        <v>650000</v>
      </c>
      <c r="F109" s="107">
        <f t="shared" si="8"/>
        <v>0</v>
      </c>
      <c r="G109" s="104" t="s">
        <v>168</v>
      </c>
    </row>
    <row r="110" spans="1:7" ht="15" customHeight="1" x14ac:dyDescent="0.2">
      <c r="A110" s="137" t="s">
        <v>161</v>
      </c>
      <c r="B110" s="138"/>
      <c r="C110" s="109">
        <v>0</v>
      </c>
      <c r="D110" s="109">
        <v>0</v>
      </c>
      <c r="E110" s="115">
        <v>450000</v>
      </c>
      <c r="F110" s="119">
        <f t="shared" ref="F110:F111" si="9">C110*D110*E110</f>
        <v>0</v>
      </c>
      <c r="G110" s="104" t="s">
        <v>172</v>
      </c>
    </row>
    <row r="111" spans="1:7" ht="15" customHeight="1" x14ac:dyDescent="0.2">
      <c r="A111" s="137" t="s">
        <v>163</v>
      </c>
      <c r="B111" s="138"/>
      <c r="C111" s="109">
        <v>0</v>
      </c>
      <c r="D111" s="109">
        <v>0</v>
      </c>
      <c r="E111" s="115">
        <v>80000</v>
      </c>
      <c r="F111" s="119">
        <f t="shared" si="9"/>
        <v>0</v>
      </c>
      <c r="G111" s="104"/>
    </row>
    <row r="112" spans="1:7" ht="15" customHeight="1" x14ac:dyDescent="0.2">
      <c r="A112" s="137" t="s">
        <v>167</v>
      </c>
      <c r="B112" s="138"/>
      <c r="C112" s="109">
        <v>0</v>
      </c>
      <c r="D112" s="109">
        <v>0</v>
      </c>
      <c r="E112" s="115">
        <v>300000</v>
      </c>
      <c r="F112" s="119">
        <f t="shared" ref="F112:F115" si="10">C112*D112*E112</f>
        <v>0</v>
      </c>
      <c r="G112" s="104" t="s">
        <v>171</v>
      </c>
    </row>
    <row r="113" spans="1:7" ht="15" customHeight="1" x14ac:dyDescent="0.2">
      <c r="A113" s="137" t="s">
        <v>164</v>
      </c>
      <c r="B113" s="138"/>
      <c r="C113" s="109">
        <v>0</v>
      </c>
      <c r="D113" s="109">
        <v>0</v>
      </c>
      <c r="E113" s="107">
        <v>680000</v>
      </c>
      <c r="F113" s="119">
        <f t="shared" si="10"/>
        <v>0</v>
      </c>
      <c r="G113" s="104" t="s">
        <v>169</v>
      </c>
    </row>
    <row r="114" spans="1:7" ht="15" customHeight="1" x14ac:dyDescent="0.2">
      <c r="A114" s="137" t="s">
        <v>164</v>
      </c>
      <c r="B114" s="138"/>
      <c r="C114" s="109">
        <v>0</v>
      </c>
      <c r="D114" s="109">
        <v>0</v>
      </c>
      <c r="E114" s="107">
        <v>580000</v>
      </c>
      <c r="F114" s="119">
        <f t="shared" si="10"/>
        <v>0</v>
      </c>
      <c r="G114" s="104" t="s">
        <v>170</v>
      </c>
    </row>
    <row r="115" spans="1:7" ht="15" customHeight="1" x14ac:dyDescent="0.2">
      <c r="A115" s="137" t="s">
        <v>166</v>
      </c>
      <c r="B115" s="138"/>
      <c r="C115" s="109">
        <v>0</v>
      </c>
      <c r="D115" s="109">
        <v>0</v>
      </c>
      <c r="E115" s="107">
        <v>580000</v>
      </c>
      <c r="F115" s="119">
        <f t="shared" si="10"/>
        <v>0</v>
      </c>
      <c r="G115" s="104" t="s">
        <v>165</v>
      </c>
    </row>
    <row r="116" spans="1:7" x14ac:dyDescent="0.2">
      <c r="A116" s="104" t="s">
        <v>203</v>
      </c>
      <c r="B116" s="136"/>
      <c r="C116" s="109">
        <v>0</v>
      </c>
      <c r="D116" s="109">
        <v>0</v>
      </c>
      <c r="E116" s="107">
        <v>180000</v>
      </c>
      <c r="F116" s="107">
        <f>C116*D116*E116</f>
        <v>0</v>
      </c>
      <c r="G116" s="104" t="s">
        <v>273</v>
      </c>
    </row>
    <row r="117" spans="1:7" x14ac:dyDescent="0.2">
      <c r="A117" s="139"/>
      <c r="B117" s="140"/>
      <c r="C117" s="139"/>
      <c r="D117" s="139"/>
      <c r="E117" s="139"/>
      <c r="F117" s="139"/>
      <c r="G117" s="141" t="s">
        <v>208</v>
      </c>
    </row>
    <row r="118" spans="1:7" x14ac:dyDescent="0.2">
      <c r="A118" s="139"/>
      <c r="B118" s="140"/>
      <c r="C118" s="139"/>
      <c r="D118" s="139"/>
      <c r="E118" s="139" t="s">
        <v>2</v>
      </c>
      <c r="F118" s="139" t="s">
        <v>2</v>
      </c>
      <c r="G118" s="139"/>
    </row>
    <row r="119" spans="1:7" ht="17" customHeight="1" x14ac:dyDescent="0.2">
      <c r="A119" s="139"/>
      <c r="B119" s="140"/>
      <c r="C119" s="139"/>
      <c r="D119" s="139"/>
      <c r="E119" s="139" t="s">
        <v>2</v>
      </c>
      <c r="F119" s="139"/>
      <c r="G119" s="139"/>
    </row>
    <row r="120" spans="1:7" ht="17" customHeight="1" x14ac:dyDescent="0.2">
      <c r="A120" s="139"/>
      <c r="B120" s="140"/>
      <c r="C120" s="139"/>
      <c r="D120" s="139"/>
      <c r="E120" s="139"/>
      <c r="F120" s="139"/>
      <c r="G120" s="139"/>
    </row>
    <row r="121" spans="1:7" x14ac:dyDescent="0.2">
      <c r="A121" s="139"/>
      <c r="B121" s="140"/>
      <c r="C121" s="139"/>
      <c r="D121" s="139"/>
      <c r="E121" s="139"/>
      <c r="F121" s="139"/>
      <c r="G121" s="139"/>
    </row>
    <row r="122" spans="1:7" x14ac:dyDescent="0.2">
      <c r="A122" s="139"/>
      <c r="B122" s="140"/>
      <c r="C122" s="139"/>
      <c r="D122" s="139"/>
      <c r="E122" s="139"/>
      <c r="F122" s="139"/>
      <c r="G122" s="139"/>
    </row>
    <row r="123" spans="1:7" ht="17" customHeight="1" x14ac:dyDescent="0.2">
      <c r="A123" s="139"/>
      <c r="B123" s="140"/>
      <c r="C123" s="139"/>
      <c r="D123" s="139"/>
      <c r="E123" s="139"/>
      <c r="F123" s="139"/>
      <c r="G123" s="139"/>
    </row>
    <row r="124" spans="1:7" ht="17" customHeight="1" x14ac:dyDescent="0.2">
      <c r="A124" s="139"/>
      <c r="B124" s="140"/>
      <c r="C124" s="139"/>
      <c r="D124" s="139"/>
      <c r="E124" s="139"/>
      <c r="F124" s="139"/>
      <c r="G124" s="139"/>
    </row>
    <row r="125" spans="1:7" x14ac:dyDescent="0.2">
      <c r="A125" s="139"/>
      <c r="B125" s="140"/>
      <c r="C125" s="139"/>
      <c r="D125" s="139"/>
      <c r="E125" s="139"/>
      <c r="F125" s="139"/>
      <c r="G125" s="139"/>
    </row>
    <row r="126" spans="1:7" x14ac:dyDescent="0.2">
      <c r="A126" s="139"/>
      <c r="B126" s="140"/>
      <c r="C126" s="139"/>
      <c r="D126" s="139"/>
      <c r="E126" s="139"/>
      <c r="F126" s="139"/>
      <c r="G126" s="139"/>
    </row>
    <row r="142" spans="1:7" ht="17" x14ac:dyDescent="0.2">
      <c r="A142" s="23"/>
      <c r="B142" s="83"/>
      <c r="C142" s="6"/>
      <c r="D142" s="6"/>
      <c r="E142" s="6"/>
      <c r="F142" s="6"/>
      <c r="G142" s="6"/>
    </row>
  </sheetData>
  <mergeCells count="1">
    <mergeCell ref="A7:B7"/>
  </mergeCells>
  <phoneticPr fontId="8" type="noConversion"/>
  <hyperlinks>
    <hyperlink ref="D64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93"/>
      <c r="B1" s="193"/>
      <c r="C1" s="193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93"/>
      <c r="B2" s="193"/>
      <c r="C2" s="193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93"/>
      <c r="B3" s="193"/>
      <c r="C3" s="193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93"/>
      <c r="B4" s="193"/>
      <c r="C4" s="193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94" t="s">
        <v>130</v>
      </c>
      <c r="D6" s="188"/>
      <c r="E6" s="189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75" t="s">
        <v>131</v>
      </c>
      <c r="D7" s="176"/>
      <c r="E7" s="177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75" t="s">
        <v>131</v>
      </c>
      <c r="D8" s="176"/>
      <c r="E8" s="177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78" t="s">
        <v>109</v>
      </c>
      <c r="D9" s="179"/>
      <c r="E9" s="180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75" t="s">
        <v>131</v>
      </c>
      <c r="D10" s="176"/>
      <c r="E10" s="177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75" t="s">
        <v>131</v>
      </c>
      <c r="D11" s="176"/>
      <c r="E11" s="177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81" t="s">
        <v>110</v>
      </c>
      <c r="D12" s="182"/>
      <c r="E12" s="183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84" t="s">
        <v>129</v>
      </c>
      <c r="D13" s="185"/>
      <c r="E13" s="186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87" t="s">
        <v>133</v>
      </c>
      <c r="D15" s="188"/>
      <c r="E15" s="189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90" t="s">
        <v>107</v>
      </c>
      <c r="D16" s="191"/>
      <c r="E16" s="192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75" t="s">
        <v>131</v>
      </c>
      <c r="D17" s="176"/>
      <c r="E17" s="177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75" t="s">
        <v>131</v>
      </c>
      <c r="D18" s="176"/>
      <c r="E18" s="177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78" t="s">
        <v>109</v>
      </c>
      <c r="D19" s="179"/>
      <c r="E19" s="180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75" t="s">
        <v>131</v>
      </c>
      <c r="D20" s="176"/>
      <c r="E20" s="177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75" t="s">
        <v>131</v>
      </c>
      <c r="D21" s="176"/>
      <c r="E21" s="177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81" t="s">
        <v>110</v>
      </c>
      <c r="D22" s="182"/>
      <c r="E22" s="183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84" t="s">
        <v>129</v>
      </c>
      <c r="D23" s="185"/>
      <c r="E23" s="186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87" t="s">
        <v>134</v>
      </c>
      <c r="D25" s="188"/>
      <c r="E25" s="189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90" t="s">
        <v>107</v>
      </c>
      <c r="D26" s="191"/>
      <c r="E26" s="192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75" t="s">
        <v>131</v>
      </c>
      <c r="D27" s="176"/>
      <c r="E27" s="177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75" t="s">
        <v>131</v>
      </c>
      <c r="D28" s="176"/>
      <c r="E28" s="177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78" t="s">
        <v>109</v>
      </c>
      <c r="D29" s="179"/>
      <c r="E29" s="180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75" t="s">
        <v>131</v>
      </c>
      <c r="D30" s="176"/>
      <c r="E30" s="177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75" t="s">
        <v>131</v>
      </c>
      <c r="D31" s="176"/>
      <c r="E31" s="177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96"/>
      <c r="B32" s="196"/>
      <c r="C32" s="196"/>
      <c r="D32" s="196"/>
      <c r="E32" s="196"/>
      <c r="F32" s="196"/>
      <c r="G32" s="196"/>
      <c r="H32" s="196"/>
      <c r="I32" s="196"/>
      <c r="J32" s="55"/>
      <c r="K32" s="55"/>
      <c r="L32" s="55"/>
      <c r="M32" s="55"/>
      <c r="N32" s="55"/>
    </row>
    <row r="33" spans="1:14" s="56" customFormat="1" ht="15" customHeight="1" x14ac:dyDescent="0.2">
      <c r="A33" s="197" t="s">
        <v>135</v>
      </c>
      <c r="B33" s="197"/>
      <c r="C33" s="197"/>
      <c r="D33" s="197"/>
      <c r="E33" s="197"/>
      <c r="F33" s="197"/>
      <c r="G33" s="197"/>
      <c r="H33" s="197"/>
      <c r="I33" s="197"/>
      <c r="J33" s="55"/>
      <c r="K33" s="55"/>
      <c r="L33" s="55"/>
      <c r="M33" s="55"/>
      <c r="N33" s="55"/>
    </row>
    <row r="34" spans="1:14" s="56" customFormat="1" ht="15" customHeight="1" x14ac:dyDescent="0.2">
      <c r="A34" s="196"/>
      <c r="B34" s="196"/>
      <c r="C34" s="196"/>
      <c r="D34" s="196"/>
      <c r="E34" s="196"/>
      <c r="F34" s="196"/>
      <c r="G34" s="196"/>
      <c r="H34" s="196"/>
      <c r="I34" s="196"/>
      <c r="J34" s="55"/>
      <c r="K34" s="55"/>
      <c r="L34" s="55"/>
      <c r="M34" s="55"/>
      <c r="N34" s="55"/>
    </row>
    <row r="35" spans="1:14" s="56" customFormat="1" ht="15" customHeight="1" x14ac:dyDescent="0.2">
      <c r="A35" s="196"/>
      <c r="B35" s="196"/>
      <c r="C35" s="196"/>
      <c r="D35" s="196"/>
      <c r="E35" s="196"/>
      <c r="F35" s="196"/>
      <c r="G35" s="196"/>
      <c r="H35" s="196"/>
      <c r="I35" s="196"/>
      <c r="J35" s="55"/>
      <c r="K35" s="55"/>
      <c r="L35" s="55"/>
      <c r="M35" s="55"/>
      <c r="N35" s="55"/>
    </row>
    <row r="36" spans="1:14" s="56" customFormat="1" ht="15" customHeight="1" x14ac:dyDescent="0.2">
      <c r="A36" s="196"/>
      <c r="B36" s="196"/>
      <c r="C36" s="196"/>
      <c r="D36" s="196"/>
      <c r="E36" s="196"/>
      <c r="F36" s="196"/>
      <c r="G36" s="196"/>
      <c r="H36" s="196"/>
      <c r="I36" s="196"/>
      <c r="J36" s="55"/>
      <c r="K36" s="55"/>
      <c r="L36" s="55"/>
      <c r="M36" s="55"/>
      <c r="N36" s="55"/>
    </row>
    <row r="37" spans="1:14" s="56" customFormat="1" ht="15" customHeight="1" x14ac:dyDescent="0.2">
      <c r="A37" s="196"/>
      <c r="B37" s="196"/>
      <c r="C37" s="196"/>
      <c r="D37" s="196"/>
      <c r="E37" s="196"/>
      <c r="F37" s="196"/>
      <c r="G37" s="196"/>
      <c r="H37" s="196"/>
      <c r="I37" s="196"/>
      <c r="J37" s="55"/>
      <c r="K37" s="55"/>
      <c r="L37" s="55"/>
      <c r="M37" s="55"/>
      <c r="N37" s="55"/>
    </row>
    <row r="38" spans="1:14" s="56" customFormat="1" ht="15" customHeight="1" x14ac:dyDescent="0.2">
      <c r="A38" s="196"/>
      <c r="B38" s="196"/>
      <c r="C38" s="196"/>
      <c r="D38" s="196"/>
      <c r="E38" s="196"/>
      <c r="F38" s="196"/>
      <c r="G38" s="196"/>
      <c r="H38" s="196"/>
      <c r="I38" s="196"/>
      <c r="J38" s="55"/>
      <c r="K38" s="55"/>
      <c r="L38" s="55"/>
      <c r="M38" s="55"/>
      <c r="N38" s="55"/>
    </row>
    <row r="39" spans="1:14" s="56" customFormat="1" ht="15" customHeight="1" x14ac:dyDescent="0.2">
      <c r="A39" s="196"/>
      <c r="B39" s="196"/>
      <c r="C39" s="196"/>
      <c r="D39" s="196"/>
      <c r="E39" s="196"/>
      <c r="F39" s="196"/>
      <c r="G39" s="196"/>
      <c r="H39" s="196"/>
      <c r="I39" s="196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98" t="s">
        <v>111</v>
      </c>
      <c r="B44" s="198"/>
      <c r="C44" s="198"/>
      <c r="D44" s="198"/>
      <c r="E44" s="198"/>
      <c r="F44" s="198"/>
      <c r="G44" s="198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93"/>
      <c r="B45" s="193"/>
      <c r="C45" s="193"/>
      <c r="D45" s="193"/>
      <c r="E45" s="193"/>
      <c r="F45" s="193"/>
      <c r="G45" s="193"/>
      <c r="H45" s="36"/>
      <c r="I45" s="22"/>
      <c r="J45" s="22"/>
      <c r="K45" s="22"/>
      <c r="L45" s="22"/>
      <c r="M45" s="22"/>
      <c r="N45" s="22"/>
    </row>
    <row r="46" spans="1:14" x14ac:dyDescent="0.2">
      <c r="A46" s="195" t="s">
        <v>113</v>
      </c>
      <c r="B46" s="195"/>
      <c r="C46" s="195"/>
      <c r="D46" s="195"/>
      <c r="E46" s="195"/>
      <c r="F46" s="195"/>
      <c r="G46" s="195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4" t="s">
        <v>233</v>
      </c>
    </row>
    <row r="3" spans="1:1" ht="28" customHeight="1" thickBot="1" x14ac:dyDescent="0.25">
      <c r="A3" s="95" t="s">
        <v>234</v>
      </c>
    </row>
    <row r="4" spans="1:1" ht="17" x14ac:dyDescent="0.2">
      <c r="A4" s="96" t="s">
        <v>235</v>
      </c>
    </row>
    <row r="5" spans="1:1" ht="41" customHeight="1" x14ac:dyDescent="0.25">
      <c r="A5" s="97" t="s">
        <v>236</v>
      </c>
    </row>
    <row r="6" spans="1:1" ht="33" customHeight="1" thickBot="1" x14ac:dyDescent="0.25">
      <c r="A6" s="95" t="s">
        <v>238</v>
      </c>
    </row>
    <row r="7" spans="1:1" ht="29" customHeight="1" thickBot="1" x14ac:dyDescent="0.25">
      <c r="A7" s="98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2018-02-14T17:04:47Z</dcterms:modified>
</cp:coreProperties>
</file>