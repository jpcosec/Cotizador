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05C3785C-5232-49E9-A5C3-8F0C03F9728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3" i="1" l="1"/>
  <c r="F34" i="1"/>
  <c r="F35" i="1"/>
  <c r="F32" i="1"/>
  <c r="F36" i="1" s="1"/>
  <c r="F21" i="1"/>
  <c r="F22" i="1"/>
  <c r="F23" i="1"/>
  <c r="F24" i="1"/>
  <c r="F25" i="1"/>
  <c r="F26" i="1"/>
  <c r="F27" i="1"/>
  <c r="E28" i="1"/>
  <c r="F28" i="1" s="1"/>
  <c r="F29" i="1" s="1"/>
  <c r="F9" i="1"/>
  <c r="F10" i="1"/>
  <c r="F11" i="1"/>
  <c r="F12" i="1"/>
  <c r="F13" i="1"/>
  <c r="F14" i="1"/>
  <c r="F15" i="1"/>
  <c r="F16" i="1"/>
  <c r="E17" i="1"/>
  <c r="F17" i="1" s="1"/>
  <c r="F39" i="1"/>
  <c r="F40" i="1"/>
  <c r="F41" i="1"/>
  <c r="F83" i="1"/>
  <c r="F72" i="1"/>
  <c r="F38" i="1"/>
  <c r="F79" i="1"/>
  <c r="F78" i="1"/>
  <c r="F80" i="1"/>
  <c r="F85" i="1"/>
  <c r="F104" i="1"/>
  <c r="F100" i="1"/>
  <c r="F98" i="1"/>
  <c r="F99" i="1"/>
  <c r="F101" i="1"/>
  <c r="F102" i="1"/>
  <c r="F103" i="1"/>
  <c r="F105" i="1"/>
  <c r="F97" i="1"/>
  <c r="F94" i="1"/>
  <c r="F89" i="1"/>
  <c r="F96" i="1"/>
  <c r="F76" i="1"/>
  <c r="F81" i="1"/>
  <c r="F77" i="1"/>
  <c r="F92" i="1"/>
  <c r="F87" i="1"/>
  <c r="F88" i="1"/>
  <c r="F90" i="1"/>
  <c r="F91" i="1"/>
  <c r="F93" i="1"/>
  <c r="F95" i="1"/>
  <c r="F73" i="1"/>
  <c r="F74" i="1"/>
  <c r="F75" i="1"/>
  <c r="F82" i="1"/>
  <c r="F84" i="1"/>
  <c r="F86" i="1"/>
  <c r="F30" i="5"/>
  <c r="E30" i="5"/>
  <c r="D30" i="5"/>
  <c r="C30" i="5"/>
  <c r="B30" i="5"/>
  <c r="P29" i="5"/>
  <c r="O29" i="5"/>
  <c r="N29" i="5"/>
  <c r="K29" i="5"/>
  <c r="J29" i="5"/>
  <c r="I29" i="5"/>
  <c r="Z23" i="5"/>
  <c r="F18" i="1" l="1"/>
  <c r="F42" i="1" s="1"/>
  <c r="F43" i="1" l="1"/>
  <c r="F44" i="1"/>
</calcChain>
</file>

<file path=xl/sharedStrings.xml><?xml version="1.0" encoding="utf-8"?>
<sst xmlns="http://schemas.openxmlformats.org/spreadsheetml/2006/main" count="487" uniqueCount="261">
  <si>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</si>
  <si>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</si>
  <si>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</si>
  <si>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</si>
  <si>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</si>
  <si>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</si>
  <si>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</si>
  <si>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</si>
  <si>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</si>
  <si>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</si>
  <si>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</si>
  <si>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</si>
  <si>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</si>
  <si>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</si>
  <si>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</si>
  <si>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</si>
  <si>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</si>
  <si>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</si>
  <si>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</si>
  <si>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</si>
  <si>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</si>
  <si>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</si>
  <si>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</si>
  <si>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</si>
  <si>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</si>
  <si>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</si>
  <si>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</si>
  <si>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</si>
  <si>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</si>
  <si>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</si>
  <si>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</si>
  <si>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</si>
  <si>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</si>
  <si>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</si>
  <si>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</si>
  <si>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</si>
  <si>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</si>
  <si>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</si>
  <si>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</si>
  <si>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</si>
  <si>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</si>
  <si>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</si>
  <si>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</si>
  <si>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</si>
  <si>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</si>
  <si>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</si>
  <si>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</si>
  <si>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</si>
  <si>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</si>
  <si>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</si>
  <si>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</si>
  <si>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</si>
  <si>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</si>
  <si>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</si>
  <si>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</si>
  <si>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</si>
  <si>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</si>
  <si>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</si>
  <si>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</si>
  <si>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</si>
  <si>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</si>
  <si>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</si>
  <si>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</si>
  <si>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</si>
  <si>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</si>
  <si>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</si>
  <si>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</si>
  <si>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</si>
  <si>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</si>
  <si>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</si>
  <si>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</si>
  <si>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</si>
  <si>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</si>
  <si>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</si>
  <si>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</si>
  <si>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</si>
  <si>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</si>
  <si>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</si>
  <si>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</si>
  <si>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</si>
  <si>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</si>
  <si>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</si>
  <si>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</si>
  <si>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</si>
  <si>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</si>
  <si>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</si>
  <si>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</si>
  <si>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</si>
  <si>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</si>
  <si>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</si>
  <si>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</si>
  <si>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</si>
  <si>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</si>
  <si>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</si>
  <si>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</si>
  <si>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</si>
  <si>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</si>
  <si>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</si>
  <si>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</si>
  <si>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</si>
  <si>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</si>
  <si>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</si>
  <si>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</si>
  <si>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</si>
  <si>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</si>
  <si>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</si>
  <si>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</si>
  <si>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</si>
  <si>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</si>
  <si>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</si>
  <si>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</si>
  <si>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</si>
  <si>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</si>
  <si>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</si>
  <si>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</si>
  <si>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</si>
  <si>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</si>
  <si>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</si>
  <si>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</si>
  <si>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</si>
  <si>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</si>
  <si>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</si>
  <si>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</si>
  <si>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</si>
  <si>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</si>
  <si>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</si>
  <si>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</si>
  <si>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</si>
  <si>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</si>
  <si>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</si>
  <si>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</si>
  <si>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</si>
  <si>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</si>
  <si>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</si>
  <si>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</si>
  <si>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</si>
  <si>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</si>
  <si>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</si>
  <si>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</si>
  <si>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</si>
  <si>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</si>
  <si>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</si>
  <si>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</si>
  <si>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</si>
  <si>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</si>
  <si>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</si>
  <si>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</si>
  <si>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</si>
  <si>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</si>
  <si>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</si>
  <si>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</si>
  <si>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</si>
  <si>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</si>
  <si>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</si>
  <si>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</si>
  <si>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</si>
  <si>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</si>
  <si>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</si>
  <si>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</si>
  <si>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</si>
  <si>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</si>
  <si>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</si>
  <si>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</si>
  <si>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</si>
  <si>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</si>
  <si>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</si>
  <si>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</si>
  <si>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</si>
  <si>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</si>
  <si>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</si>
  <si>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</si>
  <si>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</si>
  <si>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</si>
  <si>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</si>
  <si>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</si>
  <si>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</si>
  <si>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</si>
  <si>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</si>
  <si>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</si>
  <si>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</si>
  <si>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</si>
  <si>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</si>
  <si>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</si>
  <si>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</si>
  <si>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</si>
  <si>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</si>
  <si>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</si>
  <si>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</si>
  <si>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</si>
  <si>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</si>
  <si>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</si>
  <si>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</si>
  <si>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</si>
  <si>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</si>
  <si>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</si>
  <si>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</si>
  <si>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</si>
  <si>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</si>
  <si>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</si>
  <si>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</si>
  <si>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</si>
  <si>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</si>
  <si>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</si>
  <si>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</si>
  <si>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</si>
  <si>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</si>
  <si>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</si>
  <si>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</si>
  <si>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</si>
  <si>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</si>
  <si>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</si>
  <si>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</si>
  <si>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</si>
  <si>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</si>
  <si>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</si>
  <si>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</si>
  <si>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</si>
  <si>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</si>
  <si>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</si>
  <si>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</si>
  <si>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</si>
  <si>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</si>
  <si>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</si>
  <si>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</si>
  <si>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</si>
  <si>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</si>
  <si>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</si>
  <si>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</si>
  <si>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</si>
  <si>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</si>
  <si>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</si>
  <si>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</si>
  <si>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</si>
  <si>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</si>
  <si>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</si>
  <si>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</si>
  <si>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</si>
  <si>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</si>
  <si>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</si>
  <si>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</si>
  <si>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</si>
  <si>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</si>
  <si>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</si>
  <si>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</si>
  <si>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</si>
  <si>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</si>
  <si>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</si>
  <si>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</si>
  <si>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</si>
  <si>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</si>
  <si>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</si>
  <si>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Sanofi</t>
  </si>
  <si>
    <t>Monica Abasolo</t>
  </si>
  <si>
    <t>monica.abasolo@sanofi.com</t>
  </si>
  <si>
    <t>10-12 de octubre</t>
  </si>
  <si>
    <t>Carmen Rodríguez D.</t>
  </si>
  <si>
    <t>9 74961403</t>
  </si>
  <si>
    <t>Total día 2</t>
  </si>
  <si>
    <t>Total dia 1</t>
  </si>
  <si>
    <t>Día 3</t>
  </si>
  <si>
    <t>Total día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</si>
</sst>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164" formatCode="&quot;$&quot;#,##0"/>
    <numFmt numFmtId="165" formatCode="h:mm:ss;@"/>
  </numFmts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165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left" wrapText="1"/>
    </xf>
    <xf numFmtId="165" fontId="4" fillId="0" borderId="0" xfId="116" applyNumberFormat="1" applyAlignment="1">
      <alignment horizontal="left"/>
    </xf>
    <xf numFmtId="0" fontId="2" fillId="0" borderId="1" xfId="0" applyFont="1" applyBorder="1" applyAlignment="1">
      <alignment horizontal="right"/>
    </xf>
    <xf numFmtId="165" fontId="1" fillId="0" borderId="1" xfId="0" applyNumberFormat="1" applyFont="1" applyBorder="1"/>
    <xf numFmtId="0" fontId="2" fillId="9" borderId="1" xfId="0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right"/>
    </xf>
    <xf numFmtId="6" fontId="2" fillId="9" borderId="1" xfId="0" applyNumberFormat="1" applyFont="1" applyFill="1" applyBorder="1" applyAlignment="1">
      <alignment horizontal="right"/>
    </xf>
    <xf numFmtId="0" fontId="6" fillId="12" borderId="3" xfId="0" applyFont="1" applyFill="1" applyBorder="1" applyAlignment="1">
      <alignment horizontal="right"/>
    </xf>
    <xf numFmtId="165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center"/>
    </xf>
    <xf numFmtId="6" fontId="6" fillId="12" borderId="4" xfId="0" applyNumberFormat="1" applyFont="1" applyFill="1" applyBorder="1" applyAlignment="1">
      <alignment horizontal="right"/>
    </xf>
    <xf numFmtId="6" fontId="6" fillId="12" borderId="15" xfId="0" applyNumberFormat="1" applyFont="1" applyFill="1" applyBorder="1" applyAlignment="1">
      <alignment horizontal="right"/>
    </xf>
    <xf numFmtId="0" fontId="10" fillId="4" borderId="0" xfId="0" applyFont="1" applyFill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onica.abasolo@sanofi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123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1.125" customWidth="1"/>
    <col min="2" max="2" width="10.875" style="67" customWidth="1"/>
    <col min="3" max="3" width="7.625" customWidth="1"/>
    <col min="4" max="4" width="7.5" customWidth="1"/>
    <col min="5" max="5" width="10" customWidth="1"/>
    <col min="6" max="6" width="10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6"/>
      <c r="C1" s="63" t="s">
        <v>229</v>
      </c>
    </row>
    <row r="2" spans="1:7">
      <c r="G2" t="s">
        <v>187</v>
      </c>
    </row>
    <row r="3" spans="1:7">
      <c r="A3" s="61" t="s">
        <v>135</v>
      </c>
      <c r="B3" s="113" t="s">
        <v>252</v>
      </c>
      <c r="E3" t="s">
        <v>3</v>
      </c>
      <c r="F3" s="32" t="s">
        <v>251</v>
      </c>
      <c r="G3" s="72" t="s">
        <v>188</v>
      </c>
    </row>
    <row r="4" spans="1:7">
      <c r="A4" t="s">
        <v>136</v>
      </c>
      <c r="B4" s="129" t="s">
        <v>253</v>
      </c>
      <c r="C4" s="64"/>
      <c r="E4" t="s">
        <v>5</v>
      </c>
      <c r="G4" s="73" t="s">
        <v>189</v>
      </c>
    </row>
    <row r="5" spans="1:7">
      <c r="A5" t="s">
        <v>137</v>
      </c>
      <c r="B5" s="113" t="s">
        <v>254</v>
      </c>
      <c r="E5" t="s">
        <v>4</v>
      </c>
      <c r="F5" s="32">
        <v>14</v>
      </c>
      <c r="G5" s="73" t="s">
        <v>190</v>
      </c>
    </row>
    <row r="6" spans="1:7">
      <c r="A6" s="62" t="s">
        <v>139</v>
      </c>
      <c r="B6" s="114" t="s">
        <v>255</v>
      </c>
      <c r="C6" s="17"/>
      <c r="D6" s="17"/>
      <c r="E6" s="17" t="s">
        <v>138</v>
      </c>
      <c r="F6" s="17" t="s">
        <v>256</v>
      </c>
      <c r="G6" s="73" t="s">
        <v>191</v>
      </c>
    </row>
    <row r="7" spans="1:7" ht="16.5" thickBot="1">
      <c r="A7" s="17"/>
      <c r="B7" s="114"/>
      <c r="C7" s="17"/>
      <c r="D7" s="17"/>
      <c r="E7" s="17"/>
      <c r="F7" s="17"/>
      <c r="G7" s="73"/>
    </row>
    <row r="8" spans="1:7" ht="15.75" customHeight="1">
      <c r="A8" s="99" t="s">
        <v>122</v>
      </c>
      <c r="B8" s="100" t="s">
        <v>158</v>
      </c>
      <c r="C8" s="101" t="s">
        <v>121</v>
      </c>
      <c r="D8" s="101" t="s">
        <v>7</v>
      </c>
      <c r="E8" s="101" t="s">
        <v>0</v>
      </c>
      <c r="F8" s="101" t="s">
        <v>1</v>
      </c>
      <c r="G8" s="102" t="s">
        <v>8</v>
      </c>
    </row>
    <row r="9" spans="1:7">
      <c r="A9" s="89" t="s">
        <v>165</v>
      </c>
      <c r="B9" s="90"/>
      <c r="C9" s="81">
        <v>1</v>
      </c>
      <c r="D9" s="81">
        <v>1</v>
      </c>
      <c r="E9" s="91">
        <v>180000</v>
      </c>
      <c r="F9" s="80">
        <f>C9*E9</f>
        <v>180000</v>
      </c>
      <c r="G9" s="79" t="s">
        <v>220</v>
      </c>
    </row>
    <row r="10" spans="1:7">
      <c r="A10" s="92" t="s">
        <v>218</v>
      </c>
      <c r="B10" s="93"/>
      <c r="C10" s="81">
        <v>1</v>
      </c>
      <c r="D10" s="81">
        <v>14</v>
      </c>
      <c r="E10" s="91">
        <v>3850</v>
      </c>
      <c r="F10" s="80">
        <f t="shared" ref="F10:F17" si="0">D10*E10</f>
        <v>53900</v>
      </c>
      <c r="G10" s="89" t="s">
        <v>152</v>
      </c>
    </row>
    <row r="11" spans="1:7" ht="16.5" customHeight="1">
      <c r="A11" s="115" t="s">
        <v>232</v>
      </c>
      <c r="B11" s="116" t="s">
        <v>2</v>
      </c>
      <c r="C11" s="81">
        <v>1</v>
      </c>
      <c r="D11" s="81">
        <v>14</v>
      </c>
      <c r="E11" s="117">
        <v>15000</v>
      </c>
      <c r="F11" s="80">
        <f t="shared" si="0"/>
        <v>210000</v>
      </c>
      <c r="G11" s="118" t="s">
        <v>231</v>
      </c>
    </row>
    <row r="12" spans="1:7">
      <c r="A12" s="89" t="s">
        <v>216</v>
      </c>
      <c r="B12" s="90"/>
      <c r="C12" s="81">
        <v>1</v>
      </c>
      <c r="D12" s="81">
        <v>14</v>
      </c>
      <c r="E12" s="80">
        <v>1500</v>
      </c>
      <c r="F12" s="80">
        <f t="shared" si="0"/>
        <v>21000</v>
      </c>
      <c r="G12" s="79" t="s">
        <v>210</v>
      </c>
    </row>
    <row r="13" spans="1:7">
      <c r="A13" s="92" t="s">
        <v>218</v>
      </c>
      <c r="B13" s="93"/>
      <c r="C13" s="81">
        <v>1</v>
      </c>
      <c r="D13" s="81">
        <v>14</v>
      </c>
      <c r="E13" s="91">
        <v>3850</v>
      </c>
      <c r="F13" s="80">
        <f t="shared" si="0"/>
        <v>53900</v>
      </c>
      <c r="G13" s="89" t="s">
        <v>152</v>
      </c>
    </row>
    <row r="14" spans="1:7">
      <c r="A14" s="115" t="s">
        <v>233</v>
      </c>
      <c r="B14" s="116" t="s">
        <v>2</v>
      </c>
      <c r="C14" s="81">
        <v>1</v>
      </c>
      <c r="D14" s="81">
        <v>14</v>
      </c>
      <c r="E14" s="117">
        <v>15000</v>
      </c>
      <c r="F14" s="80">
        <f t="shared" si="0"/>
        <v>210000</v>
      </c>
      <c r="G14" s="118" t="s">
        <v>231</v>
      </c>
    </row>
    <row r="15" spans="1:7">
      <c r="A15" s="89" t="s">
        <v>216</v>
      </c>
      <c r="B15" s="90"/>
      <c r="C15" s="81">
        <v>1</v>
      </c>
      <c r="D15" s="81">
        <v>14</v>
      </c>
      <c r="E15" s="80">
        <v>1500</v>
      </c>
      <c r="F15" s="80">
        <f t="shared" si="0"/>
        <v>21000</v>
      </c>
      <c r="G15" s="79" t="s">
        <v>210</v>
      </c>
    </row>
    <row r="16" spans="1:7" ht="16.5" customHeight="1">
      <c r="A16" s="110" t="s">
        <v>226</v>
      </c>
      <c r="B16" s="111"/>
      <c r="C16" s="81">
        <v>1</v>
      </c>
      <c r="D16" s="81">
        <v>2</v>
      </c>
      <c r="E16" s="112">
        <v>99000</v>
      </c>
      <c r="F16" s="80">
        <f t="shared" si="0"/>
        <v>198000</v>
      </c>
      <c r="G16" s="110" t="s">
        <v>227</v>
      </c>
    </row>
    <row r="17" spans="1:7" ht="16.5" customHeight="1">
      <c r="A17" s="110" t="s">
        <v>147</v>
      </c>
      <c r="B17" s="111"/>
      <c r="C17" s="81">
        <v>1</v>
      </c>
      <c r="D17" s="81">
        <v>6</v>
      </c>
      <c r="E17" s="112">
        <f>E16+9500+5000</f>
        <v>113500</v>
      </c>
      <c r="F17" s="80">
        <f t="shared" si="0"/>
        <v>681000</v>
      </c>
      <c r="G17" s="110" t="s">
        <v>228</v>
      </c>
    </row>
    <row r="18" spans="1:7" ht="16.5" customHeight="1" thickBot="1">
      <c r="A18" s="2" t="s">
        <v>258</v>
      </c>
      <c r="B18" s="68"/>
      <c r="C18" s="31"/>
      <c r="D18" s="22"/>
      <c r="E18" s="4"/>
      <c r="F18" s="5">
        <f>SUM(F9:F17)</f>
        <v>1628800</v>
      </c>
      <c r="G18" s="30" t="s">
        <v>2</v>
      </c>
    </row>
    <row r="19" spans="1:7" ht="16.5" customHeight="1">
      <c r="A19" s="99" t="s">
        <v>123</v>
      </c>
      <c r="B19" s="100"/>
      <c r="C19" s="101" t="s">
        <v>121</v>
      </c>
      <c r="D19" s="101" t="s">
        <v>7</v>
      </c>
      <c r="E19" s="101" t="s">
        <v>0</v>
      </c>
      <c r="F19" s="101" t="s">
        <v>1</v>
      </c>
      <c r="G19" s="102" t="s">
        <v>8</v>
      </c>
    </row>
    <row r="20" spans="1:7">
      <c r="A20" s="95" t="s">
        <v>10</v>
      </c>
      <c r="B20" s="96"/>
      <c r="C20" s="81">
        <v>1</v>
      </c>
      <c r="D20" s="81">
        <v>14</v>
      </c>
      <c r="E20" s="119">
        <v>10500</v>
      </c>
      <c r="F20" s="80" t="s">
        <v>124</v>
      </c>
      <c r="G20" s="79" t="s">
        <v>211</v>
      </c>
    </row>
    <row r="21" spans="1:7">
      <c r="A21" s="89" t="s">
        <v>165</v>
      </c>
      <c r="B21" s="90"/>
      <c r="C21" s="81">
        <v>1</v>
      </c>
      <c r="D21" s="81">
        <v>1</v>
      </c>
      <c r="E21" s="91">
        <v>180000</v>
      </c>
      <c r="F21" s="80">
        <f>C21*E21</f>
        <v>180000</v>
      </c>
      <c r="G21" s="79" t="s">
        <v>220</v>
      </c>
    </row>
    <row r="22" spans="1:7" ht="16.5" customHeight="1">
      <c r="A22" s="115" t="s">
        <v>232</v>
      </c>
      <c r="B22" s="116" t="s">
        <v>2</v>
      </c>
      <c r="C22" s="81">
        <v>1</v>
      </c>
      <c r="D22" s="81">
        <v>14</v>
      </c>
      <c r="E22" s="117">
        <v>15000</v>
      </c>
      <c r="F22" s="120">
        <f t="shared" ref="F22:F28" si="1">D22*E22</f>
        <v>210000</v>
      </c>
      <c r="G22" s="118" t="s">
        <v>231</v>
      </c>
    </row>
    <row r="23" spans="1:7">
      <c r="A23" s="89" t="s">
        <v>216</v>
      </c>
      <c r="B23" s="90"/>
      <c r="C23" s="81">
        <v>1</v>
      </c>
      <c r="D23" s="81">
        <v>14</v>
      </c>
      <c r="E23" s="80">
        <v>1500</v>
      </c>
      <c r="F23" s="120">
        <f t="shared" si="1"/>
        <v>21000</v>
      </c>
      <c r="G23" s="79" t="s">
        <v>210</v>
      </c>
    </row>
    <row r="24" spans="1:7">
      <c r="A24" s="92" t="s">
        <v>218</v>
      </c>
      <c r="B24" s="93"/>
      <c r="C24" s="81">
        <v>1</v>
      </c>
      <c r="D24" s="81">
        <v>14</v>
      </c>
      <c r="E24" s="91">
        <v>3850</v>
      </c>
      <c r="F24" s="80">
        <f t="shared" si="1"/>
        <v>53900</v>
      </c>
      <c r="G24" s="89" t="s">
        <v>152</v>
      </c>
    </row>
    <row r="25" spans="1:7">
      <c r="A25" s="89" t="s">
        <v>234</v>
      </c>
      <c r="B25" s="90" t="s">
        <v>172</v>
      </c>
      <c r="C25" s="81">
        <v>1</v>
      </c>
      <c r="D25" s="81">
        <v>14</v>
      </c>
      <c r="E25" s="80">
        <v>25000</v>
      </c>
      <c r="F25" s="80">
        <f t="shared" si="1"/>
        <v>350000</v>
      </c>
      <c r="G25" s="79" t="s">
        <v>113</v>
      </c>
    </row>
    <row r="26" spans="1:7">
      <c r="A26" s="89" t="s">
        <v>216</v>
      </c>
      <c r="B26" s="90"/>
      <c r="C26" s="81">
        <v>1</v>
      </c>
      <c r="D26" s="81">
        <v>14</v>
      </c>
      <c r="E26" s="80">
        <v>1500</v>
      </c>
      <c r="F26" s="80">
        <f t="shared" si="1"/>
        <v>21000</v>
      </c>
      <c r="G26" s="79" t="s">
        <v>210</v>
      </c>
    </row>
    <row r="27" spans="1:7" ht="16.5" customHeight="1">
      <c r="A27" s="110" t="s">
        <v>226</v>
      </c>
      <c r="B27" s="111"/>
      <c r="C27" s="81">
        <v>1</v>
      </c>
      <c r="D27" s="81">
        <v>2</v>
      </c>
      <c r="E27" s="112">
        <v>99000</v>
      </c>
      <c r="F27" s="80">
        <f t="shared" si="1"/>
        <v>198000</v>
      </c>
      <c r="G27" s="110" t="s">
        <v>227</v>
      </c>
    </row>
    <row r="28" spans="1:7" ht="16.5" customHeight="1">
      <c r="A28" s="110" t="s">
        <v>147</v>
      </c>
      <c r="B28" s="111"/>
      <c r="C28" s="81">
        <v>1</v>
      </c>
      <c r="D28" s="81">
        <v>6</v>
      </c>
      <c r="E28" s="112">
        <f>E27+9500+5000</f>
        <v>113500</v>
      </c>
      <c r="F28" s="80">
        <f t="shared" si="1"/>
        <v>681000</v>
      </c>
      <c r="G28" s="110" t="s">
        <v>228</v>
      </c>
    </row>
    <row r="29" spans="1:7" ht="16.5" customHeight="1" thickBot="1">
      <c r="A29" s="130" t="s">
        <v>257</v>
      </c>
      <c r="B29" s="131"/>
      <c r="C29" s="132"/>
      <c r="D29" s="132"/>
      <c r="E29" s="133"/>
      <c r="F29" s="134">
        <f>SUM(F21:F28)</f>
        <v>1714900</v>
      </c>
      <c r="G29" s="110"/>
    </row>
    <row r="30" spans="1:7" ht="16.5" customHeight="1">
      <c r="A30" s="99" t="s">
        <v>259</v>
      </c>
      <c r="B30" s="100"/>
      <c r="C30" s="101" t="s">
        <v>121</v>
      </c>
      <c r="D30" s="101" t="s">
        <v>7</v>
      </c>
      <c r="E30" s="101" t="s">
        <v>0</v>
      </c>
      <c r="F30" s="101" t="s">
        <v>1</v>
      </c>
      <c r="G30" s="102" t="s">
        <v>8</v>
      </c>
    </row>
    <row r="31" spans="1:7" ht="16.5" customHeight="1">
      <c r="A31" s="95" t="s">
        <v>10</v>
      </c>
      <c r="B31" s="96"/>
      <c r="C31" s="81">
        <v>1</v>
      </c>
      <c r="D31" s="81">
        <v>14</v>
      </c>
      <c r="E31" s="119">
        <v>10500</v>
      </c>
      <c r="F31" s="80" t="s">
        <v>124</v>
      </c>
      <c r="G31" s="79" t="s">
        <v>211</v>
      </c>
    </row>
    <row r="32" spans="1:7" ht="16.5" customHeight="1">
      <c r="A32" s="89" t="s">
        <v>165</v>
      </c>
      <c r="B32" s="90"/>
      <c r="C32" s="81">
        <v>1</v>
      </c>
      <c r="D32" s="81">
        <v>1</v>
      </c>
      <c r="E32" s="91">
        <v>180000</v>
      </c>
      <c r="F32" s="80">
        <f t="shared" ref="F32" si="2">C32*E32</f>
        <v>180000</v>
      </c>
      <c r="G32" s="79" t="s">
        <v>220</v>
      </c>
    </row>
    <row r="33" spans="1:7" ht="16.5" customHeight="1">
      <c r="A33" s="115" t="s">
        <v>232</v>
      </c>
      <c r="B33" s="116" t="s">
        <v>2</v>
      </c>
      <c r="C33" s="81">
        <v>1</v>
      </c>
      <c r="D33" s="81">
        <v>14</v>
      </c>
      <c r="E33" s="117">
        <v>15000</v>
      </c>
      <c r="F33" s="120">
        <f t="shared" ref="F33:F35" si="3">D33*E33</f>
        <v>210000</v>
      </c>
      <c r="G33" s="118" t="s">
        <v>231</v>
      </c>
    </row>
    <row r="34" spans="1:7" ht="16.5" customHeight="1">
      <c r="A34" s="89" t="s">
        <v>216</v>
      </c>
      <c r="B34" s="90"/>
      <c r="C34" s="81">
        <v>1</v>
      </c>
      <c r="D34" s="81">
        <v>14</v>
      </c>
      <c r="E34" s="80">
        <v>1500</v>
      </c>
      <c r="F34" s="120">
        <f t="shared" si="3"/>
        <v>21000</v>
      </c>
      <c r="G34" s="79" t="s">
        <v>210</v>
      </c>
    </row>
    <row r="35" spans="1:7" ht="16.5" customHeight="1">
      <c r="A35" s="92" t="s">
        <v>218</v>
      </c>
      <c r="B35" s="93"/>
      <c r="C35" s="81">
        <v>1</v>
      </c>
      <c r="D35" s="81">
        <v>14</v>
      </c>
      <c r="E35" s="91">
        <v>3850</v>
      </c>
      <c r="F35" s="80">
        <f t="shared" si="3"/>
        <v>53900</v>
      </c>
      <c r="G35" s="89" t="s">
        <v>152</v>
      </c>
    </row>
    <row r="36" spans="1:7" ht="16.5" customHeight="1">
      <c r="A36" s="130" t="s">
        <v>260</v>
      </c>
      <c r="B36" s="131"/>
      <c r="C36" s="132"/>
      <c r="D36" s="132"/>
      <c r="E36" s="133"/>
      <c r="F36" s="134">
        <f>SUM(F32:F35)</f>
        <v>464900</v>
      </c>
      <c r="G36" s="110"/>
    </row>
    <row r="37" spans="1:7">
      <c r="A37" s="103" t="s">
        <v>206</v>
      </c>
      <c r="B37" s="104" t="s">
        <v>230</v>
      </c>
      <c r="C37" s="105"/>
      <c r="D37" s="105"/>
      <c r="E37" s="106"/>
      <c r="F37" s="106" t="s">
        <v>2</v>
      </c>
      <c r="G37" s="103" t="s">
        <v>207</v>
      </c>
    </row>
    <row r="38" spans="1:7">
      <c r="A38" s="82" t="s">
        <v>202</v>
      </c>
      <c r="B38" s="83" t="s">
        <v>2</v>
      </c>
      <c r="C38" s="84">
        <v>0</v>
      </c>
      <c r="D38" s="84">
        <v>0</v>
      </c>
      <c r="E38" s="85">
        <v>0</v>
      </c>
      <c r="F38" s="85">
        <f t="shared" ref="F38:F41" si="4">C38*D38*E38</f>
        <v>0</v>
      </c>
      <c r="G38" s="86" t="s">
        <v>204</v>
      </c>
    </row>
    <row r="39" spans="1:7">
      <c r="A39" s="82" t="s">
        <v>198</v>
      </c>
      <c r="B39" s="83" t="s">
        <v>2</v>
      </c>
      <c r="C39" s="84">
        <v>0</v>
      </c>
      <c r="D39" s="84">
        <v>0</v>
      </c>
      <c r="E39" s="85">
        <v>0</v>
      </c>
      <c r="F39" s="85">
        <f t="shared" si="4"/>
        <v>0</v>
      </c>
      <c r="G39" s="86" t="s">
        <v>205</v>
      </c>
    </row>
    <row r="40" spans="1:7" ht="16.5" customHeight="1">
      <c r="A40" s="82" t="s">
        <v>199</v>
      </c>
      <c r="B40" s="83" t="s">
        <v>2</v>
      </c>
      <c r="C40" s="84">
        <v>0</v>
      </c>
      <c r="D40" s="84">
        <v>0</v>
      </c>
      <c r="E40" s="85">
        <v>0</v>
      </c>
      <c r="F40" s="85">
        <f t="shared" si="4"/>
        <v>0</v>
      </c>
      <c r="G40" s="86" t="s">
        <v>203</v>
      </c>
    </row>
    <row r="41" spans="1:7" ht="16.5" thickBot="1">
      <c r="A41" s="82" t="s">
        <v>200</v>
      </c>
      <c r="B41" s="83" t="s">
        <v>2</v>
      </c>
      <c r="C41" s="84">
        <v>0</v>
      </c>
      <c r="D41" s="84">
        <v>0</v>
      </c>
      <c r="E41" s="85">
        <v>0</v>
      </c>
      <c r="F41" s="85">
        <f t="shared" si="4"/>
        <v>0</v>
      </c>
      <c r="G41" s="82" t="s">
        <v>201</v>
      </c>
    </row>
    <row r="42" spans="1:7" ht="16.5" thickBot="1">
      <c r="A42" s="34" t="s">
        <v>208</v>
      </c>
      <c r="B42" s="70"/>
      <c r="C42" s="35"/>
      <c r="D42" s="35"/>
      <c r="E42" s="36"/>
      <c r="F42" s="37">
        <f>F18+F29+F36</f>
        <v>3808600</v>
      </c>
      <c r="G42" s="6" t="s">
        <v>145</v>
      </c>
    </row>
    <row r="43" spans="1:7">
      <c r="A43" s="3" t="s">
        <v>146</v>
      </c>
      <c r="B43" s="69"/>
      <c r="C43" s="22"/>
      <c r="D43" s="22"/>
      <c r="E43" s="4"/>
      <c r="F43" s="5">
        <f>F42*1.19-F42</f>
        <v>723634</v>
      </c>
      <c r="G43" s="6"/>
    </row>
    <row r="44" spans="1:7">
      <c r="A44" s="135" t="s">
        <v>225</v>
      </c>
      <c r="B44" s="136"/>
      <c r="C44" s="137"/>
      <c r="D44" s="137"/>
      <c r="E44" s="138"/>
      <c r="F44" s="139">
        <f>F42+F43</f>
        <v>4532234</v>
      </c>
      <c r="G44" s="6"/>
    </row>
    <row r="45" spans="1:7">
      <c r="A45" s="3"/>
      <c r="B45" s="69"/>
      <c r="C45" s="22"/>
      <c r="D45" s="22"/>
      <c r="E45" s="4"/>
      <c r="F45" s="4"/>
      <c r="G45" s="6"/>
    </row>
    <row r="46" spans="1:7" ht="17.25">
      <c r="A46" s="121" t="s">
        <v>175</v>
      </c>
      <c r="B46"/>
      <c r="E46" s="65"/>
      <c r="F46" s="65"/>
      <c r="G46" s="65"/>
    </row>
    <row r="47" spans="1:7">
      <c r="A47" s="123" t="s">
        <v>247</v>
      </c>
      <c r="B47"/>
    </row>
    <row r="48" spans="1:7">
      <c r="A48" s="123" t="s">
        <v>248</v>
      </c>
      <c r="B48"/>
    </row>
    <row r="50" spans="1:6">
      <c r="A50" s="121" t="s">
        <v>249</v>
      </c>
      <c r="B50"/>
    </row>
    <row r="51" spans="1:6">
      <c r="A51" s="121" t="s">
        <v>235</v>
      </c>
      <c r="B51"/>
      <c r="F51" s="121" t="s">
        <v>239</v>
      </c>
    </row>
    <row r="52" spans="1:6">
      <c r="A52" s="123" t="s">
        <v>236</v>
      </c>
      <c r="B52"/>
      <c r="F52" s="123" t="s">
        <v>236</v>
      </c>
    </row>
    <row r="53" spans="1:6">
      <c r="A53" s="123" t="s">
        <v>237</v>
      </c>
      <c r="B53"/>
      <c r="F53" s="123" t="s">
        <v>237</v>
      </c>
    </row>
    <row r="54" spans="1:6">
      <c r="A54" s="123" t="s">
        <v>238</v>
      </c>
      <c r="B54"/>
      <c r="F54" s="123" t="s">
        <v>240</v>
      </c>
    </row>
    <row r="55" spans="1:6">
      <c r="F55" s="123" t="s">
        <v>241</v>
      </c>
    </row>
    <row r="56" spans="1:6">
      <c r="A56" s="121" t="s">
        <v>250</v>
      </c>
      <c r="B56"/>
    </row>
    <row r="57" spans="1:6">
      <c r="A57" s="122" t="s">
        <v>148</v>
      </c>
      <c r="B57"/>
    </row>
    <row r="58" spans="1:6">
      <c r="A58" s="122" t="s">
        <v>149</v>
      </c>
      <c r="B58"/>
    </row>
    <row r="59" spans="1:6" ht="17.25">
      <c r="A59" s="122" t="s">
        <v>150</v>
      </c>
      <c r="B59"/>
      <c r="F59" s="65" t="s">
        <v>2</v>
      </c>
    </row>
    <row r="60" spans="1:6" ht="17.25">
      <c r="A60" s="122" t="s">
        <v>151</v>
      </c>
      <c r="B60"/>
      <c r="F60" s="65" t="s">
        <v>2</v>
      </c>
    </row>
    <row r="61" spans="1:6" ht="17.25">
      <c r="A61" s="122"/>
      <c r="B61"/>
      <c r="F61" s="65" t="s">
        <v>2</v>
      </c>
    </row>
    <row r="62" spans="1:6" ht="15.95" customHeight="1">
      <c r="A62" s="122" t="s">
        <v>244</v>
      </c>
      <c r="B62"/>
    </row>
    <row r="63" spans="1:6" ht="15.95" customHeight="1">
      <c r="A63" s="122" t="s">
        <v>242</v>
      </c>
      <c r="B63"/>
    </row>
    <row r="64" spans="1:6" ht="15.95" customHeight="1">
      <c r="B64"/>
    </row>
    <row r="65" spans="1:7" ht="15.95" customHeight="1">
      <c r="A65" s="121" t="s">
        <v>243</v>
      </c>
      <c r="B65"/>
      <c r="E65" s="122" t="s">
        <v>181</v>
      </c>
      <c r="F65" s="122" t="s">
        <v>182</v>
      </c>
    </row>
    <row r="66" spans="1:7" ht="15.95" customHeight="1">
      <c r="A66" s="122" t="s">
        <v>176</v>
      </c>
      <c r="B66" s="122" t="s">
        <v>177</v>
      </c>
      <c r="E66" s="122" t="s">
        <v>183</v>
      </c>
      <c r="F66" s="122" t="s">
        <v>184</v>
      </c>
    </row>
    <row r="67" spans="1:7" ht="15.95" customHeight="1">
      <c r="A67" s="122" t="s">
        <v>178</v>
      </c>
      <c r="B67" s="122" t="s">
        <v>179</v>
      </c>
      <c r="E67" s="122" t="s">
        <v>185</v>
      </c>
      <c r="F67" s="122" t="s">
        <v>186</v>
      </c>
    </row>
    <row r="68" spans="1:7" ht="15.95" customHeight="1">
      <c r="A68" s="122" t="s">
        <v>180</v>
      </c>
      <c r="B68" s="122" t="s">
        <v>245</v>
      </c>
      <c r="E68" s="122" t="s">
        <v>5</v>
      </c>
      <c r="F68" s="122">
        <v>29539311</v>
      </c>
    </row>
    <row r="69" spans="1:7" ht="15.95" customHeight="1">
      <c r="A69" s="124" t="s">
        <v>246</v>
      </c>
    </row>
    <row r="70" spans="1:7" ht="15.95" customHeight="1">
      <c r="A70" s="65"/>
      <c r="B70"/>
    </row>
    <row r="71" spans="1:7">
      <c r="A71" s="125" t="s">
        <v>120</v>
      </c>
      <c r="B71" s="126" t="s">
        <v>158</v>
      </c>
      <c r="C71" s="125" t="s">
        <v>89</v>
      </c>
      <c r="D71" s="125" t="s">
        <v>7</v>
      </c>
      <c r="E71" s="125" t="s">
        <v>6</v>
      </c>
      <c r="F71" s="125" t="s">
        <v>90</v>
      </c>
      <c r="G71" s="125" t="s">
        <v>8</v>
      </c>
    </row>
    <row r="72" spans="1:7">
      <c r="A72" s="79" t="s">
        <v>174</v>
      </c>
      <c r="B72" s="87"/>
      <c r="C72" s="81">
        <v>0</v>
      </c>
      <c r="D72" s="81">
        <v>0</v>
      </c>
      <c r="E72" s="88">
        <v>200000</v>
      </c>
      <c r="F72" s="88">
        <f>C72*D72*E72</f>
        <v>0</v>
      </c>
      <c r="G72" s="79" t="s">
        <v>209</v>
      </c>
    </row>
    <row r="73" spans="1:7">
      <c r="A73" s="89" t="s">
        <v>91</v>
      </c>
      <c r="B73" s="90"/>
      <c r="C73" s="81">
        <v>0</v>
      </c>
      <c r="D73" s="81">
        <v>0</v>
      </c>
      <c r="E73" s="80">
        <v>12000</v>
      </c>
      <c r="F73" s="80">
        <f t="shared" ref="F73:F86" si="5">C73*D73*E73</f>
        <v>0</v>
      </c>
      <c r="G73" s="79" t="s">
        <v>212</v>
      </c>
    </row>
    <row r="74" spans="1:7">
      <c r="A74" s="89" t="s">
        <v>92</v>
      </c>
      <c r="B74" s="90"/>
      <c r="C74" s="81">
        <v>0</v>
      </c>
      <c r="D74" s="81">
        <v>0</v>
      </c>
      <c r="E74" s="80">
        <v>26000</v>
      </c>
      <c r="F74" s="80">
        <f t="shared" si="5"/>
        <v>0</v>
      </c>
      <c r="G74" s="79" t="s">
        <v>117</v>
      </c>
    </row>
    <row r="75" spans="1:7">
      <c r="A75" s="89" t="s">
        <v>93</v>
      </c>
      <c r="B75" s="90"/>
      <c r="C75" s="81">
        <v>0</v>
      </c>
      <c r="D75" s="81">
        <v>0</v>
      </c>
      <c r="E75" s="80">
        <v>35000</v>
      </c>
      <c r="F75" s="80">
        <f t="shared" si="5"/>
        <v>0</v>
      </c>
      <c r="G75" s="79" t="s">
        <v>117</v>
      </c>
    </row>
    <row r="76" spans="1:7">
      <c r="A76" s="89" t="s">
        <v>119</v>
      </c>
      <c r="B76" s="90"/>
      <c r="C76" s="81">
        <v>0</v>
      </c>
      <c r="D76" s="81">
        <v>0</v>
      </c>
      <c r="E76" s="80">
        <v>10000</v>
      </c>
      <c r="F76" s="80">
        <f t="shared" si="5"/>
        <v>0</v>
      </c>
      <c r="G76" s="79"/>
    </row>
    <row r="77" spans="1:7">
      <c r="A77" s="89" t="s">
        <v>156</v>
      </c>
      <c r="B77" s="90"/>
      <c r="C77" s="81">
        <v>0</v>
      </c>
      <c r="D77" s="81">
        <v>0</v>
      </c>
      <c r="E77" s="80">
        <v>4500</v>
      </c>
      <c r="F77" s="80">
        <f t="shared" si="5"/>
        <v>0</v>
      </c>
      <c r="G77" s="79" t="s">
        <v>157</v>
      </c>
    </row>
    <row r="78" spans="1:7">
      <c r="A78" s="89" t="s">
        <v>170</v>
      </c>
      <c r="B78" s="90"/>
      <c r="C78" s="81">
        <v>0</v>
      </c>
      <c r="D78" s="81">
        <v>0</v>
      </c>
      <c r="E78" s="80">
        <v>5000</v>
      </c>
      <c r="F78" s="80">
        <f t="shared" ref="F78:F79" si="6">C78*D78*E78</f>
        <v>0</v>
      </c>
      <c r="G78" s="79" t="s">
        <v>213</v>
      </c>
    </row>
    <row r="79" spans="1:7">
      <c r="A79" s="89" t="s">
        <v>171</v>
      </c>
      <c r="B79" s="90"/>
      <c r="C79" s="81">
        <v>0</v>
      </c>
      <c r="D79" s="81">
        <v>0</v>
      </c>
      <c r="E79" s="80">
        <v>5000</v>
      </c>
      <c r="F79" s="80">
        <f t="shared" si="6"/>
        <v>0</v>
      </c>
      <c r="G79" s="79" t="s">
        <v>214</v>
      </c>
    </row>
    <row r="80" spans="1:7">
      <c r="A80" s="89" t="s">
        <v>155</v>
      </c>
      <c r="B80" s="90"/>
      <c r="C80" s="81">
        <v>0</v>
      </c>
      <c r="D80" s="81">
        <v>0</v>
      </c>
      <c r="E80" s="80">
        <v>3000</v>
      </c>
      <c r="F80" s="80">
        <f t="shared" ref="F80" si="7">C80*D80*E80</f>
        <v>0</v>
      </c>
      <c r="G80" s="79" t="s">
        <v>215</v>
      </c>
    </row>
    <row r="81" spans="1:7">
      <c r="A81" s="89" t="s">
        <v>118</v>
      </c>
      <c r="B81" s="90"/>
      <c r="C81" s="81">
        <v>0</v>
      </c>
      <c r="D81" s="81">
        <v>0</v>
      </c>
      <c r="E81" s="80">
        <v>16000</v>
      </c>
      <c r="F81" s="80">
        <f t="shared" si="5"/>
        <v>0</v>
      </c>
      <c r="G81" s="79" t="s">
        <v>143</v>
      </c>
    </row>
    <row r="82" spans="1:7">
      <c r="A82" s="89" t="s">
        <v>11</v>
      </c>
      <c r="B82" s="90"/>
      <c r="C82" s="81">
        <v>0</v>
      </c>
      <c r="D82" s="81">
        <v>0</v>
      </c>
      <c r="E82" s="80">
        <v>7000</v>
      </c>
      <c r="F82" s="80">
        <f t="shared" si="5"/>
        <v>0</v>
      </c>
      <c r="G82" s="79" t="s">
        <v>159</v>
      </c>
    </row>
    <row r="83" spans="1:7">
      <c r="A83" s="107" t="s">
        <v>216</v>
      </c>
      <c r="B83" s="108"/>
      <c r="C83" s="84">
        <v>0</v>
      </c>
      <c r="D83" s="84">
        <v>0</v>
      </c>
      <c r="E83" s="85">
        <v>1500</v>
      </c>
      <c r="F83" s="85">
        <f t="shared" si="5"/>
        <v>0</v>
      </c>
      <c r="G83" s="82" t="s">
        <v>210</v>
      </c>
    </row>
    <row r="84" spans="1:7">
      <c r="A84" s="107" t="s">
        <v>160</v>
      </c>
      <c r="B84" s="108"/>
      <c r="C84" s="84">
        <v>0</v>
      </c>
      <c r="D84" s="84">
        <v>0</v>
      </c>
      <c r="E84" s="85">
        <v>3000</v>
      </c>
      <c r="F84" s="85">
        <f t="shared" si="5"/>
        <v>0</v>
      </c>
      <c r="G84" s="82"/>
    </row>
    <row r="85" spans="1:7">
      <c r="A85" s="107" t="s">
        <v>217</v>
      </c>
      <c r="B85" s="108"/>
      <c r="C85" s="84">
        <v>0</v>
      </c>
      <c r="D85" s="84">
        <v>0</v>
      </c>
      <c r="E85" s="85">
        <v>1000</v>
      </c>
      <c r="F85" s="85">
        <f t="shared" ref="F85" si="8">C85*D85*E85</f>
        <v>0</v>
      </c>
      <c r="G85" s="82" t="s">
        <v>161</v>
      </c>
    </row>
    <row r="86" spans="1:7">
      <c r="A86" s="107" t="s">
        <v>221</v>
      </c>
      <c r="B86" s="108"/>
      <c r="C86" s="84">
        <v>0</v>
      </c>
      <c r="D86" s="84">
        <v>0</v>
      </c>
      <c r="E86" s="85">
        <v>3000</v>
      </c>
      <c r="F86" s="85">
        <f t="shared" si="5"/>
        <v>0</v>
      </c>
      <c r="G86" s="82" t="s">
        <v>9</v>
      </c>
    </row>
    <row r="87" spans="1:7">
      <c r="A87" s="107" t="s">
        <v>95</v>
      </c>
      <c r="B87" s="108"/>
      <c r="C87" s="84">
        <v>0</v>
      </c>
      <c r="D87" s="84">
        <v>0</v>
      </c>
      <c r="E87" s="109">
        <v>150000</v>
      </c>
      <c r="F87" s="85">
        <f t="shared" ref="F87:F94" si="9">C87*D87*E87</f>
        <v>0</v>
      </c>
      <c r="G87" s="82" t="s">
        <v>96</v>
      </c>
    </row>
    <row r="88" spans="1:7">
      <c r="A88" s="89" t="s">
        <v>97</v>
      </c>
      <c r="B88" s="90"/>
      <c r="C88" s="81">
        <v>0</v>
      </c>
      <c r="D88" s="81">
        <v>0</v>
      </c>
      <c r="E88" s="91">
        <v>100000</v>
      </c>
      <c r="F88" s="80">
        <f t="shared" si="9"/>
        <v>0</v>
      </c>
      <c r="G88" s="79" t="s">
        <v>98</v>
      </c>
    </row>
    <row r="89" spans="1:7">
      <c r="A89" s="92" t="s">
        <v>218</v>
      </c>
      <c r="B89" s="93"/>
      <c r="C89" s="81">
        <v>0</v>
      </c>
      <c r="D89" s="127">
        <v>0</v>
      </c>
      <c r="E89" s="91">
        <v>3850</v>
      </c>
      <c r="F89" s="120">
        <f>E89*D89*C89</f>
        <v>0</v>
      </c>
      <c r="G89" s="89" t="s">
        <v>152</v>
      </c>
    </row>
    <row r="90" spans="1:7">
      <c r="A90" s="92" t="s">
        <v>114</v>
      </c>
      <c r="B90" s="93"/>
      <c r="C90" s="81">
        <v>0</v>
      </c>
      <c r="D90" s="81">
        <v>0</v>
      </c>
      <c r="E90" s="91">
        <v>4800</v>
      </c>
      <c r="F90" s="80">
        <f>C90*D90*E90</f>
        <v>0</v>
      </c>
      <c r="G90" s="89" t="s">
        <v>219</v>
      </c>
    </row>
    <row r="91" spans="1:7" ht="15" customHeight="1">
      <c r="A91" s="92" t="s">
        <v>115</v>
      </c>
      <c r="B91" s="93"/>
      <c r="C91" s="81">
        <v>0</v>
      </c>
      <c r="D91" s="81">
        <v>0</v>
      </c>
      <c r="E91" s="91">
        <v>5500</v>
      </c>
      <c r="F91" s="80">
        <f>C91*D91*E91</f>
        <v>0</v>
      </c>
      <c r="G91" s="89" t="s">
        <v>154</v>
      </c>
    </row>
    <row r="92" spans="1:7" ht="15" customHeight="1">
      <c r="A92" s="92" t="s">
        <v>116</v>
      </c>
      <c r="B92" s="93"/>
      <c r="C92" s="81">
        <v>0</v>
      </c>
      <c r="D92" s="81">
        <v>0</v>
      </c>
      <c r="E92" s="91">
        <v>7500</v>
      </c>
      <c r="F92" s="80">
        <f t="shared" si="9"/>
        <v>0</v>
      </c>
      <c r="G92" s="89" t="s">
        <v>153</v>
      </c>
    </row>
    <row r="93" spans="1:7">
      <c r="A93" s="89" t="s">
        <v>169</v>
      </c>
      <c r="B93" s="90"/>
      <c r="C93" s="81">
        <v>0</v>
      </c>
      <c r="D93" s="81">
        <v>0</v>
      </c>
      <c r="E93" s="80">
        <v>8500</v>
      </c>
      <c r="F93" s="80">
        <f t="shared" si="9"/>
        <v>0</v>
      </c>
      <c r="G93" s="94" t="s">
        <v>224</v>
      </c>
    </row>
    <row r="94" spans="1:7" ht="31.5">
      <c r="A94" s="89" t="s">
        <v>162</v>
      </c>
      <c r="B94" s="90"/>
      <c r="C94" s="81">
        <v>0</v>
      </c>
      <c r="D94" s="81">
        <v>0</v>
      </c>
      <c r="E94" s="80">
        <v>13500</v>
      </c>
      <c r="F94" s="80">
        <f t="shared" si="9"/>
        <v>0</v>
      </c>
      <c r="G94" s="128" t="s">
        <v>144</v>
      </c>
    </row>
    <row r="95" spans="1:7">
      <c r="A95" s="89" t="s">
        <v>94</v>
      </c>
      <c r="B95" s="90"/>
      <c r="C95" s="81">
        <v>0</v>
      </c>
      <c r="D95" s="81">
        <v>0</v>
      </c>
      <c r="E95" s="80">
        <v>2500</v>
      </c>
      <c r="F95" s="80">
        <f>C95*D95*E95</f>
        <v>0</v>
      </c>
      <c r="G95" s="79" t="s">
        <v>222</v>
      </c>
    </row>
    <row r="96" spans="1:7">
      <c r="A96" s="89" t="s">
        <v>163</v>
      </c>
      <c r="B96" s="90"/>
      <c r="C96" s="81">
        <v>0</v>
      </c>
      <c r="D96" s="81">
        <v>0</v>
      </c>
      <c r="E96" s="91">
        <v>300000</v>
      </c>
      <c r="F96" s="80">
        <f>C96*D96*E96</f>
        <v>0</v>
      </c>
      <c r="G96" s="79" t="s">
        <v>220</v>
      </c>
    </row>
    <row r="97" spans="1:7">
      <c r="A97" s="89" t="s">
        <v>164</v>
      </c>
      <c r="B97" s="90"/>
      <c r="C97" s="81">
        <v>0</v>
      </c>
      <c r="D97" s="81">
        <v>0</v>
      </c>
      <c r="E97" s="91">
        <v>250000</v>
      </c>
      <c r="F97" s="80">
        <f>C97*D97*E97</f>
        <v>0</v>
      </c>
      <c r="G97" s="79" t="s">
        <v>220</v>
      </c>
    </row>
    <row r="98" spans="1:7">
      <c r="A98" s="89" t="s">
        <v>141</v>
      </c>
      <c r="B98" s="90"/>
      <c r="C98" s="81">
        <v>0</v>
      </c>
      <c r="D98" s="81">
        <v>0</v>
      </c>
      <c r="E98" s="91">
        <v>210000</v>
      </c>
      <c r="F98" s="80">
        <f t="shared" ref="F98:F105" si="10">C98*D98*E98</f>
        <v>0</v>
      </c>
      <c r="G98" s="79" t="s">
        <v>220</v>
      </c>
    </row>
    <row r="99" spans="1:7">
      <c r="A99" s="89" t="s">
        <v>142</v>
      </c>
      <c r="B99" s="90"/>
      <c r="C99" s="81">
        <v>0</v>
      </c>
      <c r="D99" s="81">
        <v>0</v>
      </c>
      <c r="E99" s="91">
        <v>210000</v>
      </c>
      <c r="F99" s="80">
        <f t="shared" si="10"/>
        <v>0</v>
      </c>
      <c r="G99" s="79" t="s">
        <v>220</v>
      </c>
    </row>
    <row r="100" spans="1:7">
      <c r="A100" s="89" t="s">
        <v>165</v>
      </c>
      <c r="B100" s="90"/>
      <c r="C100" s="81">
        <v>0</v>
      </c>
      <c r="D100" s="81">
        <v>0</v>
      </c>
      <c r="E100" s="91">
        <v>180000</v>
      </c>
      <c r="F100" s="80">
        <f t="shared" si="10"/>
        <v>0</v>
      </c>
      <c r="G100" s="79" t="s">
        <v>220</v>
      </c>
    </row>
    <row r="101" spans="1:7">
      <c r="A101" s="89" t="s">
        <v>140</v>
      </c>
      <c r="B101" s="90"/>
      <c r="C101" s="81">
        <v>0</v>
      </c>
      <c r="D101" s="81">
        <v>0</v>
      </c>
      <c r="E101" s="91">
        <v>180000</v>
      </c>
      <c r="F101" s="80">
        <f t="shared" si="10"/>
        <v>0</v>
      </c>
      <c r="G101" s="79" t="s">
        <v>220</v>
      </c>
    </row>
    <row r="102" spans="1:7">
      <c r="A102" s="89" t="s">
        <v>167</v>
      </c>
      <c r="B102" s="90"/>
      <c r="C102" s="81">
        <v>0</v>
      </c>
      <c r="D102" s="81">
        <v>0</v>
      </c>
      <c r="E102" s="85">
        <v>120000</v>
      </c>
      <c r="F102" s="80">
        <f t="shared" si="10"/>
        <v>0</v>
      </c>
      <c r="G102" s="79" t="s">
        <v>220</v>
      </c>
    </row>
    <row r="103" spans="1:7">
      <c r="A103" s="89" t="s">
        <v>166</v>
      </c>
      <c r="B103" s="90"/>
      <c r="C103" s="81">
        <v>0</v>
      </c>
      <c r="D103" s="81">
        <v>0</v>
      </c>
      <c r="E103" s="85">
        <v>90000</v>
      </c>
      <c r="F103" s="80">
        <f t="shared" si="10"/>
        <v>0</v>
      </c>
      <c r="G103" s="79" t="s">
        <v>220</v>
      </c>
    </row>
    <row r="104" spans="1:7">
      <c r="A104" s="89" t="s">
        <v>173</v>
      </c>
      <c r="B104" s="90"/>
      <c r="C104" s="81">
        <v>0</v>
      </c>
      <c r="D104" s="81">
        <v>0</v>
      </c>
      <c r="E104" s="85">
        <v>100000</v>
      </c>
      <c r="F104" s="80">
        <f t="shared" si="10"/>
        <v>0</v>
      </c>
      <c r="G104" s="79" t="s">
        <v>223</v>
      </c>
    </row>
    <row r="105" spans="1:7">
      <c r="A105" s="89" t="s">
        <v>168</v>
      </c>
      <c r="B105" s="90"/>
      <c r="C105" s="81">
        <v>0</v>
      </c>
      <c r="D105" s="81">
        <v>0</v>
      </c>
      <c r="E105" s="85">
        <v>300000</v>
      </c>
      <c r="F105" s="80">
        <f t="shared" si="10"/>
        <v>0</v>
      </c>
      <c r="G105" s="79" t="s">
        <v>220</v>
      </c>
    </row>
    <row r="106" spans="1:7">
      <c r="A106" s="97"/>
      <c r="B106" s="98"/>
      <c r="C106" s="97"/>
      <c r="D106" s="97"/>
      <c r="E106" s="97"/>
      <c r="F106" s="97"/>
    </row>
    <row r="107" spans="1:7">
      <c r="A107" s="97"/>
      <c r="B107" s="98"/>
      <c r="C107" s="97"/>
      <c r="D107" s="97"/>
      <c r="E107" s="97"/>
      <c r="F107" s="97"/>
    </row>
    <row r="123" spans="1:7" ht="17.25">
      <c r="A123" s="21"/>
      <c r="B123" s="71"/>
      <c r="C123" s="6"/>
      <c r="D123" s="6"/>
      <c r="E123" s="6"/>
      <c r="F123" s="6"/>
      <c r="G123" s="6"/>
    </row>
  </sheetData>
  <phoneticPr fontId="7" type="noConversion"/>
  <hyperlinks>
    <hyperlink ref="A69" r:id="rId1" xr:uid="{00000000-0004-0000-0000-000000000000}"/>
    <hyperlink ref="B4" r:id="rId2" xr:uid="{00000000-0004-0000-0000-000001000000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1"/>
    <col min="6" max="8" width="11" style="61"/>
    <col min="9" max="9" width="31" customWidth="1"/>
  </cols>
  <sheetData>
    <row r="1" spans="1:14">
      <c r="A1" s="150"/>
      <c r="B1" s="150"/>
      <c r="C1" s="150"/>
      <c r="D1" s="23"/>
      <c r="E1" s="23" t="s">
        <v>99</v>
      </c>
      <c r="F1" s="38"/>
      <c r="G1" s="38"/>
      <c r="H1" s="38"/>
      <c r="I1" s="23"/>
      <c r="J1" s="20"/>
      <c r="K1" s="20"/>
      <c r="L1" s="20"/>
      <c r="M1" s="20"/>
      <c r="N1" s="20"/>
    </row>
    <row r="2" spans="1:14">
      <c r="A2" s="150"/>
      <c r="B2" s="150"/>
      <c r="C2" s="150"/>
      <c r="D2" s="23"/>
      <c r="E2" s="23"/>
      <c r="F2" s="38"/>
      <c r="G2" s="38"/>
      <c r="H2" s="38"/>
      <c r="I2" s="23"/>
      <c r="J2" s="20"/>
      <c r="K2" s="20"/>
      <c r="L2" s="20"/>
      <c r="M2" s="20"/>
      <c r="N2" s="20"/>
    </row>
    <row r="3" spans="1:14">
      <c r="A3" s="150"/>
      <c r="B3" s="150"/>
      <c r="C3" s="150"/>
      <c r="D3" s="23"/>
      <c r="E3" s="23" t="s">
        <v>133</v>
      </c>
      <c r="F3" s="38"/>
      <c r="G3" s="38"/>
      <c r="H3" s="38"/>
      <c r="I3" s="23"/>
      <c r="J3" s="20"/>
      <c r="K3" s="20"/>
      <c r="L3" s="20"/>
      <c r="M3" s="20"/>
      <c r="N3" s="20"/>
    </row>
    <row r="4" spans="1:14">
      <c r="A4" s="150"/>
      <c r="B4" s="150"/>
      <c r="C4" s="150"/>
      <c r="D4" s="23"/>
      <c r="E4" s="23" t="s">
        <v>134</v>
      </c>
      <c r="F4" s="38"/>
      <c r="G4" s="38"/>
      <c r="H4" s="38"/>
      <c r="I4" s="23"/>
      <c r="J4" s="20"/>
      <c r="K4" s="20"/>
      <c r="L4" s="20"/>
      <c r="M4" s="20"/>
      <c r="N4" s="20"/>
    </row>
    <row r="5" spans="1:14">
      <c r="A5" s="33"/>
      <c r="B5" s="33"/>
      <c r="C5" s="33"/>
      <c r="D5" s="23"/>
      <c r="E5" s="23"/>
      <c r="F5" s="38"/>
      <c r="G5" s="38"/>
      <c r="H5" s="38"/>
      <c r="I5" s="23"/>
      <c r="J5" s="20"/>
      <c r="K5" s="20"/>
      <c r="L5" s="20"/>
      <c r="M5" s="20"/>
      <c r="N5" s="20"/>
    </row>
    <row r="6" spans="1:14">
      <c r="A6" s="27" t="s">
        <v>100</v>
      </c>
      <c r="B6" s="28" t="s">
        <v>101</v>
      </c>
      <c r="C6" s="151" t="s">
        <v>127</v>
      </c>
      <c r="D6" s="152"/>
      <c r="E6" s="153"/>
      <c r="F6" s="28" t="s">
        <v>102</v>
      </c>
      <c r="G6" s="28" t="s">
        <v>103</v>
      </c>
      <c r="H6" s="28" t="s">
        <v>104</v>
      </c>
      <c r="I6" s="28" t="s">
        <v>105</v>
      </c>
      <c r="J6" s="20"/>
      <c r="K6" s="20"/>
      <c r="L6" s="20"/>
      <c r="M6" s="20"/>
      <c r="N6" s="20"/>
    </row>
    <row r="7" spans="1:14">
      <c r="A7" s="46">
        <v>0.375</v>
      </c>
      <c r="B7" s="47">
        <v>0.45833333333333331</v>
      </c>
      <c r="C7" s="141" t="s">
        <v>128</v>
      </c>
      <c r="D7" s="142"/>
      <c r="E7" s="143"/>
      <c r="F7" s="39"/>
      <c r="G7" s="39"/>
      <c r="H7" s="39"/>
      <c r="I7" s="26" t="s">
        <v>129</v>
      </c>
      <c r="J7" s="20"/>
      <c r="K7" s="20"/>
      <c r="L7" s="20"/>
      <c r="M7" s="20"/>
      <c r="N7" s="20"/>
    </row>
    <row r="8" spans="1:14">
      <c r="A8" s="46">
        <v>0.46875</v>
      </c>
      <c r="B8" s="47">
        <v>0.5625</v>
      </c>
      <c r="C8" s="141" t="s">
        <v>128</v>
      </c>
      <c r="D8" s="142"/>
      <c r="E8" s="143"/>
      <c r="F8" s="39"/>
      <c r="G8" s="39"/>
      <c r="H8" s="39"/>
      <c r="I8" s="26" t="s">
        <v>129</v>
      </c>
      <c r="J8" s="20"/>
      <c r="K8" s="20"/>
      <c r="L8" s="20"/>
      <c r="M8" s="20"/>
      <c r="N8" s="20"/>
    </row>
    <row r="9" spans="1:14">
      <c r="A9" s="41">
        <v>0.5625</v>
      </c>
      <c r="B9" s="42">
        <v>0.60416666666666663</v>
      </c>
      <c r="C9" s="144" t="s">
        <v>108</v>
      </c>
      <c r="D9" s="145"/>
      <c r="E9" s="146"/>
      <c r="F9" s="43"/>
      <c r="G9" s="43">
        <v>60</v>
      </c>
      <c r="H9" s="44" t="s">
        <v>107</v>
      </c>
      <c r="I9" s="45"/>
      <c r="J9" s="20"/>
      <c r="K9" s="20"/>
      <c r="L9" s="20"/>
      <c r="M9" s="20"/>
      <c r="N9" s="20"/>
    </row>
    <row r="10" spans="1:14">
      <c r="A10" s="46">
        <v>0.625</v>
      </c>
      <c r="B10" s="47">
        <v>0.70833333333333337</v>
      </c>
      <c r="C10" s="141" t="s">
        <v>128</v>
      </c>
      <c r="D10" s="142"/>
      <c r="E10" s="143"/>
      <c r="F10" s="39"/>
      <c r="G10" s="39"/>
      <c r="H10" s="39"/>
      <c r="I10" s="26" t="s">
        <v>129</v>
      </c>
      <c r="J10" s="20"/>
      <c r="K10" s="20"/>
      <c r="L10" s="20"/>
      <c r="M10" s="20"/>
      <c r="N10" s="20"/>
    </row>
    <row r="11" spans="1:14">
      <c r="A11" s="46">
        <v>0.71875</v>
      </c>
      <c r="B11" s="47">
        <v>0.75</v>
      </c>
      <c r="C11" s="141" t="s">
        <v>128</v>
      </c>
      <c r="D11" s="142"/>
      <c r="E11" s="143"/>
      <c r="F11" s="39"/>
      <c r="G11" s="39"/>
      <c r="H11" s="39"/>
      <c r="I11" s="26" t="s">
        <v>129</v>
      </c>
      <c r="J11" s="20"/>
      <c r="K11" s="20"/>
      <c r="L11" s="20"/>
      <c r="M11" s="20"/>
      <c r="N11" s="20"/>
    </row>
    <row r="12" spans="1:14">
      <c r="A12" s="24">
        <v>0.75</v>
      </c>
      <c r="B12" s="25">
        <v>0.79166666666666663</v>
      </c>
      <c r="C12" s="141" t="s">
        <v>109</v>
      </c>
      <c r="D12" s="142"/>
      <c r="E12" s="143"/>
      <c r="F12" s="40"/>
      <c r="G12" s="40"/>
      <c r="H12" s="39"/>
      <c r="I12" s="26" t="s">
        <v>125</v>
      </c>
      <c r="J12" s="20"/>
      <c r="K12" s="20"/>
      <c r="L12" s="20"/>
      <c r="M12" s="20"/>
      <c r="N12" s="20"/>
    </row>
    <row r="13" spans="1:14" ht="15" customHeight="1">
      <c r="A13" s="48">
        <v>0.83333333333333337</v>
      </c>
      <c r="B13" s="49">
        <v>0.875</v>
      </c>
      <c r="C13" s="154" t="s">
        <v>126</v>
      </c>
      <c r="D13" s="155"/>
      <c r="E13" s="156"/>
      <c r="F13" s="50"/>
      <c r="G13" s="50">
        <v>60</v>
      </c>
      <c r="H13" s="44" t="s">
        <v>107</v>
      </c>
      <c r="I13" s="51"/>
      <c r="J13" s="20"/>
      <c r="K13" s="20"/>
      <c r="L13" s="20"/>
      <c r="M13" s="20"/>
      <c r="N13" s="20"/>
    </row>
    <row r="14" spans="1:14">
      <c r="A14" s="54"/>
      <c r="B14" s="6"/>
      <c r="C14" s="6"/>
      <c r="D14" s="6"/>
      <c r="E14" s="6"/>
      <c r="F14" s="6"/>
      <c r="G14" s="6"/>
      <c r="H14" s="6"/>
      <c r="I14" s="55"/>
      <c r="J14" s="20"/>
      <c r="K14" s="20"/>
      <c r="L14" s="20"/>
      <c r="M14" s="20"/>
      <c r="N14" s="20"/>
    </row>
    <row r="15" spans="1:14">
      <c r="A15" s="27" t="s">
        <v>100</v>
      </c>
      <c r="B15" s="28" t="s">
        <v>101</v>
      </c>
      <c r="C15" s="157" t="s">
        <v>130</v>
      </c>
      <c r="D15" s="152"/>
      <c r="E15" s="153"/>
      <c r="F15" s="28" t="s">
        <v>102</v>
      </c>
      <c r="G15" s="28" t="s">
        <v>103</v>
      </c>
      <c r="H15" s="28" t="s">
        <v>104</v>
      </c>
      <c r="I15" s="28" t="s">
        <v>105</v>
      </c>
      <c r="J15" s="20"/>
      <c r="K15" s="20"/>
      <c r="L15" s="20"/>
      <c r="M15" s="20"/>
      <c r="N15" s="20"/>
    </row>
    <row r="16" spans="1:14">
      <c r="A16" s="41">
        <v>0.33333333333333331</v>
      </c>
      <c r="B16" s="42">
        <v>0.375</v>
      </c>
      <c r="C16" s="158" t="s">
        <v>106</v>
      </c>
      <c r="D16" s="159"/>
      <c r="E16" s="160"/>
      <c r="F16" s="52"/>
      <c r="G16" s="52">
        <v>60</v>
      </c>
      <c r="H16" s="52"/>
      <c r="I16" s="53"/>
      <c r="J16" s="20"/>
      <c r="K16" s="20"/>
      <c r="L16" s="20"/>
      <c r="M16" s="20"/>
      <c r="N16" s="20"/>
    </row>
    <row r="17" spans="1:14">
      <c r="A17" s="46">
        <v>0.375</v>
      </c>
      <c r="B17" s="47">
        <v>0.45833333333333331</v>
      </c>
      <c r="C17" s="141" t="s">
        <v>128</v>
      </c>
      <c r="D17" s="142"/>
      <c r="E17" s="143"/>
      <c r="F17" s="39"/>
      <c r="G17" s="39"/>
      <c r="H17" s="39"/>
      <c r="I17" s="26" t="s">
        <v>129</v>
      </c>
      <c r="J17" s="20"/>
      <c r="K17" s="20"/>
      <c r="L17" s="20"/>
      <c r="M17" s="20"/>
      <c r="N17" s="20"/>
    </row>
    <row r="18" spans="1:14">
      <c r="A18" s="46">
        <v>0.46875</v>
      </c>
      <c r="B18" s="47">
        <v>0.5625</v>
      </c>
      <c r="C18" s="141" t="s">
        <v>128</v>
      </c>
      <c r="D18" s="142"/>
      <c r="E18" s="143"/>
      <c r="F18" s="39"/>
      <c r="G18" s="39"/>
      <c r="H18" s="39"/>
      <c r="I18" s="26" t="s">
        <v>129</v>
      </c>
      <c r="J18" s="20"/>
      <c r="K18" s="20"/>
      <c r="L18" s="20"/>
      <c r="M18" s="20"/>
      <c r="N18" s="20"/>
    </row>
    <row r="19" spans="1:14">
      <c r="A19" s="41">
        <v>0.5625</v>
      </c>
      <c r="B19" s="42">
        <v>0.60416666666666663</v>
      </c>
      <c r="C19" s="144" t="s">
        <v>108</v>
      </c>
      <c r="D19" s="145"/>
      <c r="E19" s="146"/>
      <c r="F19" s="43"/>
      <c r="G19" s="43">
        <v>60</v>
      </c>
      <c r="H19" s="44" t="s">
        <v>107</v>
      </c>
      <c r="I19" s="45"/>
      <c r="J19" s="20"/>
      <c r="K19" s="20"/>
      <c r="L19" s="20"/>
      <c r="M19" s="20"/>
      <c r="N19" s="20"/>
    </row>
    <row r="20" spans="1:14">
      <c r="A20" s="46">
        <v>0.625</v>
      </c>
      <c r="B20" s="47">
        <v>0.70833333333333337</v>
      </c>
      <c r="C20" s="141" t="s">
        <v>128</v>
      </c>
      <c r="D20" s="142"/>
      <c r="E20" s="143"/>
      <c r="F20" s="39"/>
      <c r="G20" s="39"/>
      <c r="H20" s="39"/>
      <c r="I20" s="26" t="s">
        <v>129</v>
      </c>
      <c r="J20" s="20"/>
      <c r="K20" s="20"/>
      <c r="L20" s="20"/>
      <c r="M20" s="20"/>
      <c r="N20" s="20"/>
    </row>
    <row r="21" spans="1:14">
      <c r="A21" s="46">
        <v>0.71875</v>
      </c>
      <c r="B21" s="47">
        <v>0.75</v>
      </c>
      <c r="C21" s="141" t="s">
        <v>128</v>
      </c>
      <c r="D21" s="142"/>
      <c r="E21" s="143"/>
      <c r="F21" s="39"/>
      <c r="G21" s="39"/>
      <c r="H21" s="39"/>
      <c r="I21" s="26" t="s">
        <v>129</v>
      </c>
      <c r="J21" s="20"/>
      <c r="K21" s="20"/>
      <c r="L21" s="20"/>
      <c r="M21" s="20"/>
      <c r="N21" s="20"/>
    </row>
    <row r="22" spans="1:14">
      <c r="A22" s="24">
        <v>0.75</v>
      </c>
      <c r="B22" s="25">
        <v>0.79166666666666663</v>
      </c>
      <c r="C22" s="141" t="s">
        <v>109</v>
      </c>
      <c r="D22" s="142"/>
      <c r="E22" s="143"/>
      <c r="F22" s="40"/>
      <c r="G22" s="40"/>
      <c r="H22" s="39"/>
      <c r="I22" s="26" t="s">
        <v>125</v>
      </c>
      <c r="J22" s="20"/>
      <c r="K22" s="20"/>
      <c r="L22" s="20"/>
      <c r="M22" s="20"/>
      <c r="N22" s="20"/>
    </row>
    <row r="23" spans="1:14" ht="15" customHeight="1">
      <c r="A23" s="48">
        <v>0.83333333333333337</v>
      </c>
      <c r="B23" s="49">
        <v>0.875</v>
      </c>
      <c r="C23" s="154" t="s">
        <v>126</v>
      </c>
      <c r="D23" s="155"/>
      <c r="E23" s="156"/>
      <c r="F23" s="50"/>
      <c r="G23" s="50">
        <v>60</v>
      </c>
      <c r="H23" s="44" t="s">
        <v>107</v>
      </c>
      <c r="I23" s="51"/>
      <c r="J23" s="20"/>
      <c r="K23" s="20"/>
      <c r="L23" s="20"/>
      <c r="M23" s="20"/>
      <c r="N23" s="20"/>
    </row>
    <row r="24" spans="1:14" ht="15" customHeight="1">
      <c r="A24" s="56"/>
      <c r="B24" s="56"/>
      <c r="C24" s="57"/>
      <c r="D24" s="57"/>
      <c r="E24" s="57"/>
      <c r="F24" s="58"/>
      <c r="G24" s="58"/>
      <c r="H24" s="59"/>
      <c r="I24" s="60"/>
      <c r="J24" s="6"/>
      <c r="K24" s="6"/>
      <c r="L24" s="6"/>
      <c r="M24" s="6"/>
      <c r="N24" s="6"/>
    </row>
    <row r="25" spans="1:14">
      <c r="A25" s="27" t="s">
        <v>100</v>
      </c>
      <c r="B25" s="28" t="s">
        <v>101</v>
      </c>
      <c r="C25" s="157" t="s">
        <v>131</v>
      </c>
      <c r="D25" s="152"/>
      <c r="E25" s="153"/>
      <c r="F25" s="28" t="s">
        <v>102</v>
      </c>
      <c r="G25" s="28" t="s">
        <v>103</v>
      </c>
      <c r="H25" s="28" t="s">
        <v>104</v>
      </c>
      <c r="I25" s="28" t="s">
        <v>105</v>
      </c>
      <c r="J25" s="20"/>
      <c r="K25" s="20"/>
      <c r="L25" s="20"/>
      <c r="M25" s="20"/>
      <c r="N25" s="20"/>
    </row>
    <row r="26" spans="1:14">
      <c r="A26" s="41">
        <v>0.33333333333333331</v>
      </c>
      <c r="B26" s="42">
        <v>0.375</v>
      </c>
      <c r="C26" s="158" t="s">
        <v>106</v>
      </c>
      <c r="D26" s="159"/>
      <c r="E26" s="160"/>
      <c r="F26" s="52"/>
      <c r="G26" s="52">
        <v>60</v>
      </c>
      <c r="H26" s="52"/>
      <c r="I26" s="53"/>
      <c r="J26" s="20"/>
      <c r="K26" s="20"/>
      <c r="L26" s="20"/>
      <c r="M26" s="20"/>
      <c r="N26" s="20"/>
    </row>
    <row r="27" spans="1:14">
      <c r="A27" s="46">
        <v>0.375</v>
      </c>
      <c r="B27" s="47">
        <v>0.45833333333333331</v>
      </c>
      <c r="C27" s="141" t="s">
        <v>128</v>
      </c>
      <c r="D27" s="142"/>
      <c r="E27" s="143"/>
      <c r="F27" s="39"/>
      <c r="G27" s="39"/>
      <c r="H27" s="39"/>
      <c r="I27" s="26" t="s">
        <v>129</v>
      </c>
      <c r="J27" s="20"/>
      <c r="K27" s="20"/>
      <c r="L27" s="20"/>
      <c r="M27" s="20"/>
      <c r="N27" s="20"/>
    </row>
    <row r="28" spans="1:14">
      <c r="A28" s="46">
        <v>0.46875</v>
      </c>
      <c r="B28" s="47">
        <v>0.5625</v>
      </c>
      <c r="C28" s="141" t="s">
        <v>128</v>
      </c>
      <c r="D28" s="142"/>
      <c r="E28" s="143"/>
      <c r="F28" s="39"/>
      <c r="G28" s="39"/>
      <c r="H28" s="39"/>
      <c r="I28" s="26" t="s">
        <v>129</v>
      </c>
      <c r="J28" s="20"/>
      <c r="K28" s="20"/>
      <c r="L28" s="20"/>
      <c r="M28" s="20"/>
      <c r="N28" s="20"/>
    </row>
    <row r="29" spans="1:14">
      <c r="A29" s="41">
        <v>0.5625</v>
      </c>
      <c r="B29" s="42">
        <v>0.60416666666666663</v>
      </c>
      <c r="C29" s="144" t="s">
        <v>108</v>
      </c>
      <c r="D29" s="145"/>
      <c r="E29" s="146"/>
      <c r="F29" s="43"/>
      <c r="G29" s="43">
        <v>60</v>
      </c>
      <c r="H29" s="44" t="s">
        <v>107</v>
      </c>
      <c r="I29" s="45"/>
      <c r="J29" s="20"/>
      <c r="K29" s="20"/>
      <c r="L29" s="20"/>
      <c r="M29" s="20"/>
      <c r="N29" s="20"/>
    </row>
    <row r="30" spans="1:14">
      <c r="A30" s="46">
        <v>0.625</v>
      </c>
      <c r="B30" s="47">
        <v>0.70833333333333337</v>
      </c>
      <c r="C30" s="141" t="s">
        <v>128</v>
      </c>
      <c r="D30" s="142"/>
      <c r="E30" s="143"/>
      <c r="F30" s="39"/>
      <c r="G30" s="39"/>
      <c r="H30" s="39"/>
      <c r="I30" s="26" t="s">
        <v>129</v>
      </c>
      <c r="J30" s="20"/>
      <c r="K30" s="20"/>
      <c r="L30" s="20"/>
      <c r="M30" s="20"/>
      <c r="N30" s="20"/>
    </row>
    <row r="31" spans="1:14">
      <c r="A31" s="46">
        <v>0.71875</v>
      </c>
      <c r="B31" s="47">
        <v>0.75</v>
      </c>
      <c r="C31" s="141" t="s">
        <v>128</v>
      </c>
      <c r="D31" s="142"/>
      <c r="E31" s="143"/>
      <c r="F31" s="39"/>
      <c r="G31" s="39"/>
      <c r="H31" s="39"/>
      <c r="I31" s="26" t="s">
        <v>129</v>
      </c>
      <c r="J31" s="20"/>
      <c r="K31" s="20"/>
      <c r="L31" s="20"/>
      <c r="M31" s="20"/>
      <c r="N31" s="20"/>
    </row>
    <row r="32" spans="1:14" ht="1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6"/>
      <c r="K32" s="6"/>
      <c r="L32" s="6"/>
      <c r="M32" s="6"/>
      <c r="N32" s="6"/>
    </row>
    <row r="33" spans="1:14" ht="15" customHeight="1">
      <c r="A33" s="148" t="s">
        <v>132</v>
      </c>
      <c r="B33" s="148"/>
      <c r="C33" s="148"/>
      <c r="D33" s="148"/>
      <c r="E33" s="148"/>
      <c r="F33" s="148"/>
      <c r="G33" s="148"/>
      <c r="H33" s="148"/>
      <c r="I33" s="148"/>
      <c r="J33" s="6"/>
      <c r="K33" s="6"/>
      <c r="L33" s="6"/>
      <c r="M33" s="6"/>
      <c r="N33" s="6"/>
    </row>
    <row r="34" spans="1:14" ht="15" customHeight="1">
      <c r="A34" s="147"/>
      <c r="B34" s="147"/>
      <c r="C34" s="147"/>
      <c r="D34" s="147"/>
      <c r="E34" s="147"/>
      <c r="F34" s="147"/>
      <c r="G34" s="147"/>
      <c r="H34" s="147"/>
      <c r="I34" s="147"/>
      <c r="J34" s="6"/>
      <c r="K34" s="6"/>
      <c r="L34" s="6"/>
      <c r="M34" s="6"/>
      <c r="N34" s="6"/>
    </row>
    <row r="35" spans="1:14" ht="15" customHeight="1">
      <c r="A35" s="147"/>
      <c r="B35" s="147"/>
      <c r="C35" s="147"/>
      <c r="D35" s="147"/>
      <c r="E35" s="147"/>
      <c r="F35" s="147"/>
      <c r="G35" s="147"/>
      <c r="H35" s="147"/>
      <c r="I35" s="147"/>
      <c r="J35" s="6"/>
      <c r="K35" s="6"/>
      <c r="L35" s="6"/>
      <c r="M35" s="6"/>
      <c r="N35" s="6"/>
    </row>
    <row r="36" spans="1:14" ht="15" customHeight="1">
      <c r="A36" s="147"/>
      <c r="B36" s="147"/>
      <c r="C36" s="147"/>
      <c r="D36" s="147"/>
      <c r="E36" s="147"/>
      <c r="F36" s="147"/>
      <c r="G36" s="147"/>
      <c r="H36" s="147"/>
      <c r="I36" s="147"/>
      <c r="J36" s="6"/>
      <c r="K36" s="6"/>
      <c r="L36" s="6"/>
      <c r="M36" s="6"/>
      <c r="N36" s="6"/>
    </row>
    <row r="37" spans="1:14" ht="15" customHeight="1">
      <c r="A37" s="147"/>
      <c r="B37" s="147"/>
      <c r="C37" s="147"/>
      <c r="D37" s="147"/>
      <c r="E37" s="147"/>
      <c r="F37" s="147"/>
      <c r="G37" s="147"/>
      <c r="H37" s="147"/>
      <c r="I37" s="147"/>
      <c r="J37" s="6"/>
      <c r="K37" s="6"/>
      <c r="L37" s="6"/>
      <c r="M37" s="6"/>
      <c r="N37" s="6"/>
    </row>
    <row r="38" spans="1:14" ht="15" customHeight="1">
      <c r="A38" s="147"/>
      <c r="B38" s="147"/>
      <c r="C38" s="147"/>
      <c r="D38" s="147"/>
      <c r="E38" s="147"/>
      <c r="F38" s="147"/>
      <c r="G38" s="147"/>
      <c r="H38" s="147"/>
      <c r="I38" s="147"/>
      <c r="J38" s="6"/>
      <c r="K38" s="6"/>
      <c r="L38" s="6"/>
      <c r="M38" s="6"/>
      <c r="N38" s="6"/>
    </row>
    <row r="39" spans="1:14" ht="15" customHeight="1">
      <c r="A39" s="147"/>
      <c r="B39" s="147"/>
      <c r="C39" s="147"/>
      <c r="D39" s="147"/>
      <c r="E39" s="147"/>
      <c r="F39" s="147"/>
      <c r="G39" s="147"/>
      <c r="H39" s="147"/>
      <c r="I39" s="147"/>
      <c r="J39" s="6"/>
      <c r="K39" s="6"/>
      <c r="L39" s="6"/>
      <c r="M39" s="6"/>
      <c r="N39" s="6"/>
    </row>
    <row r="40" spans="1:14" ht="15" customHeight="1">
      <c r="A40" s="56"/>
      <c r="B40" s="56"/>
      <c r="C40" s="57"/>
      <c r="D40" s="57"/>
      <c r="E40" s="57"/>
      <c r="F40" s="58"/>
      <c r="G40" s="58"/>
      <c r="H40" s="59"/>
      <c r="I40" s="60"/>
      <c r="J40" s="6"/>
      <c r="K40" s="6"/>
      <c r="L40" s="6"/>
      <c r="M40" s="6"/>
      <c r="N40" s="6"/>
    </row>
    <row r="41" spans="1:14" ht="15" customHeight="1">
      <c r="A41" s="56"/>
      <c r="B41" s="56"/>
      <c r="C41" s="57"/>
      <c r="D41" s="57"/>
      <c r="E41" s="57"/>
      <c r="F41" s="58"/>
      <c r="G41" s="58"/>
      <c r="H41" s="59"/>
      <c r="I41" s="60"/>
      <c r="J41" s="6"/>
      <c r="K41" s="6"/>
      <c r="L41" s="6"/>
      <c r="M41" s="6"/>
      <c r="N41" s="6"/>
    </row>
    <row r="42" spans="1:14" ht="15" customHeight="1">
      <c r="A42" s="56"/>
      <c r="B42" s="56"/>
      <c r="C42" s="57"/>
      <c r="D42" s="57"/>
      <c r="E42" s="57"/>
      <c r="F42" s="58"/>
      <c r="G42" s="58"/>
      <c r="H42" s="59"/>
      <c r="I42" s="60"/>
      <c r="J42" s="6"/>
      <c r="K42" s="6"/>
      <c r="L42" s="6"/>
      <c r="M42" s="6"/>
      <c r="N42" s="6"/>
    </row>
    <row r="43" spans="1:14">
      <c r="A43" s="33"/>
      <c r="B43" s="33"/>
      <c r="C43" s="20"/>
      <c r="D43" s="33"/>
      <c r="E43" s="20"/>
      <c r="F43" s="33"/>
      <c r="G43" s="33"/>
      <c r="H43" s="33"/>
      <c r="I43" s="20"/>
      <c r="J43" s="20"/>
      <c r="K43" s="20"/>
      <c r="L43" s="20"/>
      <c r="M43" s="20"/>
      <c r="N43" s="20"/>
    </row>
    <row r="44" spans="1:14" ht="24" customHeight="1">
      <c r="A44" s="149" t="s">
        <v>110</v>
      </c>
      <c r="B44" s="149"/>
      <c r="C44" s="149"/>
      <c r="D44" s="149"/>
      <c r="E44" s="149"/>
      <c r="F44" s="149"/>
      <c r="G44" s="149"/>
      <c r="H44" s="33"/>
      <c r="I44" s="29" t="s">
        <v>111</v>
      </c>
      <c r="J44" s="20"/>
      <c r="K44" s="20"/>
      <c r="L44" s="20"/>
      <c r="M44" s="20"/>
      <c r="N44" s="20"/>
    </row>
    <row r="45" spans="1:14">
      <c r="A45" s="150"/>
      <c r="B45" s="150"/>
      <c r="C45" s="150"/>
      <c r="D45" s="150"/>
      <c r="E45" s="150"/>
      <c r="F45" s="150"/>
      <c r="G45" s="150"/>
      <c r="H45" s="33"/>
      <c r="I45" s="20"/>
      <c r="J45" s="20"/>
      <c r="K45" s="20"/>
      <c r="L45" s="20"/>
      <c r="M45" s="20"/>
      <c r="N45" s="20"/>
    </row>
    <row r="46" spans="1:14">
      <c r="A46" s="140" t="s">
        <v>112</v>
      </c>
      <c r="B46" s="140"/>
      <c r="C46" s="140"/>
      <c r="D46" s="140"/>
      <c r="E46" s="140"/>
      <c r="F46" s="140"/>
      <c r="G46" s="140"/>
      <c r="H46" s="33"/>
      <c r="I46" s="20"/>
      <c r="J46" s="20"/>
      <c r="K46" s="20"/>
      <c r="L46" s="20"/>
      <c r="M46" s="20"/>
      <c r="N46" s="20"/>
    </row>
    <row r="47" spans="1:14">
      <c r="A47" s="33"/>
      <c r="B47" s="33"/>
      <c r="C47" s="20"/>
      <c r="D47" s="20"/>
      <c r="E47" s="20"/>
      <c r="F47" s="33"/>
      <c r="G47" s="33"/>
      <c r="H47" s="33"/>
      <c r="I47" s="20"/>
      <c r="J47" s="20"/>
      <c r="K47" s="20"/>
      <c r="L47" s="20"/>
      <c r="M47" s="20"/>
      <c r="N47" s="20"/>
    </row>
    <row r="48" spans="1:14">
      <c r="A48" s="33"/>
      <c r="B48" s="33"/>
      <c r="C48" s="20"/>
      <c r="D48" s="20"/>
      <c r="E48" s="20"/>
      <c r="F48" s="33"/>
      <c r="G48" s="33"/>
      <c r="H48" s="33"/>
      <c r="I48" s="20"/>
      <c r="J48" s="20"/>
      <c r="K48" s="20"/>
      <c r="L48" s="20"/>
      <c r="M48" s="20"/>
      <c r="N48" s="20"/>
    </row>
    <row r="49" spans="1:14">
      <c r="A49" s="33"/>
      <c r="B49" s="33"/>
      <c r="C49" s="20"/>
      <c r="D49" s="20"/>
      <c r="E49" s="20"/>
      <c r="F49" s="33"/>
      <c r="G49" s="33"/>
      <c r="H49" s="33"/>
      <c r="I49" s="20"/>
      <c r="J49" s="20"/>
      <c r="K49" s="20"/>
      <c r="L49" s="20"/>
      <c r="M49" s="20"/>
      <c r="N49" s="20"/>
    </row>
    <row r="50" spans="1:14">
      <c r="A50" s="33"/>
      <c r="B50" s="33"/>
      <c r="C50" s="20"/>
      <c r="D50" s="20"/>
      <c r="E50" s="20"/>
      <c r="F50" s="33"/>
      <c r="G50" s="33"/>
      <c r="H50" s="33"/>
      <c r="I50" s="20"/>
      <c r="J50" s="20"/>
      <c r="K50" s="20"/>
      <c r="L50" s="20"/>
      <c r="M50" s="20"/>
      <c r="N50" s="20"/>
    </row>
    <row r="51" spans="1:14">
      <c r="A51" s="33"/>
      <c r="B51" s="33"/>
      <c r="C51" s="20"/>
      <c r="D51" s="20"/>
      <c r="E51" s="20"/>
      <c r="F51" s="33"/>
      <c r="G51" s="33"/>
      <c r="H51" s="33"/>
      <c r="I51" s="20"/>
      <c r="J51" s="20"/>
      <c r="K51" s="20"/>
      <c r="L51" s="20"/>
      <c r="M51" s="20"/>
      <c r="N51" s="20"/>
    </row>
    <row r="52" spans="1:14">
      <c r="A52" s="33"/>
      <c r="B52" s="33"/>
      <c r="C52" s="20"/>
      <c r="D52" s="20"/>
      <c r="E52" s="20"/>
      <c r="F52" s="33"/>
      <c r="G52" s="33"/>
      <c r="H52" s="33"/>
      <c r="I52" s="20"/>
      <c r="J52" s="20"/>
      <c r="K52" s="20"/>
      <c r="L52" s="20"/>
      <c r="M52" s="20"/>
      <c r="N52" s="20"/>
    </row>
    <row r="53" spans="1:14">
      <c r="A53" s="33"/>
      <c r="B53" s="33"/>
      <c r="C53" s="20"/>
      <c r="D53" s="20"/>
      <c r="E53" s="20"/>
      <c r="F53" s="33"/>
      <c r="G53" s="33"/>
      <c r="H53" s="33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12</v>
      </c>
      <c r="L1" s="17" t="s">
        <v>2</v>
      </c>
    </row>
    <row r="2" spans="1:26">
      <c r="A2" t="s">
        <v>13</v>
      </c>
      <c r="J2" t="s">
        <v>14</v>
      </c>
      <c r="P2" t="s">
        <v>2</v>
      </c>
      <c r="U2" t="s">
        <v>15</v>
      </c>
    </row>
    <row r="3" spans="1:26" ht="57.75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33</v>
      </c>
      <c r="I4" s="8">
        <v>1</v>
      </c>
      <c r="J4" s="8">
        <v>2</v>
      </c>
      <c r="K4" s="18">
        <v>4</v>
      </c>
      <c r="M4" s="8" t="s">
        <v>33</v>
      </c>
      <c r="N4" s="8">
        <v>1</v>
      </c>
      <c r="O4" s="8">
        <v>2</v>
      </c>
      <c r="P4" s="18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37</v>
      </c>
      <c r="I5" s="8">
        <v>1</v>
      </c>
      <c r="J5" s="8">
        <v>2</v>
      </c>
      <c r="K5" s="18">
        <v>4</v>
      </c>
      <c r="M5" s="8" t="s">
        <v>37</v>
      </c>
      <c r="N5" s="8">
        <v>1</v>
      </c>
      <c r="O5" s="8">
        <v>2</v>
      </c>
      <c r="P5" s="18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38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39</v>
      </c>
      <c r="I6" s="8">
        <v>1</v>
      </c>
      <c r="J6" s="8">
        <v>2</v>
      </c>
      <c r="K6" s="18">
        <v>4</v>
      </c>
      <c r="M6" s="8" t="s">
        <v>39</v>
      </c>
      <c r="N6" s="8">
        <v>1</v>
      </c>
      <c r="O6" s="8">
        <v>2</v>
      </c>
      <c r="P6" s="18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41</v>
      </c>
      <c r="I7" s="8">
        <v>1</v>
      </c>
      <c r="J7" s="8">
        <v>2</v>
      </c>
      <c r="K7" s="18">
        <v>4</v>
      </c>
      <c r="M7" s="8" t="s">
        <v>41</v>
      </c>
      <c r="N7" s="8">
        <v>1</v>
      </c>
      <c r="O7" s="8">
        <v>2</v>
      </c>
      <c r="P7" s="18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44</v>
      </c>
      <c r="I8" s="8">
        <v>1</v>
      </c>
      <c r="J8" s="8">
        <v>2</v>
      </c>
      <c r="K8" s="18" t="s">
        <v>2</v>
      </c>
      <c r="M8" s="8" t="s">
        <v>44</v>
      </c>
      <c r="N8" s="8">
        <v>1</v>
      </c>
      <c r="O8" s="8">
        <v>2</v>
      </c>
      <c r="P8" s="18">
        <v>3</v>
      </c>
    </row>
    <row r="9" spans="1:26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46</v>
      </c>
      <c r="I9" s="8">
        <v>1</v>
      </c>
      <c r="J9" s="8">
        <v>2</v>
      </c>
      <c r="K9" s="18" t="s">
        <v>2</v>
      </c>
      <c r="M9" s="8" t="s">
        <v>46</v>
      </c>
      <c r="N9" s="8">
        <v>1</v>
      </c>
      <c r="O9" s="8">
        <v>2</v>
      </c>
      <c r="P9" s="18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49</v>
      </c>
      <c r="I10" s="8">
        <v>1</v>
      </c>
      <c r="J10" s="8">
        <v>2</v>
      </c>
      <c r="K10" s="18" t="s">
        <v>2</v>
      </c>
      <c r="M10" s="8" t="s">
        <v>49</v>
      </c>
      <c r="N10" s="8">
        <v>1</v>
      </c>
      <c r="O10" s="8">
        <v>2</v>
      </c>
      <c r="P10" s="18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51</v>
      </c>
      <c r="I11" s="8">
        <v>1</v>
      </c>
      <c r="J11" s="8">
        <v>2</v>
      </c>
      <c r="K11" s="18" t="s">
        <v>2</v>
      </c>
      <c r="M11" s="8" t="s">
        <v>51</v>
      </c>
      <c r="N11" s="8">
        <v>1</v>
      </c>
      <c r="O11" s="8">
        <v>2</v>
      </c>
      <c r="P11" s="18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8" t="s">
        <v>2</v>
      </c>
      <c r="M12" s="8" t="s">
        <v>53</v>
      </c>
      <c r="N12" s="8">
        <v>1</v>
      </c>
      <c r="O12" s="8">
        <v>2</v>
      </c>
      <c r="P12" s="18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55</v>
      </c>
      <c r="I13" s="8">
        <v>1</v>
      </c>
      <c r="J13" s="8">
        <v>2</v>
      </c>
      <c r="K13" s="18">
        <v>3</v>
      </c>
      <c r="M13" s="8" t="s">
        <v>55</v>
      </c>
      <c r="N13" s="8">
        <v>1</v>
      </c>
      <c r="O13" s="8">
        <v>2</v>
      </c>
      <c r="P13" s="18">
        <v>3</v>
      </c>
    </row>
    <row r="14" spans="1:26">
      <c r="A14" s="8" t="s">
        <v>56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57</v>
      </c>
      <c r="I14" s="8">
        <v>1</v>
      </c>
      <c r="J14" s="8">
        <v>2</v>
      </c>
      <c r="K14" s="18">
        <v>3</v>
      </c>
      <c r="M14" s="8" t="s">
        <v>57</v>
      </c>
      <c r="N14" s="8">
        <v>1</v>
      </c>
      <c r="O14" s="8">
        <v>2</v>
      </c>
      <c r="P14" s="18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59</v>
      </c>
      <c r="I15" s="8">
        <v>1</v>
      </c>
      <c r="J15" s="8">
        <v>2</v>
      </c>
      <c r="K15" s="18" t="s">
        <v>2</v>
      </c>
      <c r="M15" s="8" t="s">
        <v>59</v>
      </c>
      <c r="N15" s="8">
        <v>1</v>
      </c>
      <c r="O15" s="8">
        <v>2</v>
      </c>
      <c r="P15" s="18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61</v>
      </c>
      <c r="I16" s="16" t="s">
        <v>2</v>
      </c>
      <c r="J16" t="s">
        <v>2</v>
      </c>
      <c r="K16" t="s">
        <v>2</v>
      </c>
      <c r="M16" t="s">
        <v>62</v>
      </c>
      <c r="N16" s="16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64</v>
      </c>
      <c r="I17" s="8">
        <v>1</v>
      </c>
      <c r="J17" s="8">
        <v>2</v>
      </c>
      <c r="K17" s="18">
        <v>4</v>
      </c>
      <c r="M17" s="8" t="s">
        <v>64</v>
      </c>
      <c r="N17" s="8">
        <v>1</v>
      </c>
      <c r="O17" s="8">
        <v>2</v>
      </c>
      <c r="P17" s="18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66</v>
      </c>
      <c r="I18" s="8">
        <v>1</v>
      </c>
      <c r="J18" s="8">
        <v>2</v>
      </c>
      <c r="K18" s="18">
        <v>4</v>
      </c>
      <c r="M18" s="8" t="s">
        <v>66</v>
      </c>
      <c r="N18" s="8">
        <v>1</v>
      </c>
      <c r="O18" s="8">
        <v>2</v>
      </c>
      <c r="P18" s="18">
        <v>3</v>
      </c>
    </row>
    <row r="19" spans="1:26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68</v>
      </c>
      <c r="I19" s="8">
        <v>1</v>
      </c>
      <c r="J19" s="8">
        <v>2</v>
      </c>
      <c r="K19" s="18">
        <v>4</v>
      </c>
      <c r="M19" s="8" t="s">
        <v>68</v>
      </c>
      <c r="N19" s="8">
        <v>1</v>
      </c>
      <c r="O19" s="8">
        <v>2</v>
      </c>
      <c r="P19" s="18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70</v>
      </c>
      <c r="I20" s="8">
        <v>1</v>
      </c>
      <c r="J20" s="8">
        <v>2</v>
      </c>
      <c r="K20" s="18">
        <v>4</v>
      </c>
      <c r="M20" s="8" t="s">
        <v>70</v>
      </c>
      <c r="N20" s="8">
        <v>1</v>
      </c>
      <c r="O20" s="8">
        <v>2</v>
      </c>
      <c r="P20" s="18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8" t="s">
        <v>2</v>
      </c>
      <c r="M21" s="8" t="s">
        <v>72</v>
      </c>
      <c r="N21" s="8">
        <v>1</v>
      </c>
      <c r="O21" s="8">
        <v>2</v>
      </c>
      <c r="P21" s="18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74</v>
      </c>
      <c r="I22" s="8">
        <v>1</v>
      </c>
      <c r="J22" s="8">
        <v>2</v>
      </c>
      <c r="K22" s="18" t="s">
        <v>2</v>
      </c>
      <c r="M22" s="8" t="s">
        <v>74</v>
      </c>
      <c r="N22" s="8">
        <v>1</v>
      </c>
      <c r="O22" s="8">
        <v>2</v>
      </c>
      <c r="P22" s="18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76</v>
      </c>
      <c r="I23" s="8">
        <v>1</v>
      </c>
      <c r="J23" s="8">
        <v>2</v>
      </c>
      <c r="K23" s="18" t="s">
        <v>2</v>
      </c>
      <c r="M23" s="8" t="s">
        <v>76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78</v>
      </c>
      <c r="I24" s="8">
        <v>1</v>
      </c>
      <c r="J24" s="8">
        <v>2</v>
      </c>
      <c r="K24" s="18" t="s">
        <v>2</v>
      </c>
      <c r="M24" s="8" t="s">
        <v>78</v>
      </c>
      <c r="N24" s="8">
        <v>1</v>
      </c>
      <c r="O24" s="8">
        <v>2</v>
      </c>
      <c r="P24" s="18">
        <v>3</v>
      </c>
    </row>
    <row r="25" spans="1:26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80</v>
      </c>
      <c r="I25" s="8">
        <v>1</v>
      </c>
      <c r="J25" s="8">
        <v>2</v>
      </c>
      <c r="K25" s="18" t="s">
        <v>2</v>
      </c>
      <c r="M25" s="8" t="s">
        <v>80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82</v>
      </c>
      <c r="I26" s="8">
        <v>1</v>
      </c>
      <c r="J26" s="8">
        <v>2</v>
      </c>
      <c r="K26" s="18">
        <v>3</v>
      </c>
      <c r="M26" s="8" t="s">
        <v>82</v>
      </c>
      <c r="N26" s="8">
        <v>1</v>
      </c>
      <c r="O26" s="8">
        <v>2</v>
      </c>
      <c r="P26" s="18">
        <v>3</v>
      </c>
    </row>
    <row r="27" spans="1:26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84</v>
      </c>
      <c r="I27" s="8">
        <v>1</v>
      </c>
      <c r="J27" s="8">
        <v>2</v>
      </c>
      <c r="K27" s="18">
        <v>3</v>
      </c>
      <c r="M27" s="8" t="s">
        <v>84</v>
      </c>
      <c r="N27" s="8">
        <v>1</v>
      </c>
      <c r="O27" s="8">
        <v>2</v>
      </c>
      <c r="P27" s="18">
        <v>3</v>
      </c>
    </row>
    <row r="28" spans="1:26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86</v>
      </c>
      <c r="I28" s="8">
        <v>1</v>
      </c>
      <c r="J28" s="8">
        <v>2</v>
      </c>
      <c r="K28" s="18" t="s">
        <v>2</v>
      </c>
      <c r="M28" s="8" t="s">
        <v>86</v>
      </c>
      <c r="N28" s="8">
        <v>1</v>
      </c>
      <c r="O28" s="8">
        <v>2</v>
      </c>
      <c r="P28" s="18">
        <v>3</v>
      </c>
    </row>
    <row r="29" spans="1:26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4" t="s">
        <v>192</v>
      </c>
    </row>
    <row r="3" spans="1:1" ht="27.95" customHeight="1" thickBot="1">
      <c r="A3" s="75" t="s">
        <v>193</v>
      </c>
    </row>
    <row r="4" spans="1:1" ht="17.25">
      <c r="A4" s="76" t="s">
        <v>194</v>
      </c>
    </row>
    <row r="5" spans="1:1" ht="41.1" customHeight="1">
      <c r="A5" s="77" t="s">
        <v>195</v>
      </c>
    </row>
    <row r="6" spans="1:1" ht="33" customHeight="1" thickBot="1">
      <c r="A6" s="75" t="s">
        <v>197</v>
      </c>
    </row>
    <row r="7" spans="1:1" ht="29.1" customHeight="1" thickBot="1">
      <c r="A7" s="78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2024-11-14T13:43:37Z</dcterms:modified>
</cp:coreProperties>
</file>