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408"/>
  <workbookPr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060" windowHeight="9060"/>
  </bookViews>
  <sheets>
    <sheet name="Hoja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H20" i="1"/>
  <c r="G25" i="1"/>
  <c r="G26" i="1"/>
  <c r="H25" i="1"/>
  <c r="H22" i="1"/>
  <c r="G22" i="1"/>
  <c r="G23" i="1"/>
  <c r="H21" i="1"/>
  <c r="G20" i="1"/>
  <c r="G12" i="1"/>
  <c r="H12" i="1"/>
  <c r="G13" i="1"/>
  <c r="H13" i="1"/>
  <c r="I13" i="1"/>
  <c r="G15" i="1"/>
  <c r="H15" i="1"/>
  <c r="I15" i="1"/>
  <c r="G16" i="1"/>
  <c r="H16" i="1"/>
  <c r="I16" i="1"/>
  <c r="G17" i="1"/>
  <c r="H17" i="1"/>
  <c r="I17" i="1"/>
  <c r="I20" i="1"/>
  <c r="I21" i="1"/>
  <c r="I22" i="1"/>
  <c r="H23" i="1"/>
  <c r="I23" i="1"/>
  <c r="I25" i="1"/>
  <c r="H26" i="1"/>
  <c r="I26" i="1"/>
  <c r="I12" i="1"/>
</calcChain>
</file>

<file path=xl/sharedStrings.xml><?xml version="1.0" encoding="utf-8"?>
<sst xmlns="http://schemas.openxmlformats.org/spreadsheetml/2006/main" count="43" uniqueCount="34">
  <si>
    <t>Taller de Hepatitis</t>
  </si>
  <si>
    <t>55 personas</t>
  </si>
  <si>
    <t>Servicios</t>
  </si>
  <si>
    <t xml:space="preserve">Numero de personas </t>
  </si>
  <si>
    <t>Cantidad</t>
  </si>
  <si>
    <t>Arriendo de Salón</t>
  </si>
  <si>
    <t>equipos de apoyo técnico</t>
  </si>
  <si>
    <t>Data</t>
  </si>
  <si>
    <t>Telón</t>
  </si>
  <si>
    <t>Amplificación Básica</t>
  </si>
  <si>
    <t>Alimentos</t>
  </si>
  <si>
    <t>Desayuno</t>
  </si>
  <si>
    <t>Café AM</t>
  </si>
  <si>
    <t>Almuerzo</t>
  </si>
  <si>
    <t>Café PM</t>
  </si>
  <si>
    <t>Cena</t>
  </si>
  <si>
    <t>Alojamiento</t>
  </si>
  <si>
    <t>Habitación Single</t>
  </si>
  <si>
    <t>Salón AM</t>
  </si>
  <si>
    <t>Salón todo el día</t>
  </si>
  <si>
    <t>Valor neto</t>
  </si>
  <si>
    <t>IVA</t>
  </si>
  <si>
    <t>Valor Bruto</t>
  </si>
  <si>
    <t>19 de junio</t>
  </si>
  <si>
    <t>20 de junio</t>
  </si>
  <si>
    <t>21 de junio</t>
  </si>
  <si>
    <t>incluido</t>
  </si>
  <si>
    <t>Habitación Doble</t>
  </si>
  <si>
    <t>Check In 19 de junio a las 17:00</t>
  </si>
  <si>
    <t>Check Out 21 a las 15:00</t>
  </si>
  <si>
    <t>Fecha 19, 20 y 21 de junio</t>
  </si>
  <si>
    <t xml:space="preserve"> </t>
  </si>
  <si>
    <t>ID</t>
  </si>
  <si>
    <t>Incluye equipos de apoyo técnicos.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</si>
</sst>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;[Red]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7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0" fillId="0" borderId="3" xfId="0" applyBorder="1"/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4" xfId="0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7"/>
  <sheetViews>
    <sheetView tabSelected="1" topLeftCell="A23" workbookViewId="0">
      <selection activeCell="G23" sqref="G23"/>
    </sheetView>
  </sheetViews>
  <sheetFormatPr baseColWidth="10" defaultRowHeight="15" x14ac:dyDescent="0.2"/>
  <cols>
    <col min="2" max="2" width="24" customWidth="1"/>
    <col min="6" max="6" width="14.5" customWidth="1"/>
  </cols>
  <sheetData>
    <row r="3" spans="2:11" ht="16" thickBot="1" x14ac:dyDescent="0.25"/>
    <row r="4" spans="2:11" ht="16" thickBot="1" x14ac:dyDescent="0.25">
      <c r="B4" s="8" t="s">
        <v>0</v>
      </c>
    </row>
    <row r="5" spans="2:11" x14ac:dyDescent="0.2">
      <c r="B5" s="7" t="s">
        <v>30</v>
      </c>
      <c r="C5" s="1"/>
    </row>
    <row r="6" spans="2:11" x14ac:dyDescent="0.2">
      <c r="B6" s="1" t="s">
        <v>3</v>
      </c>
      <c r="C6" s="1" t="s">
        <v>1</v>
      </c>
    </row>
    <row r="7" spans="2:11" x14ac:dyDescent="0.2">
      <c r="B7" s="1" t="s">
        <v>28</v>
      </c>
      <c r="C7" s="1"/>
    </row>
    <row r="8" spans="2:11" x14ac:dyDescent="0.2">
      <c r="B8" s="1" t="s">
        <v>29</v>
      </c>
      <c r="C8" s="1"/>
    </row>
    <row r="10" spans="2:11" x14ac:dyDescent="0.2">
      <c r="B10" s="2" t="s">
        <v>2</v>
      </c>
      <c r="C10" s="2" t="s">
        <v>4</v>
      </c>
      <c r="D10" s="4" t="s">
        <v>23</v>
      </c>
      <c r="E10" s="4" t="s">
        <v>24</v>
      </c>
      <c r="F10" s="4" t="s">
        <v>25</v>
      </c>
      <c r="G10" s="5" t="s">
        <v>20</v>
      </c>
      <c r="H10" s="6" t="s">
        <v>21</v>
      </c>
      <c r="I10" s="5" t="s">
        <v>22</v>
      </c>
      <c r="J10" s="9" t="s">
        <v>32</v>
      </c>
    </row>
    <row r="11" spans="2:11" x14ac:dyDescent="0.2">
      <c r="B11" s="2" t="s">
        <v>5</v>
      </c>
      <c r="C11" s="3"/>
      <c r="D11" s="1"/>
      <c r="E11" s="1"/>
      <c r="F11" s="1"/>
      <c r="G11" s="1"/>
      <c r="H11" s="1"/>
      <c r="I11" s="1"/>
      <c r="J11" s="10"/>
    </row>
    <row r="12" spans="2:11" x14ac:dyDescent="0.2">
      <c r="B12" s="1" t="s">
        <v>18</v>
      </c>
      <c r="C12" s="3">
        <v>1</v>
      </c>
      <c r="D12" s="13">
        <v>0</v>
      </c>
      <c r="E12" s="13">
        <v>0</v>
      </c>
      <c r="F12" s="13">
        <v>292130</v>
      </c>
      <c r="G12" s="13">
        <f>D12+E12+F12</f>
        <v>292130</v>
      </c>
      <c r="H12" s="13">
        <f>G12*1.19-G12</f>
        <v>55504.700000000012</v>
      </c>
      <c r="I12" s="13">
        <f>G12+H12</f>
        <v>347634.7</v>
      </c>
      <c r="J12" s="12">
        <v>1114565</v>
      </c>
      <c r="K12" t="s">
        <v>33</v>
      </c>
    </row>
    <row r="13" spans="2:11" x14ac:dyDescent="0.2">
      <c r="B13" s="1" t="s">
        <v>19</v>
      </c>
      <c r="C13" s="3">
        <v>1</v>
      </c>
      <c r="D13" s="13">
        <v>0</v>
      </c>
      <c r="E13" s="13">
        <v>339258</v>
      </c>
      <c r="F13" s="13">
        <v>0</v>
      </c>
      <c r="G13" s="13">
        <f>D13+E13+F13</f>
        <v>339258</v>
      </c>
      <c r="H13" s="13">
        <f t="shared" ref="H13:H26" si="0">G13*1.19-G13</f>
        <v>64459.01999999996</v>
      </c>
      <c r="I13" s="13">
        <f t="shared" ref="I13:I26" si="1">G13+H13</f>
        <v>403717.01999999996</v>
      </c>
      <c r="J13" s="10">
        <v>1114579</v>
      </c>
      <c r="K13" t="s">
        <v>33</v>
      </c>
    </row>
    <row r="14" spans="2:11" x14ac:dyDescent="0.2">
      <c r="B14" s="2" t="s">
        <v>6</v>
      </c>
      <c r="C14" s="3"/>
      <c r="D14" s="13"/>
      <c r="E14" s="13"/>
      <c r="F14" s="13"/>
      <c r="G14" s="13"/>
      <c r="H14" s="13" t="s">
        <v>31</v>
      </c>
      <c r="I14" s="13" t="s">
        <v>31</v>
      </c>
      <c r="J14" s="10"/>
    </row>
    <row r="15" spans="2:11" x14ac:dyDescent="0.2">
      <c r="B15" s="1" t="s">
        <v>7</v>
      </c>
      <c r="C15" s="3">
        <v>2</v>
      </c>
      <c r="D15" s="13">
        <v>0</v>
      </c>
      <c r="E15" s="13">
        <v>0</v>
      </c>
      <c r="F15" s="13">
        <v>0</v>
      </c>
      <c r="G15" s="13">
        <f>D15+E15+F15</f>
        <v>0</v>
      </c>
      <c r="H15" s="13">
        <f t="shared" si="0"/>
        <v>0</v>
      </c>
      <c r="I15" s="13">
        <f t="shared" si="1"/>
        <v>0</v>
      </c>
      <c r="J15" s="10"/>
    </row>
    <row r="16" spans="2:11" x14ac:dyDescent="0.2">
      <c r="B16" s="1" t="s">
        <v>8</v>
      </c>
      <c r="C16" s="3">
        <v>2</v>
      </c>
      <c r="D16" s="13">
        <v>0</v>
      </c>
      <c r="E16" s="13">
        <v>0</v>
      </c>
      <c r="F16" s="13">
        <v>0</v>
      </c>
      <c r="G16" s="13">
        <f t="shared" ref="G16:G26" si="2">D16+E16+F16</f>
        <v>0</v>
      </c>
      <c r="H16" s="13">
        <f t="shared" si="0"/>
        <v>0</v>
      </c>
      <c r="I16" s="13">
        <f t="shared" si="1"/>
        <v>0</v>
      </c>
      <c r="J16" s="10"/>
    </row>
    <row r="17" spans="2:10" x14ac:dyDescent="0.2">
      <c r="B17" s="1" t="s">
        <v>9</v>
      </c>
      <c r="C17" s="3">
        <v>2</v>
      </c>
      <c r="D17" s="13">
        <v>0</v>
      </c>
      <c r="E17" s="13">
        <v>0</v>
      </c>
      <c r="F17" s="13">
        <v>0</v>
      </c>
      <c r="G17" s="13">
        <f t="shared" si="2"/>
        <v>0</v>
      </c>
      <c r="H17" s="13">
        <f t="shared" si="0"/>
        <v>0</v>
      </c>
      <c r="I17" s="13">
        <f t="shared" si="1"/>
        <v>0</v>
      </c>
      <c r="J17" s="10"/>
    </row>
    <row r="18" spans="2:10" x14ac:dyDescent="0.2">
      <c r="B18" s="2" t="s">
        <v>10</v>
      </c>
      <c r="C18" s="3"/>
      <c r="D18" s="13"/>
      <c r="E18" s="13"/>
      <c r="F18" s="13"/>
      <c r="G18" s="13"/>
      <c r="H18" s="13"/>
      <c r="I18" s="13"/>
      <c r="J18" s="10"/>
    </row>
    <row r="19" spans="2:10" x14ac:dyDescent="0.2">
      <c r="B19" s="1" t="s">
        <v>11</v>
      </c>
      <c r="C19" s="5" t="s">
        <v>26</v>
      </c>
      <c r="D19" s="13"/>
      <c r="E19" s="13"/>
      <c r="F19" s="13"/>
      <c r="G19" s="13"/>
      <c r="H19" s="13"/>
      <c r="I19" s="13"/>
      <c r="J19" s="10"/>
    </row>
    <row r="20" spans="2:10" x14ac:dyDescent="0.2">
      <c r="B20" s="1" t="s">
        <v>12</v>
      </c>
      <c r="C20" s="3">
        <v>110</v>
      </c>
      <c r="D20" s="13">
        <v>0</v>
      </c>
      <c r="E20" s="13">
        <v>4711</v>
      </c>
      <c r="F20" s="13">
        <v>4711</v>
      </c>
      <c r="G20" s="13">
        <f>C20*E20</f>
        <v>518210</v>
      </c>
      <c r="H20" s="13">
        <f>G20*1.19-G20</f>
        <v>98459.900000000023</v>
      </c>
      <c r="I20" s="13">
        <f t="shared" si="1"/>
        <v>616669.9</v>
      </c>
      <c r="J20" s="10">
        <v>1114628</v>
      </c>
    </row>
    <row r="21" spans="2:10" x14ac:dyDescent="0.2">
      <c r="B21" s="1" t="s">
        <v>13</v>
      </c>
      <c r="C21" s="3">
        <v>165</v>
      </c>
      <c r="D21" s="13">
        <v>17432</v>
      </c>
      <c r="E21" s="13">
        <v>17432</v>
      </c>
      <c r="F21" s="13">
        <v>17432</v>
      </c>
      <c r="G21" s="13">
        <f>C21*D21</f>
        <v>2876280</v>
      </c>
      <c r="H21" s="13">
        <f>G21*1.19-G21</f>
        <v>546493.19999999972</v>
      </c>
      <c r="I21" s="13">
        <f t="shared" si="1"/>
        <v>3422773.1999999997</v>
      </c>
      <c r="J21" s="10">
        <v>1114618</v>
      </c>
    </row>
    <row r="22" spans="2:10" x14ac:dyDescent="0.2">
      <c r="B22" s="1" t="s">
        <v>14</v>
      </c>
      <c r="C22" s="3">
        <v>55</v>
      </c>
      <c r="D22" s="13">
        <v>4711</v>
      </c>
      <c r="E22" s="13">
        <v>4711</v>
      </c>
      <c r="F22" s="13">
        <v>4711</v>
      </c>
      <c r="G22" s="13">
        <f>C22*D22</f>
        <v>259105</v>
      </c>
      <c r="H22" s="13">
        <f>G22*1.19-G22</f>
        <v>49229.950000000012</v>
      </c>
      <c r="I22" s="13">
        <f t="shared" si="1"/>
        <v>308334.95</v>
      </c>
      <c r="J22" s="10">
        <v>1114628</v>
      </c>
    </row>
    <row r="23" spans="2:10" x14ac:dyDescent="0.2">
      <c r="B23" s="1" t="s">
        <v>15</v>
      </c>
      <c r="C23" s="3">
        <v>110</v>
      </c>
      <c r="D23" s="13">
        <v>17432</v>
      </c>
      <c r="E23" s="13">
        <v>17432</v>
      </c>
      <c r="F23" s="13" t="s">
        <v>31</v>
      </c>
      <c r="G23" s="13">
        <f>C23*D23</f>
        <v>1917520</v>
      </c>
      <c r="H23" s="13">
        <f t="shared" si="0"/>
        <v>364328.79999999981</v>
      </c>
      <c r="I23" s="13">
        <f t="shared" si="1"/>
        <v>2281848.7999999998</v>
      </c>
      <c r="J23" s="11">
        <v>1114625</v>
      </c>
    </row>
    <row r="24" spans="2:10" x14ac:dyDescent="0.2">
      <c r="B24" s="2" t="s">
        <v>16</v>
      </c>
      <c r="C24" s="3"/>
      <c r="D24" s="13"/>
      <c r="E24" s="13"/>
      <c r="F24" s="13"/>
      <c r="G24" s="13" t="s">
        <v>31</v>
      </c>
      <c r="H24" s="13" t="s">
        <v>31</v>
      </c>
      <c r="I24" s="13" t="s">
        <v>31</v>
      </c>
      <c r="J24" s="10"/>
    </row>
    <row r="25" spans="2:10" x14ac:dyDescent="0.2">
      <c r="B25" s="1" t="s">
        <v>17</v>
      </c>
      <c r="C25" s="3">
        <v>6</v>
      </c>
      <c r="D25" s="13">
        <v>65290</v>
      </c>
      <c r="E25" s="13">
        <v>65290</v>
      </c>
      <c r="F25" s="13" t="s">
        <v>31</v>
      </c>
      <c r="G25" s="13">
        <f>C25*D25</f>
        <v>391740</v>
      </c>
      <c r="H25" s="13">
        <f>G25*1.19-G25</f>
        <v>74430.599999999977</v>
      </c>
      <c r="I25" s="13">
        <f t="shared" si="1"/>
        <v>466170.6</v>
      </c>
      <c r="J25" s="11">
        <v>1420669</v>
      </c>
    </row>
    <row r="26" spans="2:10" x14ac:dyDescent="0.2">
      <c r="B26" s="1" t="s">
        <v>27</v>
      </c>
      <c r="C26" s="3">
        <v>26</v>
      </c>
      <c r="D26" s="13">
        <v>100872</v>
      </c>
      <c r="E26" s="13">
        <v>100872</v>
      </c>
      <c r="F26" s="13" t="s">
        <v>31</v>
      </c>
      <c r="G26" s="13">
        <f>C26*2*D26</f>
        <v>5245344</v>
      </c>
      <c r="H26" s="13">
        <f t="shared" si="0"/>
        <v>996615.3599999994</v>
      </c>
      <c r="I26" s="13">
        <f t="shared" si="1"/>
        <v>6241959.3599999994</v>
      </c>
      <c r="J26" s="11">
        <v>1233150</v>
      </c>
    </row>
    <row r="27" spans="2:10" x14ac:dyDescent="0.2">
      <c r="C27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Raquel Rojo Cardenas</dc:creator>
  <cp:lastModifiedBy>Usuario de Microsoft Office</cp:lastModifiedBy>
  <dcterms:created xsi:type="dcterms:W3CDTF">2018-05-02T11:59:30Z</dcterms:created>
  <dcterms:modified xsi:type="dcterms:W3CDTF">2018-05-02T16:37:38Z</dcterms:modified>
</cp:coreProperties>
</file>