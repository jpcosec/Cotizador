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 2020\"/>
    </mc:Choice>
  </mc:AlternateContent>
  <xr:revisionPtr revIDLastSave="0" documentId="13_ncr:1_{ADDED8CF-ADBA-4D44-B2B4-D16FC94EF2C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1" l="1"/>
  <c r="F31" i="1" l="1"/>
  <c r="F27" i="1"/>
  <c r="F26" i="1"/>
  <c r="E25" i="1"/>
  <c r="F25" i="1" s="1"/>
  <c r="F24" i="1"/>
  <c r="F23" i="1"/>
  <c r="F21" i="1"/>
  <c r="F28" i="1" l="1"/>
  <c r="F33" i="1"/>
  <c r="F13" i="1" l="1"/>
  <c r="F11" i="1"/>
  <c r="E55" i="1" l="1"/>
  <c r="F49" i="1"/>
  <c r="F48" i="1"/>
  <c r="F16" i="1" l="1"/>
  <c r="F15" i="1"/>
  <c r="E34" i="1" l="1"/>
  <c r="F34" i="1" s="1"/>
  <c r="E14" i="1"/>
  <c r="F14" i="1" s="1"/>
  <c r="F32" i="1"/>
  <c r="F9" i="1"/>
  <c r="F10" i="1"/>
  <c r="F12" i="1"/>
  <c r="F38" i="1"/>
  <c r="F39" i="1"/>
  <c r="F40" i="1"/>
  <c r="F37" i="1"/>
  <c r="F30" i="5"/>
  <c r="E30" i="5"/>
  <c r="D30" i="5"/>
  <c r="C30" i="5"/>
  <c r="B30" i="5"/>
  <c r="P29" i="5"/>
  <c r="O29" i="5"/>
  <c r="N29" i="5"/>
  <c r="K29" i="5"/>
  <c r="J29" i="5"/>
  <c r="I29" i="5"/>
  <c r="Z23" i="5"/>
  <c r="F35" i="1" l="1"/>
  <c r="F17" i="1"/>
  <c r="F41" i="1" l="1"/>
  <c r="F44" i="1" s="1"/>
  <c r="F42" i="1" l="1"/>
  <c r="F43" i="1" s="1"/>
</calcChain>
</file>

<file path=xl/sharedStrings.xml><?xml version="1.0" encoding="utf-8"?>
<sst xmlns="http://schemas.openxmlformats.org/spreadsheetml/2006/main" count="430" uniqueCount="219">
  <si>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</si>
  <si>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</si>
  <si>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</si>
  <si>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</si>
  <si>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</si>
  <si>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</si>
  <si>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</si>
  <si>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</si>
  <si>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</si>
  <si>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</si>
  <si>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</si>
  <si>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</si>
  <si>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</si>
  <si>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</si>
  <si>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</si>
  <si>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</si>
  <si>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</si>
  <si>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</si>
  <si>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</si>
  <si>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</si>
  <si>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</si>
  <si>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</si>
  <si>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</si>
  <si>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</si>
  <si>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</si>
  <si>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</si>
  <si>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</si>
  <si>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</si>
  <si>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</si>
  <si>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</si>
  <si>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</si>
  <si>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</si>
  <si>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</si>
  <si>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</si>
  <si>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</si>
  <si>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</si>
  <si>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</si>
  <si>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</si>
  <si>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</si>
  <si>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</si>
  <si>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</si>
  <si>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</si>
  <si>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</si>
  <si>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</si>
  <si>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</si>
  <si>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</si>
  <si>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</si>
  <si>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</si>
  <si>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</si>
  <si>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</si>
  <si>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</si>
  <si>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</si>
  <si>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</si>
  <si>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</si>
  <si>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</si>
  <si>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</si>
  <si>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</si>
  <si>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</si>
  <si>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</si>
  <si>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</si>
  <si>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</si>
  <si>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</si>
  <si>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</si>
  <si>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</si>
  <si>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</si>
  <si>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</si>
  <si>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</si>
  <si>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</si>
  <si>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</si>
  <si>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</si>
  <si>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</si>
  <si>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</si>
  <si>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</si>
  <si>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</si>
  <si>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</si>
  <si>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</si>
  <si>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</si>
  <si>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</si>
  <si>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</si>
  <si>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</si>
  <si>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</si>
  <si>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</si>
  <si>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</si>
  <si>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</si>
  <si>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</si>
  <si>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</si>
  <si>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</si>
  <si>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</si>
  <si>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</si>
  <si>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</si>
  <si>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</si>
  <si>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</si>
  <si>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</si>
  <si>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</si>
  <si>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</si>
  <si>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</si>
  <si>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</si>
  <si>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</si>
  <si>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</si>
  <si>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</si>
  <si>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</si>
  <si>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</si>
  <si>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</si>
  <si>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</si>
  <si>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</si>
  <si>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</si>
  <si>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</si>
  <si>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</si>
  <si>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</si>
  <si>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</si>
  <si>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</si>
  <si>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</si>
  <si>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</si>
  <si>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</si>
  <si>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</si>
  <si>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</si>
  <si>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</si>
  <si>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</si>
  <si>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</si>
  <si>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</si>
  <si>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</si>
  <si>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</si>
  <si>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</si>
  <si>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</si>
  <si>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</si>
  <si>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</si>
  <si>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</si>
  <si>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</si>
  <si>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</si>
  <si>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Importante:</t>
  </si>
  <si>
    <t>Cuenta  corriente: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</si>
  <si>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</si>
  <si>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</si>
  <si>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</si>
  <si>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</si>
  <si>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</si>
  <si>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</si>
  <si>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</si>
  <si>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</si>
  <si>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</si>
  <si>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</si>
  <si>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</si>
  <si>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</si>
  <si>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</si>
  <si>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</si>
  <si>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</si>
  <si>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</si>
  <si>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</si>
  <si>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</si>
  <si>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</si>
  <si>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</si>
  <si>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</si>
  <si>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</si>
  <si>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</si>
  <si>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</si>
  <si>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</si>
  <si>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</si>
  <si>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</si>
  <si>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</si>
  <si>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</si>
  <si>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</si>
  <si>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</si>
  <si>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</si>
  <si>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</si>
  <si>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</si>
  <si>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</si>
  <si>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</si>
  <si>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</si>
  <si>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</si>
  <si>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</si>
  <si>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</si>
  <si>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</si>
  <si>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</si>
  <si>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</si>
  <si>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</si>
  <si>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</si>
  <si>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</si>
  <si>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</si>
  <si>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</si>
  <si>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</si>
  <si>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</si>
  <si>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</si>
  <si>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</si>
  <si>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</si>
  <si>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</si>
  <si>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</si>
  <si>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</si>
  <si>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</si>
  <si>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</si>
  <si>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</si>
  <si>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</si>
  <si>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</si>
  <si>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</si>
  <si>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</si>
  <si>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</si>
  <si>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</si>
  <si>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</si>
  <si>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</si>
  <si>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</si>
  <si>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</si>
  <si>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</si>
  <si>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</si>
  <si>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</si>
  <si>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</si>
  <si>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</si>
  <si>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</si>
  <si>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</si>
  <si>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</si>
  <si>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</si>
  <si>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Almuerzos Sugerencias del chef</t>
  </si>
  <si>
    <t>Podra elegir entre, 3 opciones de entrada, 3 opciones de fondo, 3 opciones de postre, 2 ensaladas, 2 sopas, inc café, jarros de agua</t>
  </si>
  <si>
    <t>Cena Sugerencias del chef</t>
  </si>
  <si>
    <t>Podra elegir entre, 3 opciones de entrada, 3 opciones de fondo, 3 opciones de postre, 2 ensaladas, 2 sopas.</t>
  </si>
  <si>
    <t>620024-9.</t>
  </si>
  <si>
    <t>Francisca Munita</t>
  </si>
  <si>
    <t>munitaproduccioneschile@gmail.com</t>
  </si>
  <si>
    <t>8-10 de enero</t>
  </si>
  <si>
    <t>Salón Coho</t>
  </si>
  <si>
    <t>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</si>
</sst>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6" fillId="9" borderId="0" xfId="0" applyFont="1" applyFill="1"/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nitaproduccioneschile@gmail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4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" customWidth="1"/>
    <col min="2" max="2" width="10.875" style="66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172</v>
      </c>
    </row>
    <row r="2" spans="1:7">
      <c r="G2" s="139" t="s">
        <v>140</v>
      </c>
    </row>
    <row r="3" spans="1:7">
      <c r="A3" s="60" t="s">
        <v>117</v>
      </c>
      <c r="B3" s="114" t="s">
        <v>214</v>
      </c>
      <c r="D3" t="s">
        <v>3</v>
      </c>
      <c r="E3" s="31"/>
      <c r="G3" s="75" t="s">
        <v>141</v>
      </c>
    </row>
    <row r="4" spans="1:7">
      <c r="A4" t="s">
        <v>118</v>
      </c>
      <c r="B4" s="169" t="s">
        <v>215</v>
      </c>
      <c r="C4" s="63"/>
      <c r="D4" t="s">
        <v>5</v>
      </c>
      <c r="E4">
        <v>995349121</v>
      </c>
      <c r="G4" s="76" t="s">
        <v>142</v>
      </c>
    </row>
    <row r="5" spans="1:7">
      <c r="A5" t="s">
        <v>119</v>
      </c>
      <c r="B5" s="114" t="s">
        <v>216</v>
      </c>
      <c r="D5" t="s">
        <v>4</v>
      </c>
      <c r="E5" s="31">
        <v>974961403</v>
      </c>
      <c r="G5" s="76" t="s">
        <v>143</v>
      </c>
    </row>
    <row r="6" spans="1:7">
      <c r="A6" s="61" t="s">
        <v>121</v>
      </c>
      <c r="B6" s="115" t="s">
        <v>187</v>
      </c>
      <c r="C6" s="17"/>
      <c r="D6" s="17" t="s">
        <v>120</v>
      </c>
      <c r="E6" s="17" t="s">
        <v>188</v>
      </c>
      <c r="G6" s="76" t="s">
        <v>144</v>
      </c>
    </row>
    <row r="7" spans="1:7" ht="16.5" thickBot="1">
      <c r="A7" s="17"/>
      <c r="B7" s="115"/>
      <c r="C7" s="17"/>
      <c r="D7" s="17"/>
      <c r="E7" s="17"/>
      <c r="F7" s="17"/>
      <c r="G7" s="76"/>
    </row>
    <row r="8" spans="1:7" ht="15.75" customHeight="1">
      <c r="A8" s="97" t="s">
        <v>104</v>
      </c>
      <c r="B8" s="98" t="s">
        <v>127</v>
      </c>
      <c r="C8" s="99" t="s">
        <v>103</v>
      </c>
      <c r="D8" s="99" t="s">
        <v>6</v>
      </c>
      <c r="E8" s="99" t="s">
        <v>0</v>
      </c>
      <c r="F8" s="99" t="s">
        <v>1</v>
      </c>
      <c r="G8" s="100" t="s">
        <v>7</v>
      </c>
    </row>
    <row r="9" spans="1:7">
      <c r="A9" s="90" t="s">
        <v>217</v>
      </c>
      <c r="B9" s="91"/>
      <c r="C9" s="84">
        <v>1</v>
      </c>
      <c r="D9" s="84">
        <v>1</v>
      </c>
      <c r="E9" s="92">
        <v>0</v>
      </c>
      <c r="F9" s="83">
        <f>C9*E9</f>
        <v>0</v>
      </c>
      <c r="G9" s="82" t="s">
        <v>167</v>
      </c>
    </row>
    <row r="10" spans="1:7">
      <c r="A10" s="93" t="s">
        <v>165</v>
      </c>
      <c r="B10" s="94"/>
      <c r="C10" s="84">
        <v>1</v>
      </c>
      <c r="D10" s="84">
        <v>43</v>
      </c>
      <c r="E10" s="92">
        <v>0</v>
      </c>
      <c r="F10" s="83">
        <f t="shared" ref="F10:F14" si="0">D10*E10</f>
        <v>0</v>
      </c>
      <c r="G10" s="90" t="s">
        <v>125</v>
      </c>
    </row>
    <row r="11" spans="1:7" ht="16.5" customHeight="1">
      <c r="A11" s="90" t="s">
        <v>209</v>
      </c>
      <c r="B11" s="91" t="s">
        <v>128</v>
      </c>
      <c r="C11" s="84">
        <v>1</v>
      </c>
      <c r="D11" s="84">
        <v>43</v>
      </c>
      <c r="E11" s="83">
        <v>0</v>
      </c>
      <c r="F11" s="83">
        <f>D11*E11</f>
        <v>0</v>
      </c>
      <c r="G11" s="82" t="s">
        <v>210</v>
      </c>
    </row>
    <row r="12" spans="1:7">
      <c r="A12" s="93" t="s">
        <v>165</v>
      </c>
      <c r="B12" s="94"/>
      <c r="C12" s="84">
        <v>1</v>
      </c>
      <c r="D12" s="84">
        <v>43</v>
      </c>
      <c r="E12" s="92">
        <v>0</v>
      </c>
      <c r="F12" s="83">
        <f>D12*E12</f>
        <v>0</v>
      </c>
      <c r="G12" s="90" t="s">
        <v>125</v>
      </c>
    </row>
    <row r="13" spans="1:7" ht="16.5" customHeight="1">
      <c r="A13" s="90" t="s">
        <v>211</v>
      </c>
      <c r="B13" s="91" t="s">
        <v>128</v>
      </c>
      <c r="C13" s="84">
        <v>1</v>
      </c>
      <c r="D13" s="84">
        <v>43</v>
      </c>
      <c r="E13" s="83">
        <v>21008</v>
      </c>
      <c r="F13" s="83">
        <f>D13*E13</f>
        <v>903344</v>
      </c>
      <c r="G13" s="82" t="s">
        <v>212</v>
      </c>
    </row>
    <row r="14" spans="1:7">
      <c r="A14" s="90" t="s">
        <v>180</v>
      </c>
      <c r="B14" s="91"/>
      <c r="C14" s="84">
        <v>2</v>
      </c>
      <c r="D14" s="84">
        <v>43</v>
      </c>
      <c r="E14" s="83">
        <f>1800/1.19</f>
        <v>1512.6050420168067</v>
      </c>
      <c r="F14" s="83">
        <f t="shared" si="0"/>
        <v>65042.016806722691</v>
      </c>
      <c r="G14" s="82" t="s">
        <v>181</v>
      </c>
    </row>
    <row r="15" spans="1:7" ht="16.5" customHeight="1">
      <c r="A15" s="111" t="s">
        <v>169</v>
      </c>
      <c r="B15" s="112"/>
      <c r="C15" s="84">
        <v>1</v>
      </c>
      <c r="D15" s="84">
        <v>29</v>
      </c>
      <c r="E15" s="113">
        <v>99000</v>
      </c>
      <c r="F15" s="83">
        <f>C15*E15</f>
        <v>99000</v>
      </c>
      <c r="G15" s="111" t="s">
        <v>170</v>
      </c>
    </row>
    <row r="16" spans="1:7" ht="16.5" customHeight="1">
      <c r="A16" s="111" t="s">
        <v>124</v>
      </c>
      <c r="B16" s="112"/>
      <c r="C16" s="84">
        <v>7</v>
      </c>
      <c r="D16" s="84">
        <v>14</v>
      </c>
      <c r="E16" s="113">
        <v>118000</v>
      </c>
      <c r="F16" s="83">
        <f>C16*E16</f>
        <v>826000</v>
      </c>
      <c r="G16" s="111" t="s">
        <v>171</v>
      </c>
    </row>
    <row r="17" spans="1:7" ht="16.5" customHeight="1" thickBot="1">
      <c r="A17" s="2" t="s">
        <v>86</v>
      </c>
      <c r="B17" s="67"/>
      <c r="C17" s="30"/>
      <c r="D17" s="21"/>
      <c r="E17" s="4"/>
      <c r="F17" s="5">
        <f>SUM(F9:F16)</f>
        <v>1893386.0168067226</v>
      </c>
      <c r="G17" s="29" t="s">
        <v>2</v>
      </c>
    </row>
    <row r="18" spans="1:7" ht="16.5" customHeight="1">
      <c r="A18" s="97" t="s">
        <v>105</v>
      </c>
      <c r="B18" s="98"/>
      <c r="C18" s="99" t="s">
        <v>103</v>
      </c>
      <c r="D18" s="99" t="s">
        <v>6</v>
      </c>
      <c r="E18" s="99" t="s">
        <v>0</v>
      </c>
      <c r="F18" s="99" t="s">
        <v>1</v>
      </c>
      <c r="G18" s="100" t="s">
        <v>7</v>
      </c>
    </row>
    <row r="19" spans="1:7">
      <c r="A19" s="95" t="s">
        <v>8</v>
      </c>
      <c r="B19" s="96"/>
      <c r="C19" s="84">
        <v>1</v>
      </c>
      <c r="D19" s="84">
        <v>43</v>
      </c>
      <c r="E19" s="116">
        <v>12500</v>
      </c>
      <c r="F19" s="83" t="s">
        <v>106</v>
      </c>
      <c r="G19" s="82" t="s">
        <v>163</v>
      </c>
    </row>
    <row r="20" spans="1:7">
      <c r="A20" s="90" t="s">
        <v>217</v>
      </c>
      <c r="B20" s="91"/>
      <c r="C20" s="84">
        <v>1</v>
      </c>
      <c r="D20" s="84">
        <v>1</v>
      </c>
      <c r="E20" s="92">
        <v>250000</v>
      </c>
      <c r="F20" s="83">
        <v>250000</v>
      </c>
      <c r="G20" s="82" t="s">
        <v>167</v>
      </c>
    </row>
    <row r="21" spans="1:7">
      <c r="A21" s="93" t="s">
        <v>165</v>
      </c>
      <c r="B21" s="94"/>
      <c r="C21" s="84">
        <v>1</v>
      </c>
      <c r="D21" s="84">
        <v>43</v>
      </c>
      <c r="E21" s="92">
        <v>4850</v>
      </c>
      <c r="F21" s="83">
        <f t="shared" ref="F21" si="1">D21*E21</f>
        <v>208550</v>
      </c>
      <c r="G21" s="90" t="s">
        <v>125</v>
      </c>
    </row>
    <row r="22" spans="1:7" ht="16.5" customHeight="1">
      <c r="A22" s="90" t="s">
        <v>209</v>
      </c>
      <c r="B22" s="91" t="s">
        <v>128</v>
      </c>
      <c r="C22" s="84">
        <v>1</v>
      </c>
      <c r="D22" s="84">
        <v>43</v>
      </c>
      <c r="E22" s="83">
        <v>21008</v>
      </c>
      <c r="F22" s="83">
        <f>D22*E22</f>
        <v>903344</v>
      </c>
      <c r="G22" s="82" t="s">
        <v>210</v>
      </c>
    </row>
    <row r="23" spans="1:7" ht="16.5" customHeight="1">
      <c r="A23" s="93" t="s">
        <v>165</v>
      </c>
      <c r="B23" s="94"/>
      <c r="C23" s="84">
        <v>1</v>
      </c>
      <c r="D23" s="84">
        <v>43</v>
      </c>
      <c r="E23" s="92">
        <v>4850</v>
      </c>
      <c r="F23" s="83">
        <f>D23*E23</f>
        <v>208550</v>
      </c>
      <c r="G23" s="90" t="s">
        <v>125</v>
      </c>
    </row>
    <row r="24" spans="1:7" ht="16.5" customHeight="1">
      <c r="A24" s="90" t="s">
        <v>211</v>
      </c>
      <c r="B24" s="91" t="s">
        <v>128</v>
      </c>
      <c r="C24" s="84">
        <v>1</v>
      </c>
      <c r="D24" s="84">
        <v>43</v>
      </c>
      <c r="E24" s="83">
        <v>21008</v>
      </c>
      <c r="F24" s="83">
        <f>D24*E24</f>
        <v>903344</v>
      </c>
      <c r="G24" s="82" t="s">
        <v>212</v>
      </c>
    </row>
    <row r="25" spans="1:7">
      <c r="A25" s="90" t="s">
        <v>180</v>
      </c>
      <c r="B25" s="91"/>
      <c r="C25" s="84">
        <v>0</v>
      </c>
      <c r="D25" s="84">
        <v>43</v>
      </c>
      <c r="E25" s="83">
        <f>1800/1.19</f>
        <v>1512.6050420168067</v>
      </c>
      <c r="F25" s="83">
        <f t="shared" ref="F25" si="2">D25*E25</f>
        <v>65042.016806722691</v>
      </c>
      <c r="G25" s="82" t="s">
        <v>181</v>
      </c>
    </row>
    <row r="26" spans="1:7">
      <c r="A26" s="111" t="s">
        <v>169</v>
      </c>
      <c r="B26" s="112"/>
      <c r="C26" s="84">
        <v>1</v>
      </c>
      <c r="D26" s="84">
        <v>29</v>
      </c>
      <c r="E26" s="113">
        <v>99000</v>
      </c>
      <c r="F26" s="83">
        <f>C26*E26</f>
        <v>99000</v>
      </c>
      <c r="G26" s="111" t="s">
        <v>170</v>
      </c>
    </row>
    <row r="27" spans="1:7">
      <c r="A27" s="111" t="s">
        <v>124</v>
      </c>
      <c r="B27" s="112"/>
      <c r="C27" s="84">
        <v>7</v>
      </c>
      <c r="D27" s="84">
        <v>14</v>
      </c>
      <c r="E27" s="113">
        <v>118000</v>
      </c>
      <c r="F27" s="83">
        <f>C27*E27</f>
        <v>826000</v>
      </c>
      <c r="G27" s="111" t="s">
        <v>171</v>
      </c>
    </row>
    <row r="28" spans="1:7" ht="16.5" thickBot="1">
      <c r="A28" s="2" t="s">
        <v>86</v>
      </c>
      <c r="B28" s="67"/>
      <c r="C28" s="30"/>
      <c r="D28" s="21"/>
      <c r="E28" s="4"/>
      <c r="F28" s="5">
        <f>SUM(F20:F27)</f>
        <v>3463830.0168067226</v>
      </c>
      <c r="G28" s="29" t="s">
        <v>2</v>
      </c>
    </row>
    <row r="29" spans="1:7">
      <c r="A29" s="97" t="s">
        <v>218</v>
      </c>
      <c r="B29" s="98"/>
      <c r="C29" s="99" t="s">
        <v>103</v>
      </c>
      <c r="D29" s="99" t="s">
        <v>6</v>
      </c>
      <c r="E29" s="99" t="s">
        <v>0</v>
      </c>
      <c r="F29" s="99" t="s">
        <v>1</v>
      </c>
      <c r="G29" s="100" t="s">
        <v>7</v>
      </c>
    </row>
    <row r="30" spans="1:7">
      <c r="A30" s="95" t="s">
        <v>8</v>
      </c>
      <c r="B30" s="96"/>
      <c r="C30" s="84">
        <v>1</v>
      </c>
      <c r="D30" s="84">
        <v>1</v>
      </c>
      <c r="E30" s="116">
        <v>12500</v>
      </c>
      <c r="F30" s="83" t="s">
        <v>106</v>
      </c>
      <c r="G30" s="82" t="s">
        <v>163</v>
      </c>
    </row>
    <row r="31" spans="1:7">
      <c r="A31" s="90" t="s">
        <v>217</v>
      </c>
      <c r="B31" s="91"/>
      <c r="C31" s="84">
        <v>1</v>
      </c>
      <c r="D31" s="84">
        <v>1</v>
      </c>
      <c r="E31" s="92">
        <v>0</v>
      </c>
      <c r="F31" s="83">
        <f>C31*E31</f>
        <v>0</v>
      </c>
      <c r="G31" s="82" t="s">
        <v>167</v>
      </c>
    </row>
    <row r="32" spans="1:7">
      <c r="A32" s="93" t="s">
        <v>165</v>
      </c>
      <c r="B32" s="94"/>
      <c r="C32" s="84">
        <v>1</v>
      </c>
      <c r="D32" s="84">
        <v>43</v>
      </c>
      <c r="E32" s="92">
        <v>4850</v>
      </c>
      <c r="F32" s="117">
        <f>D32*E32</f>
        <v>208550</v>
      </c>
      <c r="G32" s="90" t="s">
        <v>125</v>
      </c>
    </row>
    <row r="33" spans="1:7">
      <c r="A33" s="90" t="s">
        <v>209</v>
      </c>
      <c r="B33" s="91" t="s">
        <v>128</v>
      </c>
      <c r="C33" s="84">
        <v>1</v>
      </c>
      <c r="D33" s="84">
        <v>43</v>
      </c>
      <c r="E33" s="83">
        <v>21008</v>
      </c>
      <c r="F33" s="83">
        <f>D33*E33</f>
        <v>903344</v>
      </c>
      <c r="G33" s="82" t="s">
        <v>210</v>
      </c>
    </row>
    <row r="34" spans="1:7">
      <c r="A34" s="90" t="s">
        <v>164</v>
      </c>
      <c r="B34" s="91"/>
      <c r="C34" s="84">
        <v>1</v>
      </c>
      <c r="D34" s="84">
        <v>43</v>
      </c>
      <c r="E34" s="83">
        <f>1513</f>
        <v>1513</v>
      </c>
      <c r="F34" s="117">
        <f t="shared" ref="F34" si="3">D34*E34</f>
        <v>65059</v>
      </c>
      <c r="G34" s="82" t="s">
        <v>162</v>
      </c>
    </row>
    <row r="35" spans="1:7">
      <c r="A35" s="105"/>
      <c r="B35" s="106"/>
      <c r="C35" s="107"/>
      <c r="D35" s="107"/>
      <c r="E35" s="108"/>
      <c r="F35" s="109">
        <f>SUM(F31:F34)</f>
        <v>1176953</v>
      </c>
      <c r="G35" s="110"/>
    </row>
    <row r="36" spans="1:7">
      <c r="A36" s="101" t="s">
        <v>159</v>
      </c>
      <c r="B36" s="102" t="s">
        <v>173</v>
      </c>
      <c r="C36" s="103"/>
      <c r="D36" s="103"/>
      <c r="E36" s="104"/>
      <c r="F36" s="104" t="s">
        <v>2</v>
      </c>
      <c r="G36" s="101" t="s">
        <v>160</v>
      </c>
    </row>
    <row r="37" spans="1:7">
      <c r="A37" s="85" t="s">
        <v>155</v>
      </c>
      <c r="B37" s="86" t="s">
        <v>2</v>
      </c>
      <c r="C37" s="87">
        <v>0</v>
      </c>
      <c r="D37" s="87">
        <v>0</v>
      </c>
      <c r="E37" s="88">
        <v>0</v>
      </c>
      <c r="F37" s="88">
        <f t="shared" ref="F37:F40" si="4">C37*D37*E37</f>
        <v>0</v>
      </c>
      <c r="G37" s="89" t="s">
        <v>157</v>
      </c>
    </row>
    <row r="38" spans="1:7">
      <c r="A38" s="85" t="s">
        <v>151</v>
      </c>
      <c r="B38" s="86" t="s">
        <v>2</v>
      </c>
      <c r="C38" s="87">
        <v>0</v>
      </c>
      <c r="D38" s="87">
        <v>0</v>
      </c>
      <c r="E38" s="88">
        <v>0</v>
      </c>
      <c r="F38" s="88">
        <f t="shared" si="4"/>
        <v>0</v>
      </c>
      <c r="G38" s="89" t="s">
        <v>158</v>
      </c>
    </row>
    <row r="39" spans="1:7" ht="16.5" customHeight="1">
      <c r="A39" s="85" t="s">
        <v>152</v>
      </c>
      <c r="B39" s="86" t="s">
        <v>2</v>
      </c>
      <c r="C39" s="87">
        <v>0</v>
      </c>
      <c r="D39" s="87">
        <v>0</v>
      </c>
      <c r="E39" s="88">
        <v>0</v>
      </c>
      <c r="F39" s="88">
        <f t="shared" si="4"/>
        <v>0</v>
      </c>
      <c r="G39" s="89" t="s">
        <v>156</v>
      </c>
    </row>
    <row r="40" spans="1:7" ht="16.5" thickBot="1">
      <c r="A40" s="85" t="s">
        <v>153</v>
      </c>
      <c r="B40" s="86" t="s">
        <v>2</v>
      </c>
      <c r="C40" s="87">
        <v>0</v>
      </c>
      <c r="D40" s="87">
        <v>0</v>
      </c>
      <c r="E40" s="88">
        <v>0</v>
      </c>
      <c r="F40" s="88">
        <f t="shared" si="4"/>
        <v>0</v>
      </c>
      <c r="G40" s="85" t="s">
        <v>154</v>
      </c>
    </row>
    <row r="41" spans="1:7" ht="16.5" thickBot="1">
      <c r="A41" s="33" t="s">
        <v>161</v>
      </c>
      <c r="B41" s="69"/>
      <c r="C41" s="34"/>
      <c r="D41" s="34"/>
      <c r="E41" s="35"/>
      <c r="F41" s="36">
        <f>F17+F28+F35</f>
        <v>6534169.0336134452</v>
      </c>
      <c r="G41" s="6" t="s">
        <v>122</v>
      </c>
    </row>
    <row r="42" spans="1:7">
      <c r="A42" s="3" t="s">
        <v>123</v>
      </c>
      <c r="B42" s="68"/>
      <c r="C42" s="21"/>
      <c r="D42" s="21"/>
      <c r="E42" s="4"/>
      <c r="F42" s="5">
        <f>F41*1.19-F41</f>
        <v>1241492.1163865542</v>
      </c>
      <c r="G42" s="6"/>
    </row>
    <row r="43" spans="1:7">
      <c r="A43" s="70" t="s">
        <v>168</v>
      </c>
      <c r="B43" s="71"/>
      <c r="C43" s="72"/>
      <c r="D43" s="72"/>
      <c r="E43" s="73"/>
      <c r="F43" s="74">
        <f>F41+F42</f>
        <v>7775661.1499999994</v>
      </c>
      <c r="G43" s="6"/>
    </row>
    <row r="44" spans="1:7">
      <c r="A44" s="3"/>
      <c r="B44" s="68"/>
      <c r="C44" s="21"/>
      <c r="D44" s="21"/>
      <c r="E44" s="4"/>
      <c r="F44" s="4">
        <f>F41/43</f>
        <v>151957.41938635919</v>
      </c>
      <c r="G44" s="6"/>
    </row>
    <row r="45" spans="1:7">
      <c r="A45" s="3"/>
      <c r="B45" s="68"/>
      <c r="C45" s="21"/>
      <c r="D45" s="21"/>
      <c r="E45" s="4"/>
      <c r="F45" s="4"/>
      <c r="G45" s="6"/>
    </row>
    <row r="46" spans="1:7">
      <c r="A46" s="3"/>
      <c r="B46" s="68"/>
      <c r="C46" s="21"/>
      <c r="D46" s="21"/>
      <c r="E46" s="4"/>
      <c r="F46" s="4"/>
      <c r="G46" s="6"/>
    </row>
    <row r="47" spans="1:7">
      <c r="A47" s="121" t="s">
        <v>182</v>
      </c>
      <c r="B47" s="122" t="s">
        <v>127</v>
      </c>
      <c r="C47" s="123" t="s">
        <v>103</v>
      </c>
      <c r="D47" s="123" t="s">
        <v>6</v>
      </c>
      <c r="E47" s="123" t="s">
        <v>0</v>
      </c>
      <c r="F47" s="123" t="s">
        <v>1</v>
      </c>
      <c r="G47" s="123" t="s">
        <v>7</v>
      </c>
    </row>
    <row r="48" spans="1:7">
      <c r="A48" s="90" t="s">
        <v>189</v>
      </c>
      <c r="B48" s="91"/>
      <c r="C48" s="84">
        <v>0</v>
      </c>
      <c r="D48" s="84">
        <v>0</v>
      </c>
      <c r="E48" s="83">
        <v>300000</v>
      </c>
      <c r="F48" s="83">
        <f>D48*E48</f>
        <v>0</v>
      </c>
      <c r="G48" s="82"/>
    </row>
    <row r="49" spans="1:7">
      <c r="A49" s="90" t="s">
        <v>198</v>
      </c>
      <c r="B49" s="91"/>
      <c r="C49" s="84">
        <v>0</v>
      </c>
      <c r="D49" s="84">
        <v>0</v>
      </c>
      <c r="E49" s="83">
        <v>570000</v>
      </c>
      <c r="F49" s="83">
        <f t="shared" ref="F49" si="5">C49*E49</f>
        <v>0</v>
      </c>
      <c r="G49" s="140"/>
    </row>
    <row r="50" spans="1:7">
      <c r="A50" s="90" t="s">
        <v>199</v>
      </c>
      <c r="B50" s="91"/>
      <c r="C50" s="84">
        <v>1</v>
      </c>
      <c r="D50" s="84">
        <v>0</v>
      </c>
      <c r="E50" s="83">
        <v>350000</v>
      </c>
      <c r="F50" s="83">
        <v>0</v>
      </c>
      <c r="G50" s="140"/>
    </row>
    <row r="51" spans="1:7">
      <c r="A51" s="90" t="s">
        <v>200</v>
      </c>
      <c r="B51" s="91"/>
      <c r="C51" s="84">
        <v>1</v>
      </c>
      <c r="D51" s="84">
        <v>0</v>
      </c>
      <c r="E51" s="83">
        <v>450000</v>
      </c>
      <c r="F51" s="83">
        <v>0</v>
      </c>
      <c r="G51" s="140" t="s">
        <v>2</v>
      </c>
    </row>
    <row r="52" spans="1:7">
      <c r="A52" s="124" t="s">
        <v>201</v>
      </c>
      <c r="B52" s="125"/>
      <c r="C52" s="38">
        <v>0</v>
      </c>
      <c r="D52" s="38">
        <v>0</v>
      </c>
      <c r="E52" s="126">
        <v>3850</v>
      </c>
      <c r="F52" s="126">
        <v>0</v>
      </c>
      <c r="G52" s="128" t="s">
        <v>183</v>
      </c>
    </row>
    <row r="53" spans="1:7">
      <c r="A53" s="124" t="s">
        <v>202</v>
      </c>
      <c r="B53" s="125"/>
      <c r="C53" s="38">
        <v>0</v>
      </c>
      <c r="D53" s="38">
        <v>0</v>
      </c>
      <c r="E53" s="126">
        <v>24000</v>
      </c>
      <c r="F53" s="126">
        <v>0</v>
      </c>
      <c r="G53" s="25" t="s">
        <v>184</v>
      </c>
    </row>
    <row r="54" spans="1:7">
      <c r="A54" s="90" t="s">
        <v>203</v>
      </c>
      <c r="B54" s="91"/>
      <c r="C54" s="38">
        <v>0</v>
      </c>
      <c r="D54" s="38">
        <v>0</v>
      </c>
      <c r="E54" s="83">
        <v>7000</v>
      </c>
      <c r="F54" s="126">
        <v>0</v>
      </c>
      <c r="G54" s="82" t="s">
        <v>190</v>
      </c>
    </row>
    <row r="55" spans="1:7">
      <c r="A55" s="124" t="s">
        <v>185</v>
      </c>
      <c r="B55" s="125"/>
      <c r="C55" s="38">
        <v>0</v>
      </c>
      <c r="D55" s="38">
        <v>0</v>
      </c>
      <c r="E55" s="126">
        <f>400000+6000*20</f>
        <v>520000</v>
      </c>
      <c r="F55" s="127">
        <v>0</v>
      </c>
      <c r="G55" s="25" t="s">
        <v>204</v>
      </c>
    </row>
    <row r="56" spans="1:7">
      <c r="A56" s="129" t="s">
        <v>165</v>
      </c>
      <c r="B56" s="130"/>
      <c r="C56" s="131">
        <v>0</v>
      </c>
      <c r="D56" s="131">
        <v>0</v>
      </c>
      <c r="E56" s="132">
        <v>4850</v>
      </c>
      <c r="F56" s="133">
        <v>0</v>
      </c>
      <c r="G56" s="134" t="s">
        <v>125</v>
      </c>
    </row>
    <row r="57" spans="1:7">
      <c r="A57" s="129" t="s">
        <v>101</v>
      </c>
      <c r="B57" s="130"/>
      <c r="C57" s="131">
        <v>0</v>
      </c>
      <c r="D57" s="131">
        <v>0</v>
      </c>
      <c r="E57" s="132">
        <v>5850</v>
      </c>
      <c r="F57" s="133">
        <v>0</v>
      </c>
      <c r="G57" s="134" t="s">
        <v>166</v>
      </c>
    </row>
    <row r="58" spans="1:7">
      <c r="A58" s="129" t="s">
        <v>102</v>
      </c>
      <c r="B58" s="130"/>
      <c r="C58" s="131">
        <v>0</v>
      </c>
      <c r="D58" s="131">
        <v>0</v>
      </c>
      <c r="E58" s="132">
        <v>6850</v>
      </c>
      <c r="F58" s="133">
        <v>0</v>
      </c>
      <c r="G58" s="134" t="s">
        <v>126</v>
      </c>
    </row>
    <row r="59" spans="1:7">
      <c r="A59" s="90" t="s">
        <v>191</v>
      </c>
      <c r="B59" s="141"/>
      <c r="C59" s="131">
        <v>0</v>
      </c>
      <c r="D59" s="131">
        <v>0</v>
      </c>
      <c r="E59" s="142">
        <v>8500</v>
      </c>
      <c r="F59" s="133">
        <v>0</v>
      </c>
      <c r="G59" s="143" t="s">
        <v>192</v>
      </c>
    </row>
    <row r="60" spans="1:7" ht="31.5">
      <c r="A60" s="145" t="s">
        <v>205</v>
      </c>
      <c r="B60" s="141"/>
      <c r="C60" s="131">
        <v>0</v>
      </c>
      <c r="D60" s="131">
        <v>0</v>
      </c>
      <c r="E60" s="142">
        <v>13500</v>
      </c>
      <c r="F60" s="133">
        <v>0</v>
      </c>
      <c r="G60" s="146" t="s">
        <v>206</v>
      </c>
    </row>
    <row r="61" spans="1:7" ht="31.5">
      <c r="A61" s="145" t="s">
        <v>207</v>
      </c>
      <c r="B61" s="141"/>
      <c r="C61" s="131">
        <v>0</v>
      </c>
      <c r="D61" s="131">
        <v>0</v>
      </c>
      <c r="E61" s="142">
        <v>15000</v>
      </c>
      <c r="F61" s="133">
        <v>0</v>
      </c>
      <c r="G61" s="146" t="s">
        <v>208</v>
      </c>
    </row>
    <row r="62" spans="1:7">
      <c r="A62" s="135" t="s">
        <v>186</v>
      </c>
      <c r="B62" s="136"/>
      <c r="C62" s="137"/>
      <c r="D62" s="137"/>
      <c r="E62" s="138"/>
      <c r="F62" s="138">
        <v>0</v>
      </c>
      <c r="G62" s="6"/>
    </row>
    <row r="63" spans="1:7" ht="17.25">
      <c r="A63" s="118" t="s">
        <v>129</v>
      </c>
      <c r="B63"/>
      <c r="E63" s="64"/>
      <c r="F63" s="64"/>
      <c r="G63" s="64"/>
    </row>
    <row r="64" spans="1:7">
      <c r="A64" s="120" t="s">
        <v>178</v>
      </c>
      <c r="B64"/>
    </row>
    <row r="65" spans="1:2">
      <c r="A65" s="120" t="s">
        <v>179</v>
      </c>
      <c r="B65"/>
    </row>
    <row r="67" spans="1:2">
      <c r="A67" s="118" t="s">
        <v>193</v>
      </c>
      <c r="B67"/>
    </row>
    <row r="68" spans="1:2">
      <c r="A68" s="119" t="s">
        <v>194</v>
      </c>
      <c r="B68"/>
    </row>
    <row r="69" spans="1:2">
      <c r="A69" s="120" t="s">
        <v>175</v>
      </c>
      <c r="B69"/>
    </row>
    <row r="70" spans="1:2">
      <c r="A70" s="120" t="s">
        <v>176</v>
      </c>
      <c r="B70"/>
    </row>
    <row r="71" spans="1:2">
      <c r="A71" s="118" t="s">
        <v>174</v>
      </c>
      <c r="B71"/>
    </row>
    <row r="72" spans="1:2">
      <c r="A72" s="120" t="s">
        <v>195</v>
      </c>
      <c r="B72"/>
    </row>
    <row r="73" spans="1:2">
      <c r="A73" s="119"/>
      <c r="B73"/>
    </row>
    <row r="74" spans="1:2">
      <c r="A74" s="119"/>
      <c r="B74"/>
    </row>
    <row r="75" spans="1:2">
      <c r="A75" s="118" t="s">
        <v>177</v>
      </c>
      <c r="B75"/>
    </row>
    <row r="76" spans="1:2">
      <c r="A76" s="119"/>
      <c r="B76"/>
    </row>
    <row r="77" spans="1:2">
      <c r="A77" s="119" t="s">
        <v>130</v>
      </c>
      <c r="B77" s="119" t="s">
        <v>213</v>
      </c>
    </row>
    <row r="78" spans="1:2">
      <c r="A78" s="119" t="s">
        <v>131</v>
      </c>
      <c r="B78" s="119" t="s">
        <v>132</v>
      </c>
    </row>
    <row r="79" spans="1:2">
      <c r="A79" s="119" t="s">
        <v>133</v>
      </c>
      <c r="B79" s="119" t="s">
        <v>196</v>
      </c>
    </row>
    <row r="80" spans="1:2">
      <c r="A80" s="119" t="s">
        <v>134</v>
      </c>
      <c r="B80" s="119" t="s">
        <v>135</v>
      </c>
    </row>
    <row r="81" spans="1:2">
      <c r="A81" s="119" t="s">
        <v>136</v>
      </c>
      <c r="B81" s="119" t="s">
        <v>137</v>
      </c>
    </row>
    <row r="82" spans="1:2">
      <c r="A82" s="119" t="s">
        <v>138</v>
      </c>
      <c r="B82" s="119" t="s">
        <v>139</v>
      </c>
    </row>
    <row r="83" spans="1:2">
      <c r="A83" s="119" t="s">
        <v>5</v>
      </c>
      <c r="B83" s="147">
        <v>29539311</v>
      </c>
    </row>
    <row r="84" spans="1:2">
      <c r="A84" s="144" t="s">
        <v>197</v>
      </c>
      <c r="B84"/>
    </row>
  </sheetData>
  <phoneticPr fontId="7" type="noConversion"/>
  <hyperlinks>
    <hyperlink ref="A84" r:id="rId1" display="mailto:sf@sflodge.cl" xr:uid="{F2E06317-FA26-FE40-932C-91E8DCBE551E}"/>
    <hyperlink ref="B4" r:id="rId2" xr:uid="{C0B2779C-66D1-D84A-9B91-B82BA74E7D75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63"/>
      <c r="B1" s="163"/>
      <c r="C1" s="163"/>
      <c r="D1" s="22"/>
      <c r="E1" s="22" t="s">
        <v>87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63"/>
      <c r="B2" s="163"/>
      <c r="C2" s="163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63"/>
      <c r="B3" s="163"/>
      <c r="C3" s="163"/>
      <c r="D3" s="22"/>
      <c r="E3" s="22" t="s">
        <v>115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63"/>
      <c r="B4" s="163"/>
      <c r="C4" s="163"/>
      <c r="D4" s="22"/>
      <c r="E4" s="22" t="s">
        <v>116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64" t="s">
        <v>109</v>
      </c>
      <c r="D6" s="158"/>
      <c r="E6" s="159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48" t="s">
        <v>110</v>
      </c>
      <c r="D7" s="149"/>
      <c r="E7" s="150"/>
      <c r="F7" s="38"/>
      <c r="G7" s="38"/>
      <c r="H7" s="38"/>
      <c r="I7" s="25" t="s">
        <v>111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48" t="s">
        <v>110</v>
      </c>
      <c r="D8" s="149"/>
      <c r="E8" s="150"/>
      <c r="F8" s="38"/>
      <c r="G8" s="38"/>
      <c r="H8" s="38"/>
      <c r="I8" s="25" t="s">
        <v>111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51" t="s">
        <v>96</v>
      </c>
      <c r="D9" s="152"/>
      <c r="E9" s="153"/>
      <c r="F9" s="42"/>
      <c r="G9" s="42">
        <v>60</v>
      </c>
      <c r="H9" s="43" t="s">
        <v>95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48" t="s">
        <v>110</v>
      </c>
      <c r="D10" s="149"/>
      <c r="E10" s="150"/>
      <c r="F10" s="38"/>
      <c r="G10" s="38"/>
      <c r="H10" s="38"/>
      <c r="I10" s="25" t="s">
        <v>111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48" t="s">
        <v>110</v>
      </c>
      <c r="D11" s="149"/>
      <c r="E11" s="150"/>
      <c r="F11" s="38"/>
      <c r="G11" s="38"/>
      <c r="H11" s="38"/>
      <c r="I11" s="25" t="s">
        <v>111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48" t="s">
        <v>97</v>
      </c>
      <c r="D12" s="149"/>
      <c r="E12" s="150"/>
      <c r="F12" s="39"/>
      <c r="G12" s="39"/>
      <c r="H12" s="38"/>
      <c r="I12" s="25" t="s">
        <v>107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54" t="s">
        <v>108</v>
      </c>
      <c r="D13" s="155"/>
      <c r="E13" s="156"/>
      <c r="F13" s="49"/>
      <c r="G13" s="49">
        <v>60</v>
      </c>
      <c r="H13" s="43" t="s">
        <v>95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57" t="s">
        <v>112</v>
      </c>
      <c r="D15" s="158"/>
      <c r="E15" s="159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60" t="s">
        <v>94</v>
      </c>
      <c r="D16" s="161"/>
      <c r="E16" s="162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48" t="s">
        <v>110</v>
      </c>
      <c r="D17" s="149"/>
      <c r="E17" s="150"/>
      <c r="F17" s="38"/>
      <c r="G17" s="38"/>
      <c r="H17" s="38"/>
      <c r="I17" s="25" t="s">
        <v>111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48" t="s">
        <v>110</v>
      </c>
      <c r="D18" s="149"/>
      <c r="E18" s="150"/>
      <c r="F18" s="38"/>
      <c r="G18" s="38"/>
      <c r="H18" s="38"/>
      <c r="I18" s="25" t="s">
        <v>111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51" t="s">
        <v>96</v>
      </c>
      <c r="D19" s="152"/>
      <c r="E19" s="153"/>
      <c r="F19" s="42"/>
      <c r="G19" s="42">
        <v>60</v>
      </c>
      <c r="H19" s="43" t="s">
        <v>95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48" t="s">
        <v>110</v>
      </c>
      <c r="D20" s="149"/>
      <c r="E20" s="150"/>
      <c r="F20" s="38"/>
      <c r="G20" s="38"/>
      <c r="H20" s="38"/>
      <c r="I20" s="25" t="s">
        <v>111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48" t="s">
        <v>110</v>
      </c>
      <c r="D21" s="149"/>
      <c r="E21" s="150"/>
      <c r="F21" s="38"/>
      <c r="G21" s="38"/>
      <c r="H21" s="38"/>
      <c r="I21" s="25" t="s">
        <v>111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48" t="s">
        <v>97</v>
      </c>
      <c r="D22" s="149"/>
      <c r="E22" s="150"/>
      <c r="F22" s="39"/>
      <c r="G22" s="39"/>
      <c r="H22" s="38"/>
      <c r="I22" s="25" t="s">
        <v>107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54" t="s">
        <v>108</v>
      </c>
      <c r="D23" s="155"/>
      <c r="E23" s="156"/>
      <c r="F23" s="49"/>
      <c r="G23" s="49">
        <v>60</v>
      </c>
      <c r="H23" s="43" t="s">
        <v>95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88</v>
      </c>
      <c r="B25" s="27" t="s">
        <v>89</v>
      </c>
      <c r="C25" s="157" t="s">
        <v>113</v>
      </c>
      <c r="D25" s="158"/>
      <c r="E25" s="159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60" t="s">
        <v>94</v>
      </c>
      <c r="D26" s="161"/>
      <c r="E26" s="162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48" t="s">
        <v>110</v>
      </c>
      <c r="D27" s="149"/>
      <c r="E27" s="150"/>
      <c r="F27" s="38"/>
      <c r="G27" s="38"/>
      <c r="H27" s="38"/>
      <c r="I27" s="25" t="s">
        <v>111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48" t="s">
        <v>110</v>
      </c>
      <c r="D28" s="149"/>
      <c r="E28" s="150"/>
      <c r="F28" s="38"/>
      <c r="G28" s="38"/>
      <c r="H28" s="38"/>
      <c r="I28" s="25" t="s">
        <v>111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51" t="s">
        <v>96</v>
      </c>
      <c r="D29" s="152"/>
      <c r="E29" s="153"/>
      <c r="F29" s="42"/>
      <c r="G29" s="42">
        <v>60</v>
      </c>
      <c r="H29" s="43" t="s">
        <v>95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48" t="s">
        <v>110</v>
      </c>
      <c r="D30" s="149"/>
      <c r="E30" s="150"/>
      <c r="F30" s="38"/>
      <c r="G30" s="38"/>
      <c r="H30" s="38"/>
      <c r="I30" s="25" t="s">
        <v>111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48" t="s">
        <v>110</v>
      </c>
      <c r="D31" s="149"/>
      <c r="E31" s="150"/>
      <c r="F31" s="38"/>
      <c r="G31" s="38"/>
      <c r="H31" s="38"/>
      <c r="I31" s="25" t="s">
        <v>111</v>
      </c>
      <c r="J31" s="20"/>
      <c r="K31" s="20"/>
      <c r="L31" s="20"/>
      <c r="M31" s="20"/>
      <c r="N31" s="20"/>
    </row>
    <row r="32" spans="1:14" ht="15" customHeight="1">
      <c r="A32" s="166"/>
      <c r="B32" s="166"/>
      <c r="C32" s="166"/>
      <c r="D32" s="166"/>
      <c r="E32" s="166"/>
      <c r="F32" s="166"/>
      <c r="G32" s="166"/>
      <c r="H32" s="166"/>
      <c r="I32" s="166"/>
      <c r="J32" s="6"/>
      <c r="K32" s="6"/>
      <c r="L32" s="6"/>
      <c r="M32" s="6"/>
      <c r="N32" s="6"/>
    </row>
    <row r="33" spans="1:14" ht="15" customHeight="1">
      <c r="A33" s="167" t="s">
        <v>114</v>
      </c>
      <c r="B33" s="167"/>
      <c r="C33" s="167"/>
      <c r="D33" s="167"/>
      <c r="E33" s="167"/>
      <c r="F33" s="167"/>
      <c r="G33" s="167"/>
      <c r="H33" s="167"/>
      <c r="I33" s="167"/>
      <c r="J33" s="6"/>
      <c r="K33" s="6"/>
      <c r="L33" s="6"/>
      <c r="M33" s="6"/>
      <c r="N33" s="6"/>
    </row>
    <row r="34" spans="1:14" ht="15" customHeight="1">
      <c r="A34" s="166"/>
      <c r="B34" s="166"/>
      <c r="C34" s="166"/>
      <c r="D34" s="166"/>
      <c r="E34" s="166"/>
      <c r="F34" s="166"/>
      <c r="G34" s="166"/>
      <c r="H34" s="166"/>
      <c r="I34" s="166"/>
      <c r="J34" s="6"/>
      <c r="K34" s="6"/>
      <c r="L34" s="6"/>
      <c r="M34" s="6"/>
      <c r="N34" s="6"/>
    </row>
    <row r="35" spans="1:14" ht="15" customHeight="1">
      <c r="A35" s="166"/>
      <c r="B35" s="166"/>
      <c r="C35" s="166"/>
      <c r="D35" s="166"/>
      <c r="E35" s="166"/>
      <c r="F35" s="166"/>
      <c r="G35" s="166"/>
      <c r="H35" s="166"/>
      <c r="I35" s="166"/>
      <c r="J35" s="6"/>
      <c r="K35" s="6"/>
      <c r="L35" s="6"/>
      <c r="M35" s="6"/>
      <c r="N35" s="6"/>
    </row>
    <row r="36" spans="1:14" ht="15" customHeight="1">
      <c r="A36" s="166"/>
      <c r="B36" s="166"/>
      <c r="C36" s="166"/>
      <c r="D36" s="166"/>
      <c r="E36" s="166"/>
      <c r="F36" s="166"/>
      <c r="G36" s="166"/>
      <c r="H36" s="166"/>
      <c r="I36" s="166"/>
      <c r="J36" s="6"/>
      <c r="K36" s="6"/>
      <c r="L36" s="6"/>
      <c r="M36" s="6"/>
      <c r="N36" s="6"/>
    </row>
    <row r="37" spans="1:14" ht="15" customHeight="1">
      <c r="A37" s="166"/>
      <c r="B37" s="166"/>
      <c r="C37" s="166"/>
      <c r="D37" s="166"/>
      <c r="E37" s="166"/>
      <c r="F37" s="166"/>
      <c r="G37" s="166"/>
      <c r="H37" s="166"/>
      <c r="I37" s="166"/>
      <c r="J37" s="6"/>
      <c r="K37" s="6"/>
      <c r="L37" s="6"/>
      <c r="M37" s="6"/>
      <c r="N37" s="6"/>
    </row>
    <row r="38" spans="1:14" ht="15" customHeight="1">
      <c r="A38" s="166"/>
      <c r="B38" s="166"/>
      <c r="C38" s="166"/>
      <c r="D38" s="166"/>
      <c r="E38" s="166"/>
      <c r="F38" s="166"/>
      <c r="G38" s="166"/>
      <c r="H38" s="166"/>
      <c r="I38" s="166"/>
      <c r="J38" s="6"/>
      <c r="K38" s="6"/>
      <c r="L38" s="6"/>
      <c r="M38" s="6"/>
      <c r="N38" s="6"/>
    </row>
    <row r="39" spans="1:14" ht="15" customHeight="1">
      <c r="A39" s="166"/>
      <c r="B39" s="166"/>
      <c r="C39" s="166"/>
      <c r="D39" s="166"/>
      <c r="E39" s="166"/>
      <c r="F39" s="166"/>
      <c r="G39" s="166"/>
      <c r="H39" s="166"/>
      <c r="I39" s="166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68" t="s">
        <v>98</v>
      </c>
      <c r="B44" s="168"/>
      <c r="C44" s="168"/>
      <c r="D44" s="168"/>
      <c r="E44" s="168"/>
      <c r="F44" s="168"/>
      <c r="G44" s="168"/>
      <c r="H44" s="32"/>
      <c r="I44" s="28" t="s">
        <v>99</v>
      </c>
      <c r="J44" s="20"/>
      <c r="K44" s="20"/>
      <c r="L44" s="20"/>
      <c r="M44" s="20"/>
      <c r="N44" s="20"/>
    </row>
    <row r="45" spans="1:14">
      <c r="A45" s="163"/>
      <c r="B45" s="163"/>
      <c r="C45" s="163"/>
      <c r="D45" s="163"/>
      <c r="E45" s="163"/>
      <c r="F45" s="163"/>
      <c r="G45" s="163"/>
      <c r="H45" s="32"/>
      <c r="I45" s="20"/>
      <c r="J45" s="20"/>
      <c r="K45" s="20"/>
      <c r="L45" s="20"/>
      <c r="M45" s="20"/>
      <c r="N45" s="20"/>
    </row>
    <row r="46" spans="1:14">
      <c r="A46" s="165" t="s">
        <v>100</v>
      </c>
      <c r="B46" s="165"/>
      <c r="C46" s="165"/>
      <c r="D46" s="165"/>
      <c r="E46" s="165"/>
      <c r="F46" s="165"/>
      <c r="G46" s="165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145</v>
      </c>
    </row>
    <row r="3" spans="1:1" ht="27.95" customHeight="1" thickBot="1">
      <c r="A3" s="78" t="s">
        <v>146</v>
      </c>
    </row>
    <row r="4" spans="1:1" ht="17.25">
      <c r="A4" s="79" t="s">
        <v>147</v>
      </c>
    </row>
    <row r="5" spans="1:1" ht="41.1" customHeight="1">
      <c r="A5" s="80" t="s">
        <v>148</v>
      </c>
    </row>
    <row r="6" spans="1:1" ht="33" customHeight="1" thickBot="1">
      <c r="A6" s="78" t="s">
        <v>150</v>
      </c>
    </row>
    <row r="7" spans="1:1" ht="29.1" customHeight="1" thickBot="1">
      <c r="A7" s="8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2024-11-14T12:58:07Z</dcterms:modified>
</cp:coreProperties>
</file>