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Eventos 2019/"/>
    </mc:Choice>
  </mc:AlternateContent>
  <xr:revisionPtr revIDLastSave="0" documentId="8_{C4207C6E-BF4C-7146-91A5-F67B4E6EA1F8}" xr6:coauthVersionLast="36" xr6:coauthVersionMax="36" xr10:uidLastSave="{00000000-0000-0000-0000-000000000000}"/>
  <bookViews>
    <workbookView xWindow="1660" yWindow="460" windowWidth="25600" windowHeight="1640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0" i="1" l="1"/>
  <c r="F41" i="1"/>
  <c r="F19" i="1"/>
  <c r="F20" i="1" s="1"/>
  <c r="F49" i="1"/>
  <c r="F42" i="1"/>
  <c r="F46" i="1"/>
  <c r="F45" i="1"/>
  <c r="F10" i="1"/>
  <c r="F34" i="1"/>
  <c r="F35" i="1"/>
  <c r="F31" i="1"/>
  <c r="F24" i="1"/>
  <c r="F9" i="1"/>
  <c r="F13" i="1"/>
  <c r="E12" i="1"/>
  <c r="F12" i="1" s="1"/>
  <c r="F11" i="1"/>
  <c r="F16" i="1" l="1"/>
  <c r="F33" i="1"/>
  <c r="F30" i="1"/>
  <c r="F29" i="1"/>
  <c r="F18" i="1" l="1"/>
  <c r="F47" i="1" l="1"/>
  <c r="E32" i="1"/>
  <c r="F32" i="1" s="1"/>
  <c r="F27" i="1"/>
  <c r="E26" i="1"/>
  <c r="F26" i="1" s="1"/>
  <c r="F25" i="1"/>
  <c r="F23" i="1"/>
  <c r="E22" i="1"/>
  <c r="E15" i="1" l="1"/>
  <c r="F15" i="1" s="1"/>
  <c r="E48" i="1"/>
  <c r="F48" i="1" s="1"/>
  <c r="F14" i="1"/>
  <c r="F52" i="1"/>
  <c r="F53" i="1"/>
  <c r="F54" i="1"/>
  <c r="F51" i="1"/>
  <c r="F30" i="5"/>
  <c r="E30" i="5"/>
  <c r="D30" i="5"/>
  <c r="C30" i="5"/>
  <c r="B30" i="5"/>
  <c r="P29" i="5"/>
  <c r="O29" i="5"/>
  <c r="N29" i="5"/>
  <c r="K29" i="5"/>
  <c r="J29" i="5"/>
  <c r="I29" i="5"/>
  <c r="Z23" i="5"/>
  <c r="F55" i="1" l="1"/>
  <c r="F56" i="1" s="1"/>
  <c r="F57" i="1" s="1"/>
</calcChain>
</file>

<file path=xl/sharedStrings.xml><?xml version="1.0" encoding="utf-8"?>
<sst xmlns="http://schemas.openxmlformats.org/spreadsheetml/2006/main" count="459" uniqueCount="241">
  <si>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</si>
  <si>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</si>
  <si>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</si>
  <si>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</si>
  <si>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</si>
  <si>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</si>
  <si>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</si>
  <si>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</si>
  <si>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</si>
  <si>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</si>
  <si>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</si>
  <si>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</si>
  <si>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</si>
  <si>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</si>
  <si>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</si>
  <si>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</si>
  <si>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</si>
  <si>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</si>
  <si>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</si>
  <si>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</si>
  <si>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</si>
  <si>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</si>
  <si>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</si>
  <si>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</si>
  <si>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</si>
  <si>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</si>
  <si>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</si>
  <si>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</si>
  <si>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</si>
  <si>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</si>
  <si>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</si>
  <si>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</si>
  <si>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</si>
  <si>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</si>
  <si>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</si>
  <si>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</si>
  <si>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</si>
  <si>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</si>
  <si>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</si>
  <si>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</si>
  <si>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</si>
  <si>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</si>
  <si>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</si>
  <si>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</si>
  <si>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</si>
  <si>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</si>
  <si>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</si>
  <si>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</si>
  <si>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</si>
  <si>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</si>
  <si>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</si>
  <si>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</si>
  <si>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</si>
  <si>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</si>
  <si>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</si>
  <si>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</si>
  <si>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</si>
  <si>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</si>
  <si>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</si>
  <si>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</si>
  <si>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</si>
  <si>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</si>
  <si>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</si>
  <si>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</si>
  <si>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</si>
  <si>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</si>
  <si>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</si>
  <si>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</si>
  <si>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</si>
  <si>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</si>
  <si>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</si>
  <si>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</si>
  <si>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</si>
  <si>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</si>
  <si>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</si>
  <si>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</si>
  <si>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</si>
  <si>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</si>
  <si>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</si>
  <si>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</si>
  <si>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</si>
  <si>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</si>
  <si>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</si>
  <si>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</si>
  <si>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</si>
  <si>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</si>
  <si>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</si>
  <si>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</si>
  <si>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</si>
  <si>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</si>
  <si>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</si>
  <si>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</si>
  <si>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</si>
  <si>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</si>
  <si>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</si>
  <si>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</si>
  <si>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</si>
  <si>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</si>
  <si>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</si>
  <si>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</si>
  <si>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</si>
  <si>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</si>
  <si>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</si>
  <si>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</si>
  <si>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</si>
  <si>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</si>
  <si>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</si>
  <si>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</si>
  <si>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</si>
  <si>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</si>
  <si>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</si>
  <si>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</si>
  <si>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</si>
  <si>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</si>
  <si>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</si>
  <si>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</si>
  <si>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</si>
  <si>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</si>
  <si>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</si>
  <si>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</si>
  <si>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</si>
  <si>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</si>
  <si>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</si>
  <si>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</si>
  <si>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</si>
  <si>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Café, té, agua, jugo de pulpa, 2 facturitas ó 1 muffins y 2 tapaditos.</t>
  </si>
  <si>
    <t>Café, té, agua, jugo de pulpa, 1 muffins, 2 facturitas, 1 fruta y 1  tapadito.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</si>
  <si>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</si>
  <si>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</si>
  <si>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</si>
  <si>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</si>
  <si>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</si>
  <si>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</si>
  <si>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</si>
  <si>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</si>
  <si>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</si>
  <si>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</si>
  <si>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</si>
  <si>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</si>
  <si>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</si>
  <si>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</si>
  <si>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</si>
  <si>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</si>
  <si>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</si>
  <si>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</si>
  <si>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</si>
  <si>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</si>
  <si>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</si>
  <si>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</si>
  <si>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</si>
  <si>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</si>
  <si>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</si>
  <si>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</si>
  <si>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</si>
  <si>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</si>
  <si>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</si>
  <si>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</si>
  <si>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</si>
  <si>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</si>
  <si>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</si>
  <si>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</si>
  <si>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</si>
  <si>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</si>
  <si>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</si>
  <si>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</si>
  <si>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</si>
  <si>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</si>
  <si>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</si>
  <si>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</si>
  <si>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</si>
  <si>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</si>
  <si>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</si>
  <si>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Cotización de servicios.</t>
  </si>
  <si>
    <t xml:space="preserve"> Confirmar hora</t>
  </si>
  <si>
    <t>Sugerencias del chef, 2 opciones de entrada, fondo y postre.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</si>
  <si>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</si>
  <si>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</si>
  <si>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</si>
  <si>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</si>
  <si>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</si>
  <si>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</si>
  <si>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</si>
  <si>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</si>
  <si>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</si>
  <si>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</si>
  <si>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</si>
  <si>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</si>
  <si>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Total Otros</t>
  </si>
  <si>
    <r>
      <t xml:space="preserve">Amplificacion y luces </t>
    </r>
    <r>
      <rPr>
        <sz val="12"/>
        <color rgb="FFFF0000"/>
        <rFont val="Calibri (Cuerpo)_x0000_"/>
      </rPr>
      <t xml:space="preserve"> (opcional no incluido)</t>
    </r>
  </si>
  <si>
    <r>
      <t xml:space="preserve">DJ con animador  </t>
    </r>
    <r>
      <rPr>
        <sz val="12"/>
        <color rgb="FFFF0000"/>
        <rFont val="Calibri (Cuerpo)_x0000_"/>
      </rPr>
      <t>(opcional no incluido)</t>
    </r>
    <r>
      <rPr>
        <sz val="12"/>
        <color rgb="FF000000"/>
        <rFont val="Calibri"/>
        <family val="2"/>
        <scheme val="minor"/>
      </rPr>
      <t>.</t>
    </r>
  </si>
  <si>
    <t>te subencione el alojamiento.</t>
  </si>
  <si>
    <r>
      <t xml:space="preserve">Tragos con ticket </t>
    </r>
    <r>
      <rPr>
        <sz val="12"/>
        <color rgb="FFFF0000"/>
        <rFont val="Calibri (Cuerpo)_x0000_"/>
      </rPr>
      <t>(opcional no incluido)</t>
    </r>
  </si>
  <si>
    <r>
      <t>Bar abierto 4 horas</t>
    </r>
    <r>
      <rPr>
        <sz val="12"/>
        <color rgb="FFFF0000"/>
        <rFont val="Calibri (Cuerpo)_x0000_"/>
      </rPr>
      <t xml:space="preserve"> (opcional no incluido)</t>
    </r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</si>
  <si>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</si>
  <si>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</si>
  <si>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</si>
  <si>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Minimo 15 pasajeros.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</si>
  <si>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</si>
  <si>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</si>
  <si>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</si>
  <si>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</si>
  <si>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</si>
  <si>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</si>
  <si>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</si>
  <si>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</si>
  <si>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</si>
  <si>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</si>
  <si>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</si>
  <si>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</si>
  <si>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</si>
  <si>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INCLUIDO</t>
  </si>
  <si>
    <t>habitacion VIP</t>
  </si>
  <si>
    <t>Habitación single  con desayuno</t>
  </si>
  <si>
    <t xml:space="preserve">  Carmen Rodriguez </t>
  </si>
  <si>
    <t xml:space="preserve">       9 74961403</t>
  </si>
  <si>
    <t>Clinica de pizza a la parrilla con maridaje</t>
  </si>
  <si>
    <t>Clinica de parrilla</t>
  </si>
  <si>
    <t xml:space="preserve"> Entretenido coctel en que los articipantes arende a hacer y cocinar la pizza a la parrilla y maridan con cerveza</t>
  </si>
  <si>
    <t>aca los participantes aprenden a preparar cortes de carnes usados para picar, esto se marida con vino.</t>
  </si>
  <si>
    <t xml:space="preserve">Opcional </t>
  </si>
  <si>
    <t xml:space="preserve">Vino reserva </t>
  </si>
  <si>
    <t>?</t>
  </si>
  <si>
    <t>Descorche por botella</t>
  </si>
  <si>
    <t>incluye copas y servicio.</t>
  </si>
  <si>
    <t>Habitación single hotel con desayuno</t>
  </si>
  <si>
    <t>Clases de pesca con mosca</t>
  </si>
  <si>
    <t>valores no incluyen  iVA</t>
  </si>
  <si>
    <t xml:space="preserve">Tabla pequeña de cocteleria con logo </t>
  </si>
  <si>
    <t>De Coihue  o alguna madera recuperda de bosques del sur.</t>
  </si>
  <si>
    <t xml:space="preserve"> Veronica García</t>
  </si>
  <si>
    <t>09-11  marzo</t>
  </si>
  <si>
    <t>burdilv@gmail.com</t>
  </si>
  <si>
    <r>
      <t xml:space="preserve">Coffee Básico, </t>
    </r>
    <r>
      <rPr>
        <sz val="12"/>
        <color rgb="FFFF0000"/>
        <rFont val="Calibri (Cuerpo)_x0000_"/>
      </rPr>
      <t>(Opcional no Incluido)</t>
    </r>
  </si>
  <si>
    <t>Día 9 de marzo</t>
  </si>
  <si>
    <t>Día 10 de marzo</t>
  </si>
  <si>
    <t>Descorche por persona</t>
  </si>
  <si>
    <t>Habitación Doble</t>
  </si>
  <si>
    <t>dia 11 de marzo</t>
  </si>
  <si>
    <t>Salón Fario</t>
  </si>
  <si>
    <t>Coffe permanente tarde</t>
  </si>
  <si>
    <t>galletas, aguaq, café, te, jugos.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</si>
</sst>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000000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204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2" borderId="1" xfId="0" applyFont="1" applyFill="1" applyBorder="1" applyAlignment="1">
      <alignment horizontal="left"/>
    </xf>
    <xf numFmtId="166" fontId="2" fillId="12" borderId="15" xfId="0" applyNumberFormat="1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0" borderId="15" xfId="0" applyFont="1" applyBorder="1"/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165" fontId="6" fillId="9" borderId="1" xfId="175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17" fillId="0" borderId="0" xfId="0" applyFont="1" applyAlignment="1">
      <alignment horizontal="left" vertical="center"/>
    </xf>
    <xf numFmtId="0" fontId="0" fillId="0" borderId="0" xfId="0" applyFont="1" applyFill="1" applyAlignment="1">
      <alignment horizontal="right"/>
    </xf>
    <xf numFmtId="166" fontId="0" fillId="0" borderId="0" xfId="0" applyNumberFormat="1" applyFont="1" applyFill="1" applyAlignment="1">
      <alignment horizontal="left"/>
    </xf>
    <xf numFmtId="166" fontId="4" fillId="0" borderId="0" xfId="116" applyNumberFormat="1" applyAlignment="1">
      <alignment horizontal="left"/>
    </xf>
    <xf numFmtId="0" fontId="2" fillId="9" borderId="2" xfId="0" applyFont="1" applyFill="1" applyBorder="1" applyAlignment="1">
      <alignment horizontal="center"/>
    </xf>
    <xf numFmtId="166" fontId="2" fillId="9" borderId="2" xfId="0" applyNumberFormat="1" applyFont="1" applyFill="1" applyBorder="1" applyAlignment="1">
      <alignment horizontal="center"/>
    </xf>
    <xf numFmtId="0" fontId="0" fillId="3" borderId="0" xfId="0" applyFill="1"/>
    <xf numFmtId="166" fontId="10" fillId="9" borderId="1" xfId="0" applyNumberFormat="1" applyFont="1" applyFill="1" applyBorder="1" applyAlignment="1">
      <alignment horizontal="center"/>
    </xf>
    <xf numFmtId="0" fontId="6" fillId="9" borderId="22" xfId="0" applyFont="1" applyFill="1" applyBorder="1" applyAlignment="1">
      <alignment horizontal="left" vertical="center"/>
    </xf>
    <xf numFmtId="164" fontId="6" fillId="9" borderId="22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center" wrapText="1"/>
    </xf>
    <xf numFmtId="166" fontId="0" fillId="0" borderId="1" xfId="0" applyNumberFormat="1" applyBorder="1"/>
    <xf numFmtId="0" fontId="6" fillId="9" borderId="0" xfId="0" applyFont="1" applyFill="1" applyAlignment="1">
      <alignment horizontal="right"/>
    </xf>
    <xf numFmtId="166" fontId="6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center"/>
    </xf>
    <xf numFmtId="164" fontId="6" fillId="9" borderId="0" xfId="0" applyNumberFormat="1" applyFont="1" applyFill="1" applyAlignment="1">
      <alignment horizontal="right"/>
    </xf>
    <xf numFmtId="0" fontId="6" fillId="3" borderId="0" xfId="0" applyFont="1" applyFill="1"/>
    <xf numFmtId="0" fontId="6" fillId="0" borderId="1" xfId="0" applyFont="1" applyBorder="1" applyAlignment="1">
      <alignment horizontal="left"/>
    </xf>
    <xf numFmtId="166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/>
    <xf numFmtId="0" fontId="6" fillId="0" borderId="1" xfId="0" applyFont="1" applyBorder="1"/>
    <xf numFmtId="0" fontId="6" fillId="4" borderId="1" xfId="0" applyFont="1" applyFill="1" applyBorder="1" applyAlignment="1">
      <alignment vertical="center"/>
    </xf>
    <xf numFmtId="166" fontId="6" fillId="4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right"/>
    </xf>
    <xf numFmtId="166" fontId="6" fillId="12" borderId="1" xfId="0" applyNumberFormat="1" applyFont="1" applyFill="1" applyBorder="1" applyAlignment="1">
      <alignment horizontal="right"/>
    </xf>
    <xf numFmtId="0" fontId="6" fillId="12" borderId="1" xfId="0" applyFont="1" applyFill="1" applyBorder="1" applyAlignment="1">
      <alignment horizontal="center"/>
    </xf>
    <xf numFmtId="164" fontId="6" fillId="12" borderId="1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urdilv@gmail.com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100"/>
  <sheetViews>
    <sheetView tabSelected="1" topLeftCell="A13" zoomScale="109" zoomScaleNormal="109" zoomScalePageLayoutView="109" workbookViewId="0">
      <selection activeCell="F41" sqref="F41"/>
    </sheetView>
  </sheetViews>
  <sheetFormatPr baseColWidth="10" defaultRowHeight="16"/>
  <cols>
    <col min="1" max="1" width="33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89.33203125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172</v>
      </c>
    </row>
    <row r="2" spans="1:7">
      <c r="G2" s="135" t="s">
        <v>142</v>
      </c>
    </row>
    <row r="3" spans="1:7">
      <c r="A3" s="70" t="s">
        <v>118</v>
      </c>
      <c r="B3" s="119" t="s">
        <v>229</v>
      </c>
      <c r="D3" t="s">
        <v>3</v>
      </c>
      <c r="E3" s="178" t="s">
        <v>2</v>
      </c>
      <c r="F3" s="178"/>
      <c r="G3" s="86" t="s">
        <v>143</v>
      </c>
    </row>
    <row r="4" spans="1:7">
      <c r="A4" t="s">
        <v>119</v>
      </c>
      <c r="B4" s="148" t="s">
        <v>231</v>
      </c>
      <c r="C4" s="74"/>
      <c r="D4" t="s">
        <v>5</v>
      </c>
      <c r="E4" t="s">
        <v>2</v>
      </c>
      <c r="G4" s="87" t="s">
        <v>144</v>
      </c>
    </row>
    <row r="5" spans="1:7">
      <c r="A5" t="s">
        <v>120</v>
      </c>
      <c r="B5" s="119" t="s">
        <v>230</v>
      </c>
      <c r="D5" t="s">
        <v>4</v>
      </c>
      <c r="E5" s="34">
        <v>60</v>
      </c>
      <c r="G5" s="87" t="s">
        <v>145</v>
      </c>
    </row>
    <row r="6" spans="1:7">
      <c r="A6" s="72" t="s">
        <v>122</v>
      </c>
      <c r="B6" s="147" t="s">
        <v>213</v>
      </c>
      <c r="C6" s="71"/>
      <c r="D6" s="71" t="s">
        <v>121</v>
      </c>
      <c r="E6" s="146" t="s">
        <v>214</v>
      </c>
      <c r="G6" s="87" t="s">
        <v>146</v>
      </c>
    </row>
    <row r="7" spans="1:7" ht="17" thickBot="1">
      <c r="A7" s="71"/>
      <c r="B7" s="120"/>
      <c r="C7" s="71"/>
      <c r="D7" s="71"/>
      <c r="E7" s="71"/>
      <c r="F7" s="71"/>
      <c r="G7" s="87"/>
    </row>
    <row r="8" spans="1:7" ht="15.75" customHeight="1">
      <c r="A8" s="108" t="s">
        <v>233</v>
      </c>
      <c r="B8" s="109" t="s">
        <v>127</v>
      </c>
      <c r="C8" s="110" t="s">
        <v>106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 s="151" customFormat="1" ht="16.5" customHeight="1">
      <c r="A9" s="104" t="s">
        <v>232</v>
      </c>
      <c r="B9" s="105"/>
      <c r="C9" s="95">
        <v>1</v>
      </c>
      <c r="D9" s="95">
        <v>60</v>
      </c>
      <c r="E9" s="103">
        <v>3850</v>
      </c>
      <c r="F9" s="94">
        <f t="shared" ref="F9" si="0">D9*E9</f>
        <v>231000</v>
      </c>
      <c r="G9" s="101" t="s">
        <v>125</v>
      </c>
    </row>
    <row r="10" spans="1:7" s="151" customFormat="1" ht="16.5" customHeight="1">
      <c r="A10" s="101" t="s">
        <v>238</v>
      </c>
      <c r="B10" s="102"/>
      <c r="C10" s="95">
        <v>1</v>
      </c>
      <c r="D10" s="95">
        <v>1</v>
      </c>
      <c r="E10" s="103">
        <v>220000</v>
      </c>
      <c r="F10" s="94">
        <f>C10*E10</f>
        <v>220000</v>
      </c>
      <c r="G10" s="93" t="s">
        <v>169</v>
      </c>
    </row>
    <row r="11" spans="1:7" ht="15.75" customHeight="1">
      <c r="A11" s="101" t="s">
        <v>104</v>
      </c>
      <c r="B11" s="102" t="s">
        <v>128</v>
      </c>
      <c r="C11" s="95">
        <v>1</v>
      </c>
      <c r="D11" s="95">
        <v>60</v>
      </c>
      <c r="E11" s="94">
        <v>15000</v>
      </c>
      <c r="F11" s="94">
        <f t="shared" ref="F11:F13" si="1">D11*E11</f>
        <v>900000</v>
      </c>
      <c r="G11" s="93" t="s">
        <v>101</v>
      </c>
    </row>
    <row r="12" spans="1:7" ht="15.75" customHeight="1">
      <c r="A12" s="101" t="s">
        <v>182</v>
      </c>
      <c r="B12" s="102"/>
      <c r="C12" s="95">
        <v>1</v>
      </c>
      <c r="D12" s="95">
        <v>60</v>
      </c>
      <c r="E12" s="94">
        <f>1800/1.19</f>
        <v>1512.6050420168067</v>
      </c>
      <c r="F12" s="94">
        <f t="shared" si="1"/>
        <v>90756.302521008402</v>
      </c>
      <c r="G12" s="93" t="s">
        <v>183</v>
      </c>
    </row>
    <row r="13" spans="1:7" ht="15.75" customHeight="1">
      <c r="A13" s="104" t="s">
        <v>232</v>
      </c>
      <c r="B13" s="105"/>
      <c r="C13" s="95">
        <v>1</v>
      </c>
      <c r="D13" s="95">
        <v>60</v>
      </c>
      <c r="E13" s="103">
        <v>3850</v>
      </c>
      <c r="F13" s="94">
        <f t="shared" si="1"/>
        <v>231000</v>
      </c>
      <c r="G13" s="101" t="s">
        <v>125</v>
      </c>
    </row>
    <row r="14" spans="1:7">
      <c r="A14" s="101" t="s">
        <v>105</v>
      </c>
      <c r="B14" s="102" t="s">
        <v>129</v>
      </c>
      <c r="C14" s="95">
        <v>1</v>
      </c>
      <c r="D14" s="95">
        <v>60</v>
      </c>
      <c r="E14" s="103">
        <v>15000</v>
      </c>
      <c r="F14" s="94">
        <f t="shared" ref="F14:F15" si="2">D14*E14</f>
        <v>900000</v>
      </c>
      <c r="G14" s="93" t="s">
        <v>165</v>
      </c>
    </row>
    <row r="15" spans="1:7">
      <c r="A15" s="101" t="s">
        <v>166</v>
      </c>
      <c r="B15" s="102"/>
      <c r="C15" s="95">
        <v>1</v>
      </c>
      <c r="D15" s="95">
        <v>60</v>
      </c>
      <c r="E15" s="94">
        <f>1800/1.19</f>
        <v>1512.6050420168067</v>
      </c>
      <c r="F15" s="94">
        <f t="shared" si="2"/>
        <v>90756.302521008402</v>
      </c>
      <c r="G15" s="93" t="s">
        <v>183</v>
      </c>
    </row>
    <row r="16" spans="1:7">
      <c r="A16" s="101" t="s">
        <v>220</v>
      </c>
      <c r="B16" s="102"/>
      <c r="C16" s="95" t="s">
        <v>221</v>
      </c>
      <c r="D16" s="95">
        <v>0</v>
      </c>
      <c r="E16" s="94">
        <v>9000</v>
      </c>
      <c r="F16" s="94">
        <f>D16*E16</f>
        <v>0</v>
      </c>
      <c r="G16" s="93"/>
    </row>
    <row r="17" spans="1:7">
      <c r="A17" s="153" t="s">
        <v>222</v>
      </c>
      <c r="C17" s="9"/>
      <c r="D17" s="9"/>
      <c r="E17" s="154">
        <v>3500</v>
      </c>
      <c r="G17" s="93" t="s">
        <v>223</v>
      </c>
    </row>
    <row r="18" spans="1:7" ht="16.5" customHeight="1">
      <c r="A18" s="116" t="s">
        <v>171</v>
      </c>
      <c r="B18" s="117"/>
      <c r="C18" s="95">
        <v>0</v>
      </c>
      <c r="D18" s="95">
        <v>0</v>
      </c>
      <c r="E18" s="118">
        <v>99000</v>
      </c>
      <c r="F18" s="94">
        <f>D18*E18</f>
        <v>0</v>
      </c>
      <c r="G18" s="116" t="s">
        <v>224</v>
      </c>
    </row>
    <row r="19" spans="1:7" ht="16.5" customHeight="1">
      <c r="A19" s="116" t="s">
        <v>236</v>
      </c>
      <c r="B19" s="117"/>
      <c r="C19" s="95">
        <v>30</v>
      </c>
      <c r="D19" s="95">
        <v>60</v>
      </c>
      <c r="E19" s="118">
        <v>118000</v>
      </c>
      <c r="F19" s="94">
        <f>C19*E19</f>
        <v>3540000</v>
      </c>
      <c r="G19" s="116" t="s">
        <v>212</v>
      </c>
    </row>
    <row r="20" spans="1:7" ht="16.5" customHeight="1" thickBot="1">
      <c r="A20" s="2" t="s">
        <v>86</v>
      </c>
      <c r="B20" s="78"/>
      <c r="C20" s="33"/>
      <c r="D20" s="23"/>
      <c r="E20" s="7"/>
      <c r="F20" s="5">
        <f>SUM(F9:F19)</f>
        <v>6203512.6050420161</v>
      </c>
      <c r="G20" s="32" t="s">
        <v>2</v>
      </c>
    </row>
    <row r="21" spans="1:7" s="151" customFormat="1" ht="16.5" customHeight="1">
      <c r="A21" s="108" t="s">
        <v>234</v>
      </c>
      <c r="B21" s="109"/>
      <c r="C21" s="110" t="s">
        <v>106</v>
      </c>
      <c r="D21" s="110" t="s">
        <v>6</v>
      </c>
      <c r="E21" s="110" t="s">
        <v>0</v>
      </c>
      <c r="F21" s="110" t="s">
        <v>1</v>
      </c>
      <c r="G21" s="111" t="s">
        <v>7</v>
      </c>
    </row>
    <row r="22" spans="1:7" s="151" customFormat="1" ht="16.5" customHeight="1">
      <c r="A22" s="106" t="s">
        <v>8</v>
      </c>
      <c r="B22" s="107"/>
      <c r="C22" s="95">
        <v>1</v>
      </c>
      <c r="D22" s="95">
        <v>60</v>
      </c>
      <c r="E22" s="123">
        <f>12500/1.19</f>
        <v>10504.20168067227</v>
      </c>
      <c r="F22" s="94" t="s">
        <v>210</v>
      </c>
      <c r="G22" s="93" t="s">
        <v>164</v>
      </c>
    </row>
    <row r="23" spans="1:7" s="151" customFormat="1" ht="16.5" customHeight="1">
      <c r="A23" s="101" t="s">
        <v>238</v>
      </c>
      <c r="B23" s="102"/>
      <c r="C23" s="95">
        <v>1</v>
      </c>
      <c r="D23" s="95">
        <v>1</v>
      </c>
      <c r="E23" s="103">
        <v>220000</v>
      </c>
      <c r="F23" s="94">
        <f>C23*E23</f>
        <v>220000</v>
      </c>
      <c r="G23" s="93" t="s">
        <v>169</v>
      </c>
    </row>
    <row r="24" spans="1:7" s="151" customFormat="1" ht="16.5" customHeight="1">
      <c r="A24" s="104" t="s">
        <v>167</v>
      </c>
      <c r="B24" s="105"/>
      <c r="C24" s="95">
        <v>1</v>
      </c>
      <c r="D24" s="95">
        <v>60</v>
      </c>
      <c r="E24" s="103">
        <v>3850</v>
      </c>
      <c r="F24" s="94">
        <f t="shared" ref="F24" si="3">D24*E24</f>
        <v>231000</v>
      </c>
      <c r="G24" s="101" t="s">
        <v>125</v>
      </c>
    </row>
    <row r="25" spans="1:7" s="151" customFormat="1" ht="16.5" customHeight="1">
      <c r="A25" s="101" t="s">
        <v>104</v>
      </c>
      <c r="B25" s="102" t="s">
        <v>128</v>
      </c>
      <c r="C25" s="95">
        <v>1</v>
      </c>
      <c r="D25" s="95">
        <v>60</v>
      </c>
      <c r="E25" s="94">
        <v>15000</v>
      </c>
      <c r="F25" s="94">
        <f t="shared" ref="F25:F27" si="4">D25*E25</f>
        <v>900000</v>
      </c>
      <c r="G25" s="93" t="s">
        <v>101</v>
      </c>
    </row>
    <row r="26" spans="1:7" s="151" customFormat="1" ht="16.5" customHeight="1">
      <c r="A26" s="101" t="s">
        <v>182</v>
      </c>
      <c r="B26" s="102"/>
      <c r="C26" s="95">
        <v>1</v>
      </c>
      <c r="D26" s="95">
        <v>60</v>
      </c>
      <c r="E26" s="94">
        <f>1800/1.19</f>
        <v>1512.6050420168067</v>
      </c>
      <c r="F26" s="94">
        <f t="shared" si="4"/>
        <v>90756.302521008402</v>
      </c>
      <c r="G26" s="93" t="s">
        <v>183</v>
      </c>
    </row>
    <row r="27" spans="1:7" s="151" customFormat="1" ht="16.5" customHeight="1">
      <c r="A27" s="104" t="s">
        <v>167</v>
      </c>
      <c r="B27" s="105"/>
      <c r="C27" s="95">
        <v>1</v>
      </c>
      <c r="D27" s="95">
        <v>60</v>
      </c>
      <c r="E27" s="103">
        <v>3850</v>
      </c>
      <c r="F27" s="94">
        <f t="shared" si="4"/>
        <v>231000</v>
      </c>
      <c r="G27" s="101" t="s">
        <v>125</v>
      </c>
    </row>
    <row r="28" spans="1:7" s="151" customFormat="1" ht="16.5" customHeight="1">
      <c r="A28" s="104" t="s">
        <v>239</v>
      </c>
      <c r="B28" s="105"/>
      <c r="C28" s="95">
        <v>1</v>
      </c>
      <c r="D28" s="95">
        <v>60</v>
      </c>
      <c r="E28" s="103">
        <v>8500</v>
      </c>
      <c r="F28" s="94"/>
      <c r="G28" s="101" t="s">
        <v>240</v>
      </c>
    </row>
    <row r="29" spans="1:7">
      <c r="A29" s="96" t="s">
        <v>215</v>
      </c>
      <c r="B29" s="152" t="s">
        <v>219</v>
      </c>
      <c r="C29" s="98">
        <v>0</v>
      </c>
      <c r="D29" s="95">
        <v>60</v>
      </c>
      <c r="E29" s="99">
        <v>14500</v>
      </c>
      <c r="F29" s="99">
        <f t="shared" ref="F29:F30" si="5">C29*D29*E29</f>
        <v>0</v>
      </c>
      <c r="G29" s="100" t="s">
        <v>217</v>
      </c>
    </row>
    <row r="30" spans="1:7" s="151" customFormat="1" ht="16.5" customHeight="1">
      <c r="A30" s="96" t="s">
        <v>216</v>
      </c>
      <c r="B30" s="152" t="s">
        <v>219</v>
      </c>
      <c r="C30" s="95">
        <v>0</v>
      </c>
      <c r="D30" s="95">
        <v>60</v>
      </c>
      <c r="E30" s="99">
        <v>14500</v>
      </c>
      <c r="F30" s="99">
        <f t="shared" si="5"/>
        <v>0</v>
      </c>
      <c r="G30" s="101" t="s">
        <v>218</v>
      </c>
    </row>
    <row r="31" spans="1:7">
      <c r="A31" s="101" t="s">
        <v>105</v>
      </c>
      <c r="B31" s="102" t="s">
        <v>129</v>
      </c>
      <c r="C31" s="95">
        <v>1</v>
      </c>
      <c r="D31" s="95">
        <v>60</v>
      </c>
      <c r="E31" s="103">
        <v>15000</v>
      </c>
      <c r="F31" s="94">
        <f t="shared" ref="F31" si="6">D31*E31</f>
        <v>900000</v>
      </c>
      <c r="G31" s="93" t="s">
        <v>165</v>
      </c>
    </row>
    <row r="32" spans="1:7" s="151" customFormat="1" ht="16.5" customHeight="1">
      <c r="A32" s="101" t="s">
        <v>166</v>
      </c>
      <c r="B32" s="102"/>
      <c r="C32" s="95">
        <v>1</v>
      </c>
      <c r="D32" s="95">
        <v>60</v>
      </c>
      <c r="E32" s="94">
        <f>1800/1.19</f>
        <v>1512.6050420168067</v>
      </c>
      <c r="F32" s="94">
        <f>D32*E32</f>
        <v>90756.302521008402</v>
      </c>
      <c r="G32" s="93" t="s">
        <v>183</v>
      </c>
    </row>
    <row r="33" spans="1:7" s="151" customFormat="1" ht="16.5" customHeight="1">
      <c r="A33" s="101" t="s">
        <v>220</v>
      </c>
      <c r="B33" s="102"/>
      <c r="C33" s="95" t="s">
        <v>221</v>
      </c>
      <c r="D33" s="95">
        <v>0</v>
      </c>
      <c r="E33" s="94">
        <v>9000</v>
      </c>
      <c r="F33" s="94">
        <f>D33*E33</f>
        <v>0</v>
      </c>
      <c r="G33" s="93"/>
    </row>
    <row r="34" spans="1:7" s="151" customFormat="1" ht="16.5" customHeight="1">
      <c r="A34" s="101" t="s">
        <v>222</v>
      </c>
      <c r="B34" s="156"/>
      <c r="C34" s="203">
        <v>0</v>
      </c>
      <c r="D34" s="203">
        <v>0</v>
      </c>
      <c r="E34" s="94">
        <v>3500</v>
      </c>
      <c r="F34" s="94">
        <f t="shared" ref="F34:F35" si="7">D34*E34</f>
        <v>0</v>
      </c>
      <c r="G34" s="93" t="s">
        <v>223</v>
      </c>
    </row>
    <row r="35" spans="1:7" s="151" customFormat="1" ht="16.5" customHeight="1">
      <c r="A35" s="101" t="s">
        <v>235</v>
      </c>
      <c r="B35" s="156"/>
      <c r="C35" s="203">
        <v>0</v>
      </c>
      <c r="D35" s="203">
        <v>0</v>
      </c>
      <c r="E35" s="94">
        <v>7000</v>
      </c>
      <c r="F35" s="94">
        <f t="shared" si="7"/>
        <v>0</v>
      </c>
      <c r="G35" s="93"/>
    </row>
    <row r="36" spans="1:7">
      <c r="A36" s="101" t="s">
        <v>188</v>
      </c>
      <c r="B36" s="102"/>
      <c r="C36" s="203">
        <v>0</v>
      </c>
      <c r="D36" s="203">
        <v>0</v>
      </c>
      <c r="E36" s="94">
        <v>350000</v>
      </c>
      <c r="F36" s="94">
        <v>0</v>
      </c>
      <c r="G36" s="136"/>
    </row>
    <row r="37" spans="1:7">
      <c r="A37" s="101" t="s">
        <v>189</v>
      </c>
      <c r="B37" s="102"/>
      <c r="C37" s="203">
        <v>0</v>
      </c>
      <c r="D37" s="203">
        <v>0</v>
      </c>
      <c r="E37" s="94">
        <v>450000</v>
      </c>
      <c r="F37" s="94">
        <v>0</v>
      </c>
      <c r="G37" s="136" t="s">
        <v>190</v>
      </c>
    </row>
    <row r="38" spans="1:7">
      <c r="A38" s="131" t="s">
        <v>191</v>
      </c>
      <c r="B38" s="132"/>
      <c r="C38" s="203">
        <v>0</v>
      </c>
      <c r="D38" s="203">
        <v>0</v>
      </c>
      <c r="E38" s="133">
        <v>3850</v>
      </c>
      <c r="F38" s="133">
        <v>0</v>
      </c>
      <c r="G38" s="134" t="s">
        <v>185</v>
      </c>
    </row>
    <row r="39" spans="1:7">
      <c r="A39" s="131" t="s">
        <v>192</v>
      </c>
      <c r="B39" s="132"/>
      <c r="C39" s="203">
        <v>0</v>
      </c>
      <c r="D39" s="203">
        <v>0</v>
      </c>
      <c r="E39" s="133">
        <v>24000</v>
      </c>
      <c r="F39" s="133">
        <v>0</v>
      </c>
      <c r="G39" s="27" t="s">
        <v>186</v>
      </c>
    </row>
    <row r="40" spans="1:7">
      <c r="A40" s="116" t="s">
        <v>171</v>
      </c>
      <c r="B40" s="117"/>
      <c r="C40" s="95">
        <v>0</v>
      </c>
      <c r="D40" s="95">
        <v>0</v>
      </c>
      <c r="E40" s="118">
        <v>99000</v>
      </c>
      <c r="F40" s="94">
        <f>D40*E40</f>
        <v>0</v>
      </c>
      <c r="G40" s="116" t="s">
        <v>224</v>
      </c>
    </row>
    <row r="41" spans="1:7" s="151" customFormat="1" ht="16.5" customHeight="1">
      <c r="A41" s="116" t="s">
        <v>211</v>
      </c>
      <c r="B41" s="117"/>
      <c r="C41" s="95">
        <v>30</v>
      </c>
      <c r="D41" s="95">
        <v>60</v>
      </c>
      <c r="E41" s="118">
        <v>128000</v>
      </c>
      <c r="F41" s="94">
        <f>C41*E41</f>
        <v>3840000</v>
      </c>
      <c r="G41" s="116" t="s">
        <v>212</v>
      </c>
    </row>
    <row r="42" spans="1:7" s="151" customFormat="1" ht="16.5" customHeight="1" thickBot="1">
      <c r="A42" s="2" t="s">
        <v>86</v>
      </c>
      <c r="B42" s="78"/>
      <c r="C42" s="33"/>
      <c r="D42" s="23"/>
      <c r="E42" s="7"/>
      <c r="F42" s="5">
        <f>SUM(F22:F41)</f>
        <v>6503512.6050420161</v>
      </c>
      <c r="G42" s="32" t="s">
        <v>2</v>
      </c>
    </row>
    <row r="43" spans="1:7" s="151" customFormat="1" ht="16.5" customHeight="1">
      <c r="A43" s="108" t="s">
        <v>237</v>
      </c>
      <c r="B43" s="109"/>
      <c r="C43" s="110" t="s">
        <v>106</v>
      </c>
      <c r="D43" s="110" t="s">
        <v>6</v>
      </c>
      <c r="E43" s="110" t="s">
        <v>0</v>
      </c>
      <c r="F43" s="110" t="s">
        <v>1</v>
      </c>
      <c r="G43" s="111" t="s">
        <v>7</v>
      </c>
    </row>
    <row r="44" spans="1:7" s="151" customFormat="1" ht="16.5" customHeight="1">
      <c r="A44" s="106" t="s">
        <v>8</v>
      </c>
      <c r="B44" s="150"/>
      <c r="C44" s="149">
        <v>1</v>
      </c>
      <c r="D44" s="149">
        <v>60</v>
      </c>
      <c r="E44" s="123">
        <v>10504</v>
      </c>
      <c r="F44" s="94" t="s">
        <v>107</v>
      </c>
      <c r="G44" s="93" t="s">
        <v>164</v>
      </c>
    </row>
    <row r="45" spans="1:7" s="151" customFormat="1" ht="16.5" customHeight="1">
      <c r="A45" s="101" t="s">
        <v>238</v>
      </c>
      <c r="B45" s="102"/>
      <c r="C45" s="95">
        <v>1</v>
      </c>
      <c r="D45" s="95">
        <v>1</v>
      </c>
      <c r="E45" s="103">
        <v>220000</v>
      </c>
      <c r="F45" s="94">
        <f>C45*E45</f>
        <v>220000</v>
      </c>
      <c r="G45" s="93" t="s">
        <v>169</v>
      </c>
    </row>
    <row r="46" spans="1:7" s="151" customFormat="1" ht="16.5" customHeight="1">
      <c r="A46" s="104" t="s">
        <v>232</v>
      </c>
      <c r="B46" s="105"/>
      <c r="C46" s="95">
        <v>1</v>
      </c>
      <c r="D46" s="95">
        <v>60</v>
      </c>
      <c r="E46" s="103">
        <v>3850</v>
      </c>
      <c r="F46" s="94">
        <f t="shared" ref="F46" si="8">D46*E46</f>
        <v>231000</v>
      </c>
      <c r="G46" s="101" t="s">
        <v>125</v>
      </c>
    </row>
    <row r="47" spans="1:7" ht="17">
      <c r="A47" s="101" t="s">
        <v>104</v>
      </c>
      <c r="B47" s="105"/>
      <c r="C47" s="149">
        <v>1</v>
      </c>
      <c r="D47" s="149">
        <v>60</v>
      </c>
      <c r="E47" s="94">
        <v>15000</v>
      </c>
      <c r="F47" s="124">
        <f>D47*E47</f>
        <v>900000</v>
      </c>
      <c r="G47" s="122" t="s">
        <v>174</v>
      </c>
    </row>
    <row r="48" spans="1:7" s="16" customFormat="1" ht="16.5" customHeight="1">
      <c r="A48" s="101" t="s">
        <v>166</v>
      </c>
      <c r="B48" s="121" t="s">
        <v>2</v>
      </c>
      <c r="C48" s="149">
        <v>1</v>
      </c>
      <c r="D48" s="149">
        <v>60</v>
      </c>
      <c r="E48" s="94">
        <f>1513</f>
        <v>1513</v>
      </c>
      <c r="F48" s="124">
        <f>D48*E48</f>
        <v>90780</v>
      </c>
      <c r="G48" s="9"/>
    </row>
    <row r="49" spans="1:7" s="151" customFormat="1" ht="16.5" customHeight="1">
      <c r="A49" s="2" t="s">
        <v>86</v>
      </c>
      <c r="B49" s="78"/>
      <c r="C49" s="33"/>
      <c r="D49" s="23"/>
      <c r="E49" s="7"/>
      <c r="F49" s="5">
        <f>SUM(F44:F48)</f>
        <v>1441780</v>
      </c>
      <c r="G49" s="32" t="s">
        <v>2</v>
      </c>
    </row>
    <row r="50" spans="1:7">
      <c r="A50" s="112" t="s">
        <v>161</v>
      </c>
      <c r="B50" s="113" t="s">
        <v>173</v>
      </c>
      <c r="C50" s="114"/>
      <c r="D50" s="114"/>
      <c r="E50" s="115"/>
      <c r="F50" s="115" t="s">
        <v>2</v>
      </c>
      <c r="G50" s="112" t="s">
        <v>162</v>
      </c>
    </row>
    <row r="51" spans="1:7">
      <c r="A51" s="96" t="s">
        <v>157</v>
      </c>
      <c r="B51" s="97" t="s">
        <v>2</v>
      </c>
      <c r="C51" s="98">
        <v>0</v>
      </c>
      <c r="D51" s="98">
        <v>0</v>
      </c>
      <c r="E51" s="99">
        <v>0</v>
      </c>
      <c r="F51" s="99">
        <f t="shared" ref="F51:F54" si="9">C51*D51*E51</f>
        <v>0</v>
      </c>
      <c r="G51" s="100" t="s">
        <v>159</v>
      </c>
    </row>
    <row r="52" spans="1:7">
      <c r="A52" s="96" t="s">
        <v>153</v>
      </c>
      <c r="B52" s="97" t="s">
        <v>2</v>
      </c>
      <c r="C52" s="98">
        <v>0</v>
      </c>
      <c r="D52" s="98">
        <v>0</v>
      </c>
      <c r="E52" s="99">
        <v>0</v>
      </c>
      <c r="F52" s="99">
        <f t="shared" si="9"/>
        <v>0</v>
      </c>
      <c r="G52" s="100" t="s">
        <v>160</v>
      </c>
    </row>
    <row r="53" spans="1:7" ht="16.5" customHeight="1">
      <c r="A53" s="96" t="s">
        <v>154</v>
      </c>
      <c r="B53" s="97" t="s">
        <v>2</v>
      </c>
      <c r="C53" s="98">
        <v>0</v>
      </c>
      <c r="D53" s="98">
        <v>0</v>
      </c>
      <c r="E53" s="99">
        <v>0</v>
      </c>
      <c r="F53" s="99">
        <f t="shared" si="9"/>
        <v>0</v>
      </c>
      <c r="G53" s="100" t="s">
        <v>158</v>
      </c>
    </row>
    <row r="54" spans="1:7" ht="17" thickBot="1">
      <c r="A54" s="96" t="s">
        <v>155</v>
      </c>
      <c r="B54" s="97" t="s">
        <v>2</v>
      </c>
      <c r="C54" s="98">
        <v>0</v>
      </c>
      <c r="D54" s="98">
        <v>0</v>
      </c>
      <c r="E54" s="99">
        <v>0</v>
      </c>
      <c r="F54" s="99">
        <f t="shared" si="9"/>
        <v>0</v>
      </c>
      <c r="G54" s="96" t="s">
        <v>156</v>
      </c>
    </row>
    <row r="55" spans="1:7" ht="17" thickBot="1">
      <c r="A55" s="36" t="s">
        <v>163</v>
      </c>
      <c r="B55" s="80"/>
      <c r="C55" s="37"/>
      <c r="D55" s="37"/>
      <c r="E55" s="38"/>
      <c r="F55" s="39">
        <f>F20+F42+F49</f>
        <v>14148805.210084032</v>
      </c>
      <c r="G55" s="6" t="s">
        <v>123</v>
      </c>
    </row>
    <row r="56" spans="1:7">
      <c r="A56" s="3" t="s">
        <v>124</v>
      </c>
      <c r="B56" s="79"/>
      <c r="C56" s="31"/>
      <c r="D56" s="23"/>
      <c r="E56" s="7"/>
      <c r="F56" s="5">
        <f>F55*1.19-F55</f>
        <v>2688272.989915967</v>
      </c>
      <c r="G56" s="6"/>
    </row>
    <row r="57" spans="1:7">
      <c r="A57" s="81" t="s">
        <v>170</v>
      </c>
      <c r="B57" s="82"/>
      <c r="C57" s="83"/>
      <c r="D57" s="83"/>
      <c r="E57" s="84"/>
      <c r="F57" s="85">
        <f>F55+F56</f>
        <v>16837078.199999999</v>
      </c>
      <c r="G57" s="6"/>
    </row>
    <row r="58" spans="1:7">
      <c r="A58" s="3"/>
      <c r="B58" s="79"/>
      <c r="C58" s="31"/>
      <c r="D58" s="23"/>
      <c r="E58" s="7"/>
      <c r="F58" s="4"/>
      <c r="G58" s="6"/>
    </row>
    <row r="59" spans="1:7">
      <c r="A59" s="128" t="s">
        <v>184</v>
      </c>
      <c r="B59" s="129" t="s">
        <v>127</v>
      </c>
      <c r="C59" s="130" t="s">
        <v>106</v>
      </c>
      <c r="D59" s="130" t="s">
        <v>6</v>
      </c>
      <c r="E59" s="130" t="s">
        <v>0</v>
      </c>
      <c r="F59" s="130" t="s">
        <v>1</v>
      </c>
      <c r="G59" s="130" t="s">
        <v>7</v>
      </c>
    </row>
    <row r="60" spans="1:7">
      <c r="A60" s="101" t="s">
        <v>225</v>
      </c>
      <c r="B60" s="102"/>
      <c r="C60" s="43">
        <v>0</v>
      </c>
      <c r="D60" s="43">
        <v>0</v>
      </c>
      <c r="E60" s="94">
        <v>80000</v>
      </c>
      <c r="F60" s="133">
        <v>0</v>
      </c>
      <c r="G60" s="93" t="s">
        <v>193</v>
      </c>
    </row>
    <row r="61" spans="1:7">
      <c r="A61" s="162" t="s">
        <v>227</v>
      </c>
      <c r="B61" s="163"/>
      <c r="C61" s="164">
        <v>0</v>
      </c>
      <c r="D61" s="164">
        <v>0</v>
      </c>
      <c r="E61" s="165">
        <v>15000</v>
      </c>
      <c r="F61" s="166">
        <v>0</v>
      </c>
      <c r="G61" s="167" t="s">
        <v>228</v>
      </c>
    </row>
    <row r="62" spans="1:7">
      <c r="A62" s="168" t="s">
        <v>167</v>
      </c>
      <c r="B62" s="169"/>
      <c r="C62" s="170">
        <v>0</v>
      </c>
      <c r="D62" s="170">
        <v>0</v>
      </c>
      <c r="E62" s="171">
        <v>3850</v>
      </c>
      <c r="F62" s="172">
        <v>0</v>
      </c>
      <c r="G62" s="173" t="s">
        <v>125</v>
      </c>
    </row>
    <row r="63" spans="1:7">
      <c r="A63" s="168" t="s">
        <v>102</v>
      </c>
      <c r="B63" s="169"/>
      <c r="C63" s="170">
        <v>0</v>
      </c>
      <c r="D63" s="170">
        <v>0</v>
      </c>
      <c r="E63" s="171">
        <v>4800</v>
      </c>
      <c r="F63" s="172">
        <v>0</v>
      </c>
      <c r="G63" s="173" t="s">
        <v>168</v>
      </c>
    </row>
    <row r="64" spans="1:7">
      <c r="A64" s="168" t="s">
        <v>103</v>
      </c>
      <c r="B64" s="169"/>
      <c r="C64" s="170">
        <v>0</v>
      </c>
      <c r="D64" s="170">
        <v>0</v>
      </c>
      <c r="E64" s="171">
        <v>5500</v>
      </c>
      <c r="F64" s="172">
        <v>0</v>
      </c>
      <c r="G64" s="173" t="s">
        <v>126</v>
      </c>
    </row>
    <row r="65" spans="1:7" ht="34">
      <c r="A65" s="101" t="s">
        <v>194</v>
      </c>
      <c r="B65" s="137"/>
      <c r="C65" s="138">
        <v>1</v>
      </c>
      <c r="D65" s="137"/>
      <c r="E65" s="139">
        <v>8500</v>
      </c>
      <c r="F65" s="140"/>
      <c r="G65" s="141" t="s">
        <v>195</v>
      </c>
    </row>
    <row r="66" spans="1:7" ht="51">
      <c r="A66" s="101" t="s">
        <v>196</v>
      </c>
      <c r="B66" s="137"/>
      <c r="C66" s="138">
        <v>1</v>
      </c>
      <c r="D66" s="137"/>
      <c r="E66" s="139">
        <v>13500</v>
      </c>
      <c r="F66" s="140"/>
      <c r="G66" s="155" t="s">
        <v>197</v>
      </c>
    </row>
    <row r="67" spans="1:7">
      <c r="A67" s="174" t="s">
        <v>187</v>
      </c>
      <c r="B67" s="175"/>
      <c r="C67" s="176"/>
      <c r="D67" s="176"/>
      <c r="E67" s="177"/>
      <c r="F67" s="177">
        <v>0</v>
      </c>
      <c r="G67" s="167" t="s">
        <v>226</v>
      </c>
    </row>
    <row r="68" spans="1:7" s="151" customFormat="1">
      <c r="A68" s="157"/>
      <c r="B68" s="158"/>
      <c r="C68" s="159"/>
      <c r="D68" s="159"/>
      <c r="E68" s="160"/>
      <c r="F68" s="160"/>
      <c r="G68" s="161"/>
    </row>
    <row r="69" spans="1:7">
      <c r="A69" s="125" t="s">
        <v>130</v>
      </c>
      <c r="B69" s="79"/>
      <c r="C69" s="31"/>
      <c r="D69" s="23"/>
      <c r="E69" s="7"/>
      <c r="F69" s="4"/>
      <c r="G69" s="6"/>
    </row>
    <row r="70" spans="1:7" ht="17">
      <c r="A70" s="127" t="s">
        <v>180</v>
      </c>
      <c r="B70"/>
      <c r="E70" s="75"/>
      <c r="F70" s="75"/>
      <c r="G70" s="75"/>
    </row>
    <row r="71" spans="1:7">
      <c r="A71" s="127" t="s">
        <v>181</v>
      </c>
      <c r="B71"/>
    </row>
    <row r="72" spans="1:7">
      <c r="B72"/>
    </row>
    <row r="73" spans="1:7">
      <c r="A73" s="125" t="s">
        <v>198</v>
      </c>
    </row>
    <row r="74" spans="1:7">
      <c r="A74" s="126" t="s">
        <v>199</v>
      </c>
      <c r="B74"/>
    </row>
    <row r="75" spans="1:7">
      <c r="A75" s="127" t="s">
        <v>176</v>
      </c>
      <c r="B75"/>
    </row>
    <row r="76" spans="1:7">
      <c r="A76" s="127" t="s">
        <v>177</v>
      </c>
      <c r="B76"/>
    </row>
    <row r="77" spans="1:7">
      <c r="A77" s="125" t="s">
        <v>175</v>
      </c>
      <c r="B77"/>
    </row>
    <row r="78" spans="1:7">
      <c r="A78" s="127" t="s">
        <v>200</v>
      </c>
      <c r="B78"/>
    </row>
    <row r="79" spans="1:7">
      <c r="A79" s="125" t="s">
        <v>178</v>
      </c>
      <c r="B79"/>
    </row>
    <row r="80" spans="1:7">
      <c r="A80" s="127" t="s">
        <v>201</v>
      </c>
      <c r="B80"/>
    </row>
    <row r="81" spans="1:6">
      <c r="A81" s="127" t="s">
        <v>202</v>
      </c>
      <c r="B81"/>
    </row>
    <row r="82" spans="1:6">
      <c r="A82" s="127" t="s">
        <v>203</v>
      </c>
      <c r="B82"/>
    </row>
    <row r="83" spans="1:6">
      <c r="A83" s="127" t="s">
        <v>204</v>
      </c>
      <c r="B83"/>
    </row>
    <row r="84" spans="1:6">
      <c r="A84" s="126"/>
      <c r="B84"/>
    </row>
    <row r="85" spans="1:6">
      <c r="A85" s="126" t="s">
        <v>205</v>
      </c>
      <c r="B85"/>
    </row>
    <row r="86" spans="1:6">
      <c r="A86" s="142"/>
      <c r="B86" s="126"/>
      <c r="C86" s="126"/>
      <c r="D86" s="126"/>
      <c r="E86" s="126"/>
      <c r="F86" s="126"/>
    </row>
    <row r="87" spans="1:6">
      <c r="A87" s="143" t="s">
        <v>206</v>
      </c>
      <c r="B87"/>
    </row>
    <row r="88" spans="1:6">
      <c r="A88" s="145" t="s">
        <v>207</v>
      </c>
      <c r="B88"/>
    </row>
    <row r="89" spans="1:6" ht="16" customHeight="1">
      <c r="A89" s="126"/>
      <c r="B89" s="145"/>
      <c r="C89" s="145"/>
      <c r="D89" s="145"/>
      <c r="E89" s="145"/>
      <c r="F89" s="145"/>
    </row>
    <row r="90" spans="1:6">
      <c r="A90" s="125" t="s">
        <v>179</v>
      </c>
      <c r="B90"/>
    </row>
    <row r="91" spans="1:6">
      <c r="A91" s="126"/>
      <c r="B91"/>
    </row>
    <row r="92" spans="1:6">
      <c r="A92" s="126" t="s">
        <v>131</v>
      </c>
      <c r="B92"/>
    </row>
    <row r="93" spans="1:6">
      <c r="A93" s="126" t="s">
        <v>133</v>
      </c>
      <c r="B93" s="126" t="s">
        <v>132</v>
      </c>
    </row>
    <row r="94" spans="1:6">
      <c r="A94" s="126" t="s">
        <v>135</v>
      </c>
      <c r="B94"/>
      <c r="D94" s="126" t="s">
        <v>134</v>
      </c>
    </row>
    <row r="95" spans="1:6">
      <c r="A95" s="126" t="s">
        <v>136</v>
      </c>
      <c r="B95" s="126" t="s">
        <v>208</v>
      </c>
    </row>
    <row r="96" spans="1:6">
      <c r="A96" s="126" t="s">
        <v>138</v>
      </c>
      <c r="B96"/>
      <c r="D96" s="126" t="s">
        <v>137</v>
      </c>
    </row>
    <row r="97" spans="1:4">
      <c r="A97" s="126" t="s">
        <v>140</v>
      </c>
      <c r="B97"/>
      <c r="D97" s="126" t="s">
        <v>139</v>
      </c>
    </row>
    <row r="98" spans="1:4">
      <c r="A98" s="126" t="s">
        <v>5</v>
      </c>
      <c r="B98"/>
      <c r="C98" s="126" t="s">
        <v>141</v>
      </c>
    </row>
    <row r="99" spans="1:4">
      <c r="A99" s="144" t="s">
        <v>209</v>
      </c>
      <c r="B99"/>
      <c r="D99" s="126">
        <v>29539311</v>
      </c>
    </row>
    <row r="100" spans="1:4">
      <c r="B100"/>
    </row>
  </sheetData>
  <mergeCells count="1">
    <mergeCell ref="E3:F3"/>
  </mergeCells>
  <phoneticPr fontId="7" type="noConversion"/>
  <hyperlinks>
    <hyperlink ref="A99" r:id="rId1" display="mailto:sf@sflodge.cl" xr:uid="{F2E06317-FA26-FE40-932C-91E8DCBE551E}"/>
    <hyperlink ref="B4" r:id="rId2" xr:uid="{0473184A-CFA8-3644-8148-8B793B954980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89"/>
      <c r="B1" s="189"/>
      <c r="C1" s="189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89"/>
      <c r="B2" s="189"/>
      <c r="C2" s="189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89"/>
      <c r="B3" s="189"/>
      <c r="C3" s="189"/>
      <c r="D3" s="24"/>
      <c r="E3" s="24" t="s">
        <v>116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89"/>
      <c r="B4" s="189"/>
      <c r="C4" s="189"/>
      <c r="D4" s="41"/>
      <c r="E4" s="41" t="s">
        <v>117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90" t="s">
        <v>110</v>
      </c>
      <c r="D6" s="191"/>
      <c r="E6" s="192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80" t="s">
        <v>111</v>
      </c>
      <c r="D7" s="181"/>
      <c r="E7" s="182"/>
      <c r="F7" s="52"/>
      <c r="G7" s="52"/>
      <c r="H7" s="52"/>
      <c r="I7" s="53" t="s">
        <v>112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80" t="s">
        <v>111</v>
      </c>
      <c r="D8" s="181"/>
      <c r="E8" s="182"/>
      <c r="F8" s="52"/>
      <c r="G8" s="52"/>
      <c r="H8" s="52"/>
      <c r="I8" s="53" t="s">
        <v>112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83" t="s">
        <v>96</v>
      </c>
      <c r="D9" s="184"/>
      <c r="E9" s="185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80" t="s">
        <v>111</v>
      </c>
      <c r="D10" s="181"/>
      <c r="E10" s="182"/>
      <c r="F10" s="52"/>
      <c r="G10" s="52"/>
      <c r="H10" s="52"/>
      <c r="I10" s="53" t="s">
        <v>112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80" t="s">
        <v>111</v>
      </c>
      <c r="D11" s="181"/>
      <c r="E11" s="182"/>
      <c r="F11" s="52"/>
      <c r="G11" s="52"/>
      <c r="H11" s="52"/>
      <c r="I11" s="53" t="s">
        <v>112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93" t="s">
        <v>97</v>
      </c>
      <c r="D12" s="194"/>
      <c r="E12" s="195"/>
      <c r="F12" s="44"/>
      <c r="G12" s="44"/>
      <c r="H12" s="43"/>
      <c r="I12" s="27" t="s">
        <v>108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96" t="s">
        <v>109</v>
      </c>
      <c r="D13" s="197"/>
      <c r="E13" s="198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99" t="s">
        <v>113</v>
      </c>
      <c r="D15" s="191"/>
      <c r="E15" s="192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200" t="s">
        <v>94</v>
      </c>
      <c r="D16" s="201"/>
      <c r="E16" s="202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80" t="s">
        <v>111</v>
      </c>
      <c r="D17" s="181"/>
      <c r="E17" s="182"/>
      <c r="F17" s="52"/>
      <c r="G17" s="52"/>
      <c r="H17" s="52"/>
      <c r="I17" s="53" t="s">
        <v>112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80" t="s">
        <v>111</v>
      </c>
      <c r="D18" s="181"/>
      <c r="E18" s="182"/>
      <c r="F18" s="52"/>
      <c r="G18" s="52"/>
      <c r="H18" s="52"/>
      <c r="I18" s="53" t="s">
        <v>112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83" t="s">
        <v>96</v>
      </c>
      <c r="D19" s="184"/>
      <c r="E19" s="185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80" t="s">
        <v>111</v>
      </c>
      <c r="D20" s="181"/>
      <c r="E20" s="182"/>
      <c r="F20" s="52"/>
      <c r="G20" s="52"/>
      <c r="H20" s="52"/>
      <c r="I20" s="53" t="s">
        <v>112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80" t="s">
        <v>111</v>
      </c>
      <c r="D21" s="181"/>
      <c r="E21" s="182"/>
      <c r="F21" s="52"/>
      <c r="G21" s="52"/>
      <c r="H21" s="52"/>
      <c r="I21" s="53" t="s">
        <v>112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93" t="s">
        <v>97</v>
      </c>
      <c r="D22" s="194"/>
      <c r="E22" s="195"/>
      <c r="F22" s="44"/>
      <c r="G22" s="44"/>
      <c r="H22" s="43"/>
      <c r="I22" s="27" t="s">
        <v>108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96" t="s">
        <v>109</v>
      </c>
      <c r="D23" s="197"/>
      <c r="E23" s="198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99" t="s">
        <v>114</v>
      </c>
      <c r="D25" s="191"/>
      <c r="E25" s="192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200" t="s">
        <v>94</v>
      </c>
      <c r="D26" s="201"/>
      <c r="E26" s="202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80" t="s">
        <v>111</v>
      </c>
      <c r="D27" s="181"/>
      <c r="E27" s="182"/>
      <c r="F27" s="52"/>
      <c r="G27" s="52"/>
      <c r="H27" s="52"/>
      <c r="I27" s="53" t="s">
        <v>112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80" t="s">
        <v>111</v>
      </c>
      <c r="D28" s="181"/>
      <c r="E28" s="182"/>
      <c r="F28" s="52"/>
      <c r="G28" s="52"/>
      <c r="H28" s="52"/>
      <c r="I28" s="53" t="s">
        <v>112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83" t="s">
        <v>96</v>
      </c>
      <c r="D29" s="184"/>
      <c r="E29" s="185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80" t="s">
        <v>111</v>
      </c>
      <c r="D30" s="181"/>
      <c r="E30" s="182"/>
      <c r="F30" s="52"/>
      <c r="G30" s="52"/>
      <c r="H30" s="52"/>
      <c r="I30" s="53" t="s">
        <v>112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80" t="s">
        <v>111</v>
      </c>
      <c r="D31" s="181"/>
      <c r="E31" s="182"/>
      <c r="F31" s="52"/>
      <c r="G31" s="52"/>
      <c r="H31" s="52"/>
      <c r="I31" s="53" t="s">
        <v>112</v>
      </c>
      <c r="J31" s="22"/>
      <c r="K31" s="22"/>
      <c r="L31" s="22"/>
      <c r="M31" s="22"/>
      <c r="N31" s="22"/>
    </row>
    <row r="32" spans="1:14" s="55" customFormat="1" ht="15" customHeight="1">
      <c r="A32" s="186"/>
      <c r="B32" s="186"/>
      <c r="C32" s="186"/>
      <c r="D32" s="186"/>
      <c r="E32" s="186"/>
      <c r="F32" s="186"/>
      <c r="G32" s="186"/>
      <c r="H32" s="186"/>
      <c r="I32" s="186"/>
      <c r="J32" s="54"/>
      <c r="K32" s="54"/>
      <c r="L32" s="54"/>
      <c r="M32" s="54"/>
      <c r="N32" s="54"/>
    </row>
    <row r="33" spans="1:14" s="55" customFormat="1" ht="15" customHeight="1">
      <c r="A33" s="187" t="s">
        <v>115</v>
      </c>
      <c r="B33" s="187"/>
      <c r="C33" s="187"/>
      <c r="D33" s="187"/>
      <c r="E33" s="187"/>
      <c r="F33" s="187"/>
      <c r="G33" s="187"/>
      <c r="H33" s="187"/>
      <c r="I33" s="187"/>
      <c r="J33" s="54"/>
      <c r="K33" s="54"/>
      <c r="L33" s="54"/>
      <c r="M33" s="54"/>
      <c r="N33" s="54"/>
    </row>
    <row r="34" spans="1:14" s="55" customFormat="1" ht="15" customHeight="1">
      <c r="A34" s="186"/>
      <c r="B34" s="186"/>
      <c r="C34" s="186"/>
      <c r="D34" s="186"/>
      <c r="E34" s="186"/>
      <c r="F34" s="186"/>
      <c r="G34" s="186"/>
      <c r="H34" s="186"/>
      <c r="I34" s="186"/>
      <c r="J34" s="54"/>
      <c r="K34" s="54"/>
      <c r="L34" s="54"/>
      <c r="M34" s="54"/>
      <c r="N34" s="54"/>
    </row>
    <row r="35" spans="1:14" s="55" customFormat="1" ht="15" customHeight="1">
      <c r="A35" s="186"/>
      <c r="B35" s="186"/>
      <c r="C35" s="186"/>
      <c r="D35" s="186"/>
      <c r="E35" s="186"/>
      <c r="F35" s="186"/>
      <c r="G35" s="186"/>
      <c r="H35" s="186"/>
      <c r="I35" s="186"/>
      <c r="J35" s="54"/>
      <c r="K35" s="54"/>
      <c r="L35" s="54"/>
      <c r="M35" s="54"/>
      <c r="N35" s="54"/>
    </row>
    <row r="36" spans="1:14" s="55" customFormat="1" ht="15" customHeight="1">
      <c r="A36" s="186"/>
      <c r="B36" s="186"/>
      <c r="C36" s="186"/>
      <c r="D36" s="186"/>
      <c r="E36" s="186"/>
      <c r="F36" s="186"/>
      <c r="G36" s="186"/>
      <c r="H36" s="186"/>
      <c r="I36" s="186"/>
      <c r="J36" s="54"/>
      <c r="K36" s="54"/>
      <c r="L36" s="54"/>
      <c r="M36" s="54"/>
      <c r="N36" s="54"/>
    </row>
    <row r="37" spans="1:14" s="55" customFormat="1" ht="15" customHeight="1">
      <c r="A37" s="186"/>
      <c r="B37" s="186"/>
      <c r="C37" s="186"/>
      <c r="D37" s="186"/>
      <c r="E37" s="186"/>
      <c r="F37" s="186"/>
      <c r="G37" s="186"/>
      <c r="H37" s="186"/>
      <c r="I37" s="186"/>
      <c r="J37" s="54"/>
      <c r="K37" s="54"/>
      <c r="L37" s="54"/>
      <c r="M37" s="54"/>
      <c r="N37" s="54"/>
    </row>
    <row r="38" spans="1:14" s="55" customFormat="1" ht="15" customHeight="1">
      <c r="A38" s="186"/>
      <c r="B38" s="186"/>
      <c r="C38" s="186"/>
      <c r="D38" s="186"/>
      <c r="E38" s="186"/>
      <c r="F38" s="186"/>
      <c r="G38" s="186"/>
      <c r="H38" s="186"/>
      <c r="I38" s="186"/>
      <c r="J38" s="54"/>
      <c r="K38" s="54"/>
      <c r="L38" s="54"/>
      <c r="M38" s="54"/>
      <c r="N38" s="54"/>
    </row>
    <row r="39" spans="1:14" s="55" customFormat="1" ht="15" customHeight="1">
      <c r="A39" s="186"/>
      <c r="B39" s="186"/>
      <c r="C39" s="186"/>
      <c r="D39" s="186"/>
      <c r="E39" s="186"/>
      <c r="F39" s="186"/>
      <c r="G39" s="186"/>
      <c r="H39" s="186"/>
      <c r="I39" s="186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88" t="s">
        <v>98</v>
      </c>
      <c r="B44" s="188"/>
      <c r="C44" s="188"/>
      <c r="D44" s="188"/>
      <c r="E44" s="188"/>
      <c r="F44" s="188"/>
      <c r="G44" s="188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89"/>
      <c r="B45" s="189"/>
      <c r="C45" s="189"/>
      <c r="D45" s="189"/>
      <c r="E45" s="189"/>
      <c r="F45" s="189"/>
      <c r="G45" s="189"/>
      <c r="H45" s="35"/>
      <c r="I45" s="22"/>
      <c r="J45" s="22"/>
      <c r="K45" s="22"/>
      <c r="L45" s="22"/>
      <c r="M45" s="22"/>
      <c r="N45" s="22"/>
    </row>
    <row r="46" spans="1:14">
      <c r="A46" s="179" t="s">
        <v>100</v>
      </c>
      <c r="B46" s="179"/>
      <c r="C46" s="179"/>
      <c r="D46" s="179"/>
      <c r="E46" s="179"/>
      <c r="F46" s="179"/>
      <c r="G46" s="179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147</v>
      </c>
    </row>
    <row r="3" spans="1:1" ht="28" customHeight="1" thickBot="1">
      <c r="A3" s="89" t="s">
        <v>148</v>
      </c>
    </row>
    <row r="4" spans="1:1" ht="18">
      <c r="A4" s="90" t="s">
        <v>149</v>
      </c>
    </row>
    <row r="5" spans="1:1" ht="41" customHeight="1">
      <c r="A5" s="91" t="s">
        <v>150</v>
      </c>
    </row>
    <row r="6" spans="1:1" ht="33" customHeight="1" thickBot="1">
      <c r="A6" s="89" t="s">
        <v>152</v>
      </c>
    </row>
    <row r="7" spans="1:1" ht="29" customHeight="1" thickBot="1">
      <c r="A7" s="9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2019-12-20T15:38:01Z</dcterms:modified>
</cp:coreProperties>
</file>