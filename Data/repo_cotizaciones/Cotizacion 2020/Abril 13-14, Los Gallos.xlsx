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gioab\Dropbox\Eventos lodge\Eventos cotizados\Carmen\Cotizacion 2020\"/>
    </mc:Choice>
  </mc:AlternateContent>
  <xr:revisionPtr revIDLastSave="0" documentId="13_ncr:1_{2FD48367-C0DE-4944-8C75-24D94A83015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0" i="1" l="1"/>
  <c r="E51" i="1"/>
  <c r="F33" i="1"/>
  <c r="F51" i="1"/>
  <c r="F42" i="1"/>
  <c r="F43" i="1"/>
  <c r="F44" i="1"/>
  <c r="F45" i="1"/>
  <c r="F46" i="1"/>
  <c r="F47" i="1"/>
  <c r="F48" i="1"/>
  <c r="F41" i="1"/>
  <c r="E29" i="1"/>
  <c r="C28" i="1"/>
  <c r="F28" i="1" s="1"/>
  <c r="C29" i="1"/>
  <c r="F29" i="1" s="1"/>
  <c r="C30" i="1"/>
  <c r="D29" i="1" l="1"/>
  <c r="D28" i="1"/>
  <c r="D31" i="1" s="1"/>
  <c r="F30" i="1"/>
  <c r="F52" i="1"/>
  <c r="F20" i="1"/>
  <c r="E19" i="1" l="1"/>
  <c r="F49" i="1" l="1"/>
  <c r="F37" i="1"/>
  <c r="F27" i="1" l="1"/>
  <c r="E10" i="1" l="1"/>
  <c r="E18" i="1" l="1"/>
  <c r="F18" i="1" s="1"/>
  <c r="F17" i="1"/>
  <c r="F36" i="1"/>
  <c r="F38" i="1"/>
  <c r="F35" i="1"/>
  <c r="F11" i="1"/>
  <c r="F14" i="1"/>
  <c r="F19" i="1"/>
  <c r="F24" i="1"/>
  <c r="F16" i="1"/>
  <c r="F55" i="1"/>
  <c r="F56" i="1"/>
  <c r="F57" i="1"/>
  <c r="F54" i="1"/>
  <c r="F30" i="5"/>
  <c r="E30" i="5"/>
  <c r="D30" i="5"/>
  <c r="C30" i="5"/>
  <c r="B30" i="5"/>
  <c r="P29" i="5"/>
  <c r="O29" i="5"/>
  <c r="N29" i="5"/>
  <c r="K29" i="5"/>
  <c r="J29" i="5"/>
  <c r="I29" i="5"/>
  <c r="Z23" i="5"/>
  <c r="F39" i="1" l="1"/>
  <c r="F25" i="1"/>
  <c r="F31" i="1"/>
  <c r="F58" i="1" l="1"/>
  <c r="C8" i="1" s="1"/>
  <c r="F59" i="1"/>
  <c r="F60" i="1" s="1"/>
</calcChain>
</file>

<file path=xl/sharedStrings.xml><?xml version="1.0" encoding="utf-8"?>
<sst xmlns="http://schemas.openxmlformats.org/spreadsheetml/2006/main" count="444" uniqueCount="241">
  <si>
    <t xml:space="preserve">Valor </t>
  </si>
  <si>
    <t>Total</t>
  </si>
  <si>
    <t xml:space="preserve"> </t>
  </si>
  <si>
    <t>Empresa:</t>
  </si>
  <si>
    <t>Nº Pasajeros</t>
  </si>
  <si>
    <t>Fono:</t>
  </si>
  <si>
    <t>Nº Pax</t>
  </si>
  <si>
    <t>Detalle de servicios.</t>
  </si>
  <si>
    <t>Desayuno Buffet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</si>
  <si>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</si>
  <si>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</si>
  <si>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</si>
  <si>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</si>
  <si>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</si>
  <si>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</si>
  <si>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</si>
  <si>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</si>
  <si>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</si>
  <si>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</si>
  <si>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</si>
  <si>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</si>
  <si>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</si>
  <si>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</si>
  <si>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</si>
  <si>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</si>
  <si>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</si>
  <si>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</si>
  <si>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</si>
  <si>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</si>
  <si>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</si>
  <si>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</si>
  <si>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</si>
  <si>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</si>
  <si>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</si>
  <si>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</si>
  <si>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</si>
  <si>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</si>
  <si>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</si>
  <si>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</si>
  <si>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</si>
  <si>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</si>
  <si>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</si>
  <si>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</si>
  <si>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</si>
  <si>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</si>
  <si>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</si>
  <si>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</si>
  <si>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</si>
  <si>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</si>
  <si>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</si>
  <si>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</si>
  <si>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</si>
  <si>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</si>
  <si>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</si>
  <si>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</si>
  <si>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</si>
  <si>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</si>
  <si>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</si>
  <si>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</si>
  <si>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</si>
  <si>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</si>
  <si>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</si>
  <si>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</si>
  <si>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</si>
  <si>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</si>
  <si>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</si>
  <si>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</si>
  <si>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</si>
  <si>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</si>
  <si>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</si>
  <si>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</si>
  <si>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</si>
  <si>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</si>
  <si>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</si>
  <si>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</si>
  <si>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</si>
  <si>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</si>
  <si>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</si>
  <si>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</si>
  <si>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</si>
  <si>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</si>
  <si>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</si>
  <si>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</si>
  <si>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</si>
  <si>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</si>
  <si>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</si>
  <si>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Total paquete.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</si>
  <si>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</si>
  <si>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</si>
  <si>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</si>
  <si>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</si>
  <si>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</si>
  <si>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</si>
  <si>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</si>
  <si>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</si>
  <si>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</si>
  <si>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</si>
  <si>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</si>
  <si>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</si>
  <si>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</si>
  <si>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</si>
  <si>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</si>
  <si>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</si>
  <si>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</si>
  <si>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Almuerzos Buffet Parrilla</t>
  </si>
  <si>
    <t xml:space="preserve">Cena  Buffet </t>
  </si>
  <si>
    <t>Uds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</si>
  <si>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</si>
  <si>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</si>
  <si>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</si>
  <si>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</si>
  <si>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</si>
  <si>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</si>
  <si>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</si>
  <si>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</si>
  <si>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</si>
  <si>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</si>
  <si>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</si>
  <si>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</si>
  <si>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</si>
  <si>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</si>
  <si>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</si>
  <si>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>Valor no incluye propinas.</t>
  </si>
  <si>
    <t>IVA</t>
  </si>
  <si>
    <t>Habitación doble hotel</t>
  </si>
  <si>
    <t>Café, té, agua, jugo de pulpa, 2 facturitas ó 1 muffins y 2 tapaditos.</t>
  </si>
  <si>
    <t>Café, té, agua, jugo de pulpa, 1 muffins, 2 facturitas, 1 fruta y 1  tapadito.</t>
  </si>
  <si>
    <t>Hora</t>
  </si>
  <si>
    <t>Salón Arcoiris 1 hasta 80 pasajeros.</t>
  </si>
  <si>
    <t>13:00-15:00</t>
  </si>
  <si>
    <t>20:00- 21:00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</si>
  <si>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</si>
  <si>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</si>
  <si>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</si>
  <si>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</si>
  <si>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</si>
  <si>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</si>
  <si>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</si>
  <si>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</si>
  <si>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</si>
  <si>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</si>
  <si>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</si>
  <si>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</si>
  <si>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</si>
  <si>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</si>
  <si>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</si>
  <si>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</si>
  <si>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</si>
  <si>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</si>
  <si>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</si>
  <si>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</si>
  <si>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</si>
  <si>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</si>
  <si>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</si>
  <si>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</si>
  <si>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</si>
  <si>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</si>
  <si>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</si>
  <si>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</si>
  <si>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</si>
  <si>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</si>
  <si>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</si>
  <si>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</si>
  <si>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</si>
  <si>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</si>
  <si>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</si>
  <si>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</si>
  <si>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 gaseosa  ó cerveza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</si>
  <si>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</si>
  <si>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</si>
  <si>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</si>
  <si>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</si>
  <si>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</si>
  <si>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</si>
  <si>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</si>
  <si>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</si>
  <si>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</si>
  <si>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Cena Buffet Parrilla, bajo 30 pax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</si>
  <si>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</si>
  <si>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</si>
  <si>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</si>
  <si>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t>Crédito:</t>
  </si>
  <si>
    <r>
      <t>Para órdenes de Compra y pagos</t>
    </r>
    <r>
      <rPr>
        <sz val="11"/>
        <color rgb="FF000000"/>
        <rFont val="Calibri"/>
        <family val="2"/>
      </rPr>
      <t>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</si>
  <si>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</si>
  <si>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</si>
  <si>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Gaseosa ó mineral ó  jugo de botella ó cerveza Cristal o Escudo en lata.</t>
  </si>
  <si>
    <t>Piscola, roncola, mojito, Ice, Aperol, copa de vino, espumante, vino tinto, blanco</t>
  </si>
  <si>
    <t>Tragos Con pisco, ron cocteles, cerveza vino.</t>
  </si>
  <si>
    <t xml:space="preserve">Carmen Rodriguez </t>
  </si>
  <si>
    <t>9 74961403</t>
  </si>
  <si>
    <t>Armando de bar, hielo, barman, cooler, servido de tragos, vasos, copas.</t>
  </si>
  <si>
    <t>Coctail basico, minimo 15 pasajeros.</t>
  </si>
  <si>
    <t xml:space="preserve"> Tragos(1 p/p entre) Pisco sour o espumante, vino,  bebida, cerveza, 1 empanaditas, 1 bruzquetas, quesos, frutos secos, galletas.</t>
  </si>
  <si>
    <t>Formalización y forma de pago.</t>
  </si>
  <si>
    <t>Para formalizar reserva se requiere lo siguiente.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</si>
  <si>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</si>
  <si>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Solicitud de Crédito.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</si>
  <si>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Balance último año contable.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</si>
  <si>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3 últimos IVA.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</si>
  <si>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Escritura de constitución de la sociedad, donde se indique nombre y rut y dirección de los socios y representantes legales.</t>
    </r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</si>
  <si>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</si>
  <si>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</si>
  <si>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</si>
  <si>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Aventuras Andinas limitada.</t>
  </si>
  <si>
    <t>Copiar abonos o transferencias a sf@sflodge.cl y correo de la vendedora.</t>
  </si>
  <si>
    <t>Alimentos y bebidas</t>
  </si>
  <si>
    <t>Botella de vino reserva</t>
  </si>
  <si>
    <t>3 tiempos, con maridaje de vino servido a la mesa hasta 150 pasajeros.</t>
  </si>
  <si>
    <t xml:space="preserve">Salones </t>
  </si>
  <si>
    <t>Salon chinook, hasta 300 pasajeros</t>
  </si>
  <si>
    <t>Salon Coho, hasta 180 pasajeros</t>
  </si>
  <si>
    <t>Salon Fario, hasta 110 pasajeros</t>
  </si>
  <si>
    <t>Quincho 150 pasajeros</t>
  </si>
  <si>
    <t>Domo 300 pasajeros</t>
  </si>
  <si>
    <t>Tragos con ticket</t>
  </si>
  <si>
    <r>
      <t>Bar abierto 4 horas</t>
    </r>
    <r>
      <rPr>
        <sz val="12"/>
        <color rgb="FFFF0000"/>
        <rFont val="Calibri (Cuerpo)_x0000_"/>
      </rPr>
      <t xml:space="preserve"> </t>
    </r>
  </si>
  <si>
    <t>Descorche, valor por persona</t>
  </si>
  <si>
    <t>Implementos técnologicos</t>
  </si>
  <si>
    <t>Pantalla led.</t>
  </si>
  <si>
    <t>Karaoke</t>
  </si>
  <si>
    <t>DJ y Karaoke</t>
  </si>
  <si>
    <t>Animador</t>
  </si>
  <si>
    <t xml:space="preserve">Almuerzo o cena Gourmet </t>
  </si>
  <si>
    <t>Oscar Acevedo</t>
  </si>
  <si>
    <t>Los Gallos</t>
  </si>
  <si>
    <t>13-14 abril</t>
  </si>
  <si>
    <t>oacevedo@losgallos.cl</t>
  </si>
  <si>
    <t>Incluido</t>
  </si>
  <si>
    <t>Habitación triple hotel con 3 desayunos</t>
  </si>
  <si>
    <t xml:space="preserve">Habitación cabaña con desayuno </t>
  </si>
  <si>
    <t xml:space="preserve">Habitación single en cabaña </t>
  </si>
  <si>
    <t>Amplificacion chinook</t>
  </si>
  <si>
    <t>Luces Chinook</t>
  </si>
  <si>
    <t>VJ chinook</t>
  </si>
  <si>
    <t>Team building y Outdoors</t>
  </si>
  <si>
    <t xml:space="preserve">Habitación triple hotel </t>
  </si>
  <si>
    <t xml:space="preserve">Team bulding </t>
  </si>
  <si>
    <t>Incluye guias, implementacion y snack de hidratacion.</t>
  </si>
  <si>
    <t>Comag 5%</t>
  </si>
  <si>
    <t>8 horas en el dia o la noche</t>
  </si>
  <si>
    <t>DJ chinook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</si>
</sst>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&quot;$&quot;\-#,##0"/>
    <numFmt numFmtId="164" formatCode="_-&quot;$&quot;* #,##0_-;\-&quot;$&quot;* #,##0_-;_-&quot;$&quot;* &quot;-&quot;_-;_-@_-"/>
    <numFmt numFmtId="165" formatCode="&quot;$&quot;#,##0"/>
    <numFmt numFmtId="166" formatCode="h:mm:ss;@"/>
  </numFmts>
  <fonts count="2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rgb="FFFF0000"/>
      <name val="Calibri (Cuerpo)_x0000_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7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4" fontId="21" fillId="0" borderId="0" applyFont="0" applyFill="0" applyBorder="0" applyAlignment="0" applyProtection="0"/>
  </cellStyleXfs>
  <cellXfs count="180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Alignment="1">
      <alignment horizontal="right"/>
    </xf>
    <xf numFmtId="6" fontId="6" fillId="0" borderId="0" xfId="0" applyNumberFormat="1" applyFont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Border="1" applyAlignment="1">
      <alignment textRotation="45" wrapText="1"/>
    </xf>
    <xf numFmtId="0" fontId="0" fillId="0" borderId="0" xfId="0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6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Border="1" applyAlignment="1">
      <alignment horizontal="center"/>
    </xf>
    <xf numFmtId="20" fontId="6" fillId="0" borderId="2" xfId="0" applyNumberFormat="1" applyFont="1" applyBorder="1" applyAlignment="1">
      <alignment horizontal="center"/>
    </xf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/>
    <xf numFmtId="0" fontId="6" fillId="0" borderId="16" xfId="0" applyFont="1" applyBorder="1"/>
    <xf numFmtId="20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wrapText="1" shrinkToFit="1"/>
    </xf>
    <xf numFmtId="0" fontId="6" fillId="0" borderId="0" xfId="0" applyFont="1" applyAlignment="1">
      <alignment horizontal="center" wrapText="1" shrinkToFi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6" fontId="3" fillId="0" borderId="0" xfId="0" applyNumberFormat="1" applyFont="1" applyAlignment="1">
      <alignment horizontal="right"/>
    </xf>
    <xf numFmtId="166" fontId="0" fillId="0" borderId="0" xfId="0" applyNumberFormat="1"/>
    <xf numFmtId="166" fontId="6" fillId="0" borderId="8" xfId="0" applyNumberFormat="1" applyFont="1" applyBorder="1" applyAlignment="1">
      <alignment horizontal="right"/>
    </xf>
    <xf numFmtId="166" fontId="6" fillId="0" borderId="0" xfId="0" applyNumberFormat="1" applyFont="1" applyAlignment="1">
      <alignment horizontal="right"/>
    </xf>
    <xf numFmtId="166" fontId="6" fillId="0" borderId="1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166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6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6" fontId="14" fillId="9" borderId="1" xfId="0" applyNumberFormat="1" applyFont="1" applyFill="1" applyBorder="1" applyAlignment="1">
      <alignment horizontal="right"/>
    </xf>
    <xf numFmtId="0" fontId="0" fillId="3" borderId="1" xfId="0" applyFill="1" applyBorder="1"/>
    <xf numFmtId="0" fontId="6" fillId="9" borderId="1" xfId="0" applyFont="1" applyFill="1" applyBorder="1" applyAlignment="1">
      <alignment horizontal="left" vertical="center"/>
    </xf>
    <xf numFmtId="166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6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/>
    <xf numFmtId="166" fontId="6" fillId="9" borderId="1" xfId="0" applyNumberFormat="1" applyFont="1" applyFill="1" applyBorder="1"/>
    <xf numFmtId="0" fontId="2" fillId="10" borderId="5" xfId="0" applyFont="1" applyFill="1" applyBorder="1" applyAlignment="1">
      <alignment horizontal="center"/>
    </xf>
    <xf numFmtId="166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6" fillId="9" borderId="0" xfId="0" applyFont="1" applyFill="1"/>
    <xf numFmtId="166" fontId="6" fillId="9" borderId="0" xfId="0" applyNumberFormat="1" applyFont="1" applyFill="1"/>
    <xf numFmtId="0" fontId="6" fillId="9" borderId="0" xfId="0" applyFont="1" applyFill="1" applyAlignment="1">
      <alignment horizontal="center"/>
    </xf>
    <xf numFmtId="6" fontId="6" fillId="9" borderId="0" xfId="0" applyNumberFormat="1" applyFont="1" applyFill="1"/>
    <xf numFmtId="6" fontId="6" fillId="9" borderId="0" xfId="0" applyNumberFormat="1" applyFont="1" applyFill="1" applyAlignment="1">
      <alignment horizontal="right"/>
    </xf>
    <xf numFmtId="0" fontId="6" fillId="9" borderId="0" xfId="0" applyFont="1" applyFill="1" applyAlignment="1">
      <alignment horizontal="left"/>
    </xf>
    <xf numFmtId="0" fontId="6" fillId="0" borderId="1" xfId="0" applyFont="1" applyBorder="1" applyAlignment="1">
      <alignment horizontal="left"/>
    </xf>
    <xf numFmtId="166" fontId="0" fillId="0" borderId="1" xfId="0" applyNumberFormat="1" applyBorder="1"/>
    <xf numFmtId="6" fontId="6" fillId="0" borderId="1" xfId="0" applyNumberFormat="1" applyFont="1" applyBorder="1" applyAlignment="1">
      <alignment horizontal="right"/>
    </xf>
    <xf numFmtId="166" fontId="0" fillId="0" borderId="0" xfId="0" applyNumberFormat="1" applyAlignment="1">
      <alignment horizontal="left"/>
    </xf>
    <xf numFmtId="166" fontId="1" fillId="0" borderId="0" xfId="0" applyNumberFormat="1" applyFont="1" applyAlignment="1">
      <alignment horizontal="left"/>
    </xf>
    <xf numFmtId="0" fontId="6" fillId="11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horizontal="center" vertical="center" wrapText="1"/>
    </xf>
    <xf numFmtId="6" fontId="6" fillId="11" borderId="1" xfId="0" applyNumberFormat="1" applyFont="1" applyFill="1" applyBorder="1" applyAlignment="1">
      <alignment horizontal="right" wrapText="1"/>
    </xf>
    <xf numFmtId="0" fontId="6" fillId="11" borderId="1" xfId="0" applyFont="1" applyFill="1" applyBorder="1" applyAlignment="1">
      <alignment wrapText="1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6" fillId="0" borderId="21" xfId="0" applyFont="1" applyBorder="1" applyAlignment="1">
      <alignment horizontal="left"/>
    </xf>
    <xf numFmtId="166" fontId="6" fillId="0" borderId="2" xfId="0" applyNumberFormat="1" applyFont="1" applyBorder="1" applyAlignment="1">
      <alignment horizontal="right"/>
    </xf>
    <xf numFmtId="6" fontId="6" fillId="0" borderId="2" xfId="0" applyNumberFormat="1" applyFont="1" applyBorder="1" applyAlignment="1">
      <alignment horizontal="right"/>
    </xf>
    <xf numFmtId="0" fontId="6" fillId="0" borderId="15" xfId="0" applyFont="1" applyBorder="1"/>
    <xf numFmtId="0" fontId="6" fillId="4" borderId="21" xfId="0" applyFont="1" applyFill="1" applyBorder="1" applyAlignment="1">
      <alignment vertical="center"/>
    </xf>
    <xf numFmtId="166" fontId="6" fillId="4" borderId="2" xfId="0" applyNumberFormat="1" applyFont="1" applyFill="1" applyBorder="1" applyAlignment="1">
      <alignment vertical="center"/>
    </xf>
    <xf numFmtId="0" fontId="6" fillId="4" borderId="2" xfId="0" applyFont="1" applyFill="1" applyBorder="1" applyAlignment="1">
      <alignment horizontal="center"/>
    </xf>
    <xf numFmtId="6" fontId="6" fillId="4" borderId="2" xfId="0" applyNumberFormat="1" applyFont="1" applyFill="1" applyBorder="1" applyAlignment="1">
      <alignment horizontal="right" vertical="center"/>
    </xf>
    <xf numFmtId="6" fontId="6" fillId="4" borderId="2" xfId="0" applyNumberFormat="1" applyFont="1" applyFill="1" applyBorder="1" applyAlignment="1">
      <alignment horizontal="right"/>
    </xf>
    <xf numFmtId="0" fontId="6" fillId="4" borderId="2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6" fillId="9" borderId="15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5" fontId="6" fillId="9" borderId="1" xfId="175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17" fillId="0" borderId="0" xfId="0" applyFont="1" applyAlignment="1">
      <alignment horizontal="justify" vertical="center"/>
    </xf>
    <xf numFmtId="0" fontId="16" fillId="0" borderId="0" xfId="0" applyFont="1" applyAlignment="1">
      <alignment horizontal="justify" vertical="center"/>
    </xf>
    <xf numFmtId="0" fontId="4" fillId="0" borderId="0" xfId="116" applyAlignment="1">
      <alignment vertical="center"/>
    </xf>
    <xf numFmtId="166" fontId="4" fillId="0" borderId="0" xfId="116" applyNumberFormat="1" applyAlignment="1">
      <alignment horizontal="left"/>
    </xf>
    <xf numFmtId="0" fontId="0" fillId="0" borderId="1" xfId="0" applyBorder="1" applyAlignment="1">
      <alignment horizontal="center"/>
    </xf>
    <xf numFmtId="6" fontId="0" fillId="0" borderId="0" xfId="0" applyNumberFormat="1"/>
    <xf numFmtId="0" fontId="6" fillId="9" borderId="22" xfId="0" applyFont="1" applyFill="1" applyBorder="1" applyAlignment="1">
      <alignment horizontal="left" vertical="center"/>
    </xf>
    <xf numFmtId="166" fontId="6" fillId="9" borderId="22" xfId="0" applyNumberFormat="1" applyFont="1" applyFill="1" applyBorder="1" applyAlignment="1">
      <alignment horizontal="left" vertical="center"/>
    </xf>
    <xf numFmtId="0" fontId="6" fillId="9" borderId="22" xfId="0" applyFont="1" applyFill="1" applyBorder="1" applyAlignment="1">
      <alignment horizontal="center"/>
    </xf>
    <xf numFmtId="6" fontId="6" fillId="9" borderId="22" xfId="0" applyNumberFormat="1" applyFont="1" applyFill="1" applyBorder="1" applyAlignment="1">
      <alignment horizontal="right"/>
    </xf>
    <xf numFmtId="0" fontId="6" fillId="9" borderId="23" xfId="0" applyFont="1" applyFill="1" applyBorder="1" applyAlignment="1">
      <alignment horizontal="left"/>
    </xf>
    <xf numFmtId="0" fontId="1" fillId="10" borderId="21" xfId="0" applyFont="1" applyFill="1" applyBorder="1" applyAlignment="1">
      <alignment horizontal="left"/>
    </xf>
    <xf numFmtId="166" fontId="1" fillId="10" borderId="21" xfId="0" applyNumberFormat="1" applyFont="1" applyFill="1" applyBorder="1" applyAlignment="1">
      <alignment horizontal="left"/>
    </xf>
    <xf numFmtId="0" fontId="1" fillId="10" borderId="21" xfId="0" applyFont="1" applyFill="1" applyBorder="1" applyAlignment="1">
      <alignment horizontal="center"/>
    </xf>
    <xf numFmtId="6" fontId="1" fillId="10" borderId="21" xfId="0" applyNumberFormat="1" applyFont="1" applyFill="1" applyBorder="1" applyAlignment="1">
      <alignment horizontal="right"/>
    </xf>
    <xf numFmtId="0" fontId="6" fillId="9" borderId="4" xfId="0" applyFont="1" applyFill="1" applyBorder="1" applyAlignment="1">
      <alignment horizontal="left" vertical="center"/>
    </xf>
    <xf numFmtId="166" fontId="6" fillId="9" borderId="4" xfId="0" applyNumberFormat="1" applyFont="1" applyFill="1" applyBorder="1" applyAlignment="1">
      <alignment horizontal="left" vertical="center"/>
    </xf>
    <xf numFmtId="0" fontId="6" fillId="9" borderId="4" xfId="0" applyFont="1" applyFill="1" applyBorder="1" applyAlignment="1">
      <alignment horizontal="center"/>
    </xf>
    <xf numFmtId="6" fontId="6" fillId="9" borderId="4" xfId="0" applyNumberFormat="1" applyFont="1" applyFill="1" applyBorder="1" applyAlignment="1">
      <alignment horizontal="right"/>
    </xf>
    <xf numFmtId="0" fontId="6" fillId="9" borderId="4" xfId="0" applyFont="1" applyFill="1" applyBorder="1" applyAlignment="1">
      <alignment horizontal="left"/>
    </xf>
    <xf numFmtId="6" fontId="1" fillId="0" borderId="0" xfId="0" applyNumberFormat="1" applyFont="1"/>
    <xf numFmtId="0" fontId="17" fillId="0" borderId="0" xfId="0" applyFont="1" applyAlignment="1">
      <alignment horizontal="left" vertic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20" fontId="6" fillId="0" borderId="1" xfId="0" applyNumberFormat="1" applyFont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</cellXfs>
  <cellStyles count="176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75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11651</xdr:colOff>
      <xdr:row>0</xdr:row>
      <xdr:rowOff>214851</xdr:rowOff>
    </xdr:from>
    <xdr:to>
      <xdr:col>0</xdr:col>
      <xdr:colOff>1992851</xdr:colOff>
      <xdr:row>6</xdr:row>
      <xdr:rowOff>170345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51" y="214851"/>
          <a:ext cx="1981200" cy="15400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oacevedo@losgallos.cl" TargetMode="External"/><Relationship Id="rId1" Type="http://schemas.openxmlformats.org/officeDocument/2006/relationships/hyperlink" Target="mailto:sf@sflodge.c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G93"/>
  <sheetViews>
    <sheetView tabSelected="1" zoomScale="109" zoomScaleNormal="109" zoomScalePageLayoutView="109" workbookViewId="0">
      <selection activeCell="B4" sqref="B4"/>
    </sheetView>
  </sheetViews>
  <sheetFormatPr baseColWidth="10" defaultRowHeight="15.75"/>
  <cols>
    <col min="1" max="1" width="33.875" customWidth="1"/>
    <col min="2" max="2" width="10.875" style="66" customWidth="1"/>
    <col min="3" max="3" width="12" customWidth="1"/>
    <col min="4" max="4" width="10.125" customWidth="1"/>
    <col min="5" max="5" width="12.375" customWidth="1"/>
    <col min="6" max="6" width="11.375" customWidth="1"/>
    <col min="7" max="7" width="109.875" bestFit="1" customWidth="1"/>
    <col min="8" max="8" width="11.375" bestFit="1" customWidth="1"/>
    <col min="9" max="9" width="99.875" customWidth="1"/>
  </cols>
  <sheetData>
    <row r="1" spans="1:7" ht="47.1" customHeight="1">
      <c r="A1" s="1" t="s">
        <v>2</v>
      </c>
      <c r="B1" s="65"/>
      <c r="C1" s="62" t="s">
        <v>175</v>
      </c>
    </row>
    <row r="2" spans="1:7">
      <c r="G2" s="131" t="s">
        <v>143</v>
      </c>
    </row>
    <row r="3" spans="1:7">
      <c r="A3" s="60" t="s">
        <v>117</v>
      </c>
      <c r="B3" s="110" t="s">
        <v>223</v>
      </c>
      <c r="D3" t="s">
        <v>3</v>
      </c>
      <c r="E3" s="31" t="s">
        <v>224</v>
      </c>
      <c r="G3" s="75" t="s">
        <v>144</v>
      </c>
    </row>
    <row r="4" spans="1:7">
      <c r="A4" t="s">
        <v>118</v>
      </c>
      <c r="B4" s="140" t="s">
        <v>226</v>
      </c>
      <c r="C4" s="63"/>
      <c r="D4" t="s">
        <v>5</v>
      </c>
      <c r="E4">
        <v>990005918</v>
      </c>
      <c r="G4" s="76" t="s">
        <v>145</v>
      </c>
    </row>
    <row r="5" spans="1:7">
      <c r="A5" t="s">
        <v>119</v>
      </c>
      <c r="B5" s="110" t="s">
        <v>225</v>
      </c>
      <c r="D5" t="s">
        <v>4</v>
      </c>
      <c r="E5" s="31">
        <v>250</v>
      </c>
      <c r="G5" s="76" t="s">
        <v>146</v>
      </c>
    </row>
    <row r="6" spans="1:7">
      <c r="A6" s="61" t="s">
        <v>121</v>
      </c>
      <c r="B6" s="111" t="s">
        <v>188</v>
      </c>
      <c r="C6" s="17"/>
      <c r="D6" s="17" t="s">
        <v>120</v>
      </c>
      <c r="E6" s="61" t="s">
        <v>189</v>
      </c>
      <c r="G6" s="76" t="s">
        <v>147</v>
      </c>
    </row>
    <row r="7" spans="1:7">
      <c r="A7" s="61"/>
      <c r="B7" s="111"/>
      <c r="C7" s="17"/>
      <c r="D7" s="17"/>
      <c r="E7" s="61"/>
      <c r="G7" s="76"/>
    </row>
    <row r="8" spans="1:7" ht="16.5" thickBot="1">
      <c r="A8" s="61" t="s">
        <v>238</v>
      </c>
      <c r="B8" s="111" t="s">
        <v>2</v>
      </c>
      <c r="C8" s="157">
        <f>F58*0.05</f>
        <v>1934822.6890756302</v>
      </c>
      <c r="D8" s="17"/>
      <c r="E8" s="17"/>
      <c r="F8" s="17"/>
      <c r="G8" s="76"/>
    </row>
    <row r="9" spans="1:7" ht="15.75" customHeight="1">
      <c r="A9" s="97" t="s">
        <v>205</v>
      </c>
      <c r="B9" s="98" t="s">
        <v>127</v>
      </c>
      <c r="C9" s="99" t="s">
        <v>106</v>
      </c>
      <c r="D9" s="99" t="s">
        <v>6</v>
      </c>
      <c r="E9" s="99" t="s">
        <v>0</v>
      </c>
      <c r="F9" s="99" t="s">
        <v>1</v>
      </c>
      <c r="G9" s="100" t="s">
        <v>7</v>
      </c>
    </row>
    <row r="10" spans="1:7" ht="15.75" customHeight="1">
      <c r="A10" s="95" t="s">
        <v>8</v>
      </c>
      <c r="B10" s="96"/>
      <c r="C10" s="84">
        <v>1</v>
      </c>
      <c r="D10" s="84">
        <v>250</v>
      </c>
      <c r="E10" s="116">
        <f>12500/1.19</f>
        <v>10504.20168067227</v>
      </c>
      <c r="F10" s="83" t="s">
        <v>227</v>
      </c>
      <c r="G10" s="82" t="s">
        <v>165</v>
      </c>
    </row>
    <row r="11" spans="1:7">
      <c r="A11" s="93" t="s">
        <v>168</v>
      </c>
      <c r="B11" s="94"/>
      <c r="C11" s="84">
        <v>0</v>
      </c>
      <c r="D11" s="84">
        <v>0</v>
      </c>
      <c r="E11" s="92">
        <v>3850</v>
      </c>
      <c r="F11" s="83">
        <f>D11*E11</f>
        <v>0</v>
      </c>
      <c r="G11" s="90" t="s">
        <v>125</v>
      </c>
    </row>
    <row r="12" spans="1:7">
      <c r="A12" s="125" t="s">
        <v>102</v>
      </c>
      <c r="B12" s="126"/>
      <c r="C12" s="127">
        <v>0</v>
      </c>
      <c r="D12" s="127">
        <v>0</v>
      </c>
      <c r="E12" s="128">
        <v>4800</v>
      </c>
      <c r="F12" s="129">
        <v>0</v>
      </c>
      <c r="G12" s="130" t="s">
        <v>169</v>
      </c>
    </row>
    <row r="13" spans="1:7">
      <c r="A13" s="125" t="s">
        <v>103</v>
      </c>
      <c r="B13" s="126"/>
      <c r="C13" s="127">
        <v>0</v>
      </c>
      <c r="D13" s="127">
        <v>0</v>
      </c>
      <c r="E13" s="128">
        <v>5500</v>
      </c>
      <c r="F13" s="129">
        <v>0</v>
      </c>
      <c r="G13" s="130" t="s">
        <v>126</v>
      </c>
    </row>
    <row r="14" spans="1:7" ht="16.5" customHeight="1">
      <c r="A14" s="90" t="s">
        <v>104</v>
      </c>
      <c r="B14" s="91" t="s">
        <v>129</v>
      </c>
      <c r="C14" s="84">
        <v>1</v>
      </c>
      <c r="D14" s="84">
        <v>250</v>
      </c>
      <c r="E14" s="83">
        <v>15000</v>
      </c>
      <c r="F14" s="83">
        <f>D14*E14</f>
        <v>3750000</v>
      </c>
      <c r="G14" s="82" t="s">
        <v>101</v>
      </c>
    </row>
    <row r="15" spans="1:7" ht="16.5" customHeight="1">
      <c r="A15" s="112" t="s">
        <v>222</v>
      </c>
      <c r="B15" s="113"/>
      <c r="C15" s="84">
        <v>0</v>
      </c>
      <c r="D15" s="84">
        <v>0</v>
      </c>
      <c r="E15" s="114">
        <v>45000</v>
      </c>
      <c r="F15" s="83">
        <v>0</v>
      </c>
      <c r="G15" s="115" t="s">
        <v>207</v>
      </c>
    </row>
    <row r="16" spans="1:7">
      <c r="A16" s="90" t="s">
        <v>105</v>
      </c>
      <c r="B16" s="91" t="s">
        <v>130</v>
      </c>
      <c r="C16" s="84">
        <v>1</v>
      </c>
      <c r="D16" s="84">
        <v>250</v>
      </c>
      <c r="E16" s="92">
        <v>15000</v>
      </c>
      <c r="F16" s="83">
        <f>D16*E16</f>
        <v>3750000</v>
      </c>
      <c r="G16" s="82" t="s">
        <v>166</v>
      </c>
    </row>
    <row r="17" spans="1:7">
      <c r="A17" s="90" t="s">
        <v>177</v>
      </c>
      <c r="B17" s="91" t="s">
        <v>129</v>
      </c>
      <c r="C17" s="84">
        <v>0</v>
      </c>
      <c r="D17" s="84">
        <v>0</v>
      </c>
      <c r="E17" s="83">
        <v>25000</v>
      </c>
      <c r="F17" s="83">
        <f>D17*E17</f>
        <v>0</v>
      </c>
      <c r="G17" s="82" t="s">
        <v>101</v>
      </c>
    </row>
    <row r="18" spans="1:7">
      <c r="A18" s="90" t="s">
        <v>167</v>
      </c>
      <c r="B18" s="91"/>
      <c r="C18" s="84">
        <v>2</v>
      </c>
      <c r="D18" s="84">
        <v>250</v>
      </c>
      <c r="E18" s="83">
        <f>1800/1.19</f>
        <v>1512.6050420168067</v>
      </c>
      <c r="F18" s="83">
        <f>D18*E18</f>
        <v>378151.26050420169</v>
      </c>
      <c r="G18" s="82" t="s">
        <v>185</v>
      </c>
    </row>
    <row r="19" spans="1:7">
      <c r="A19" s="90" t="s">
        <v>206</v>
      </c>
      <c r="B19" s="91"/>
      <c r="C19" s="84">
        <v>0</v>
      </c>
      <c r="D19" s="84">
        <v>0</v>
      </c>
      <c r="E19" s="83">
        <f>12500/1.19</f>
        <v>10504.20168067227</v>
      </c>
      <c r="F19" s="83">
        <f>D19*E19</f>
        <v>0</v>
      </c>
      <c r="G19" s="82" t="s">
        <v>185</v>
      </c>
    </row>
    <row r="20" spans="1:7">
      <c r="A20" s="90" t="s">
        <v>191</v>
      </c>
      <c r="B20" s="133"/>
      <c r="C20" s="134">
        <v>1</v>
      </c>
      <c r="D20" s="133">
        <v>250</v>
      </c>
      <c r="E20" s="135">
        <v>9500</v>
      </c>
      <c r="F20" s="83">
        <f t="shared" ref="F20" si="0">D20*E20</f>
        <v>2375000</v>
      </c>
      <c r="G20" s="136" t="s">
        <v>192</v>
      </c>
    </row>
    <row r="21" spans="1:7">
      <c r="A21" s="121" t="s">
        <v>214</v>
      </c>
      <c r="B21" s="122"/>
      <c r="C21" s="38">
        <v>0</v>
      </c>
      <c r="D21" s="38">
        <v>0</v>
      </c>
      <c r="E21" s="123">
        <v>3850</v>
      </c>
      <c r="F21" s="123">
        <v>0</v>
      </c>
      <c r="G21" s="124" t="s">
        <v>186</v>
      </c>
    </row>
    <row r="22" spans="1:7">
      <c r="A22" s="121" t="s">
        <v>215</v>
      </c>
      <c r="B22" s="122"/>
      <c r="C22" s="38">
        <v>0</v>
      </c>
      <c r="D22" s="38">
        <v>0</v>
      </c>
      <c r="E22" s="123">
        <v>24000</v>
      </c>
      <c r="F22" s="123">
        <v>0</v>
      </c>
      <c r="G22" s="25" t="s">
        <v>187</v>
      </c>
    </row>
    <row r="23" spans="1:7">
      <c r="A23" s="90" t="s">
        <v>216</v>
      </c>
      <c r="B23" s="91"/>
      <c r="C23" s="38">
        <v>0</v>
      </c>
      <c r="D23" s="38">
        <v>0</v>
      </c>
      <c r="E23" s="83">
        <v>7000</v>
      </c>
      <c r="F23" s="123">
        <v>0</v>
      </c>
      <c r="G23" s="82" t="s">
        <v>190</v>
      </c>
    </row>
    <row r="24" spans="1:7">
      <c r="A24" s="93" t="s">
        <v>168</v>
      </c>
      <c r="B24" s="94"/>
      <c r="C24" s="84">
        <v>0</v>
      </c>
      <c r="D24" s="84">
        <v>0</v>
      </c>
      <c r="E24" s="92">
        <v>3850</v>
      </c>
      <c r="F24" s="83">
        <f t="shared" ref="F24" si="1">D24*E24</f>
        <v>0</v>
      </c>
      <c r="G24" s="90" t="s">
        <v>125</v>
      </c>
    </row>
    <row r="25" spans="1:7" ht="16.5" thickBot="1">
      <c r="F25" s="142">
        <f>SUM(F11:F24)</f>
        <v>10253151.260504201</v>
      </c>
    </row>
    <row r="26" spans="1:7" ht="15.75" customHeight="1">
      <c r="A26" s="97" t="s">
        <v>205</v>
      </c>
      <c r="B26" s="98" t="s">
        <v>127</v>
      </c>
      <c r="C26" s="99" t="s">
        <v>106</v>
      </c>
      <c r="D26" s="99" t="s">
        <v>6</v>
      </c>
      <c r="E26" s="99" t="s">
        <v>0</v>
      </c>
      <c r="F26" s="99" t="s">
        <v>1</v>
      </c>
      <c r="G26" s="100" t="s">
        <v>7</v>
      </c>
    </row>
    <row r="27" spans="1:7" ht="16.5" customHeight="1">
      <c r="A27" s="107" t="s">
        <v>172</v>
      </c>
      <c r="B27" s="108"/>
      <c r="C27" s="84">
        <v>1</v>
      </c>
      <c r="D27" s="84">
        <v>1</v>
      </c>
      <c r="E27" s="109">
        <v>99000</v>
      </c>
      <c r="F27" s="83">
        <f>C27*E27</f>
        <v>99000</v>
      </c>
      <c r="G27" s="107" t="s">
        <v>173</v>
      </c>
    </row>
    <row r="28" spans="1:7" ht="16.5" customHeight="1">
      <c r="A28" s="107" t="s">
        <v>124</v>
      </c>
      <c r="B28" s="108"/>
      <c r="C28" s="84">
        <f>12*4+15+15-37</f>
        <v>41</v>
      </c>
      <c r="D28" s="84">
        <f>C28*2</f>
        <v>82</v>
      </c>
      <c r="E28" s="109">
        <v>118000</v>
      </c>
      <c r="F28" s="83">
        <f>C28*E28</f>
        <v>4838000</v>
      </c>
      <c r="G28" s="107" t="s">
        <v>174</v>
      </c>
    </row>
    <row r="29" spans="1:7" ht="16.5" customHeight="1">
      <c r="A29" s="107" t="s">
        <v>235</v>
      </c>
      <c r="B29" s="108"/>
      <c r="C29" s="84">
        <f>4*6+7+6</f>
        <v>37</v>
      </c>
      <c r="D29" s="84">
        <f>C29*3</f>
        <v>111</v>
      </c>
      <c r="E29" s="109">
        <f>118000+39500</f>
        <v>157500</v>
      </c>
      <c r="F29" s="83">
        <f>C29*E29</f>
        <v>5827500</v>
      </c>
      <c r="G29" s="107" t="s">
        <v>228</v>
      </c>
    </row>
    <row r="30" spans="1:7" ht="16.5" customHeight="1">
      <c r="A30" s="107" t="s">
        <v>230</v>
      </c>
      <c r="B30" s="108"/>
      <c r="C30" s="84">
        <f>4*13+2*3</f>
        <v>58</v>
      </c>
      <c r="D30" s="84">
        <v>58</v>
      </c>
      <c r="E30" s="109">
        <f>(118000+42500)/3</f>
        <v>53500</v>
      </c>
      <c r="F30" s="83">
        <f>C30*E30</f>
        <v>3103000</v>
      </c>
      <c r="G30" s="107" t="s">
        <v>229</v>
      </c>
    </row>
    <row r="31" spans="1:7" ht="16.5" customHeight="1" thickBot="1">
      <c r="A31" s="2" t="s">
        <v>86</v>
      </c>
      <c r="B31" s="67"/>
      <c r="C31" s="30" t="s">
        <v>2</v>
      </c>
      <c r="D31" s="21">
        <f>D28+D29+D30</f>
        <v>251</v>
      </c>
      <c r="E31" s="4"/>
      <c r="F31" s="5">
        <f>SUM(F10:F28)</f>
        <v>25443302.521008402</v>
      </c>
      <c r="G31" s="29" t="s">
        <v>2</v>
      </c>
    </row>
    <row r="32" spans="1:7" ht="16.5" customHeight="1">
      <c r="A32" s="97" t="s">
        <v>208</v>
      </c>
      <c r="B32" s="98"/>
      <c r="C32" s="99" t="s">
        <v>106</v>
      </c>
      <c r="D32" s="99" t="s">
        <v>6</v>
      </c>
      <c r="E32" s="99" t="s">
        <v>0</v>
      </c>
      <c r="F32" s="99" t="s">
        <v>1</v>
      </c>
      <c r="G32" s="100" t="s">
        <v>7</v>
      </c>
    </row>
    <row r="33" spans="1:7">
      <c r="A33" s="95" t="s">
        <v>209</v>
      </c>
      <c r="B33" s="96"/>
      <c r="C33" s="84">
        <v>1</v>
      </c>
      <c r="D33" s="84">
        <v>250</v>
      </c>
      <c r="E33" s="116">
        <v>300000</v>
      </c>
      <c r="F33" s="83">
        <f>C33*E33</f>
        <v>300000</v>
      </c>
      <c r="G33" s="82" t="s">
        <v>170</v>
      </c>
    </row>
    <row r="34" spans="1:7">
      <c r="A34" s="8" t="s">
        <v>210</v>
      </c>
      <c r="B34" s="108"/>
      <c r="C34" s="141">
        <v>0</v>
      </c>
      <c r="D34" s="141">
        <v>0</v>
      </c>
      <c r="E34" s="8">
        <v>250000</v>
      </c>
      <c r="F34" s="8">
        <v>0</v>
      </c>
      <c r="G34" s="82" t="s">
        <v>170</v>
      </c>
    </row>
    <row r="35" spans="1:7">
      <c r="A35" s="8" t="s">
        <v>211</v>
      </c>
      <c r="B35" s="94"/>
      <c r="C35" s="84">
        <v>0</v>
      </c>
      <c r="D35" s="84">
        <v>0</v>
      </c>
      <c r="E35" s="92">
        <v>220000</v>
      </c>
      <c r="F35" s="117">
        <f>D35*E35</f>
        <v>0</v>
      </c>
      <c r="G35" s="82" t="s">
        <v>170</v>
      </c>
    </row>
    <row r="36" spans="1:7">
      <c r="A36" s="90" t="s">
        <v>128</v>
      </c>
      <c r="B36" s="91"/>
      <c r="C36" s="84">
        <v>0</v>
      </c>
      <c r="D36" s="84">
        <v>0</v>
      </c>
      <c r="E36" s="92">
        <v>180000</v>
      </c>
      <c r="F36" s="83">
        <f>C36*E36</f>
        <v>0</v>
      </c>
      <c r="G36" s="82" t="s">
        <v>170</v>
      </c>
    </row>
    <row r="37" spans="1:7" ht="16.5" customHeight="1">
      <c r="A37" s="90" t="s">
        <v>212</v>
      </c>
      <c r="B37" s="91"/>
      <c r="C37" s="84">
        <v>0</v>
      </c>
      <c r="D37" s="84">
        <v>0</v>
      </c>
      <c r="E37" s="83">
        <v>300000</v>
      </c>
      <c r="F37" s="83">
        <f>D37*E37</f>
        <v>0</v>
      </c>
      <c r="G37" s="82" t="s">
        <v>170</v>
      </c>
    </row>
    <row r="38" spans="1:7" ht="16.5" customHeight="1">
      <c r="A38" s="112" t="s">
        <v>213</v>
      </c>
      <c r="B38" s="113" t="s">
        <v>2</v>
      </c>
      <c r="C38" s="84">
        <v>1</v>
      </c>
      <c r="D38" s="84">
        <v>1</v>
      </c>
      <c r="E38" s="83">
        <v>300000</v>
      </c>
      <c r="F38" s="117">
        <f t="shared" ref="F38" si="2">D38*E38</f>
        <v>300000</v>
      </c>
      <c r="G38" s="82" t="s">
        <v>239</v>
      </c>
    </row>
    <row r="39" spans="1:7" ht="16.5" thickBot="1">
      <c r="A39" s="101"/>
      <c r="B39" s="102"/>
      <c r="C39" s="103"/>
      <c r="D39" s="103"/>
      <c r="E39" s="104" t="s">
        <v>2</v>
      </c>
      <c r="F39" s="105">
        <f>SUM(F33:F38)</f>
        <v>600000</v>
      </c>
      <c r="G39" s="106"/>
    </row>
    <row r="40" spans="1:7">
      <c r="A40" s="97" t="s">
        <v>217</v>
      </c>
      <c r="B40" s="98"/>
      <c r="C40" s="99" t="s">
        <v>106</v>
      </c>
      <c r="D40" s="99" t="s">
        <v>6</v>
      </c>
      <c r="E40" s="99" t="s">
        <v>0</v>
      </c>
      <c r="F40" s="99" t="s">
        <v>1</v>
      </c>
      <c r="G40" s="100" t="s">
        <v>7</v>
      </c>
    </row>
    <row r="41" spans="1:7">
      <c r="A41" s="90" t="s">
        <v>231</v>
      </c>
      <c r="B41" s="91"/>
      <c r="C41" s="84">
        <v>0</v>
      </c>
      <c r="D41" s="84">
        <v>0</v>
      </c>
      <c r="E41" s="83">
        <v>200000</v>
      </c>
      <c r="F41" s="83">
        <f>C41*E41</f>
        <v>0</v>
      </c>
      <c r="G41" s="132"/>
    </row>
    <row r="42" spans="1:7">
      <c r="A42" s="90" t="s">
        <v>232</v>
      </c>
      <c r="B42" s="108"/>
      <c r="C42" s="84">
        <v>0</v>
      </c>
      <c r="D42" s="84">
        <v>0</v>
      </c>
      <c r="E42" s="83">
        <v>180000</v>
      </c>
      <c r="F42" s="83">
        <f t="shared" ref="F42:F48" si="3">C42*E42</f>
        <v>0</v>
      </c>
      <c r="G42" s="82" t="s">
        <v>2</v>
      </c>
    </row>
    <row r="43" spans="1:7">
      <c r="A43" s="90" t="s">
        <v>218</v>
      </c>
      <c r="B43" s="91"/>
      <c r="C43" s="84">
        <v>0</v>
      </c>
      <c r="D43" s="84">
        <v>0</v>
      </c>
      <c r="E43" s="83">
        <v>700000</v>
      </c>
      <c r="F43" s="83">
        <f t="shared" si="3"/>
        <v>0</v>
      </c>
      <c r="G43" s="132"/>
    </row>
    <row r="44" spans="1:7">
      <c r="A44" s="90" t="s">
        <v>240</v>
      </c>
      <c r="B44" s="91"/>
      <c r="C44" s="84">
        <v>0</v>
      </c>
      <c r="D44" s="84">
        <v>0</v>
      </c>
      <c r="E44" s="83">
        <v>450000</v>
      </c>
      <c r="F44" s="83">
        <f t="shared" si="3"/>
        <v>0</v>
      </c>
      <c r="G44" s="132" t="s">
        <v>2</v>
      </c>
    </row>
    <row r="45" spans="1:7">
      <c r="A45" s="90" t="s">
        <v>233</v>
      </c>
      <c r="B45" s="91"/>
      <c r="C45" s="84">
        <v>0</v>
      </c>
      <c r="D45" s="84">
        <v>0</v>
      </c>
      <c r="E45" s="83">
        <v>900000</v>
      </c>
      <c r="F45" s="83">
        <f t="shared" si="3"/>
        <v>0</v>
      </c>
      <c r="G45" s="132"/>
    </row>
    <row r="46" spans="1:7">
      <c r="A46" s="90" t="s">
        <v>219</v>
      </c>
      <c r="B46" s="91"/>
      <c r="C46" s="84">
        <v>0</v>
      </c>
      <c r="D46" s="84">
        <v>0</v>
      </c>
      <c r="E46" s="83">
        <v>450000</v>
      </c>
      <c r="F46" s="83">
        <f t="shared" si="3"/>
        <v>0</v>
      </c>
      <c r="G46" s="82" t="s">
        <v>2</v>
      </c>
    </row>
    <row r="47" spans="1:7">
      <c r="A47" s="112" t="s">
        <v>220</v>
      </c>
      <c r="B47" s="113" t="s">
        <v>2</v>
      </c>
      <c r="C47" s="84">
        <v>0</v>
      </c>
      <c r="D47" s="84">
        <v>0</v>
      </c>
      <c r="E47" s="83">
        <v>580000</v>
      </c>
      <c r="F47" s="83">
        <f t="shared" si="3"/>
        <v>0</v>
      </c>
      <c r="G47" s="82" t="s">
        <v>2</v>
      </c>
    </row>
    <row r="48" spans="1:7">
      <c r="A48" s="112" t="s">
        <v>221</v>
      </c>
      <c r="B48" s="113" t="s">
        <v>2</v>
      </c>
      <c r="C48" s="84">
        <v>0</v>
      </c>
      <c r="D48" s="84">
        <v>0</v>
      </c>
      <c r="E48" s="83">
        <v>180000</v>
      </c>
      <c r="F48" s="83">
        <f t="shared" si="3"/>
        <v>0</v>
      </c>
      <c r="G48" s="82" t="s">
        <v>2</v>
      </c>
    </row>
    <row r="49" spans="1:7" ht="16.5" thickBot="1">
      <c r="A49" s="101"/>
      <c r="B49" s="102"/>
      <c r="C49" s="103"/>
      <c r="D49" s="103"/>
      <c r="E49" s="104" t="s">
        <v>2</v>
      </c>
      <c r="F49" s="105">
        <f>SUM(F41:F48)</f>
        <v>0</v>
      </c>
      <c r="G49" s="106"/>
    </row>
    <row r="50" spans="1:7">
      <c r="A50" s="97" t="s">
        <v>234</v>
      </c>
      <c r="B50" s="98"/>
      <c r="C50" s="99" t="s">
        <v>106</v>
      </c>
      <c r="D50" s="99" t="s">
        <v>6</v>
      </c>
      <c r="E50" s="99" t="s">
        <v>0</v>
      </c>
      <c r="F50" s="99" t="s">
        <v>1</v>
      </c>
      <c r="G50" s="100" t="s">
        <v>7</v>
      </c>
    </row>
    <row r="51" spans="1:7">
      <c r="A51" s="143" t="s">
        <v>236</v>
      </c>
      <c r="B51" s="144"/>
      <c r="C51" s="145">
        <v>1</v>
      </c>
      <c r="D51" s="145">
        <v>250</v>
      </c>
      <c r="E51" s="146">
        <f>400000+8000*250</f>
        <v>2400000</v>
      </c>
      <c r="F51" s="146">
        <f>C51*E51</f>
        <v>2400000</v>
      </c>
      <c r="G51" s="147" t="s">
        <v>237</v>
      </c>
    </row>
    <row r="52" spans="1:7">
      <c r="A52" s="152"/>
      <c r="B52" s="153"/>
      <c r="C52" s="154"/>
      <c r="D52" s="154"/>
      <c r="E52" s="155" t="s">
        <v>2</v>
      </c>
      <c r="F52" s="155">
        <f>SUM(F51:F51)</f>
        <v>2400000</v>
      </c>
      <c r="G52" s="156"/>
    </row>
    <row r="53" spans="1:7">
      <c r="A53" s="148" t="s">
        <v>162</v>
      </c>
      <c r="B53" s="149" t="s">
        <v>176</v>
      </c>
      <c r="C53" s="150"/>
      <c r="D53" s="150"/>
      <c r="E53" s="151"/>
      <c r="F53" s="151" t="s">
        <v>2</v>
      </c>
      <c r="G53" s="148" t="s">
        <v>163</v>
      </c>
    </row>
    <row r="54" spans="1:7">
      <c r="A54" s="85" t="s">
        <v>158</v>
      </c>
      <c r="B54" s="86" t="s">
        <v>2</v>
      </c>
      <c r="C54" s="87">
        <v>0</v>
      </c>
      <c r="D54" s="87">
        <v>0</v>
      </c>
      <c r="E54" s="88">
        <v>0</v>
      </c>
      <c r="F54" s="88">
        <f t="shared" ref="F54:F57" si="4">C54*D54*E54</f>
        <v>0</v>
      </c>
      <c r="G54" s="89" t="s">
        <v>160</v>
      </c>
    </row>
    <row r="55" spans="1:7">
      <c r="A55" s="85" t="s">
        <v>154</v>
      </c>
      <c r="B55" s="86" t="s">
        <v>2</v>
      </c>
      <c r="C55" s="87">
        <v>0</v>
      </c>
      <c r="D55" s="87">
        <v>0</v>
      </c>
      <c r="E55" s="88">
        <v>0</v>
      </c>
      <c r="F55" s="88">
        <f t="shared" si="4"/>
        <v>0</v>
      </c>
      <c r="G55" s="89" t="s">
        <v>161</v>
      </c>
    </row>
    <row r="56" spans="1:7" ht="16.5" customHeight="1">
      <c r="A56" s="85" t="s">
        <v>155</v>
      </c>
      <c r="B56" s="86" t="s">
        <v>2</v>
      </c>
      <c r="C56" s="87">
        <v>0</v>
      </c>
      <c r="D56" s="87">
        <v>0</v>
      </c>
      <c r="E56" s="88">
        <v>0</v>
      </c>
      <c r="F56" s="88">
        <f t="shared" si="4"/>
        <v>0</v>
      </c>
      <c r="G56" s="89" t="s">
        <v>159</v>
      </c>
    </row>
    <row r="57" spans="1:7" ht="16.5" thickBot="1">
      <c r="A57" s="85" t="s">
        <v>156</v>
      </c>
      <c r="B57" s="86" t="s">
        <v>2</v>
      </c>
      <c r="C57" s="87">
        <v>0</v>
      </c>
      <c r="D57" s="87">
        <v>0</v>
      </c>
      <c r="E57" s="88">
        <v>0</v>
      </c>
      <c r="F57" s="88">
        <f t="shared" si="4"/>
        <v>0</v>
      </c>
      <c r="G57" s="85" t="s">
        <v>157</v>
      </c>
    </row>
    <row r="58" spans="1:7" ht="16.5" thickBot="1">
      <c r="A58" s="33" t="s">
        <v>164</v>
      </c>
      <c r="B58" s="69"/>
      <c r="C58" s="34"/>
      <c r="D58" s="34"/>
      <c r="E58" s="35"/>
      <c r="F58" s="36">
        <f>F25+F31+F49+F39+F52</f>
        <v>38696453.781512603</v>
      </c>
      <c r="G58" s="6" t="s">
        <v>122</v>
      </c>
    </row>
    <row r="59" spans="1:7">
      <c r="A59" s="3" t="s">
        <v>123</v>
      </c>
      <c r="B59" s="68"/>
      <c r="C59" s="21"/>
      <c r="D59" s="21"/>
      <c r="E59" s="4"/>
      <c r="F59" s="5">
        <f>F58*1.19-F58</f>
        <v>7352326.2184873894</v>
      </c>
      <c r="G59" s="6"/>
    </row>
    <row r="60" spans="1:7">
      <c r="A60" s="70" t="s">
        <v>171</v>
      </c>
      <c r="B60" s="71"/>
      <c r="C60" s="72"/>
      <c r="D60" s="72"/>
      <c r="E60" s="73"/>
      <c r="F60" s="74">
        <f>F58+F59</f>
        <v>46048779.999999993</v>
      </c>
      <c r="G60" s="6"/>
    </row>
    <row r="61" spans="1:7">
      <c r="A61" s="3"/>
      <c r="B61" s="68"/>
      <c r="C61" s="21"/>
      <c r="D61" s="21"/>
      <c r="E61" s="4"/>
      <c r="F61" s="4"/>
      <c r="G61" s="6"/>
    </row>
    <row r="62" spans="1:7">
      <c r="A62" s="3"/>
      <c r="B62" s="68"/>
      <c r="C62" s="21"/>
      <c r="D62" s="21"/>
      <c r="E62" s="4"/>
      <c r="F62" s="4"/>
      <c r="G62" s="6"/>
    </row>
    <row r="63" spans="1:7" ht="17.25">
      <c r="A63" s="118" t="s">
        <v>131</v>
      </c>
      <c r="B63"/>
      <c r="E63" s="64"/>
      <c r="F63" s="64"/>
      <c r="G63" s="64"/>
    </row>
    <row r="64" spans="1:7">
      <c r="A64" s="120" t="s">
        <v>183</v>
      </c>
      <c r="B64"/>
    </row>
    <row r="65" spans="1:6">
      <c r="A65" s="120" t="s">
        <v>184</v>
      </c>
      <c r="B65"/>
    </row>
    <row r="67" spans="1:6">
      <c r="A67" s="118" t="s">
        <v>193</v>
      </c>
      <c r="B67"/>
    </row>
    <row r="68" spans="1:6">
      <c r="A68" s="119" t="s">
        <v>194</v>
      </c>
      <c r="B68"/>
    </row>
    <row r="69" spans="1:6">
      <c r="A69" s="120" t="s">
        <v>179</v>
      </c>
      <c r="B69"/>
    </row>
    <row r="70" spans="1:6">
      <c r="A70" s="120" t="s">
        <v>180</v>
      </c>
      <c r="B70"/>
    </row>
    <row r="71" spans="1:6">
      <c r="A71" s="118" t="s">
        <v>178</v>
      </c>
      <c r="B71"/>
    </row>
    <row r="72" spans="1:6">
      <c r="A72" s="120" t="s">
        <v>195</v>
      </c>
      <c r="B72"/>
    </row>
    <row r="73" spans="1:6">
      <c r="A73" s="118" t="s">
        <v>181</v>
      </c>
      <c r="B73"/>
    </row>
    <row r="74" spans="1:6">
      <c r="A74" s="120" t="s">
        <v>196</v>
      </c>
      <c r="B74"/>
    </row>
    <row r="75" spans="1:6">
      <c r="A75" s="120" t="s">
        <v>197</v>
      </c>
      <c r="B75"/>
    </row>
    <row r="76" spans="1:6">
      <c r="A76" s="120" t="s">
        <v>198</v>
      </c>
      <c r="B76"/>
    </row>
    <row r="77" spans="1:6">
      <c r="A77" s="120" t="s">
        <v>199</v>
      </c>
      <c r="B77"/>
    </row>
    <row r="78" spans="1:6">
      <c r="A78" s="119"/>
      <c r="B78"/>
    </row>
    <row r="79" spans="1:6">
      <c r="A79" s="119" t="s">
        <v>200</v>
      </c>
      <c r="B79" s="119"/>
      <c r="C79" s="119"/>
      <c r="D79" s="119"/>
      <c r="E79" s="119"/>
      <c r="F79" s="119"/>
    </row>
    <row r="80" spans="1:6">
      <c r="A80" s="137"/>
      <c r="B80"/>
    </row>
    <row r="81" spans="1:6">
      <c r="A81" s="138" t="s">
        <v>201</v>
      </c>
      <c r="B81"/>
    </row>
    <row r="82" spans="1:6" ht="15.95" customHeight="1">
      <c r="A82" s="158" t="s">
        <v>202</v>
      </c>
      <c r="B82" s="158"/>
      <c r="C82" s="158"/>
      <c r="D82" s="158"/>
      <c r="E82" s="158"/>
      <c r="F82" s="158"/>
    </row>
    <row r="83" spans="1:6">
      <c r="A83" s="119"/>
      <c r="B83"/>
    </row>
    <row r="84" spans="1:6">
      <c r="A84" s="118" t="s">
        <v>182</v>
      </c>
      <c r="B84"/>
    </row>
    <row r="85" spans="1:6">
      <c r="A85" s="119"/>
      <c r="B85"/>
    </row>
    <row r="86" spans="1:6">
      <c r="A86" s="119" t="s">
        <v>132</v>
      </c>
      <c r="B86" s="119" t="s">
        <v>133</v>
      </c>
    </row>
    <row r="87" spans="1:6">
      <c r="A87" s="119" t="s">
        <v>134</v>
      </c>
      <c r="B87"/>
      <c r="D87" s="119" t="s">
        <v>135</v>
      </c>
    </row>
    <row r="88" spans="1:6">
      <c r="A88" s="119" t="s">
        <v>136</v>
      </c>
      <c r="B88" s="119" t="s">
        <v>203</v>
      </c>
    </row>
    <row r="89" spans="1:6">
      <c r="A89" s="119" t="s">
        <v>137</v>
      </c>
      <c r="B89"/>
      <c r="D89" s="119" t="s">
        <v>138</v>
      </c>
    </row>
    <row r="90" spans="1:6">
      <c r="A90" s="119" t="s">
        <v>139</v>
      </c>
      <c r="B90"/>
      <c r="D90" s="119" t="s">
        <v>140</v>
      </c>
    </row>
    <row r="91" spans="1:6">
      <c r="A91" s="119" t="s">
        <v>141</v>
      </c>
      <c r="B91"/>
      <c r="C91" s="119" t="s">
        <v>142</v>
      </c>
    </row>
    <row r="92" spans="1:6">
      <c r="A92" s="119" t="s">
        <v>5</v>
      </c>
      <c r="B92"/>
      <c r="D92" s="119">
        <v>29539311</v>
      </c>
    </row>
    <row r="93" spans="1:6">
      <c r="A93" s="139" t="s">
        <v>204</v>
      </c>
      <c r="B93"/>
    </row>
  </sheetData>
  <mergeCells count="1">
    <mergeCell ref="A82:F82"/>
  </mergeCells>
  <phoneticPr fontId="7" type="noConversion"/>
  <hyperlinks>
    <hyperlink ref="A93" r:id="rId1" display="mailto:sf@sflodge.cl" xr:uid="{F2E06317-FA26-FE40-932C-91E8DCBE551E}"/>
    <hyperlink ref="B4" r:id="rId2" xr:uid="{CDD8D551-360E-8D4D-BD37-8EF7A4CE8DFA}"/>
  </hyperlinks>
  <pageMargins left="0.75000000000000011" right="0.75000000000000011" top="1" bottom="1" header="0.5" footer="0.5"/>
  <pageSetup paperSize="5" orientation="portrait" horizontalDpi="4294967292" verticalDpi="4294967292" r:id="rId3"/>
  <ignoredErrors>
    <ignoredError sqref="F36" formula="1"/>
  </ignoredError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5.75"/>
  <cols>
    <col min="1" max="2" width="11" style="60"/>
    <col min="6" max="8" width="11" style="60"/>
    <col min="9" max="9" width="31" customWidth="1"/>
  </cols>
  <sheetData>
    <row r="1" spans="1:14">
      <c r="A1" s="174"/>
      <c r="B1" s="174"/>
      <c r="C1" s="174"/>
      <c r="D1" s="22"/>
      <c r="E1" s="22" t="s">
        <v>87</v>
      </c>
      <c r="F1" s="37"/>
      <c r="G1" s="37"/>
      <c r="H1" s="37"/>
      <c r="I1" s="22"/>
      <c r="J1" s="20"/>
      <c r="K1" s="20"/>
      <c r="L1" s="20"/>
      <c r="M1" s="20"/>
      <c r="N1" s="20"/>
    </row>
    <row r="2" spans="1:14">
      <c r="A2" s="174"/>
      <c r="B2" s="174"/>
      <c r="C2" s="174"/>
      <c r="D2" s="22"/>
      <c r="E2" s="22"/>
      <c r="F2" s="37"/>
      <c r="G2" s="37"/>
      <c r="H2" s="37"/>
      <c r="I2" s="22"/>
      <c r="J2" s="20"/>
      <c r="K2" s="20"/>
      <c r="L2" s="20"/>
      <c r="M2" s="20"/>
      <c r="N2" s="20"/>
    </row>
    <row r="3" spans="1:14">
      <c r="A3" s="174"/>
      <c r="B3" s="174"/>
      <c r="C3" s="174"/>
      <c r="D3" s="22"/>
      <c r="E3" s="22" t="s">
        <v>115</v>
      </c>
      <c r="F3" s="37"/>
      <c r="G3" s="37"/>
      <c r="H3" s="37"/>
      <c r="I3" s="22"/>
      <c r="J3" s="20"/>
      <c r="K3" s="20"/>
      <c r="L3" s="20"/>
      <c r="M3" s="20"/>
      <c r="N3" s="20"/>
    </row>
    <row r="4" spans="1:14">
      <c r="A4" s="174"/>
      <c r="B4" s="174"/>
      <c r="C4" s="174"/>
      <c r="D4" s="22"/>
      <c r="E4" s="22" t="s">
        <v>116</v>
      </c>
      <c r="F4" s="37"/>
      <c r="G4" s="37"/>
      <c r="H4" s="37"/>
      <c r="I4" s="22"/>
      <c r="J4" s="20"/>
      <c r="K4" s="20"/>
      <c r="L4" s="20"/>
      <c r="M4" s="20"/>
      <c r="N4" s="20"/>
    </row>
    <row r="5" spans="1:14">
      <c r="A5" s="32"/>
      <c r="B5" s="32"/>
      <c r="C5" s="32"/>
      <c r="D5" s="22"/>
      <c r="E5" s="22"/>
      <c r="F5" s="37"/>
      <c r="G5" s="37"/>
      <c r="H5" s="37"/>
      <c r="I5" s="22"/>
      <c r="J5" s="20"/>
      <c r="K5" s="20"/>
      <c r="L5" s="20"/>
      <c r="M5" s="20"/>
      <c r="N5" s="20"/>
    </row>
    <row r="6" spans="1:14">
      <c r="A6" s="26" t="s">
        <v>88</v>
      </c>
      <c r="B6" s="27" t="s">
        <v>89</v>
      </c>
      <c r="C6" s="175" t="s">
        <v>109</v>
      </c>
      <c r="D6" s="169"/>
      <c r="E6" s="170"/>
      <c r="F6" s="27" t="s">
        <v>90</v>
      </c>
      <c r="G6" s="27" t="s">
        <v>91</v>
      </c>
      <c r="H6" s="27" t="s">
        <v>92</v>
      </c>
      <c r="I6" s="27" t="s">
        <v>93</v>
      </c>
      <c r="J6" s="20"/>
      <c r="K6" s="20"/>
      <c r="L6" s="20"/>
      <c r="M6" s="20"/>
      <c r="N6" s="20"/>
    </row>
    <row r="7" spans="1:14">
      <c r="A7" s="45">
        <v>0.375</v>
      </c>
      <c r="B7" s="46">
        <v>0.45833333333333331</v>
      </c>
      <c r="C7" s="159" t="s">
        <v>110</v>
      </c>
      <c r="D7" s="160"/>
      <c r="E7" s="161"/>
      <c r="F7" s="38"/>
      <c r="G7" s="38"/>
      <c r="H7" s="38"/>
      <c r="I7" s="25" t="s">
        <v>111</v>
      </c>
      <c r="J7" s="20"/>
      <c r="K7" s="20"/>
      <c r="L7" s="20"/>
      <c r="M7" s="20"/>
      <c r="N7" s="20"/>
    </row>
    <row r="8" spans="1:14">
      <c r="A8" s="45">
        <v>0.46875</v>
      </c>
      <c r="B8" s="46">
        <v>0.5625</v>
      </c>
      <c r="C8" s="159" t="s">
        <v>110</v>
      </c>
      <c r="D8" s="160"/>
      <c r="E8" s="161"/>
      <c r="F8" s="38"/>
      <c r="G8" s="38"/>
      <c r="H8" s="38"/>
      <c r="I8" s="25" t="s">
        <v>111</v>
      </c>
      <c r="J8" s="20"/>
      <c r="K8" s="20"/>
      <c r="L8" s="20"/>
      <c r="M8" s="20"/>
      <c r="N8" s="20"/>
    </row>
    <row r="9" spans="1:14">
      <c r="A9" s="40">
        <v>0.5625</v>
      </c>
      <c r="B9" s="41">
        <v>0.60416666666666663</v>
      </c>
      <c r="C9" s="162" t="s">
        <v>96</v>
      </c>
      <c r="D9" s="163"/>
      <c r="E9" s="164"/>
      <c r="F9" s="42"/>
      <c r="G9" s="42">
        <v>60</v>
      </c>
      <c r="H9" s="43" t="s">
        <v>95</v>
      </c>
      <c r="I9" s="44"/>
      <c r="J9" s="20"/>
      <c r="K9" s="20"/>
      <c r="L9" s="20"/>
      <c r="M9" s="20"/>
      <c r="N9" s="20"/>
    </row>
    <row r="10" spans="1:14">
      <c r="A10" s="45">
        <v>0.625</v>
      </c>
      <c r="B10" s="46">
        <v>0.70833333333333337</v>
      </c>
      <c r="C10" s="159" t="s">
        <v>110</v>
      </c>
      <c r="D10" s="160"/>
      <c r="E10" s="161"/>
      <c r="F10" s="38"/>
      <c r="G10" s="38"/>
      <c r="H10" s="38"/>
      <c r="I10" s="25" t="s">
        <v>111</v>
      </c>
      <c r="J10" s="20"/>
      <c r="K10" s="20"/>
      <c r="L10" s="20"/>
      <c r="M10" s="20"/>
      <c r="N10" s="20"/>
    </row>
    <row r="11" spans="1:14">
      <c r="A11" s="45">
        <v>0.71875</v>
      </c>
      <c r="B11" s="46">
        <v>0.75</v>
      </c>
      <c r="C11" s="159" t="s">
        <v>110</v>
      </c>
      <c r="D11" s="160"/>
      <c r="E11" s="161"/>
      <c r="F11" s="38"/>
      <c r="G11" s="38"/>
      <c r="H11" s="38"/>
      <c r="I11" s="25" t="s">
        <v>111</v>
      </c>
      <c r="J11" s="20"/>
      <c r="K11" s="20"/>
      <c r="L11" s="20"/>
      <c r="M11" s="20"/>
      <c r="N11" s="20"/>
    </row>
    <row r="12" spans="1:14">
      <c r="A12" s="23">
        <v>0.75</v>
      </c>
      <c r="B12" s="24">
        <v>0.79166666666666663</v>
      </c>
      <c r="C12" s="159" t="s">
        <v>97</v>
      </c>
      <c r="D12" s="160"/>
      <c r="E12" s="161"/>
      <c r="F12" s="39"/>
      <c r="G12" s="39"/>
      <c r="H12" s="38"/>
      <c r="I12" s="25" t="s">
        <v>107</v>
      </c>
      <c r="J12" s="20"/>
      <c r="K12" s="20"/>
      <c r="L12" s="20"/>
      <c r="M12" s="20"/>
      <c r="N12" s="20"/>
    </row>
    <row r="13" spans="1:14" ht="15" customHeight="1">
      <c r="A13" s="47">
        <v>0.83333333333333337</v>
      </c>
      <c r="B13" s="48">
        <v>0.875</v>
      </c>
      <c r="C13" s="165" t="s">
        <v>108</v>
      </c>
      <c r="D13" s="166"/>
      <c r="E13" s="167"/>
      <c r="F13" s="49"/>
      <c r="G13" s="49">
        <v>60</v>
      </c>
      <c r="H13" s="43" t="s">
        <v>95</v>
      </c>
      <c r="I13" s="50"/>
      <c r="J13" s="20"/>
      <c r="K13" s="20"/>
      <c r="L13" s="20"/>
      <c r="M13" s="20"/>
      <c r="N13" s="20"/>
    </row>
    <row r="14" spans="1:14">
      <c r="A14" s="53"/>
      <c r="B14" s="6"/>
      <c r="C14" s="6"/>
      <c r="D14" s="6"/>
      <c r="E14" s="6"/>
      <c r="F14" s="6"/>
      <c r="G14" s="6"/>
      <c r="H14" s="6"/>
      <c r="I14" s="54"/>
      <c r="J14" s="20"/>
      <c r="K14" s="20"/>
      <c r="L14" s="20"/>
      <c r="M14" s="20"/>
      <c r="N14" s="20"/>
    </row>
    <row r="15" spans="1:14">
      <c r="A15" s="26" t="s">
        <v>88</v>
      </c>
      <c r="B15" s="27" t="s">
        <v>89</v>
      </c>
      <c r="C15" s="168" t="s">
        <v>112</v>
      </c>
      <c r="D15" s="169"/>
      <c r="E15" s="170"/>
      <c r="F15" s="27" t="s">
        <v>90</v>
      </c>
      <c r="G15" s="27" t="s">
        <v>91</v>
      </c>
      <c r="H15" s="27" t="s">
        <v>92</v>
      </c>
      <c r="I15" s="27" t="s">
        <v>93</v>
      </c>
      <c r="J15" s="20"/>
      <c r="K15" s="20"/>
      <c r="L15" s="20"/>
      <c r="M15" s="20"/>
      <c r="N15" s="20"/>
    </row>
    <row r="16" spans="1:14">
      <c r="A16" s="40">
        <v>0.33333333333333331</v>
      </c>
      <c r="B16" s="41">
        <v>0.375</v>
      </c>
      <c r="C16" s="171" t="s">
        <v>94</v>
      </c>
      <c r="D16" s="172"/>
      <c r="E16" s="173"/>
      <c r="F16" s="51"/>
      <c r="G16" s="51">
        <v>60</v>
      </c>
      <c r="H16" s="51"/>
      <c r="I16" s="52"/>
      <c r="J16" s="20"/>
      <c r="K16" s="20"/>
      <c r="L16" s="20"/>
      <c r="M16" s="20"/>
      <c r="N16" s="20"/>
    </row>
    <row r="17" spans="1:14">
      <c r="A17" s="45">
        <v>0.375</v>
      </c>
      <c r="B17" s="46">
        <v>0.45833333333333331</v>
      </c>
      <c r="C17" s="159" t="s">
        <v>110</v>
      </c>
      <c r="D17" s="160"/>
      <c r="E17" s="161"/>
      <c r="F17" s="38"/>
      <c r="G17" s="38"/>
      <c r="H17" s="38"/>
      <c r="I17" s="25" t="s">
        <v>111</v>
      </c>
      <c r="J17" s="20"/>
      <c r="K17" s="20"/>
      <c r="L17" s="20"/>
      <c r="M17" s="20"/>
      <c r="N17" s="20"/>
    </row>
    <row r="18" spans="1:14">
      <c r="A18" s="45">
        <v>0.46875</v>
      </c>
      <c r="B18" s="46">
        <v>0.5625</v>
      </c>
      <c r="C18" s="159" t="s">
        <v>110</v>
      </c>
      <c r="D18" s="160"/>
      <c r="E18" s="161"/>
      <c r="F18" s="38"/>
      <c r="G18" s="38"/>
      <c r="H18" s="38"/>
      <c r="I18" s="25" t="s">
        <v>111</v>
      </c>
      <c r="J18" s="20"/>
      <c r="K18" s="20"/>
      <c r="L18" s="20"/>
      <c r="M18" s="20"/>
      <c r="N18" s="20"/>
    </row>
    <row r="19" spans="1:14">
      <c r="A19" s="40">
        <v>0.5625</v>
      </c>
      <c r="B19" s="41">
        <v>0.60416666666666663</v>
      </c>
      <c r="C19" s="162" t="s">
        <v>96</v>
      </c>
      <c r="D19" s="163"/>
      <c r="E19" s="164"/>
      <c r="F19" s="42"/>
      <c r="G19" s="42">
        <v>60</v>
      </c>
      <c r="H19" s="43" t="s">
        <v>95</v>
      </c>
      <c r="I19" s="44"/>
      <c r="J19" s="20"/>
      <c r="K19" s="20"/>
      <c r="L19" s="20"/>
      <c r="M19" s="20"/>
      <c r="N19" s="20"/>
    </row>
    <row r="20" spans="1:14">
      <c r="A20" s="45">
        <v>0.625</v>
      </c>
      <c r="B20" s="46">
        <v>0.70833333333333337</v>
      </c>
      <c r="C20" s="159" t="s">
        <v>110</v>
      </c>
      <c r="D20" s="160"/>
      <c r="E20" s="161"/>
      <c r="F20" s="38"/>
      <c r="G20" s="38"/>
      <c r="H20" s="38"/>
      <c r="I20" s="25" t="s">
        <v>111</v>
      </c>
      <c r="J20" s="20"/>
      <c r="K20" s="20"/>
      <c r="L20" s="20"/>
      <c r="M20" s="20"/>
      <c r="N20" s="20"/>
    </row>
    <row r="21" spans="1:14">
      <c r="A21" s="45">
        <v>0.71875</v>
      </c>
      <c r="B21" s="46">
        <v>0.75</v>
      </c>
      <c r="C21" s="159" t="s">
        <v>110</v>
      </c>
      <c r="D21" s="160"/>
      <c r="E21" s="161"/>
      <c r="F21" s="38"/>
      <c r="G21" s="38"/>
      <c r="H21" s="38"/>
      <c r="I21" s="25" t="s">
        <v>111</v>
      </c>
      <c r="J21" s="20"/>
      <c r="K21" s="20"/>
      <c r="L21" s="20"/>
      <c r="M21" s="20"/>
      <c r="N21" s="20"/>
    </row>
    <row r="22" spans="1:14">
      <c r="A22" s="23">
        <v>0.75</v>
      </c>
      <c r="B22" s="24">
        <v>0.79166666666666663</v>
      </c>
      <c r="C22" s="159" t="s">
        <v>97</v>
      </c>
      <c r="D22" s="160"/>
      <c r="E22" s="161"/>
      <c r="F22" s="39"/>
      <c r="G22" s="39"/>
      <c r="H22" s="38"/>
      <c r="I22" s="25" t="s">
        <v>107</v>
      </c>
      <c r="J22" s="20"/>
      <c r="K22" s="20"/>
      <c r="L22" s="20"/>
      <c r="M22" s="20"/>
      <c r="N22" s="20"/>
    </row>
    <row r="23" spans="1:14" ht="15" customHeight="1">
      <c r="A23" s="47">
        <v>0.83333333333333337</v>
      </c>
      <c r="B23" s="48">
        <v>0.875</v>
      </c>
      <c r="C23" s="165" t="s">
        <v>108</v>
      </c>
      <c r="D23" s="166"/>
      <c r="E23" s="167"/>
      <c r="F23" s="49"/>
      <c r="G23" s="49">
        <v>60</v>
      </c>
      <c r="H23" s="43" t="s">
        <v>95</v>
      </c>
      <c r="I23" s="50"/>
      <c r="J23" s="20"/>
      <c r="K23" s="20"/>
      <c r="L23" s="20"/>
      <c r="M23" s="20"/>
      <c r="N23" s="20"/>
    </row>
    <row r="24" spans="1:14" ht="15" customHeight="1">
      <c r="A24" s="55"/>
      <c r="B24" s="55"/>
      <c r="C24" s="56"/>
      <c r="D24" s="56"/>
      <c r="E24" s="56"/>
      <c r="F24" s="57"/>
      <c r="G24" s="57"/>
      <c r="H24" s="58"/>
      <c r="I24" s="59"/>
      <c r="J24" s="6"/>
      <c r="K24" s="6"/>
      <c r="L24" s="6"/>
      <c r="M24" s="6"/>
      <c r="N24" s="6"/>
    </row>
    <row r="25" spans="1:14">
      <c r="A25" s="26" t="s">
        <v>88</v>
      </c>
      <c r="B25" s="27" t="s">
        <v>89</v>
      </c>
      <c r="C25" s="168" t="s">
        <v>113</v>
      </c>
      <c r="D25" s="169"/>
      <c r="E25" s="170"/>
      <c r="F25" s="27" t="s">
        <v>90</v>
      </c>
      <c r="G25" s="27" t="s">
        <v>91</v>
      </c>
      <c r="H25" s="27" t="s">
        <v>92</v>
      </c>
      <c r="I25" s="27" t="s">
        <v>93</v>
      </c>
      <c r="J25" s="20"/>
      <c r="K25" s="20"/>
      <c r="L25" s="20"/>
      <c r="M25" s="20"/>
      <c r="N25" s="20"/>
    </row>
    <row r="26" spans="1:14">
      <c r="A26" s="40">
        <v>0.33333333333333331</v>
      </c>
      <c r="B26" s="41">
        <v>0.375</v>
      </c>
      <c r="C26" s="171" t="s">
        <v>94</v>
      </c>
      <c r="D26" s="172"/>
      <c r="E26" s="173"/>
      <c r="F26" s="51"/>
      <c r="G26" s="51">
        <v>60</v>
      </c>
      <c r="H26" s="51"/>
      <c r="I26" s="52"/>
      <c r="J26" s="20"/>
      <c r="K26" s="20"/>
      <c r="L26" s="20"/>
      <c r="M26" s="20"/>
      <c r="N26" s="20"/>
    </row>
    <row r="27" spans="1:14">
      <c r="A27" s="45">
        <v>0.375</v>
      </c>
      <c r="B27" s="46">
        <v>0.45833333333333331</v>
      </c>
      <c r="C27" s="159" t="s">
        <v>110</v>
      </c>
      <c r="D27" s="160"/>
      <c r="E27" s="161"/>
      <c r="F27" s="38"/>
      <c r="G27" s="38"/>
      <c r="H27" s="38"/>
      <c r="I27" s="25" t="s">
        <v>111</v>
      </c>
      <c r="J27" s="20"/>
      <c r="K27" s="20"/>
      <c r="L27" s="20"/>
      <c r="M27" s="20"/>
      <c r="N27" s="20"/>
    </row>
    <row r="28" spans="1:14">
      <c r="A28" s="45">
        <v>0.46875</v>
      </c>
      <c r="B28" s="46">
        <v>0.5625</v>
      </c>
      <c r="C28" s="159" t="s">
        <v>110</v>
      </c>
      <c r="D28" s="160"/>
      <c r="E28" s="161"/>
      <c r="F28" s="38"/>
      <c r="G28" s="38"/>
      <c r="H28" s="38"/>
      <c r="I28" s="25" t="s">
        <v>111</v>
      </c>
      <c r="J28" s="20"/>
      <c r="K28" s="20"/>
      <c r="L28" s="20"/>
      <c r="M28" s="20"/>
      <c r="N28" s="20"/>
    </row>
    <row r="29" spans="1:14">
      <c r="A29" s="40">
        <v>0.5625</v>
      </c>
      <c r="B29" s="41">
        <v>0.60416666666666663</v>
      </c>
      <c r="C29" s="162" t="s">
        <v>96</v>
      </c>
      <c r="D29" s="163"/>
      <c r="E29" s="164"/>
      <c r="F29" s="42"/>
      <c r="G29" s="42">
        <v>60</v>
      </c>
      <c r="H29" s="43" t="s">
        <v>95</v>
      </c>
      <c r="I29" s="44"/>
      <c r="J29" s="20"/>
      <c r="K29" s="20"/>
      <c r="L29" s="20"/>
      <c r="M29" s="20"/>
      <c r="N29" s="20"/>
    </row>
    <row r="30" spans="1:14">
      <c r="A30" s="45">
        <v>0.625</v>
      </c>
      <c r="B30" s="46">
        <v>0.70833333333333337</v>
      </c>
      <c r="C30" s="159" t="s">
        <v>110</v>
      </c>
      <c r="D30" s="160"/>
      <c r="E30" s="161"/>
      <c r="F30" s="38"/>
      <c r="G30" s="38"/>
      <c r="H30" s="38"/>
      <c r="I30" s="25" t="s">
        <v>111</v>
      </c>
      <c r="J30" s="20"/>
      <c r="K30" s="20"/>
      <c r="L30" s="20"/>
      <c r="M30" s="20"/>
      <c r="N30" s="20"/>
    </row>
    <row r="31" spans="1:14">
      <c r="A31" s="45">
        <v>0.71875</v>
      </c>
      <c r="B31" s="46">
        <v>0.75</v>
      </c>
      <c r="C31" s="159" t="s">
        <v>110</v>
      </c>
      <c r="D31" s="160"/>
      <c r="E31" s="161"/>
      <c r="F31" s="38"/>
      <c r="G31" s="38"/>
      <c r="H31" s="38"/>
      <c r="I31" s="25" t="s">
        <v>111</v>
      </c>
      <c r="J31" s="20"/>
      <c r="K31" s="20"/>
      <c r="L31" s="20"/>
      <c r="M31" s="20"/>
      <c r="N31" s="20"/>
    </row>
    <row r="32" spans="1:14" ht="15" customHeight="1">
      <c r="A32" s="177"/>
      <c r="B32" s="177"/>
      <c r="C32" s="177"/>
      <c r="D32" s="177"/>
      <c r="E32" s="177"/>
      <c r="F32" s="177"/>
      <c r="G32" s="177"/>
      <c r="H32" s="177"/>
      <c r="I32" s="177"/>
      <c r="J32" s="6"/>
      <c r="K32" s="6"/>
      <c r="L32" s="6"/>
      <c r="M32" s="6"/>
      <c r="N32" s="6"/>
    </row>
    <row r="33" spans="1:14" ht="15" customHeight="1">
      <c r="A33" s="178" t="s">
        <v>114</v>
      </c>
      <c r="B33" s="178"/>
      <c r="C33" s="178"/>
      <c r="D33" s="178"/>
      <c r="E33" s="178"/>
      <c r="F33" s="178"/>
      <c r="G33" s="178"/>
      <c r="H33" s="178"/>
      <c r="I33" s="178"/>
      <c r="J33" s="6"/>
      <c r="K33" s="6"/>
      <c r="L33" s="6"/>
      <c r="M33" s="6"/>
      <c r="N33" s="6"/>
    </row>
    <row r="34" spans="1:14" ht="15" customHeight="1">
      <c r="A34" s="177"/>
      <c r="B34" s="177"/>
      <c r="C34" s="177"/>
      <c r="D34" s="177"/>
      <c r="E34" s="177"/>
      <c r="F34" s="177"/>
      <c r="G34" s="177"/>
      <c r="H34" s="177"/>
      <c r="I34" s="177"/>
      <c r="J34" s="6"/>
      <c r="K34" s="6"/>
      <c r="L34" s="6"/>
      <c r="M34" s="6"/>
      <c r="N34" s="6"/>
    </row>
    <row r="35" spans="1:14" ht="15" customHeight="1">
      <c r="A35" s="177"/>
      <c r="B35" s="177"/>
      <c r="C35" s="177"/>
      <c r="D35" s="177"/>
      <c r="E35" s="177"/>
      <c r="F35" s="177"/>
      <c r="G35" s="177"/>
      <c r="H35" s="177"/>
      <c r="I35" s="177"/>
      <c r="J35" s="6"/>
      <c r="K35" s="6"/>
      <c r="L35" s="6"/>
      <c r="M35" s="6"/>
      <c r="N35" s="6"/>
    </row>
    <row r="36" spans="1:14" ht="15" customHeight="1">
      <c r="A36" s="177"/>
      <c r="B36" s="177"/>
      <c r="C36" s="177"/>
      <c r="D36" s="177"/>
      <c r="E36" s="177"/>
      <c r="F36" s="177"/>
      <c r="G36" s="177"/>
      <c r="H36" s="177"/>
      <c r="I36" s="177"/>
      <c r="J36" s="6"/>
      <c r="K36" s="6"/>
      <c r="L36" s="6"/>
      <c r="M36" s="6"/>
      <c r="N36" s="6"/>
    </row>
    <row r="37" spans="1:14" ht="15" customHeight="1">
      <c r="A37" s="177"/>
      <c r="B37" s="177"/>
      <c r="C37" s="177"/>
      <c r="D37" s="177"/>
      <c r="E37" s="177"/>
      <c r="F37" s="177"/>
      <c r="G37" s="177"/>
      <c r="H37" s="177"/>
      <c r="I37" s="177"/>
      <c r="J37" s="6"/>
      <c r="K37" s="6"/>
      <c r="L37" s="6"/>
      <c r="M37" s="6"/>
      <c r="N37" s="6"/>
    </row>
    <row r="38" spans="1:14" ht="15" customHeight="1">
      <c r="A38" s="177"/>
      <c r="B38" s="177"/>
      <c r="C38" s="177"/>
      <c r="D38" s="177"/>
      <c r="E38" s="177"/>
      <c r="F38" s="177"/>
      <c r="G38" s="177"/>
      <c r="H38" s="177"/>
      <c r="I38" s="177"/>
      <c r="J38" s="6"/>
      <c r="K38" s="6"/>
      <c r="L38" s="6"/>
      <c r="M38" s="6"/>
      <c r="N38" s="6"/>
    </row>
    <row r="39" spans="1:14" ht="15" customHeight="1">
      <c r="A39" s="177"/>
      <c r="B39" s="177"/>
      <c r="C39" s="177"/>
      <c r="D39" s="177"/>
      <c r="E39" s="177"/>
      <c r="F39" s="177"/>
      <c r="G39" s="177"/>
      <c r="H39" s="177"/>
      <c r="I39" s="177"/>
      <c r="J39" s="6"/>
      <c r="K39" s="6"/>
      <c r="L39" s="6"/>
      <c r="M39" s="6"/>
      <c r="N39" s="6"/>
    </row>
    <row r="40" spans="1:14" ht="15" customHeight="1">
      <c r="A40" s="55"/>
      <c r="B40" s="55"/>
      <c r="C40" s="56"/>
      <c r="D40" s="56"/>
      <c r="E40" s="56"/>
      <c r="F40" s="57"/>
      <c r="G40" s="57"/>
      <c r="H40" s="58"/>
      <c r="I40" s="59"/>
      <c r="J40" s="6"/>
      <c r="K40" s="6"/>
      <c r="L40" s="6"/>
      <c r="M40" s="6"/>
      <c r="N40" s="6"/>
    </row>
    <row r="41" spans="1:14" ht="15" customHeight="1">
      <c r="A41" s="55"/>
      <c r="B41" s="55"/>
      <c r="C41" s="56"/>
      <c r="D41" s="56"/>
      <c r="E41" s="56"/>
      <c r="F41" s="57"/>
      <c r="G41" s="57"/>
      <c r="H41" s="58"/>
      <c r="I41" s="59"/>
      <c r="J41" s="6"/>
      <c r="K41" s="6"/>
      <c r="L41" s="6"/>
      <c r="M41" s="6"/>
      <c r="N41" s="6"/>
    </row>
    <row r="42" spans="1:14" ht="15" customHeight="1">
      <c r="A42" s="55"/>
      <c r="B42" s="55"/>
      <c r="C42" s="56"/>
      <c r="D42" s="56"/>
      <c r="E42" s="56"/>
      <c r="F42" s="57"/>
      <c r="G42" s="57"/>
      <c r="H42" s="58"/>
      <c r="I42" s="59"/>
      <c r="J42" s="6"/>
      <c r="K42" s="6"/>
      <c r="L42" s="6"/>
      <c r="M42" s="6"/>
      <c r="N42" s="6"/>
    </row>
    <row r="43" spans="1:14">
      <c r="A43" s="32"/>
      <c r="B43" s="32"/>
      <c r="C43" s="20"/>
      <c r="D43" s="32"/>
      <c r="E43" s="20"/>
      <c r="F43" s="32"/>
      <c r="G43" s="32"/>
      <c r="H43" s="32"/>
      <c r="I43" s="20"/>
      <c r="J43" s="20"/>
      <c r="K43" s="20"/>
      <c r="L43" s="20"/>
      <c r="M43" s="20"/>
      <c r="N43" s="20"/>
    </row>
    <row r="44" spans="1:14" ht="24" customHeight="1">
      <c r="A44" s="179" t="s">
        <v>98</v>
      </c>
      <c r="B44" s="179"/>
      <c r="C44" s="179"/>
      <c r="D44" s="179"/>
      <c r="E44" s="179"/>
      <c r="F44" s="179"/>
      <c r="G44" s="179"/>
      <c r="H44" s="32"/>
      <c r="I44" s="28" t="s">
        <v>99</v>
      </c>
      <c r="J44" s="20"/>
      <c r="K44" s="20"/>
      <c r="L44" s="20"/>
      <c r="M44" s="20"/>
      <c r="N44" s="20"/>
    </row>
    <row r="45" spans="1:14">
      <c r="A45" s="174"/>
      <c r="B45" s="174"/>
      <c r="C45" s="174"/>
      <c r="D45" s="174"/>
      <c r="E45" s="174"/>
      <c r="F45" s="174"/>
      <c r="G45" s="174"/>
      <c r="H45" s="32"/>
      <c r="I45" s="20"/>
      <c r="J45" s="20"/>
      <c r="K45" s="20"/>
      <c r="L45" s="20"/>
      <c r="M45" s="20"/>
      <c r="N45" s="20"/>
    </row>
    <row r="46" spans="1:14">
      <c r="A46" s="176" t="s">
        <v>100</v>
      </c>
      <c r="B46" s="176"/>
      <c r="C46" s="176"/>
      <c r="D46" s="176"/>
      <c r="E46" s="176"/>
      <c r="F46" s="176"/>
      <c r="G46" s="176"/>
      <c r="H46" s="32"/>
      <c r="I46" s="20"/>
      <c r="J46" s="20"/>
      <c r="K46" s="20"/>
      <c r="L46" s="20"/>
      <c r="M46" s="20"/>
      <c r="N46" s="20"/>
    </row>
    <row r="47" spans="1:14">
      <c r="A47" s="32"/>
      <c r="B47" s="32"/>
      <c r="C47" s="20"/>
      <c r="D47" s="20"/>
      <c r="E47" s="20"/>
      <c r="F47" s="32"/>
      <c r="G47" s="32"/>
      <c r="H47" s="32"/>
      <c r="I47" s="20"/>
      <c r="J47" s="20"/>
      <c r="K47" s="20"/>
      <c r="L47" s="20"/>
      <c r="M47" s="20"/>
      <c r="N47" s="20"/>
    </row>
    <row r="48" spans="1:14">
      <c r="A48" s="32"/>
      <c r="B48" s="32"/>
      <c r="C48" s="20"/>
      <c r="D48" s="20"/>
      <c r="E48" s="20"/>
      <c r="F48" s="32"/>
      <c r="G48" s="32"/>
      <c r="H48" s="32"/>
      <c r="I48" s="20"/>
      <c r="J48" s="20"/>
      <c r="K48" s="20"/>
      <c r="L48" s="20"/>
      <c r="M48" s="20"/>
      <c r="N48" s="20"/>
    </row>
    <row r="49" spans="1:14">
      <c r="A49" s="32"/>
      <c r="B49" s="32"/>
      <c r="C49" s="20"/>
      <c r="D49" s="20"/>
      <c r="E49" s="20"/>
      <c r="F49" s="32"/>
      <c r="G49" s="32"/>
      <c r="H49" s="32"/>
      <c r="I49" s="20"/>
      <c r="J49" s="20"/>
      <c r="K49" s="20"/>
      <c r="L49" s="20"/>
      <c r="M49" s="20"/>
      <c r="N49" s="20"/>
    </row>
    <row r="50" spans="1:14">
      <c r="A50" s="32"/>
      <c r="B50" s="32"/>
      <c r="C50" s="20"/>
      <c r="D50" s="20"/>
      <c r="E50" s="20"/>
      <c r="F50" s="32"/>
      <c r="G50" s="32"/>
      <c r="H50" s="32"/>
      <c r="I50" s="20"/>
      <c r="J50" s="20"/>
      <c r="K50" s="20"/>
      <c r="L50" s="20"/>
      <c r="M50" s="20"/>
      <c r="N50" s="20"/>
    </row>
    <row r="51" spans="1:14">
      <c r="A51" s="32"/>
      <c r="B51" s="32"/>
      <c r="C51" s="20"/>
      <c r="D51" s="20"/>
      <c r="E51" s="20"/>
      <c r="F51" s="32"/>
      <c r="G51" s="32"/>
      <c r="H51" s="32"/>
      <c r="I51" s="20"/>
      <c r="J51" s="20"/>
      <c r="K51" s="20"/>
      <c r="L51" s="20"/>
      <c r="M51" s="20"/>
      <c r="N51" s="20"/>
    </row>
    <row r="52" spans="1:14">
      <c r="A52" s="32"/>
      <c r="B52" s="32"/>
      <c r="C52" s="20"/>
      <c r="D52" s="20"/>
      <c r="E52" s="20"/>
      <c r="F52" s="32"/>
      <c r="G52" s="32"/>
      <c r="H52" s="32"/>
      <c r="I52" s="20"/>
      <c r="J52" s="20"/>
      <c r="K52" s="20"/>
      <c r="L52" s="20"/>
      <c r="M52" s="20"/>
      <c r="N52" s="20"/>
    </row>
    <row r="53" spans="1:14">
      <c r="A53" s="32"/>
      <c r="B53" s="32"/>
      <c r="C53" s="20"/>
      <c r="D53" s="20"/>
      <c r="E53" s="20"/>
      <c r="F53" s="32"/>
      <c r="G53" s="32"/>
      <c r="H53" s="32"/>
      <c r="I53" s="20"/>
      <c r="J53" s="20"/>
      <c r="K53" s="20"/>
      <c r="L53" s="20"/>
      <c r="M53" s="20"/>
      <c r="N53" s="20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5.75"/>
  <sheetData>
    <row r="1" spans="1:26" ht="114.95" customHeight="1">
      <c r="E1" s="7" t="s">
        <v>9</v>
      </c>
      <c r="L1" s="17" t="s">
        <v>2</v>
      </c>
    </row>
    <row r="2" spans="1:26">
      <c r="A2" t="s">
        <v>10</v>
      </c>
      <c r="J2" t="s">
        <v>11</v>
      </c>
      <c r="P2" t="s">
        <v>2</v>
      </c>
      <c r="U2" t="s">
        <v>12</v>
      </c>
    </row>
    <row r="3" spans="1:26" ht="57.75">
      <c r="A3" s="8" t="s">
        <v>13</v>
      </c>
      <c r="B3" s="9" t="s">
        <v>14</v>
      </c>
      <c r="C3" s="9" t="s">
        <v>15</v>
      </c>
      <c r="D3" s="9" t="s">
        <v>16</v>
      </c>
      <c r="E3" s="9" t="s">
        <v>17</v>
      </c>
      <c r="F3" s="9" t="s">
        <v>18</v>
      </c>
      <c r="H3" s="10" t="s">
        <v>19</v>
      </c>
      <c r="I3" s="9" t="s">
        <v>14</v>
      </c>
      <c r="J3" s="9" t="s">
        <v>15</v>
      </c>
      <c r="K3" s="9" t="s">
        <v>85</v>
      </c>
      <c r="L3" s="11"/>
      <c r="M3" s="10" t="s">
        <v>20</v>
      </c>
      <c r="N3" s="9" t="s">
        <v>14</v>
      </c>
      <c r="O3" s="9" t="s">
        <v>15</v>
      </c>
      <c r="P3" s="9" t="s">
        <v>16</v>
      </c>
      <c r="R3" s="12" t="s">
        <v>21</v>
      </c>
      <c r="S3" s="13" t="s">
        <v>22</v>
      </c>
      <c r="T3" s="13" t="s">
        <v>23</v>
      </c>
      <c r="U3" s="13" t="s">
        <v>24</v>
      </c>
      <c r="V3" s="13" t="s">
        <v>25</v>
      </c>
      <c r="W3" s="13" t="s">
        <v>26</v>
      </c>
      <c r="X3" s="13" t="s">
        <v>27</v>
      </c>
      <c r="Y3" s="13" t="s">
        <v>28</v>
      </c>
      <c r="Z3" s="14" t="s">
        <v>1</v>
      </c>
    </row>
    <row r="4" spans="1:26">
      <c r="A4" s="8" t="s">
        <v>29</v>
      </c>
      <c r="B4" s="8">
        <v>1</v>
      </c>
      <c r="C4" s="8">
        <v>2</v>
      </c>
      <c r="D4" s="8">
        <v>2</v>
      </c>
      <c r="E4" s="8">
        <v>2</v>
      </c>
      <c r="F4" s="18">
        <v>2</v>
      </c>
      <c r="H4" s="8" t="s">
        <v>30</v>
      </c>
      <c r="I4" s="8">
        <v>1</v>
      </c>
      <c r="J4" s="8">
        <v>2</v>
      </c>
      <c r="K4" s="18">
        <v>4</v>
      </c>
      <c r="M4" s="8" t="s">
        <v>30</v>
      </c>
      <c r="N4" s="8">
        <v>1</v>
      </c>
      <c r="O4" s="8">
        <v>2</v>
      </c>
      <c r="P4" s="18">
        <v>3</v>
      </c>
      <c r="R4" s="8">
        <v>41</v>
      </c>
      <c r="S4" s="8" t="s">
        <v>31</v>
      </c>
      <c r="T4" s="8" t="s">
        <v>31</v>
      </c>
      <c r="U4" s="8" t="s">
        <v>32</v>
      </c>
      <c r="V4" s="8" t="s">
        <v>32</v>
      </c>
      <c r="W4" s="8">
        <v>2</v>
      </c>
      <c r="X4" s="8">
        <v>1</v>
      </c>
      <c r="Y4" s="8">
        <v>1</v>
      </c>
      <c r="Z4" s="18">
        <v>12</v>
      </c>
    </row>
    <row r="5" spans="1:26">
      <c r="A5" s="8" t="s">
        <v>33</v>
      </c>
      <c r="B5" s="8">
        <v>1</v>
      </c>
      <c r="C5" s="8">
        <v>2</v>
      </c>
      <c r="D5" s="8">
        <v>2</v>
      </c>
      <c r="E5" s="8">
        <v>2</v>
      </c>
      <c r="F5" s="18">
        <v>2</v>
      </c>
      <c r="H5" s="8" t="s">
        <v>34</v>
      </c>
      <c r="I5" s="8">
        <v>1</v>
      </c>
      <c r="J5" s="8">
        <v>2</v>
      </c>
      <c r="K5" s="18">
        <v>4</v>
      </c>
      <c r="M5" s="8" t="s">
        <v>34</v>
      </c>
      <c r="N5" s="8">
        <v>1</v>
      </c>
      <c r="O5" s="8">
        <v>2</v>
      </c>
      <c r="P5" s="18">
        <v>3</v>
      </c>
      <c r="R5" s="8">
        <v>42</v>
      </c>
      <c r="S5" s="8" t="s">
        <v>31</v>
      </c>
      <c r="T5" s="8" t="s">
        <v>31</v>
      </c>
      <c r="U5" s="8" t="s">
        <v>32</v>
      </c>
      <c r="V5" s="8" t="s">
        <v>32</v>
      </c>
      <c r="W5" s="8">
        <v>2</v>
      </c>
      <c r="X5" s="8">
        <v>1</v>
      </c>
      <c r="Y5" s="8">
        <v>1</v>
      </c>
      <c r="Z5" s="18">
        <v>12</v>
      </c>
    </row>
    <row r="6" spans="1:26">
      <c r="A6" s="8" t="s">
        <v>35</v>
      </c>
      <c r="B6" s="8">
        <v>1</v>
      </c>
      <c r="C6" s="8">
        <v>2</v>
      </c>
      <c r="D6" s="15">
        <v>2</v>
      </c>
      <c r="E6" s="8">
        <v>2</v>
      </c>
      <c r="F6" s="18">
        <v>2</v>
      </c>
      <c r="H6" s="8" t="s">
        <v>36</v>
      </c>
      <c r="I6" s="8">
        <v>1</v>
      </c>
      <c r="J6" s="8">
        <v>2</v>
      </c>
      <c r="K6" s="18">
        <v>4</v>
      </c>
      <c r="M6" s="8" t="s">
        <v>36</v>
      </c>
      <c r="N6" s="8">
        <v>1</v>
      </c>
      <c r="O6" s="8">
        <v>2</v>
      </c>
      <c r="P6" s="18">
        <v>3</v>
      </c>
      <c r="R6" s="8">
        <v>43</v>
      </c>
      <c r="S6" s="8" t="s">
        <v>31</v>
      </c>
      <c r="T6" s="8" t="s">
        <v>31</v>
      </c>
      <c r="U6" s="8" t="s">
        <v>32</v>
      </c>
      <c r="V6" s="8" t="s">
        <v>32</v>
      </c>
      <c r="W6" s="8">
        <v>2</v>
      </c>
      <c r="X6" s="8">
        <v>1</v>
      </c>
      <c r="Y6" s="8">
        <v>1</v>
      </c>
      <c r="Z6" s="18">
        <v>12</v>
      </c>
    </row>
    <row r="7" spans="1:26">
      <c r="A7" s="8" t="s">
        <v>37</v>
      </c>
      <c r="B7" s="8">
        <v>1</v>
      </c>
      <c r="C7" s="8">
        <v>2</v>
      </c>
      <c r="D7" s="8">
        <v>2</v>
      </c>
      <c r="E7" s="8">
        <v>2</v>
      </c>
      <c r="F7" s="18">
        <v>2</v>
      </c>
      <c r="H7" s="8" t="s">
        <v>38</v>
      </c>
      <c r="I7" s="8">
        <v>1</v>
      </c>
      <c r="J7" s="8">
        <v>2</v>
      </c>
      <c r="K7" s="18">
        <v>4</v>
      </c>
      <c r="M7" s="8" t="s">
        <v>38</v>
      </c>
      <c r="N7" s="8">
        <v>1</v>
      </c>
      <c r="O7" s="8">
        <v>2</v>
      </c>
      <c r="P7" s="18">
        <v>3</v>
      </c>
      <c r="R7" s="8">
        <v>44</v>
      </c>
      <c r="S7" s="8" t="s">
        <v>31</v>
      </c>
      <c r="T7" s="8" t="s">
        <v>31</v>
      </c>
      <c r="U7" s="8" t="s">
        <v>32</v>
      </c>
      <c r="V7" s="8" t="s">
        <v>39</v>
      </c>
      <c r="W7" s="8">
        <v>2</v>
      </c>
      <c r="X7" s="8">
        <v>1</v>
      </c>
      <c r="Y7" s="8">
        <v>1</v>
      </c>
      <c r="Z7" s="18">
        <v>12</v>
      </c>
    </row>
    <row r="8" spans="1:26">
      <c r="A8" s="8" t="s">
        <v>40</v>
      </c>
      <c r="B8" s="8">
        <v>2</v>
      </c>
      <c r="C8" s="8">
        <v>2</v>
      </c>
      <c r="D8" s="8">
        <v>3</v>
      </c>
      <c r="E8" s="8">
        <v>4</v>
      </c>
      <c r="F8" s="18">
        <v>5</v>
      </c>
      <c r="H8" s="8" t="s">
        <v>41</v>
      </c>
      <c r="I8" s="8">
        <v>1</v>
      </c>
      <c r="J8" s="8">
        <v>2</v>
      </c>
      <c r="K8" s="18" t="s">
        <v>2</v>
      </c>
      <c r="M8" s="8" t="s">
        <v>41</v>
      </c>
      <c r="N8" s="8">
        <v>1</v>
      </c>
      <c r="O8" s="8">
        <v>2</v>
      </c>
      <c r="P8" s="18">
        <v>3</v>
      </c>
    </row>
    <row r="9" spans="1:26">
      <c r="A9" s="8" t="s">
        <v>42</v>
      </c>
      <c r="B9" s="8">
        <v>2</v>
      </c>
      <c r="C9" s="8">
        <v>2</v>
      </c>
      <c r="D9" s="8">
        <v>3</v>
      </c>
      <c r="E9" s="8">
        <v>4</v>
      </c>
      <c r="F9" s="18">
        <v>5</v>
      </c>
      <c r="H9" s="8" t="s">
        <v>43</v>
      </c>
      <c r="I9" s="8">
        <v>1</v>
      </c>
      <c r="J9" s="8">
        <v>2</v>
      </c>
      <c r="K9" s="18" t="s">
        <v>2</v>
      </c>
      <c r="M9" s="8" t="s">
        <v>43</v>
      </c>
      <c r="N9" s="8">
        <v>1</v>
      </c>
      <c r="O9" s="8">
        <v>2</v>
      </c>
      <c r="P9" s="18">
        <v>3</v>
      </c>
      <c r="R9" s="8">
        <v>31</v>
      </c>
      <c r="S9" s="8" t="s">
        <v>31</v>
      </c>
      <c r="T9" s="8" t="s">
        <v>44</v>
      </c>
      <c r="U9" s="8"/>
      <c r="V9" s="8"/>
      <c r="W9" s="8">
        <v>1</v>
      </c>
      <c r="X9" s="8">
        <v>1</v>
      </c>
      <c r="Y9" s="8">
        <v>1</v>
      </c>
      <c r="Z9" s="18">
        <v>4</v>
      </c>
    </row>
    <row r="10" spans="1:26">
      <c r="A10" s="8" t="s">
        <v>45</v>
      </c>
      <c r="B10" s="8">
        <v>2</v>
      </c>
      <c r="C10" s="8">
        <v>2</v>
      </c>
      <c r="D10" s="8">
        <v>3</v>
      </c>
      <c r="E10" s="8">
        <v>4</v>
      </c>
      <c r="F10" s="18">
        <v>5</v>
      </c>
      <c r="H10" s="8" t="s">
        <v>46</v>
      </c>
      <c r="I10" s="8">
        <v>1</v>
      </c>
      <c r="J10" s="8">
        <v>2</v>
      </c>
      <c r="K10" s="18" t="s">
        <v>2</v>
      </c>
      <c r="M10" s="8" t="s">
        <v>46</v>
      </c>
      <c r="N10" s="8">
        <v>1</v>
      </c>
      <c r="O10" s="8">
        <v>2</v>
      </c>
      <c r="P10" s="18">
        <v>3</v>
      </c>
      <c r="R10" s="8">
        <v>32</v>
      </c>
      <c r="S10" s="8" t="s">
        <v>31</v>
      </c>
      <c r="T10" s="8" t="s">
        <v>31</v>
      </c>
      <c r="U10" s="8" t="s">
        <v>32</v>
      </c>
      <c r="V10" s="8" t="s">
        <v>39</v>
      </c>
      <c r="W10" s="8">
        <v>1</v>
      </c>
      <c r="X10" s="8">
        <v>1</v>
      </c>
      <c r="Y10" s="8">
        <v>1</v>
      </c>
      <c r="Z10" s="18">
        <v>8</v>
      </c>
    </row>
    <row r="11" spans="1:26">
      <c r="A11" s="8" t="s">
        <v>47</v>
      </c>
      <c r="B11" s="8">
        <v>2</v>
      </c>
      <c r="C11" s="8">
        <v>2</v>
      </c>
      <c r="D11" s="8">
        <v>3</v>
      </c>
      <c r="E11" s="8">
        <v>4</v>
      </c>
      <c r="F11" s="18">
        <v>5</v>
      </c>
      <c r="H11" s="8" t="s">
        <v>48</v>
      </c>
      <c r="I11" s="8">
        <v>1</v>
      </c>
      <c r="J11" s="8">
        <v>2</v>
      </c>
      <c r="K11" s="18" t="s">
        <v>2</v>
      </c>
      <c r="M11" s="8" t="s">
        <v>48</v>
      </c>
      <c r="N11" s="8">
        <v>1</v>
      </c>
      <c r="O11" s="8">
        <v>2</v>
      </c>
      <c r="P11" s="18">
        <v>3</v>
      </c>
      <c r="R11" s="8">
        <v>33</v>
      </c>
      <c r="S11" s="8" t="s">
        <v>31</v>
      </c>
      <c r="T11" s="8" t="s">
        <v>31</v>
      </c>
      <c r="U11" s="8" t="s">
        <v>32</v>
      </c>
      <c r="V11" s="8" t="s">
        <v>39</v>
      </c>
      <c r="W11" s="8">
        <v>1</v>
      </c>
      <c r="X11" s="8">
        <v>1</v>
      </c>
      <c r="Y11" s="8">
        <v>1</v>
      </c>
      <c r="Z11" s="18">
        <v>8</v>
      </c>
    </row>
    <row r="12" spans="1:26">
      <c r="A12" t="s">
        <v>49</v>
      </c>
      <c r="B12">
        <v>0</v>
      </c>
      <c r="C12">
        <v>2</v>
      </c>
      <c r="D12" t="s">
        <v>2</v>
      </c>
      <c r="H12" s="8" t="s">
        <v>50</v>
      </c>
      <c r="I12" s="8">
        <v>1</v>
      </c>
      <c r="J12" s="8">
        <v>2</v>
      </c>
      <c r="K12" s="18" t="s">
        <v>2</v>
      </c>
      <c r="M12" s="8" t="s">
        <v>50</v>
      </c>
      <c r="N12" s="8">
        <v>1</v>
      </c>
      <c r="O12" s="8">
        <v>2</v>
      </c>
      <c r="P12" s="18">
        <v>3</v>
      </c>
      <c r="R12" s="8">
        <v>34</v>
      </c>
      <c r="S12" s="8" t="s">
        <v>31</v>
      </c>
      <c r="T12" s="8" t="s">
        <v>31</v>
      </c>
      <c r="U12" s="8" t="s">
        <v>32</v>
      </c>
      <c r="V12" s="8" t="s">
        <v>39</v>
      </c>
      <c r="W12" s="8">
        <v>1</v>
      </c>
      <c r="X12" s="8">
        <v>1</v>
      </c>
      <c r="Y12" s="8">
        <v>1</v>
      </c>
      <c r="Z12" s="18">
        <v>8</v>
      </c>
    </row>
    <row r="13" spans="1:26">
      <c r="A13" s="8" t="s">
        <v>51</v>
      </c>
      <c r="B13" s="8">
        <v>1</v>
      </c>
      <c r="C13" s="8">
        <v>2</v>
      </c>
      <c r="D13" s="8">
        <v>2</v>
      </c>
      <c r="E13" s="8">
        <v>2</v>
      </c>
      <c r="F13" s="18">
        <v>2</v>
      </c>
      <c r="H13" s="8" t="s">
        <v>52</v>
      </c>
      <c r="I13" s="8">
        <v>1</v>
      </c>
      <c r="J13" s="8">
        <v>2</v>
      </c>
      <c r="K13" s="18">
        <v>3</v>
      </c>
      <c r="M13" s="8" t="s">
        <v>52</v>
      </c>
      <c r="N13" s="8">
        <v>1</v>
      </c>
      <c r="O13" s="8">
        <v>2</v>
      </c>
      <c r="P13" s="18">
        <v>3</v>
      </c>
    </row>
    <row r="14" spans="1:26">
      <c r="A14" s="8" t="s">
        <v>53</v>
      </c>
      <c r="B14" s="8">
        <v>1</v>
      </c>
      <c r="C14" s="8">
        <v>2</v>
      </c>
      <c r="D14" s="15">
        <v>2</v>
      </c>
      <c r="E14" s="15">
        <v>2</v>
      </c>
      <c r="F14" s="19">
        <v>2</v>
      </c>
      <c r="H14" s="8" t="s">
        <v>54</v>
      </c>
      <c r="I14" s="8">
        <v>1</v>
      </c>
      <c r="J14" s="8">
        <v>2</v>
      </c>
      <c r="K14" s="18">
        <v>3</v>
      </c>
      <c r="M14" s="8" t="s">
        <v>54</v>
      </c>
      <c r="N14" s="8">
        <v>1</v>
      </c>
      <c r="O14" s="8">
        <v>2</v>
      </c>
      <c r="P14" s="18">
        <v>3</v>
      </c>
      <c r="R14" s="8">
        <v>21</v>
      </c>
      <c r="S14" s="8" t="s">
        <v>31</v>
      </c>
      <c r="T14" s="8" t="s">
        <v>44</v>
      </c>
      <c r="U14" s="8"/>
      <c r="V14" s="8"/>
      <c r="W14" s="8">
        <v>1</v>
      </c>
      <c r="X14" s="8">
        <v>1</v>
      </c>
      <c r="Y14" s="8">
        <v>1</v>
      </c>
      <c r="Z14" s="18">
        <v>4</v>
      </c>
    </row>
    <row r="15" spans="1:26">
      <c r="A15" s="8" t="s">
        <v>55</v>
      </c>
      <c r="B15" s="8">
        <v>1</v>
      </c>
      <c r="C15" s="8">
        <v>2</v>
      </c>
      <c r="D15" s="8">
        <v>2</v>
      </c>
      <c r="E15" s="8">
        <v>2</v>
      </c>
      <c r="F15" s="18">
        <v>2</v>
      </c>
      <c r="H15" s="8" t="s">
        <v>56</v>
      </c>
      <c r="I15" s="8">
        <v>1</v>
      </c>
      <c r="J15" s="8">
        <v>2</v>
      </c>
      <c r="K15" s="18" t="s">
        <v>2</v>
      </c>
      <c r="M15" s="8" t="s">
        <v>56</v>
      </c>
      <c r="N15" s="8">
        <v>1</v>
      </c>
      <c r="O15" s="8">
        <v>2</v>
      </c>
      <c r="P15" s="18">
        <v>3</v>
      </c>
      <c r="R15" s="8">
        <v>22</v>
      </c>
      <c r="S15" s="8" t="s">
        <v>31</v>
      </c>
      <c r="T15" s="8" t="s">
        <v>31</v>
      </c>
      <c r="U15" s="8" t="s">
        <v>32</v>
      </c>
      <c r="V15" s="8" t="s">
        <v>39</v>
      </c>
      <c r="W15" s="8">
        <v>1</v>
      </c>
      <c r="X15" s="8">
        <v>1</v>
      </c>
      <c r="Y15" s="8">
        <v>1</v>
      </c>
      <c r="Z15" s="18">
        <v>8</v>
      </c>
    </row>
    <row r="16" spans="1:26">
      <c r="A16" s="8" t="s">
        <v>57</v>
      </c>
      <c r="B16" s="8">
        <v>1</v>
      </c>
      <c r="C16" s="8">
        <v>2</v>
      </c>
      <c r="D16" s="8">
        <v>2</v>
      </c>
      <c r="E16" s="8">
        <v>2</v>
      </c>
      <c r="F16" s="18">
        <v>2</v>
      </c>
      <c r="H16" t="s">
        <v>58</v>
      </c>
      <c r="I16" s="16" t="s">
        <v>2</v>
      </c>
      <c r="J16" t="s">
        <v>2</v>
      </c>
      <c r="K16" t="s">
        <v>2</v>
      </c>
      <c r="M16" t="s">
        <v>59</v>
      </c>
      <c r="N16" s="16"/>
      <c r="P16" t="s">
        <v>2</v>
      </c>
      <c r="R16" s="8">
        <v>23</v>
      </c>
      <c r="S16" s="8" t="s">
        <v>31</v>
      </c>
      <c r="T16" s="8" t="s">
        <v>31</v>
      </c>
      <c r="U16" s="8" t="s">
        <v>32</v>
      </c>
      <c r="V16" s="8" t="s">
        <v>39</v>
      </c>
      <c r="W16" s="8">
        <v>1</v>
      </c>
      <c r="X16" s="8">
        <v>1</v>
      </c>
      <c r="Y16" s="8">
        <v>1</v>
      </c>
      <c r="Z16" s="18">
        <v>8</v>
      </c>
    </row>
    <row r="17" spans="1:26">
      <c r="A17" s="8" t="s">
        <v>60</v>
      </c>
      <c r="B17" s="8">
        <v>1</v>
      </c>
      <c r="C17" s="8">
        <v>2</v>
      </c>
      <c r="D17" s="8">
        <v>3</v>
      </c>
      <c r="E17" s="8">
        <v>4</v>
      </c>
      <c r="F17" s="18">
        <v>5</v>
      </c>
      <c r="H17" s="8" t="s">
        <v>61</v>
      </c>
      <c r="I17" s="8">
        <v>1</v>
      </c>
      <c r="J17" s="8">
        <v>2</v>
      </c>
      <c r="K17" s="18">
        <v>4</v>
      </c>
      <c r="M17" s="8" t="s">
        <v>61</v>
      </c>
      <c r="N17" s="8">
        <v>1</v>
      </c>
      <c r="O17" s="8">
        <v>2</v>
      </c>
      <c r="P17" s="18">
        <v>3</v>
      </c>
      <c r="R17" s="8">
        <v>24</v>
      </c>
      <c r="S17" s="8" t="s">
        <v>31</v>
      </c>
      <c r="T17" s="8" t="s">
        <v>31</v>
      </c>
      <c r="U17" s="8" t="s">
        <v>32</v>
      </c>
      <c r="V17" s="8" t="s">
        <v>39</v>
      </c>
      <c r="W17" s="8">
        <v>1</v>
      </c>
      <c r="X17" s="8">
        <v>1</v>
      </c>
      <c r="Y17" s="8">
        <v>1</v>
      </c>
      <c r="Z17" s="18">
        <v>8</v>
      </c>
    </row>
    <row r="18" spans="1:26">
      <c r="A18" s="8" t="s">
        <v>62</v>
      </c>
      <c r="B18" s="8">
        <v>1</v>
      </c>
      <c r="C18" s="8">
        <v>2</v>
      </c>
      <c r="D18" s="8">
        <v>3</v>
      </c>
      <c r="E18" s="8">
        <v>4</v>
      </c>
      <c r="F18" s="18">
        <v>5</v>
      </c>
      <c r="H18" s="8" t="s">
        <v>63</v>
      </c>
      <c r="I18" s="8">
        <v>1</v>
      </c>
      <c r="J18" s="8">
        <v>2</v>
      </c>
      <c r="K18" s="18">
        <v>4</v>
      </c>
      <c r="M18" s="8" t="s">
        <v>63</v>
      </c>
      <c r="N18" s="8">
        <v>1</v>
      </c>
      <c r="O18" s="8">
        <v>2</v>
      </c>
      <c r="P18" s="18">
        <v>3</v>
      </c>
    </row>
    <row r="19" spans="1:26">
      <c r="A19" s="8" t="s">
        <v>64</v>
      </c>
      <c r="B19" s="8">
        <v>1</v>
      </c>
      <c r="C19" s="8">
        <v>2</v>
      </c>
      <c r="D19" s="8">
        <v>3</v>
      </c>
      <c r="E19" s="8">
        <v>4</v>
      </c>
      <c r="F19" s="18">
        <v>5</v>
      </c>
      <c r="H19" s="8" t="s">
        <v>65</v>
      </c>
      <c r="I19" s="8">
        <v>1</v>
      </c>
      <c r="J19" s="8">
        <v>2</v>
      </c>
      <c r="K19" s="18">
        <v>4</v>
      </c>
      <c r="M19" s="8" t="s">
        <v>65</v>
      </c>
      <c r="N19" s="8">
        <v>1</v>
      </c>
      <c r="O19" s="8">
        <v>2</v>
      </c>
      <c r="P19" s="18">
        <v>3</v>
      </c>
      <c r="R19" s="8">
        <v>11</v>
      </c>
      <c r="S19" s="8" t="s">
        <v>31</v>
      </c>
      <c r="T19" s="8" t="s">
        <v>44</v>
      </c>
      <c r="U19" s="8"/>
      <c r="V19" s="8"/>
      <c r="W19" s="8">
        <v>1</v>
      </c>
      <c r="X19" s="8">
        <v>1</v>
      </c>
      <c r="Y19" s="8">
        <v>1</v>
      </c>
      <c r="Z19" s="18">
        <v>4</v>
      </c>
    </row>
    <row r="20" spans="1:26">
      <c r="A20" s="8" t="s">
        <v>66</v>
      </c>
      <c r="B20" s="8">
        <v>1</v>
      </c>
      <c r="C20" s="8">
        <v>2</v>
      </c>
      <c r="D20" s="8">
        <v>2</v>
      </c>
      <c r="E20" s="8">
        <v>2</v>
      </c>
      <c r="F20" s="18">
        <v>2</v>
      </c>
      <c r="H20" s="8" t="s">
        <v>67</v>
      </c>
      <c r="I20" s="8">
        <v>1</v>
      </c>
      <c r="J20" s="8">
        <v>2</v>
      </c>
      <c r="K20" s="18">
        <v>4</v>
      </c>
      <c r="M20" s="8" t="s">
        <v>67</v>
      </c>
      <c r="N20" s="8">
        <v>1</v>
      </c>
      <c r="O20" s="8">
        <v>2</v>
      </c>
      <c r="P20" s="18">
        <v>3</v>
      </c>
      <c r="R20" s="8">
        <v>12</v>
      </c>
      <c r="S20" s="8" t="s">
        <v>31</v>
      </c>
      <c r="T20" s="8" t="s">
        <v>31</v>
      </c>
      <c r="U20" s="8" t="s">
        <v>32</v>
      </c>
      <c r="V20" s="8" t="s">
        <v>39</v>
      </c>
      <c r="W20" s="8">
        <v>1</v>
      </c>
      <c r="X20" s="8">
        <v>1</v>
      </c>
      <c r="Y20" s="8">
        <v>1</v>
      </c>
      <c r="Z20" s="18">
        <v>8</v>
      </c>
    </row>
    <row r="21" spans="1:26">
      <c r="A21" t="s">
        <v>68</v>
      </c>
      <c r="B21" t="s">
        <v>2</v>
      </c>
      <c r="C21" t="s">
        <v>2</v>
      </c>
      <c r="D21" t="s">
        <v>2</v>
      </c>
      <c r="H21" s="8" t="s">
        <v>69</v>
      </c>
      <c r="I21" s="8">
        <v>1</v>
      </c>
      <c r="J21" s="8">
        <v>2</v>
      </c>
      <c r="K21" s="18" t="s">
        <v>2</v>
      </c>
      <c r="M21" s="8" t="s">
        <v>69</v>
      </c>
      <c r="N21" s="8">
        <v>1</v>
      </c>
      <c r="O21" s="8">
        <v>2</v>
      </c>
      <c r="P21" s="18">
        <v>3</v>
      </c>
      <c r="R21" s="8">
        <v>13</v>
      </c>
      <c r="S21" s="8" t="s">
        <v>31</v>
      </c>
      <c r="T21" s="8" t="s">
        <v>31</v>
      </c>
      <c r="U21" s="8" t="s">
        <v>32</v>
      </c>
      <c r="V21" s="8" t="s">
        <v>39</v>
      </c>
      <c r="W21" s="8">
        <v>1</v>
      </c>
      <c r="X21" s="8">
        <v>1</v>
      </c>
      <c r="Y21" s="8">
        <v>1</v>
      </c>
      <c r="Z21" s="18">
        <v>8</v>
      </c>
    </row>
    <row r="22" spans="1:26">
      <c r="A22" s="8" t="s">
        <v>70</v>
      </c>
      <c r="B22" s="8">
        <v>1</v>
      </c>
      <c r="C22" s="8">
        <v>2</v>
      </c>
      <c r="D22" s="8">
        <v>2</v>
      </c>
      <c r="E22" s="8">
        <v>2</v>
      </c>
      <c r="F22" s="18">
        <v>2</v>
      </c>
      <c r="H22" s="8" t="s">
        <v>71</v>
      </c>
      <c r="I22" s="8">
        <v>1</v>
      </c>
      <c r="J22" s="8">
        <v>2</v>
      </c>
      <c r="K22" s="18" t="s">
        <v>2</v>
      </c>
      <c r="M22" s="8" t="s">
        <v>71</v>
      </c>
      <c r="N22" s="8">
        <v>1</v>
      </c>
      <c r="O22" s="8">
        <v>2</v>
      </c>
      <c r="P22" s="18">
        <v>3</v>
      </c>
      <c r="R22" s="8">
        <v>14</v>
      </c>
      <c r="S22" s="8" t="s">
        <v>31</v>
      </c>
      <c r="T22" s="8" t="s">
        <v>31</v>
      </c>
      <c r="U22" s="8" t="s">
        <v>32</v>
      </c>
      <c r="V22" s="8" t="s">
        <v>39</v>
      </c>
      <c r="W22" s="8">
        <v>1</v>
      </c>
      <c r="X22" s="8">
        <v>1</v>
      </c>
      <c r="Y22" s="8">
        <v>1</v>
      </c>
      <c r="Z22" s="18">
        <v>8</v>
      </c>
    </row>
    <row r="23" spans="1:26">
      <c r="A23" s="8" t="s">
        <v>72</v>
      </c>
      <c r="B23" s="8">
        <v>1</v>
      </c>
      <c r="C23" s="8">
        <v>2</v>
      </c>
      <c r="D23" s="8">
        <v>2</v>
      </c>
      <c r="E23" s="8">
        <v>2</v>
      </c>
      <c r="F23" s="18">
        <v>2</v>
      </c>
      <c r="H23" s="8" t="s">
        <v>73</v>
      </c>
      <c r="I23" s="8">
        <v>1</v>
      </c>
      <c r="J23" s="8">
        <v>2</v>
      </c>
      <c r="K23" s="18" t="s">
        <v>2</v>
      </c>
      <c r="M23" s="8" t="s">
        <v>73</v>
      </c>
      <c r="N23" s="8">
        <v>1</v>
      </c>
      <c r="O23" s="8">
        <v>2</v>
      </c>
      <c r="P23" s="18">
        <v>3</v>
      </c>
      <c r="Z23">
        <f>SUM(Z4:Z22)</f>
        <v>132</v>
      </c>
    </row>
    <row r="24" spans="1:26">
      <c r="A24" s="8" t="s">
        <v>74</v>
      </c>
      <c r="B24" s="8">
        <v>1</v>
      </c>
      <c r="C24" s="8">
        <v>2</v>
      </c>
      <c r="D24" s="8">
        <v>2</v>
      </c>
      <c r="E24" s="8">
        <v>2</v>
      </c>
      <c r="F24" s="18">
        <v>2</v>
      </c>
      <c r="H24" s="8" t="s">
        <v>75</v>
      </c>
      <c r="I24" s="8">
        <v>1</v>
      </c>
      <c r="J24" s="8">
        <v>2</v>
      </c>
      <c r="K24" s="18" t="s">
        <v>2</v>
      </c>
      <c r="M24" s="8" t="s">
        <v>75</v>
      </c>
      <c r="N24" s="8">
        <v>1</v>
      </c>
      <c r="O24" s="8">
        <v>2</v>
      </c>
      <c r="P24" s="18">
        <v>3</v>
      </c>
    </row>
    <row r="25" spans="1:26">
      <c r="A25" s="8" t="s">
        <v>76</v>
      </c>
      <c r="B25" s="8">
        <v>1</v>
      </c>
      <c r="C25" s="8">
        <v>2</v>
      </c>
      <c r="D25" s="8">
        <v>2</v>
      </c>
      <c r="E25" s="8">
        <v>2</v>
      </c>
      <c r="F25" s="18">
        <v>2</v>
      </c>
      <c r="H25" s="8" t="s">
        <v>77</v>
      </c>
      <c r="I25" s="8">
        <v>1</v>
      </c>
      <c r="J25" s="8">
        <v>2</v>
      </c>
      <c r="K25" s="18" t="s">
        <v>2</v>
      </c>
      <c r="M25" s="8" t="s">
        <v>77</v>
      </c>
      <c r="N25" s="8">
        <v>1</v>
      </c>
      <c r="O25" s="8">
        <v>2</v>
      </c>
      <c r="P25" s="18">
        <v>3</v>
      </c>
      <c r="T25" t="s">
        <v>2</v>
      </c>
    </row>
    <row r="26" spans="1:26">
      <c r="A26" s="8" t="s">
        <v>78</v>
      </c>
      <c r="B26" s="8">
        <v>1</v>
      </c>
      <c r="C26" s="8">
        <v>2</v>
      </c>
      <c r="D26" s="8">
        <v>3</v>
      </c>
      <c r="E26" s="8">
        <v>4</v>
      </c>
      <c r="F26" s="18">
        <v>4</v>
      </c>
      <c r="H26" s="8" t="s">
        <v>79</v>
      </c>
      <c r="I26" s="8">
        <v>1</v>
      </c>
      <c r="J26" s="8">
        <v>2</v>
      </c>
      <c r="K26" s="18">
        <v>3</v>
      </c>
      <c r="M26" s="8" t="s">
        <v>79</v>
      </c>
      <c r="N26" s="8">
        <v>1</v>
      </c>
      <c r="O26" s="8">
        <v>2</v>
      </c>
      <c r="P26" s="18">
        <v>3</v>
      </c>
    </row>
    <row r="27" spans="1:26">
      <c r="A27" s="8" t="s">
        <v>80</v>
      </c>
      <c r="B27" s="8">
        <v>1</v>
      </c>
      <c r="C27" s="8">
        <v>2</v>
      </c>
      <c r="D27" s="8">
        <v>3</v>
      </c>
      <c r="E27" s="8">
        <v>4</v>
      </c>
      <c r="F27" s="18">
        <v>4</v>
      </c>
      <c r="H27" s="8" t="s">
        <v>81</v>
      </c>
      <c r="I27" s="8">
        <v>1</v>
      </c>
      <c r="J27" s="8">
        <v>2</v>
      </c>
      <c r="K27" s="18">
        <v>3</v>
      </c>
      <c r="M27" s="8" t="s">
        <v>81</v>
      </c>
      <c r="N27" s="8">
        <v>1</v>
      </c>
      <c r="O27" s="8">
        <v>2</v>
      </c>
      <c r="P27" s="18">
        <v>3</v>
      </c>
    </row>
    <row r="28" spans="1:26">
      <c r="A28" s="8" t="s">
        <v>82</v>
      </c>
      <c r="B28" s="8">
        <v>1</v>
      </c>
      <c r="C28" s="8">
        <v>2</v>
      </c>
      <c r="D28" s="8">
        <v>3</v>
      </c>
      <c r="E28" s="8">
        <v>4</v>
      </c>
      <c r="F28" s="18">
        <v>4</v>
      </c>
      <c r="H28" s="8" t="s">
        <v>83</v>
      </c>
      <c r="I28" s="8">
        <v>1</v>
      </c>
      <c r="J28" s="8">
        <v>2</v>
      </c>
      <c r="K28" s="18" t="s">
        <v>2</v>
      </c>
      <c r="M28" s="8" t="s">
        <v>83</v>
      </c>
      <c r="N28" s="8">
        <v>1</v>
      </c>
      <c r="O28" s="8">
        <v>2</v>
      </c>
      <c r="P28" s="18">
        <v>3</v>
      </c>
    </row>
    <row r="29" spans="1:26">
      <c r="A29" s="8" t="s">
        <v>84</v>
      </c>
      <c r="B29" s="8">
        <v>1</v>
      </c>
      <c r="C29" s="8">
        <v>2</v>
      </c>
      <c r="D29" s="8">
        <v>3</v>
      </c>
      <c r="E29" s="8">
        <v>4</v>
      </c>
      <c r="F29" s="18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3" sqref="A3"/>
    </sheetView>
  </sheetViews>
  <sheetFormatPr baseColWidth="10" defaultRowHeight="15.75"/>
  <cols>
    <col min="1" max="1" width="121.125" customWidth="1"/>
  </cols>
  <sheetData>
    <row r="1" spans="1:1" ht="16.5" thickBot="1"/>
    <row r="2" spans="1:1" ht="17.25">
      <c r="A2" s="77" t="s">
        <v>148</v>
      </c>
    </row>
    <row r="3" spans="1:1" ht="27.95" customHeight="1" thickBot="1">
      <c r="A3" s="78" t="s">
        <v>149</v>
      </c>
    </row>
    <row r="4" spans="1:1" ht="17.25">
      <c r="A4" s="79" t="s">
        <v>150</v>
      </c>
    </row>
    <row r="5" spans="1:1" ht="41.1" customHeight="1">
      <c r="A5" s="80" t="s">
        <v>151</v>
      </c>
    </row>
    <row r="6" spans="1:1" ht="33" customHeight="1" thickBot="1">
      <c r="A6" s="78" t="s">
        <v>153</v>
      </c>
    </row>
    <row r="7" spans="1:1" ht="29.1" customHeight="1" thickBot="1">
      <c r="A7" s="8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Giovana Araya</cp:lastModifiedBy>
  <dcterms:created xsi:type="dcterms:W3CDTF">2014-07-29T17:30:41Z</dcterms:created>
  <dcterms:modified xsi:type="dcterms:W3CDTF">2024-11-05T13:46:43Z</dcterms:modified>
</cp:coreProperties>
</file>