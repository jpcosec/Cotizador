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 2020/"/>
    </mc:Choice>
  </mc:AlternateContent>
  <xr:revisionPtr revIDLastSave="0" documentId="8_{F01C7E12-AF4B-B448-9D28-965CE2134A10}" xr6:coauthVersionLast="36" xr6:coauthVersionMax="36" xr10:uidLastSave="{00000000-0000-0000-0000-000000000000}"/>
  <bookViews>
    <workbookView xWindow="380" yWindow="460" windowWidth="28040" windowHeight="16240" xr2:uid="{8F7B549A-ECA9-FF42-8101-EA86764BA58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E3" i="1"/>
  <c r="E4" i="1"/>
  <c r="E5" i="1"/>
  <c r="E6" i="1"/>
  <c r="E7" i="1"/>
  <c r="E8" i="1"/>
  <c r="E10" i="1"/>
  <c r="E2" i="1"/>
  <c r="C6" i="1"/>
</calcChain>
</file>

<file path=xl/sharedStrings.xml><?xml version="1.0" encoding="utf-8"?>
<sst xmlns="http://schemas.openxmlformats.org/spreadsheetml/2006/main" count="17" uniqueCount="17">
  <si>
    <t>Autoservicio de agüitas, café, té y jugos durante el día.</t>
  </si>
  <si>
    <t>Piscina temperada y exterior, canopy, kayak, cabalgatas y otras.</t>
  </si>
  <si>
    <t xml:space="preserve">08:30  Desayuno Buffet.                                                                                                         </t>
  </si>
  <si>
    <t xml:space="preserve">09:13  Uso de salón.                                                                                                          </t>
  </si>
  <si>
    <t xml:space="preserve">13:45 Team building, el naufrago  para 66 pasajeros.                                                </t>
  </si>
  <si>
    <t xml:space="preserve">Bebida cada una                                                                                                                       </t>
  </si>
  <si>
    <t xml:space="preserve">Transporte desde y hacia santiago 2 buses                                                                      </t>
  </si>
  <si>
    <t>Opcional vino reserva cada botella</t>
  </si>
  <si>
    <t>Programa por el dia</t>
  </si>
  <si>
    <t>UDS</t>
  </si>
  <si>
    <t>Valor Total</t>
  </si>
  <si>
    <t>Valolr Total</t>
  </si>
  <si>
    <t>IVA</t>
  </si>
  <si>
    <t xml:space="preserve"> 16:30 Almuerzo buffet </t>
  </si>
  <si>
    <t>Valor unit</t>
  </si>
  <si>
    <t xml:space="preserve">            con palta,   jugo natural ó bebida, fruta).                                                                                        </t>
  </si>
  <si>
    <t xml:space="preserve">13:00  Brunch (sándwich miga y/o hoja, vegetariano de carne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</si>
</sst>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"/>
  </numFmts>
  <fonts count="4">
    <font>
      <sz val="12"/>
      <color theme="1"/>
      <name val="Calibri"/>
      <family val="2"/>
      <scheme val="minor"/>
    </font>
    <font>
      <b/>
      <sz val="10"/>
      <color theme="1"/>
      <name val="Calibri (Cuerpo)_x0000_"/>
    </font>
    <font>
      <sz val="10"/>
      <color rgb="FF000000"/>
      <name val="Calibri (Cuerpo)_x0000_"/>
    </font>
    <font>
      <sz val="10"/>
      <color theme="1"/>
      <name val="Calibri (Cuerpo)_x0000_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8" fontId="0" fillId="0" borderId="0" xfId="0" applyNumberFormat="1"/>
    <xf numFmtId="0" fontId="1" fillId="2" borderId="1" xfId="0" applyFont="1" applyFill="1" applyBorder="1" applyAlignment="1">
      <alignment horizontal="center"/>
    </xf>
    <xf numFmtId="168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168" fontId="3" fillId="0" borderId="1" xfId="0" applyNumberFormat="1" applyFont="1" applyBorder="1"/>
    <xf numFmtId="0" fontId="3" fillId="0" borderId="1" xfId="0" applyFont="1" applyBorder="1"/>
    <xf numFmtId="0" fontId="2" fillId="3" borderId="1" xfId="0" applyFont="1" applyFill="1" applyBorder="1" applyAlignment="1">
      <alignment vertical="center"/>
    </xf>
    <xf numFmtId="168" fontId="3" fillId="3" borderId="1" xfId="0" applyNumberFormat="1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E9DB-99EB-ED4F-A0A7-1E112258618D}">
  <dimension ref="B1:E14"/>
  <sheetViews>
    <sheetView tabSelected="1" workbookViewId="0">
      <selection activeCell="B1" sqref="B1:E14"/>
    </sheetView>
  </sheetViews>
  <sheetFormatPr baseColWidth="10" defaultRowHeight="16"/>
  <cols>
    <col min="2" max="2" width="44.33203125" customWidth="1"/>
    <col min="3" max="3" width="9.5" style="1" customWidth="1"/>
    <col min="4" max="4" width="6.6640625" customWidth="1"/>
    <col min="5" max="5" width="10.5" customWidth="1"/>
  </cols>
  <sheetData>
    <row r="1" spans="2:5">
      <c r="B1" s="2" t="s">
        <v>8</v>
      </c>
      <c r="C1" s="3" t="s">
        <v>14</v>
      </c>
      <c r="D1" s="2" t="s">
        <v>9</v>
      </c>
      <c r="E1" s="4" t="s">
        <v>10</v>
      </c>
    </row>
    <row r="2" spans="2:5">
      <c r="B2" s="5" t="s">
        <v>2</v>
      </c>
      <c r="C2" s="6">
        <v>10500</v>
      </c>
      <c r="D2" s="7">
        <v>66</v>
      </c>
      <c r="E2" s="6">
        <f>C2*D2</f>
        <v>693000</v>
      </c>
    </row>
    <row r="3" spans="2:5">
      <c r="B3" s="5" t="s">
        <v>3</v>
      </c>
      <c r="C3" s="6">
        <v>220000</v>
      </c>
      <c r="D3" s="7">
        <v>1</v>
      </c>
      <c r="E3" s="6">
        <f t="shared" ref="E3:E12" si="0">C3*D3</f>
        <v>220000</v>
      </c>
    </row>
    <row r="4" spans="2:5">
      <c r="B4" s="5" t="s">
        <v>16</v>
      </c>
      <c r="C4" s="6">
        <v>15000</v>
      </c>
      <c r="D4" s="7">
        <v>66</v>
      </c>
      <c r="E4" s="6">
        <f t="shared" si="0"/>
        <v>990000</v>
      </c>
    </row>
    <row r="5" spans="2:5">
      <c r="B5" s="5" t="s">
        <v>15</v>
      </c>
      <c r="C5" s="6"/>
      <c r="D5" s="7"/>
      <c r="E5" s="6">
        <f t="shared" si="0"/>
        <v>0</v>
      </c>
    </row>
    <row r="6" spans="2:5">
      <c r="B6" s="5" t="s">
        <v>4</v>
      </c>
      <c r="C6" s="6">
        <f>700000+8000*66</f>
        <v>1228000</v>
      </c>
      <c r="D6" s="7">
        <v>1</v>
      </c>
      <c r="E6" s="6">
        <f t="shared" si="0"/>
        <v>1228000</v>
      </c>
    </row>
    <row r="7" spans="2:5">
      <c r="B7" s="5" t="s">
        <v>13</v>
      </c>
      <c r="C7" s="6">
        <v>20000</v>
      </c>
      <c r="D7" s="7">
        <v>1</v>
      </c>
      <c r="E7" s="6">
        <f t="shared" si="0"/>
        <v>20000</v>
      </c>
    </row>
    <row r="8" spans="2:5">
      <c r="B8" s="5" t="s">
        <v>5</v>
      </c>
      <c r="C8" s="6">
        <v>1513</v>
      </c>
      <c r="D8" s="7">
        <v>66</v>
      </c>
      <c r="E8" s="6">
        <f t="shared" si="0"/>
        <v>99858</v>
      </c>
    </row>
    <row r="9" spans="2:5">
      <c r="B9" s="5" t="s">
        <v>7</v>
      </c>
      <c r="C9" s="6">
        <v>9000</v>
      </c>
      <c r="D9" s="7"/>
      <c r="E9" s="6"/>
    </row>
    <row r="10" spans="2:5">
      <c r="B10" s="5" t="s">
        <v>6</v>
      </c>
      <c r="C10" s="6">
        <v>300000</v>
      </c>
      <c r="D10" s="7">
        <v>2</v>
      </c>
      <c r="E10" s="6">
        <f t="shared" si="0"/>
        <v>600000</v>
      </c>
    </row>
    <row r="11" spans="2:5">
      <c r="B11" s="5" t="s">
        <v>0</v>
      </c>
      <c r="C11" s="6">
        <v>0</v>
      </c>
      <c r="D11" s="7">
        <v>0</v>
      </c>
      <c r="E11" s="6">
        <f t="shared" si="0"/>
        <v>0</v>
      </c>
    </row>
    <row r="12" spans="2:5">
      <c r="B12" s="5" t="s">
        <v>1</v>
      </c>
      <c r="C12" s="6">
        <v>0</v>
      </c>
      <c r="D12" s="7">
        <v>0</v>
      </c>
      <c r="E12" s="6">
        <f t="shared" si="0"/>
        <v>0</v>
      </c>
    </row>
    <row r="13" spans="2:5">
      <c r="B13" s="8" t="s">
        <v>11</v>
      </c>
      <c r="C13" s="9"/>
      <c r="D13" s="10"/>
      <c r="E13" s="9">
        <f>SUM(E2:E12)</f>
        <v>3850858</v>
      </c>
    </row>
    <row r="14" spans="2:5">
      <c r="B14" s="5" t="s">
        <v>12</v>
      </c>
      <c r="C14" s="6"/>
      <c r="D14" s="7"/>
      <c r="E14" s="6">
        <f>E13*1.19-E13</f>
        <v>731663.01999999955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carmen@sf.cl</dc:creator>
  <cp:lastModifiedBy>carmen@sf.cl</cp:lastModifiedBy>
  <dcterms:created xsi:type="dcterms:W3CDTF">2020-01-08T21:44:02Z</dcterms:created>
  <dcterms:modified xsi:type="dcterms:W3CDTF">2020-01-08T22:43:38Z</dcterms:modified>
</cp:coreProperties>
</file>