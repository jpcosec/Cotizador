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 2020/"/>
    </mc:Choice>
  </mc:AlternateContent>
  <xr:revisionPtr revIDLastSave="0" documentId="13_ncr:1_{F39D99DA-B00E-8348-9E81-43741D9DA77C}" xr6:coauthVersionLast="36" xr6:coauthVersionMax="36" xr10:uidLastSave="{00000000-0000-0000-0000-000000000000}"/>
  <bookViews>
    <workbookView xWindow="540" yWindow="460" windowWidth="25600" windowHeight="1628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6" i="1" l="1"/>
  <c r="F39" i="1"/>
  <c r="F29" i="1"/>
  <c r="F19" i="1"/>
  <c r="E10" i="1"/>
  <c r="F11" i="1"/>
  <c r="F13" i="1"/>
  <c r="F22" i="1"/>
  <c r="F32" i="1"/>
  <c r="F42" i="1"/>
  <c r="F48" i="1"/>
  <c r="F132" i="1"/>
  <c r="F131" i="1"/>
  <c r="F130" i="1"/>
  <c r="F129" i="1"/>
  <c r="F128" i="1"/>
  <c r="F127" i="1"/>
  <c r="F126" i="1"/>
  <c r="F125" i="1"/>
  <c r="F124" i="1"/>
  <c r="F123" i="1"/>
  <c r="F122" i="1"/>
  <c r="E44" i="1"/>
  <c r="F51" i="1" l="1"/>
  <c r="F50" i="1"/>
  <c r="E112" i="1"/>
  <c r="F106" i="1"/>
  <c r="F105" i="1"/>
  <c r="F49" i="1" l="1"/>
  <c r="F12" i="1"/>
  <c r="F28" i="1" l="1"/>
  <c r="F27" i="1"/>
  <c r="F9" i="1" l="1"/>
  <c r="F23" i="1"/>
  <c r="F24" i="1"/>
  <c r="F25" i="1"/>
  <c r="F35" i="1"/>
  <c r="F46" i="1"/>
  <c r="F33" i="1"/>
  <c r="F55" i="1"/>
  <c r="F54" i="1"/>
  <c r="F43" i="1"/>
  <c r="F45" i="1"/>
  <c r="F34" i="1"/>
  <c r="E47" i="1"/>
  <c r="F47" i="1" s="1"/>
  <c r="F38" i="1"/>
  <c r="F37" i="1"/>
  <c r="E16" i="1"/>
  <c r="F16" i="1" s="1"/>
  <c r="E36" i="1"/>
  <c r="F36" i="1" s="1"/>
  <c r="E31" i="1"/>
  <c r="E26" i="1"/>
  <c r="F26" i="1" s="1"/>
  <c r="E21" i="1"/>
  <c r="F21" i="1" s="1"/>
  <c r="F59" i="1" l="1"/>
  <c r="F14" i="1" l="1"/>
  <c r="F18" i="1" l="1"/>
  <c r="F17" i="1"/>
  <c r="E15" i="1" l="1"/>
  <c r="F15" i="1" s="1"/>
  <c r="F62" i="1"/>
  <c r="F63" i="1"/>
  <c r="F64" i="1"/>
  <c r="F61" i="1"/>
  <c r="F30" i="5"/>
  <c r="E30" i="5"/>
  <c r="D30" i="5"/>
  <c r="C30" i="5"/>
  <c r="B30" i="5"/>
  <c r="P29" i="5"/>
  <c r="O29" i="5"/>
  <c r="N29" i="5"/>
  <c r="K29" i="5"/>
  <c r="J29" i="5"/>
  <c r="I29" i="5"/>
  <c r="Z23" i="5"/>
  <c r="F10" i="1"/>
  <c r="F65" i="1" s="1"/>
  <c r="F66" i="1" l="1"/>
  <c r="F67" i="1"/>
  <c r="F68" i="1" l="1"/>
  <c r="F69" i="1" s="1"/>
</calcChain>
</file>

<file path=xl/sharedStrings.xml><?xml version="1.0" encoding="utf-8"?>
<sst xmlns="http://schemas.openxmlformats.org/spreadsheetml/2006/main" count="569" uniqueCount="295">
  <si>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</si>
  <si>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</si>
  <si>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</si>
  <si>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</si>
  <si>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</si>
  <si>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</si>
  <si>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</si>
  <si>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</si>
  <si>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</si>
  <si>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</si>
  <si>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</si>
  <si>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</si>
  <si>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</si>
  <si>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</si>
  <si>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</si>
  <si>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</si>
  <si>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</si>
  <si>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</si>
  <si>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</si>
  <si>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</si>
  <si>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</si>
  <si>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</si>
  <si>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</si>
  <si>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</si>
  <si>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</si>
  <si>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</si>
  <si>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</si>
  <si>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</si>
  <si>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</si>
  <si>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</si>
  <si>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</si>
  <si>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</si>
  <si>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</si>
  <si>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</si>
  <si>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</si>
  <si>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</si>
  <si>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</si>
  <si>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</si>
  <si>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</si>
  <si>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</si>
  <si>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</si>
  <si>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</si>
  <si>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</si>
  <si>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</si>
  <si>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</si>
  <si>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</si>
  <si>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</si>
  <si>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</si>
  <si>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</si>
  <si>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</si>
  <si>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</si>
  <si>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</si>
  <si>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</si>
  <si>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</si>
  <si>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</si>
  <si>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</si>
  <si>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</si>
  <si>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</si>
  <si>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</si>
  <si>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</si>
  <si>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</si>
  <si>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</si>
  <si>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</si>
  <si>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</si>
  <si>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</si>
  <si>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</si>
  <si>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</si>
  <si>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</si>
  <si>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</si>
  <si>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</si>
  <si>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</si>
  <si>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</si>
  <si>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</si>
  <si>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</si>
  <si>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</si>
  <si>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</si>
  <si>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</si>
  <si>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</si>
  <si>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</si>
  <si>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</si>
  <si>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</si>
  <si>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</si>
  <si>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</si>
  <si>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</si>
  <si>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</si>
  <si>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</si>
  <si>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</si>
  <si>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</si>
  <si>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</si>
  <si>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</si>
  <si>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</si>
  <si>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</si>
  <si>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</si>
  <si>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</si>
  <si>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</si>
  <si>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</si>
  <si>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</si>
  <si>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</si>
  <si>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</si>
  <si>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</si>
  <si>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</si>
  <si>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</si>
  <si>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Almuerzos Buffet Parrilla</t>
  </si>
  <si>
    <t xml:space="preserve">Cena  Buffet </t>
  </si>
  <si>
    <t>Uds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</si>
  <si>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</si>
  <si>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</si>
  <si>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</si>
  <si>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</si>
  <si>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</si>
  <si>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</si>
  <si>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</si>
  <si>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</si>
  <si>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</si>
  <si>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</si>
  <si>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</si>
  <si>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</si>
  <si>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</si>
  <si>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</si>
  <si>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</si>
  <si>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</si>
  <si>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</si>
  <si>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</si>
  <si>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</si>
  <si>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Hora</t>
  </si>
  <si>
    <t>13:00-15:00</t>
  </si>
  <si>
    <t>20:00- 21:00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</si>
  <si>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</si>
  <si>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</si>
  <si>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</si>
  <si>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</si>
  <si>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</si>
  <si>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</si>
  <si>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</si>
  <si>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</si>
  <si>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</si>
  <si>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</si>
  <si>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</si>
  <si>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</si>
  <si>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</si>
  <si>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</si>
  <si>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</si>
  <si>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</si>
  <si>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</si>
  <si>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</si>
  <si>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</si>
  <si>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</si>
  <si>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</si>
  <si>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</si>
  <si>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</si>
  <si>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</si>
  <si>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</si>
  <si>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</si>
  <si>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</si>
  <si>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</si>
  <si>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</si>
  <si>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</si>
  <si>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</si>
  <si>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</si>
  <si>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</si>
  <si>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</si>
  <si>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</si>
  <si>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</si>
  <si>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</si>
  <si>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</si>
  <si>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</si>
  <si>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</si>
  <si>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</si>
  <si>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</si>
  <si>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</si>
  <si>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</si>
  <si>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</si>
  <si>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</si>
  <si>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</si>
  <si>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Gaseosa ó mineral ó  jugo de botella ó cerveza Cristal o Escudo en lata.</t>
  </si>
  <si>
    <t xml:space="preserve">Carmen Rodriguez </t>
  </si>
  <si>
    <t>9 74961403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</si>
  <si>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</si>
  <si>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</si>
  <si>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</si>
  <si>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</si>
  <si>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</si>
  <si>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</si>
  <si>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</si>
  <si>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</si>
  <si>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</si>
  <si>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</si>
  <si>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</si>
  <si>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</si>
  <si>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>Faes Farma</t>
  </si>
  <si>
    <t>4-8 de mayo</t>
  </si>
  <si>
    <t>Tipo de habitación </t>
  </si>
  <si>
    <t>Lunes 4</t>
  </si>
  <si>
    <t>Martes 5</t>
  </si>
  <si>
    <t>Miercoles 6</t>
  </si>
  <si>
    <t>jueves 7</t>
  </si>
  <si>
    <t>Viernes 8</t>
  </si>
  <si>
    <t>Single superior</t>
  </si>
  <si>
    <t>Single básica</t>
  </si>
  <si>
    <t>COMIDAS</t>
  </si>
  <si>
    <t>Break</t>
  </si>
  <si>
    <t>Dia 4</t>
  </si>
  <si>
    <t>Dia 5</t>
  </si>
  <si>
    <t>Dia 6</t>
  </si>
  <si>
    <t>Dia 7</t>
  </si>
  <si>
    <t>Habitacion VIP</t>
  </si>
  <si>
    <t>Dia 8</t>
  </si>
  <si>
    <t>Berta Rios</t>
  </si>
  <si>
    <t>brios@faesfarma.com</t>
  </si>
  <si>
    <t>Descuento 5%</t>
  </si>
  <si>
    <t>Descuento pronto pago</t>
  </si>
  <si>
    <t>Total menos descuentos</t>
  </si>
  <si>
    <t>1.- En que formato necesitan el Salon.</t>
  </si>
  <si>
    <t>2.-Podemos poner dispensador de agua y vasos en el salon.</t>
  </si>
  <si>
    <t>Almuerzo de 3 tiempos</t>
  </si>
  <si>
    <t>Otros no incluidos</t>
  </si>
  <si>
    <t>Quincho 4 horas en la noche</t>
  </si>
  <si>
    <t xml:space="preserve">Pantalla led. </t>
  </si>
  <si>
    <r>
      <t xml:space="preserve">Amplificacion y luces </t>
    </r>
    <r>
      <rPr>
        <sz val="12"/>
        <color rgb="FFFF0000"/>
        <rFont val="Calibri (Cuerpo)_x0000_"/>
      </rPr>
      <t xml:space="preserve"> </t>
    </r>
  </si>
  <si>
    <t>DJ con animador.</t>
  </si>
  <si>
    <t>Tragos con ticket.</t>
  </si>
  <si>
    <t>Piscola, roncola, mojito, Ice, Aperol, copa de vino, espumante, vino tinto, blanco</t>
  </si>
  <si>
    <t>Bar abierto 4 horas.</t>
  </si>
  <si>
    <t>Tragos Con pisco, ron cocteles, cerveza vino.</t>
  </si>
  <si>
    <t>Descorche, valor por persona</t>
  </si>
  <si>
    <t>Armando de bar, hielo, barman, cooler, servido de tragos, vasos, copas.</t>
  </si>
  <si>
    <t>Team building Busqueda de Tesoro</t>
  </si>
  <si>
    <t>Cada grupo tendra que buscar tesoros con los que debera formar las partes de un todo.</t>
  </si>
  <si>
    <t>Coffee Básico</t>
  </si>
  <si>
    <t>Coffee Light</t>
  </si>
  <si>
    <t>Jugo de pulpa, agua, yogurt, 1 brocheta fruta, 1 barra de cereal</t>
  </si>
  <si>
    <t>Coffee Intermedio</t>
  </si>
  <si>
    <t>Café, té, agua, jugo de pulpa, 1 muffins, 2 facturitas, 1 fruta y 1  tapadito.</t>
  </si>
  <si>
    <t>Coctail basico, minimo 15 pasajeros.</t>
  </si>
  <si>
    <t xml:space="preserve"> Tragos(1 p/p entre) Pisco sour o espumante, vino,  bebida, cerveza, 1 empanaditas, 1 bruzquetas, quesos, frutos secos, galletas.</t>
  </si>
  <si>
    <t>Coctail Intermedio,                            Minimo 15 pasajeros.</t>
  </si>
  <si>
    <t>Tragos(2 p/p entre)Vino tinto, Blanco, espumante, pisco sour, bebidas,  cerveza, 1 empanaditas de Pino, 1 queso, queso crema /aceitunas, 2  bruzquetas jamón serrano, de Salmón, brocheta mediterranea,  frutos secos o quesos.</t>
  </si>
  <si>
    <t>Coctail entretenido, clinica de pizza, con maridaje de cerveza.</t>
  </si>
  <si>
    <t>Entretenido coctel en que los participantes, aprenden a preparar la pizza en su parrilla y a                                                                     maridarla con distintos tipos de cerveza, según los ingredientes utilizados, app 1 hora.</t>
  </si>
  <si>
    <t>Total Otros</t>
  </si>
  <si>
    <t>Amplificacion para actividad nocturna</t>
  </si>
  <si>
    <t>6 horas</t>
  </si>
  <si>
    <t>Hora Adicional de salon y amplificacion</t>
  </si>
  <si>
    <t>1 hora.</t>
  </si>
  <si>
    <t>Abre boca, entrada, fondo postre, 2 opciones de cada item.</t>
  </si>
  <si>
    <t>Aperitivo pisco sour o espumante</t>
  </si>
  <si>
    <t xml:space="preserve">Pisco Sour preparados en el minuto, </t>
  </si>
  <si>
    <t xml:space="preserve"> Cervezas, Espumante, Vino, Pisco Mistral, Ron Barcelo Añejo, Vodka, cocteles</t>
  </si>
  <si>
    <t>Bebidas, Cervezas, Espumante, Vino, Pisco Mistral, Ron Barcelo Añejo, Vodka, cocteles</t>
  </si>
  <si>
    <t>Tablas</t>
  </si>
  <si>
    <t>Pax</t>
  </si>
  <si>
    <t>Valor</t>
  </si>
  <si>
    <t>Tabla Vegana</t>
  </si>
  <si>
    <t>Tomate cherry, palitos de apio, zanahoria, pimiento, pepino con salsa de yogurt.</t>
  </si>
  <si>
    <t>Tabla Tierra</t>
  </si>
  <si>
    <t xml:space="preserve">Jamones, salame, arrollado, para 4 pasajeros. </t>
  </si>
  <si>
    <t xml:space="preserve">Jamones, salame, arrollado,  para 10 pasajeros. </t>
  </si>
  <si>
    <t>Tabla Mar</t>
  </si>
  <si>
    <t xml:space="preserve">Camaron salteado al ajillo, pulpo con salsa de aceituna, calamar a la romana, choritos en salsa verde, ceviche </t>
  </si>
  <si>
    <t>Tabla quesos y frutos secos</t>
  </si>
  <si>
    <t>Mantecosos Marinados, cabra, camenbert, jamon serrano, aceitunas, frutos secos y lactonesa de albahaca.</t>
  </si>
  <si>
    <t>Tabla Pierna de Cerdo</t>
  </si>
  <si>
    <t>se presenta en disco y es acompañado con pan amasado y 3 salsas distintas</t>
  </si>
  <si>
    <t xml:space="preserve">Tabla Cordero  </t>
  </si>
  <si>
    <t>tabla jabali nogado</t>
  </si>
  <si>
    <t xml:space="preserve">Bocados </t>
  </si>
  <si>
    <t>Ceviche</t>
  </si>
  <si>
    <t>Una Cucharita</t>
  </si>
  <si>
    <t>Shot de salmón ahumado, queso Crema</t>
  </si>
  <si>
    <t>Brusqueta tomate seco, queso albahaca</t>
  </si>
  <si>
    <t>Brusqueta jamon Serrano</t>
  </si>
  <si>
    <t>Brusqueta de camarones</t>
  </si>
  <si>
    <t>Brochetas de camarones</t>
  </si>
  <si>
    <t>Brochetas de Lomo de Vacuno</t>
  </si>
  <si>
    <t>Brochetas de Lomo de Cerdo</t>
  </si>
  <si>
    <t>Brochetas de Pollo</t>
  </si>
  <si>
    <t xml:space="preserve">Brochetas Mixtas </t>
  </si>
  <si>
    <t>Brochetas de Vegetales</t>
  </si>
  <si>
    <t>Brochetas de Fruta y quesos</t>
  </si>
  <si>
    <t>Brochetas de Frutas</t>
  </si>
  <si>
    <t xml:space="preserve">1 Empanaditas de pino </t>
  </si>
  <si>
    <t xml:space="preserve">1 Empanaditas de queso </t>
  </si>
  <si>
    <t>1 Tapaditos, queso albahaca.</t>
  </si>
  <si>
    <t>1 Tapadito Pollo pimiento</t>
  </si>
  <si>
    <t xml:space="preserve">1 Tapaditos, churrasco </t>
  </si>
  <si>
    <t>1 Tapaditos de lomito</t>
  </si>
  <si>
    <t>1 Tapaditos de pollo</t>
  </si>
  <si>
    <t>Valores no incluyen IVA</t>
  </si>
  <si>
    <t>Valores son incluyen IVA</t>
  </si>
  <si>
    <t>Botella de vino reserva</t>
  </si>
  <si>
    <t>Equipado con data, telón papelógrafo, aire acondicionado y calefacción,  agua, cafe, te .</t>
  </si>
  <si>
    <t>Salon Coho.</t>
  </si>
  <si>
    <t>Valor por persona, 8 horas.</t>
  </si>
  <si>
    <r>
      <t>Maquina de café Milano</t>
    </r>
    <r>
      <rPr>
        <sz val="12"/>
        <color rgb="FFFF0000"/>
        <rFont val="Calibri (Cuerpo)_x0000_"/>
      </rPr>
      <t>(adicional, no incluido)</t>
    </r>
  </si>
  <si>
    <t>Chinook para activdad nocturna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</si>
</sst>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;\-&quot;$&quot;#,##0"/>
    <numFmt numFmtId="42" formatCode="_-&quot;$&quot;* #,##0_-;\-&quot;$&quot;* #,##0_-;_-&quot;$&quot;* &quot;-&quot;_-;_-@_-"/>
    <numFmt numFmtId="164" formatCode="&quot;$&quot;#,##0;[Red]&quot;$&quot;\-#,##0"/>
    <numFmt numFmtId="165" formatCode="h:mm:ss;@"/>
    <numFmt numFmtId="166" formatCode="&quot;$&quot;#,##0"/>
  </numFmts>
  <fonts count="2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21" fillId="0" borderId="0" applyFont="0" applyFill="0" applyBorder="0" applyAlignment="0" applyProtection="0"/>
  </cellStyleXfs>
  <cellXfs count="244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5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164" fontId="6" fillId="9" borderId="1" xfId="0" applyNumberFormat="1" applyFont="1" applyFill="1" applyBorder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6" fillId="0" borderId="21" xfId="0" applyFont="1" applyBorder="1" applyAlignment="1">
      <alignment horizontal="left"/>
    </xf>
    <xf numFmtId="165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6" fillId="4" borderId="21" xfId="0" applyFont="1" applyFill="1" applyBorder="1" applyAlignment="1">
      <alignment vertical="center"/>
    </xf>
    <xf numFmtId="165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165" fontId="0" fillId="0" borderId="1" xfId="0" applyNumberFormat="1" applyBorder="1"/>
    <xf numFmtId="164" fontId="0" fillId="0" borderId="0" xfId="0" applyNumberFormat="1"/>
    <xf numFmtId="0" fontId="16" fillId="0" borderId="0" xfId="0" applyFont="1"/>
    <xf numFmtId="0" fontId="17" fillId="0" borderId="0" xfId="0" applyFont="1"/>
    <xf numFmtId="0" fontId="2" fillId="11" borderId="5" xfId="0" applyFont="1" applyFill="1" applyBorder="1" applyAlignment="1">
      <alignment horizontal="center"/>
    </xf>
    <xf numFmtId="165" fontId="2" fillId="11" borderId="9" xfId="0" applyNumberFormat="1" applyFont="1" applyFill="1" applyBorder="1" applyAlignment="1">
      <alignment horizontal="center"/>
    </xf>
    <xf numFmtId="0" fontId="2" fillId="11" borderId="9" xfId="0" applyFont="1" applyFill="1" applyBorder="1" applyAlignment="1">
      <alignment horizontal="center"/>
    </xf>
    <xf numFmtId="0" fontId="6" fillId="4" borderId="21" xfId="0" applyFont="1" applyFill="1" applyBorder="1"/>
    <xf numFmtId="165" fontId="6" fillId="4" borderId="2" xfId="0" applyNumberFormat="1" applyFont="1" applyFill="1" applyBorder="1"/>
    <xf numFmtId="164" fontId="6" fillId="4" borderId="2" xfId="0" applyNumberFormat="1" applyFont="1" applyFill="1" applyBorder="1"/>
    <xf numFmtId="164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/>
    </xf>
    <xf numFmtId="0" fontId="6" fillId="0" borderId="21" xfId="0" applyFont="1" applyBorder="1"/>
    <xf numFmtId="165" fontId="6" fillId="0" borderId="2" xfId="0" applyNumberFormat="1" applyFont="1" applyBorder="1"/>
    <xf numFmtId="0" fontId="6" fillId="4" borderId="21" xfId="0" applyFont="1" applyFill="1" applyBorder="1" applyAlignment="1">
      <alignment horizontal="left" vertical="center"/>
    </xf>
    <xf numFmtId="165" fontId="6" fillId="4" borderId="2" xfId="0" applyNumberFormat="1" applyFont="1" applyFill="1" applyBorder="1" applyAlignment="1">
      <alignment horizontal="left" vertical="center"/>
    </xf>
    <xf numFmtId="164" fontId="0" fillId="0" borderId="1" xfId="0" applyNumberFormat="1" applyBorder="1"/>
    <xf numFmtId="165" fontId="4" fillId="0" borderId="0" xfId="116" applyNumberFormat="1" applyAlignment="1">
      <alignment horizontal="left"/>
    </xf>
    <xf numFmtId="0" fontId="6" fillId="9" borderId="22" xfId="0" applyFont="1" applyFill="1" applyBorder="1" applyAlignment="1">
      <alignment horizontal="left"/>
    </xf>
    <xf numFmtId="0" fontId="6" fillId="0" borderId="11" xfId="0" applyFont="1" applyBorder="1" applyAlignment="1">
      <alignment horizontal="left" vertical="center"/>
    </xf>
    <xf numFmtId="165" fontId="6" fillId="0" borderId="23" xfId="0" applyNumberFormat="1" applyFont="1" applyBorder="1" applyAlignment="1">
      <alignment horizontal="right" vertical="center"/>
    </xf>
    <xf numFmtId="0" fontId="6" fillId="0" borderId="23" xfId="0" applyFont="1" applyBorder="1" applyAlignment="1">
      <alignment horizontal="center"/>
    </xf>
    <xf numFmtId="0" fontId="6" fillId="0" borderId="2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right"/>
    </xf>
    <xf numFmtId="164" fontId="6" fillId="0" borderId="4" xfId="0" applyNumberFormat="1" applyFont="1" applyBorder="1" applyAlignment="1">
      <alignment horizontal="right"/>
    </xf>
    <xf numFmtId="164" fontId="6" fillId="0" borderId="9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0" fontId="6" fillId="0" borderId="17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12" borderId="21" xfId="0" applyFont="1" applyFill="1" applyBorder="1" applyAlignment="1">
      <alignment horizontal="left" vertical="center"/>
    </xf>
    <xf numFmtId="165" fontId="6" fillId="12" borderId="24" xfId="0" applyNumberFormat="1" applyFont="1" applyFill="1" applyBorder="1" applyAlignment="1">
      <alignment horizontal="right" vertical="center"/>
    </xf>
    <xf numFmtId="0" fontId="6" fillId="12" borderId="24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right"/>
    </xf>
    <xf numFmtId="164" fontId="6" fillId="12" borderId="2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17" fillId="0" borderId="0" xfId="0" applyFont="1" applyAlignment="1">
      <alignment horizontal="left" vertical="center"/>
    </xf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2" fillId="13" borderId="1" xfId="0" applyFont="1" applyFill="1" applyBorder="1" applyAlignment="1">
      <alignment horizontal="left"/>
    </xf>
    <xf numFmtId="165" fontId="2" fillId="13" borderId="15" xfId="0" applyNumberFormat="1" applyFont="1" applyFill="1" applyBorder="1" applyAlignment="1">
      <alignment horizontal="center"/>
    </xf>
    <xf numFmtId="0" fontId="2" fillId="13" borderId="15" xfId="0" applyFont="1" applyFill="1" applyBorder="1" applyAlignment="1">
      <alignment horizontal="center"/>
    </xf>
    <xf numFmtId="0" fontId="6" fillId="0" borderId="15" xfId="0" applyFont="1" applyBorder="1"/>
    <xf numFmtId="164" fontId="6" fillId="0" borderId="2" xfId="0" applyNumberFormat="1" applyFont="1" applyBorder="1"/>
    <xf numFmtId="0" fontId="6" fillId="9" borderId="1" xfId="0" applyFont="1" applyFill="1" applyBorder="1" applyAlignment="1">
      <alignment horizontal="center" vertical="center"/>
    </xf>
    <xf numFmtId="166" fontId="6" fillId="9" borderId="1" xfId="175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6" fillId="13" borderId="0" xfId="0" applyFont="1" applyFill="1" applyAlignment="1">
      <alignment horizontal="right"/>
    </xf>
    <xf numFmtId="165" fontId="6" fillId="13" borderId="0" xfId="0" applyNumberFormat="1" applyFont="1" applyFill="1" applyAlignment="1">
      <alignment horizontal="right"/>
    </xf>
    <xf numFmtId="0" fontId="6" fillId="13" borderId="0" xfId="0" applyFont="1" applyFill="1" applyAlignment="1">
      <alignment horizontal="center"/>
    </xf>
    <xf numFmtId="164" fontId="6" fillId="13" borderId="0" xfId="0" applyNumberFormat="1" applyFont="1" applyFill="1" applyAlignment="1">
      <alignment horizontal="right"/>
    </xf>
    <xf numFmtId="0" fontId="0" fillId="3" borderId="1" xfId="0" applyFill="1" applyBorder="1" applyAlignment="1">
      <alignment horizontal="center"/>
    </xf>
    <xf numFmtId="42" fontId="0" fillId="3" borderId="1" xfId="175" applyFont="1" applyFill="1" applyBorder="1"/>
    <xf numFmtId="0" fontId="0" fillId="3" borderId="1" xfId="0" applyFill="1" applyBorder="1" applyAlignment="1"/>
    <xf numFmtId="164" fontId="0" fillId="0" borderId="1" xfId="0" applyNumberFormat="1" applyFont="1" applyBorder="1" applyAlignment="1"/>
    <xf numFmtId="164" fontId="6" fillId="9" borderId="1" xfId="0" applyNumberFormat="1" applyFont="1" applyFill="1" applyBorder="1" applyAlignment="1"/>
    <xf numFmtId="0" fontId="6" fillId="4" borderId="1" xfId="0" applyFont="1" applyFill="1" applyBorder="1" applyAlignment="1">
      <alignment horizontal="left"/>
    </xf>
    <xf numFmtId="0" fontId="6" fillId="9" borderId="21" xfId="0" applyFont="1" applyFill="1" applyBorder="1" applyAlignment="1">
      <alignment horizontal="left" vertical="center"/>
    </xf>
    <xf numFmtId="165" fontId="6" fillId="9" borderId="21" xfId="0" applyNumberFormat="1" applyFont="1" applyFill="1" applyBorder="1" applyAlignment="1">
      <alignment horizontal="left" vertical="center"/>
    </xf>
    <xf numFmtId="0" fontId="6" fillId="9" borderId="21" xfId="0" applyFont="1" applyFill="1" applyBorder="1" applyAlignment="1">
      <alignment horizontal="center"/>
    </xf>
    <xf numFmtId="164" fontId="6" fillId="9" borderId="21" xfId="0" applyNumberFormat="1" applyFont="1" applyFill="1" applyBorder="1" applyAlignment="1">
      <alignment horizontal="right"/>
    </xf>
    <xf numFmtId="0" fontId="6" fillId="9" borderId="2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0" fontId="22" fillId="6" borderId="1" xfId="0" applyFont="1" applyFill="1" applyBorder="1" applyAlignment="1">
      <alignment horizontal="center"/>
    </xf>
    <xf numFmtId="166" fontId="22" fillId="6" borderId="1" xfId="0" applyNumberFormat="1" applyFont="1" applyFill="1" applyBorder="1" applyAlignment="1"/>
    <xf numFmtId="166" fontId="22" fillId="6" borderId="1" xfId="0" applyNumberFormat="1" applyFont="1" applyFill="1" applyBorder="1" applyAlignment="1">
      <alignment horizontal="center"/>
    </xf>
    <xf numFmtId="0" fontId="0" fillId="3" borderId="1" xfId="0" applyFill="1" applyBorder="1"/>
    <xf numFmtId="166" fontId="0" fillId="3" borderId="1" xfId="0" applyNumberFormat="1" applyFill="1" applyBorder="1" applyAlignment="1"/>
    <xf numFmtId="166" fontId="0" fillId="3" borderId="1" xfId="0" applyNumberFormat="1" applyFill="1" applyBorder="1" applyAlignment="1">
      <alignment horizontal="center"/>
    </xf>
    <xf numFmtId="0" fontId="6" fillId="9" borderId="25" xfId="0" applyFont="1" applyFill="1" applyBorder="1" applyAlignment="1">
      <alignment horizontal="left" vertical="center"/>
    </xf>
    <xf numFmtId="0" fontId="6" fillId="9" borderId="25" xfId="0" applyFont="1" applyFill="1" applyBorder="1" applyAlignment="1">
      <alignment horizontal="center" vertical="center"/>
    </xf>
    <xf numFmtId="0" fontId="6" fillId="9" borderId="25" xfId="0" applyFont="1" applyFill="1" applyBorder="1" applyAlignment="1">
      <alignment horizontal="center"/>
    </xf>
    <xf numFmtId="166" fontId="6" fillId="9" borderId="25" xfId="175" applyNumberFormat="1" applyFont="1" applyFill="1" applyBorder="1" applyAlignment="1"/>
    <xf numFmtId="166" fontId="6" fillId="9" borderId="1" xfId="175" applyNumberFormat="1" applyFont="1" applyFill="1" applyBorder="1" applyAlignment="1"/>
    <xf numFmtId="0" fontId="6" fillId="9" borderId="3" xfId="0" applyFont="1" applyFill="1" applyBorder="1" applyAlignment="1">
      <alignment horizontal="left" vertical="center"/>
    </xf>
    <xf numFmtId="0" fontId="6" fillId="9" borderId="3" xfId="0" applyFont="1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166" fontId="0" fillId="3" borderId="0" xfId="0" applyNumberFormat="1" applyFill="1" applyAlignment="1"/>
    <xf numFmtId="166" fontId="0" fillId="3" borderId="0" xfId="0" applyNumberFormat="1" applyFill="1" applyAlignment="1">
      <alignment horizontal="center"/>
    </xf>
    <xf numFmtId="42" fontId="0" fillId="3" borderId="0" xfId="175" applyFont="1" applyFill="1"/>
    <xf numFmtId="166" fontId="0" fillId="3" borderId="1" xfId="175" applyNumberFormat="1" applyFont="1" applyFill="1" applyBorder="1" applyAlignment="1"/>
    <xf numFmtId="166" fontId="0" fillId="3" borderId="1" xfId="175" applyNumberFormat="1" applyFont="1" applyFill="1" applyBorder="1" applyAlignment="1">
      <alignment horizontal="center"/>
    </xf>
    <xf numFmtId="166" fontId="0" fillId="0" borderId="1" xfId="0" applyNumberFormat="1" applyBorder="1"/>
    <xf numFmtId="0" fontId="0" fillId="0" borderId="1" xfId="0" applyBorder="1" applyAlignment="1">
      <alignment horizontal="center"/>
    </xf>
    <xf numFmtId="5" fontId="6" fillId="9" borderId="1" xfId="175" applyNumberFormat="1" applyFont="1" applyFill="1" applyBorder="1" applyAlignment="1">
      <alignment horizontal="right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rios@faesfarma.com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U156"/>
  <sheetViews>
    <sheetView tabSelected="1" zoomScale="109" zoomScaleNormal="109" zoomScalePageLayoutView="109" workbookViewId="0">
      <selection activeCell="F57" sqref="F57"/>
    </sheetView>
  </sheetViews>
  <sheetFormatPr baseColWidth="10" defaultRowHeight="16"/>
  <cols>
    <col min="1" max="1" width="39.5" customWidth="1"/>
    <col min="2" max="2" width="10.83203125" style="76" customWidth="1"/>
    <col min="3" max="3" width="12" customWidth="1"/>
    <col min="4" max="4" width="10.1640625" customWidth="1"/>
    <col min="5" max="5" width="12.33203125" customWidth="1"/>
    <col min="6" max="6" width="13" customWidth="1"/>
    <col min="7" max="7" width="88.6640625" customWidth="1"/>
    <col min="8" max="8" width="11.33203125" bestFit="1" customWidth="1"/>
    <col min="9" max="15" width="11.33203125" customWidth="1"/>
    <col min="16" max="16" width="13.83203125" customWidth="1"/>
  </cols>
  <sheetData>
    <row r="1" spans="1:21" ht="47" customHeight="1">
      <c r="A1" s="1" t="s">
        <v>2</v>
      </c>
      <c r="B1" s="75"/>
      <c r="C1" s="72" t="s">
        <v>165</v>
      </c>
      <c r="P1" s="134" t="s">
        <v>191</v>
      </c>
      <c r="Q1" s="134" t="s">
        <v>192</v>
      </c>
      <c r="R1" s="134" t="s">
        <v>193</v>
      </c>
      <c r="S1" s="134" t="s">
        <v>194</v>
      </c>
      <c r="T1" s="134" t="s">
        <v>195</v>
      </c>
      <c r="U1" s="134" t="s">
        <v>196</v>
      </c>
    </row>
    <row r="2" spans="1:21">
      <c r="G2" s="127" t="s">
        <v>139</v>
      </c>
      <c r="P2" s="134" t="s">
        <v>197</v>
      </c>
      <c r="Q2" s="134">
        <v>3</v>
      </c>
      <c r="R2" s="134"/>
      <c r="S2" s="134"/>
      <c r="T2" s="134"/>
      <c r="U2" s="134"/>
    </row>
    <row r="3" spans="1:21">
      <c r="A3" s="69" t="s">
        <v>115</v>
      </c>
      <c r="B3" s="113" t="s">
        <v>207</v>
      </c>
      <c r="D3" t="s">
        <v>3</v>
      </c>
      <c r="E3" s="34" t="s">
        <v>189</v>
      </c>
      <c r="G3" s="80" t="s">
        <v>212</v>
      </c>
      <c r="P3" s="134" t="s">
        <v>198</v>
      </c>
      <c r="Q3" s="135">
        <v>10</v>
      </c>
      <c r="R3" s="135">
        <v>11</v>
      </c>
      <c r="S3" s="135">
        <v>11</v>
      </c>
      <c r="T3" s="135">
        <v>11</v>
      </c>
      <c r="U3" s="135"/>
    </row>
    <row r="4" spans="1:21">
      <c r="A4" t="s">
        <v>116</v>
      </c>
      <c r="B4" s="149" t="s">
        <v>208</v>
      </c>
      <c r="C4" s="73"/>
      <c r="D4" t="s">
        <v>5</v>
      </c>
      <c r="E4" s="6">
        <v>992252433</v>
      </c>
      <c r="G4" s="81" t="s">
        <v>213</v>
      </c>
      <c r="P4" s="134" t="s">
        <v>15</v>
      </c>
      <c r="Q4" s="135">
        <v>25</v>
      </c>
      <c r="R4" s="135">
        <v>25</v>
      </c>
      <c r="S4" s="135">
        <v>25</v>
      </c>
      <c r="T4" s="135">
        <v>25</v>
      </c>
      <c r="U4" s="135"/>
    </row>
    <row r="5" spans="1:21">
      <c r="A5" t="s">
        <v>117</v>
      </c>
      <c r="B5" s="113" t="s">
        <v>190</v>
      </c>
      <c r="D5" t="s">
        <v>4</v>
      </c>
      <c r="E5" s="34">
        <v>68</v>
      </c>
      <c r="G5" s="81" t="s">
        <v>140</v>
      </c>
      <c r="P5" s="134" t="s">
        <v>199</v>
      </c>
      <c r="Q5" s="135"/>
      <c r="R5" s="135"/>
      <c r="S5" s="135"/>
      <c r="T5" s="135"/>
      <c r="U5" s="135"/>
    </row>
    <row r="6" spans="1:21">
      <c r="A6" s="71" t="s">
        <v>119</v>
      </c>
      <c r="B6" s="114" t="s">
        <v>175</v>
      </c>
      <c r="C6" s="70"/>
      <c r="D6" s="70" t="s">
        <v>118</v>
      </c>
      <c r="E6" s="71" t="s">
        <v>176</v>
      </c>
      <c r="G6" s="81" t="s">
        <v>141</v>
      </c>
      <c r="P6" s="135" t="s">
        <v>200</v>
      </c>
      <c r="Q6" s="135"/>
      <c r="R6" s="135">
        <v>50</v>
      </c>
      <c r="S6" s="135">
        <v>50</v>
      </c>
      <c r="T6" s="135">
        <v>50</v>
      </c>
      <c r="U6" s="135"/>
    </row>
    <row r="7" spans="1:21" ht="17" thickBot="1">
      <c r="A7" s="70"/>
      <c r="B7" s="114"/>
      <c r="C7" s="70"/>
      <c r="D7" s="70"/>
      <c r="E7" s="70"/>
      <c r="F7" s="70"/>
      <c r="G7" s="81"/>
      <c r="P7" s="135" t="s">
        <v>96</v>
      </c>
      <c r="Q7" s="135">
        <v>62</v>
      </c>
      <c r="R7" s="135">
        <v>63</v>
      </c>
      <c r="S7" s="135">
        <v>60</v>
      </c>
      <c r="T7" s="135">
        <v>60</v>
      </c>
      <c r="U7" s="135">
        <v>30</v>
      </c>
    </row>
    <row r="8" spans="1:21" ht="15.75" customHeight="1">
      <c r="A8" s="102" t="s">
        <v>201</v>
      </c>
      <c r="B8" s="103" t="s">
        <v>124</v>
      </c>
      <c r="C8" s="104" t="s">
        <v>104</v>
      </c>
      <c r="D8" s="104" t="s">
        <v>6</v>
      </c>
      <c r="E8" s="104" t="s">
        <v>0</v>
      </c>
      <c r="F8" s="104" t="s">
        <v>1</v>
      </c>
      <c r="G8" s="105" t="s">
        <v>7</v>
      </c>
      <c r="P8" s="135" t="s">
        <v>200</v>
      </c>
      <c r="Q8" s="135">
        <v>50</v>
      </c>
      <c r="R8" s="135">
        <v>50</v>
      </c>
      <c r="S8" s="135">
        <v>50</v>
      </c>
      <c r="T8" s="135">
        <v>50</v>
      </c>
      <c r="U8" s="135"/>
    </row>
    <row r="9" spans="1:21">
      <c r="A9" s="9" t="s">
        <v>291</v>
      </c>
      <c r="B9" s="132"/>
      <c r="C9" s="89">
        <v>1</v>
      </c>
      <c r="D9" s="89">
        <v>1</v>
      </c>
      <c r="E9" s="115">
        <v>250000</v>
      </c>
      <c r="F9" s="148">
        <f>E9</f>
        <v>250000</v>
      </c>
      <c r="G9" s="87" t="s">
        <v>290</v>
      </c>
    </row>
    <row r="10" spans="1:21">
      <c r="A10" s="98" t="s">
        <v>245</v>
      </c>
      <c r="B10" s="209"/>
      <c r="C10" s="89">
        <v>1</v>
      </c>
      <c r="D10" s="89">
        <v>62</v>
      </c>
      <c r="E10" s="212">
        <f>3600/1.19</f>
        <v>3025.2100840336134</v>
      </c>
      <c r="F10" s="213">
        <f>D10*E10</f>
        <v>187563.02521008404</v>
      </c>
      <c r="G10" s="87" t="s">
        <v>246</v>
      </c>
    </row>
    <row r="11" spans="1:21" ht="16.5" customHeight="1">
      <c r="A11" s="95" t="s">
        <v>102</v>
      </c>
      <c r="B11" s="96" t="s">
        <v>125</v>
      </c>
      <c r="C11" s="89">
        <v>1</v>
      </c>
      <c r="D11" s="89">
        <v>62</v>
      </c>
      <c r="E11" s="88">
        <v>15000</v>
      </c>
      <c r="F11" s="88">
        <f>C11*D11*E11</f>
        <v>930000</v>
      </c>
      <c r="G11" s="87" t="s">
        <v>101</v>
      </c>
    </row>
    <row r="12" spans="1:21" ht="16.5" customHeight="1">
      <c r="A12" s="95" t="s">
        <v>214</v>
      </c>
      <c r="B12" s="96"/>
      <c r="C12" s="89">
        <v>1</v>
      </c>
      <c r="D12" s="89">
        <v>62</v>
      </c>
      <c r="E12" s="88">
        <v>32000</v>
      </c>
      <c r="F12" s="88">
        <f>C12*D12*E12</f>
        <v>1984000</v>
      </c>
      <c r="G12" s="87" t="s">
        <v>244</v>
      </c>
    </row>
    <row r="13" spans="1:21">
      <c r="A13" s="95" t="s">
        <v>293</v>
      </c>
      <c r="B13" s="99"/>
      <c r="C13" s="89">
        <v>0</v>
      </c>
      <c r="D13" s="89">
        <v>0</v>
      </c>
      <c r="E13" s="243">
        <v>4900</v>
      </c>
      <c r="F13" s="142">
        <f t="shared" ref="F13" si="0">C13*D13*E13</f>
        <v>0</v>
      </c>
      <c r="G13" s="87" t="s">
        <v>292</v>
      </c>
    </row>
    <row r="14" spans="1:21">
      <c r="A14" s="95" t="s">
        <v>103</v>
      </c>
      <c r="B14" s="96" t="s">
        <v>126</v>
      </c>
      <c r="C14" s="89">
        <v>1</v>
      </c>
      <c r="D14" s="89">
        <v>62</v>
      </c>
      <c r="E14" s="97">
        <v>15000</v>
      </c>
      <c r="F14" s="88">
        <f t="shared" ref="F14" si="1">C14*D14*E14</f>
        <v>930000</v>
      </c>
      <c r="G14" s="87" t="s">
        <v>160</v>
      </c>
    </row>
    <row r="15" spans="1:21">
      <c r="A15" s="95" t="s">
        <v>161</v>
      </c>
      <c r="B15" s="96"/>
      <c r="C15" s="89">
        <v>2</v>
      </c>
      <c r="D15" s="89">
        <v>62</v>
      </c>
      <c r="E15" s="88">
        <f>1800/1.19</f>
        <v>1512.6050420168067</v>
      </c>
      <c r="F15" s="88">
        <f>C15*D15*E15</f>
        <v>187563.02521008404</v>
      </c>
      <c r="G15" s="87" t="s">
        <v>174</v>
      </c>
    </row>
    <row r="16" spans="1:21">
      <c r="A16" s="119" t="s">
        <v>205</v>
      </c>
      <c r="B16" s="120"/>
      <c r="C16" s="42">
        <v>3</v>
      </c>
      <c r="D16" s="42">
        <v>3</v>
      </c>
      <c r="E16" s="121">
        <f>99000*1.2</f>
        <v>118800</v>
      </c>
      <c r="F16" s="88">
        <f>C16*E16</f>
        <v>356400</v>
      </c>
      <c r="G16" s="110" t="s">
        <v>163</v>
      </c>
    </row>
    <row r="17" spans="1:7" ht="16.5" customHeight="1">
      <c r="A17" s="110" t="s">
        <v>162</v>
      </c>
      <c r="B17" s="111"/>
      <c r="C17" s="89">
        <v>10</v>
      </c>
      <c r="D17" s="89">
        <v>10</v>
      </c>
      <c r="E17" s="112">
        <v>99000</v>
      </c>
      <c r="F17" s="88">
        <f>C17*E17</f>
        <v>990000</v>
      </c>
      <c r="G17" s="150" t="s">
        <v>163</v>
      </c>
    </row>
    <row r="18" spans="1:7" ht="16.5" customHeight="1">
      <c r="A18" s="110" t="s">
        <v>122</v>
      </c>
      <c r="B18" s="111"/>
      <c r="C18" s="89">
        <v>25</v>
      </c>
      <c r="D18" s="89">
        <v>50</v>
      </c>
      <c r="E18" s="112">
        <v>118000</v>
      </c>
      <c r="F18" s="88">
        <f>C18*E18</f>
        <v>2950000</v>
      </c>
      <c r="G18" s="110" t="s">
        <v>164</v>
      </c>
    </row>
    <row r="19" spans="1:7" ht="17" thickBot="1">
      <c r="F19" s="133">
        <f>SUM(F9:F18)</f>
        <v>8765526.0504201688</v>
      </c>
    </row>
    <row r="20" spans="1:7" ht="15.75" customHeight="1">
      <c r="A20" s="102" t="s">
        <v>202</v>
      </c>
      <c r="B20" s="103" t="s">
        <v>124</v>
      </c>
      <c r="C20" s="104" t="s">
        <v>104</v>
      </c>
      <c r="D20" s="104" t="s">
        <v>6</v>
      </c>
      <c r="E20" s="104" t="s">
        <v>0</v>
      </c>
      <c r="F20" s="104" t="s">
        <v>1</v>
      </c>
      <c r="G20" s="105" t="s">
        <v>7</v>
      </c>
    </row>
    <row r="21" spans="1:7">
      <c r="A21" s="100" t="s">
        <v>8</v>
      </c>
      <c r="B21" s="101"/>
      <c r="C21" s="89">
        <v>0</v>
      </c>
      <c r="D21" s="89">
        <v>0</v>
      </c>
      <c r="E21" s="115">
        <f>12500/1.19</f>
        <v>10504.20168067227</v>
      </c>
      <c r="F21" s="88">
        <f>C21*D21*E21</f>
        <v>0</v>
      </c>
      <c r="G21" s="87" t="s">
        <v>159</v>
      </c>
    </row>
    <row r="22" spans="1:7">
      <c r="A22" s="95" t="s">
        <v>293</v>
      </c>
      <c r="B22" s="99"/>
      <c r="C22" s="89">
        <v>0</v>
      </c>
      <c r="D22" s="89">
        <v>0</v>
      </c>
      <c r="E22" s="243">
        <v>4900</v>
      </c>
      <c r="F22" s="142">
        <f t="shared" ref="F22" si="2">C22*D22*E22</f>
        <v>0</v>
      </c>
      <c r="G22" s="87" t="s">
        <v>292</v>
      </c>
    </row>
    <row r="23" spans="1:7">
      <c r="A23" s="9" t="s">
        <v>291</v>
      </c>
      <c r="B23" s="132"/>
      <c r="C23" s="89">
        <v>1</v>
      </c>
      <c r="D23" s="89">
        <v>1</v>
      </c>
      <c r="E23" s="115">
        <v>250000</v>
      </c>
      <c r="F23" s="88">
        <f t="shared" ref="F23:F26" si="3">C23*D23*E23</f>
        <v>250000</v>
      </c>
      <c r="G23" s="214" t="s">
        <v>290</v>
      </c>
    </row>
    <row r="24" spans="1:7">
      <c r="A24" s="95" t="s">
        <v>102</v>
      </c>
      <c r="B24" s="96" t="s">
        <v>125</v>
      </c>
      <c r="C24" s="89">
        <v>1</v>
      </c>
      <c r="D24" s="89">
        <v>60</v>
      </c>
      <c r="E24" s="88">
        <v>15000</v>
      </c>
      <c r="F24" s="88">
        <f t="shared" si="3"/>
        <v>900000</v>
      </c>
      <c r="G24" s="87" t="s">
        <v>101</v>
      </c>
    </row>
    <row r="25" spans="1:7">
      <c r="A25" s="95" t="s">
        <v>103</v>
      </c>
      <c r="B25" s="96" t="s">
        <v>126</v>
      </c>
      <c r="C25" s="89">
        <v>1</v>
      </c>
      <c r="D25" s="89">
        <v>60</v>
      </c>
      <c r="E25" s="97">
        <v>15000</v>
      </c>
      <c r="F25" s="88">
        <f t="shared" si="3"/>
        <v>900000</v>
      </c>
      <c r="G25" s="87" t="s">
        <v>160</v>
      </c>
    </row>
    <row r="26" spans="1:7">
      <c r="A26" s="95" t="s">
        <v>161</v>
      </c>
      <c r="B26" s="96"/>
      <c r="C26" s="89">
        <v>2</v>
      </c>
      <c r="D26" s="89">
        <v>60</v>
      </c>
      <c r="E26" s="88">
        <f>1800/1.19</f>
        <v>1512.6050420168067</v>
      </c>
      <c r="F26" s="88">
        <f t="shared" si="3"/>
        <v>181512.6050420168</v>
      </c>
      <c r="G26" s="87" t="s">
        <v>174</v>
      </c>
    </row>
    <row r="27" spans="1:7">
      <c r="A27" s="110" t="s">
        <v>162</v>
      </c>
      <c r="B27" s="111"/>
      <c r="C27" s="89">
        <v>11</v>
      </c>
      <c r="D27" s="89">
        <v>10</v>
      </c>
      <c r="E27" s="112">
        <v>99000</v>
      </c>
      <c r="F27" s="88">
        <f>C27*E27</f>
        <v>1089000</v>
      </c>
      <c r="G27" s="110" t="s">
        <v>163</v>
      </c>
    </row>
    <row r="28" spans="1:7">
      <c r="A28" s="110" t="s">
        <v>122</v>
      </c>
      <c r="B28" s="111"/>
      <c r="C28" s="89">
        <v>25</v>
      </c>
      <c r="D28" s="89">
        <v>50</v>
      </c>
      <c r="E28" s="112">
        <v>118000</v>
      </c>
      <c r="F28" s="88">
        <f>C28*E28</f>
        <v>2950000</v>
      </c>
      <c r="G28" s="110" t="s">
        <v>164</v>
      </c>
    </row>
    <row r="29" spans="1:7" ht="17" thickBot="1">
      <c r="F29" s="133">
        <f>SUM(F21:F28)</f>
        <v>6270512.6050420161</v>
      </c>
    </row>
    <row r="30" spans="1:7">
      <c r="A30" s="102" t="s">
        <v>203</v>
      </c>
      <c r="B30" s="103" t="s">
        <v>124</v>
      </c>
      <c r="C30" s="104" t="s">
        <v>104</v>
      </c>
      <c r="D30" s="104" t="s">
        <v>6</v>
      </c>
      <c r="E30" s="104" t="s">
        <v>0</v>
      </c>
      <c r="F30" s="104" t="s">
        <v>1</v>
      </c>
      <c r="G30" s="105" t="s">
        <v>7</v>
      </c>
    </row>
    <row r="31" spans="1:7">
      <c r="A31" s="100" t="s">
        <v>8</v>
      </c>
      <c r="B31" s="101"/>
      <c r="C31" s="89">
        <v>1</v>
      </c>
      <c r="D31" s="89">
        <v>61</v>
      </c>
      <c r="E31" s="115">
        <f>12500/1.19</f>
        <v>10504.20168067227</v>
      </c>
      <c r="F31" s="88">
        <v>0</v>
      </c>
      <c r="G31" s="87" t="s">
        <v>159</v>
      </c>
    </row>
    <row r="32" spans="1:7">
      <c r="A32" s="95" t="s">
        <v>293</v>
      </c>
      <c r="B32" s="99"/>
      <c r="C32" s="89">
        <v>0</v>
      </c>
      <c r="D32" s="89">
        <v>0</v>
      </c>
      <c r="E32" s="243">
        <v>4900</v>
      </c>
      <c r="F32" s="142">
        <f t="shared" ref="F32" si="4">C32*D32*E32</f>
        <v>0</v>
      </c>
      <c r="G32" s="87" t="s">
        <v>292</v>
      </c>
    </row>
    <row r="33" spans="1:7">
      <c r="A33" s="9" t="s">
        <v>291</v>
      </c>
      <c r="B33" s="132"/>
      <c r="C33" s="89">
        <v>1</v>
      </c>
      <c r="D33" s="89">
        <v>1</v>
      </c>
      <c r="E33" s="115">
        <v>250000</v>
      </c>
      <c r="F33" s="148">
        <f>C$33*E33</f>
        <v>250000</v>
      </c>
      <c r="G33" s="214" t="s">
        <v>290</v>
      </c>
    </row>
    <row r="34" spans="1:7">
      <c r="A34" s="95" t="s">
        <v>102</v>
      </c>
      <c r="B34" s="96" t="s">
        <v>125</v>
      </c>
      <c r="C34" s="89">
        <v>1</v>
      </c>
      <c r="D34" s="89">
        <v>60</v>
      </c>
      <c r="E34" s="88">
        <v>15000</v>
      </c>
      <c r="F34" s="88">
        <f>C34*D34*E34</f>
        <v>900000</v>
      </c>
      <c r="G34" s="87" t="s">
        <v>101</v>
      </c>
    </row>
    <row r="35" spans="1:7">
      <c r="A35" s="95" t="s">
        <v>103</v>
      </c>
      <c r="B35" s="96" t="s">
        <v>126</v>
      </c>
      <c r="C35" s="89">
        <v>1</v>
      </c>
      <c r="D35" s="89">
        <v>60</v>
      </c>
      <c r="E35" s="97">
        <v>15000</v>
      </c>
      <c r="F35" s="88">
        <f>C35*D35*E35</f>
        <v>900000</v>
      </c>
      <c r="G35" s="87" t="s">
        <v>160</v>
      </c>
    </row>
    <row r="36" spans="1:7">
      <c r="A36" s="95" t="s">
        <v>161</v>
      </c>
      <c r="B36" s="96"/>
      <c r="C36" s="89">
        <v>2</v>
      </c>
      <c r="D36" s="89">
        <v>60</v>
      </c>
      <c r="E36" s="88">
        <f>1800/1.19</f>
        <v>1512.6050420168067</v>
      </c>
      <c r="F36" s="88">
        <f>C36*D36*E36</f>
        <v>181512.6050420168</v>
      </c>
      <c r="G36" s="87" t="s">
        <v>174</v>
      </c>
    </row>
    <row r="37" spans="1:7">
      <c r="A37" s="110" t="s">
        <v>162</v>
      </c>
      <c r="B37" s="111"/>
      <c r="C37" s="89">
        <v>11</v>
      </c>
      <c r="D37" s="89">
        <v>11</v>
      </c>
      <c r="E37" s="112">
        <v>99000</v>
      </c>
      <c r="F37" s="88">
        <f>C37*E37</f>
        <v>1089000</v>
      </c>
      <c r="G37" s="110" t="s">
        <v>163</v>
      </c>
    </row>
    <row r="38" spans="1:7">
      <c r="A38" s="110" t="s">
        <v>122</v>
      </c>
      <c r="B38" s="111"/>
      <c r="C38" s="89">
        <v>25</v>
      </c>
      <c r="D38" s="89">
        <v>50</v>
      </c>
      <c r="E38" s="112">
        <v>118000</v>
      </c>
      <c r="F38" s="88">
        <f>C38*E38</f>
        <v>2950000</v>
      </c>
      <c r="G38" s="110" t="s">
        <v>164</v>
      </c>
    </row>
    <row r="39" spans="1:7" ht="17" thickBot="1">
      <c r="F39" s="133">
        <f>SUM(F31:F38)</f>
        <v>6270512.6050420161</v>
      </c>
    </row>
    <row r="40" spans="1:7">
      <c r="A40" s="136" t="s">
        <v>204</v>
      </c>
      <c r="B40" s="137" t="s">
        <v>124</v>
      </c>
      <c r="C40" s="138" t="s">
        <v>104</v>
      </c>
      <c r="D40" s="138" t="s">
        <v>6</v>
      </c>
      <c r="E40" s="138" t="s">
        <v>0</v>
      </c>
      <c r="F40" s="138" t="s">
        <v>1</v>
      </c>
      <c r="G40" s="138" t="s">
        <v>7</v>
      </c>
    </row>
    <row r="41" spans="1:7">
      <c r="A41" s="139" t="s">
        <v>8</v>
      </c>
      <c r="B41" s="140"/>
      <c r="C41" s="124">
        <v>1</v>
      </c>
      <c r="D41" s="124">
        <v>61</v>
      </c>
      <c r="E41" s="141">
        <v>10504</v>
      </c>
      <c r="F41" s="142">
        <v>0</v>
      </c>
      <c r="G41" s="143" t="s">
        <v>159</v>
      </c>
    </row>
    <row r="42" spans="1:7">
      <c r="A42" s="95" t="s">
        <v>293</v>
      </c>
      <c r="B42" s="99"/>
      <c r="C42" s="89">
        <v>0</v>
      </c>
      <c r="D42" s="89">
        <v>0</v>
      </c>
      <c r="E42" s="243">
        <v>4900</v>
      </c>
      <c r="F42" s="142">
        <f>C42*D42*E42</f>
        <v>0</v>
      </c>
      <c r="G42" s="87" t="s">
        <v>292</v>
      </c>
    </row>
    <row r="43" spans="1:7">
      <c r="A43" s="144" t="s">
        <v>291</v>
      </c>
      <c r="B43" s="145"/>
      <c r="C43" s="124">
        <v>1</v>
      </c>
      <c r="D43" s="124">
        <v>1</v>
      </c>
      <c r="E43" s="141">
        <v>250000</v>
      </c>
      <c r="F43" s="142">
        <f t="shared" ref="F43:F48" si="5">C43*D43*E43</f>
        <v>250000</v>
      </c>
      <c r="G43" s="214" t="s">
        <v>290</v>
      </c>
    </row>
    <row r="44" spans="1:7">
      <c r="A44" s="98" t="s">
        <v>245</v>
      </c>
      <c r="B44" s="209"/>
      <c r="C44" s="210"/>
      <c r="D44" s="211"/>
      <c r="E44" s="212">
        <f t="shared" ref="E44" si="6">F44*1.19</f>
        <v>3599.75</v>
      </c>
      <c r="F44" s="213">
        <v>3025</v>
      </c>
      <c r="G44" s="87" t="s">
        <v>246</v>
      </c>
    </row>
    <row r="45" spans="1:7">
      <c r="A45" s="146" t="s">
        <v>102</v>
      </c>
      <c r="B45" s="147" t="s">
        <v>125</v>
      </c>
      <c r="C45" s="124">
        <v>1</v>
      </c>
      <c r="D45" s="124">
        <v>60</v>
      </c>
      <c r="E45" s="142">
        <v>15000</v>
      </c>
      <c r="F45" s="142">
        <f t="shared" si="5"/>
        <v>900000</v>
      </c>
      <c r="G45" s="143" t="s">
        <v>101</v>
      </c>
    </row>
    <row r="46" spans="1:7">
      <c r="A46" s="95" t="s">
        <v>103</v>
      </c>
      <c r="B46" s="96" t="s">
        <v>126</v>
      </c>
      <c r="C46" s="89">
        <v>1</v>
      </c>
      <c r="D46" s="89">
        <v>60</v>
      </c>
      <c r="E46" s="97">
        <v>15000</v>
      </c>
      <c r="F46" s="142">
        <f>C46*D46*E46</f>
        <v>900000</v>
      </c>
      <c r="G46" s="87" t="s">
        <v>160</v>
      </c>
    </row>
    <row r="47" spans="1:7">
      <c r="A47" s="95" t="s">
        <v>161</v>
      </c>
      <c r="B47" s="96"/>
      <c r="C47" s="89">
        <v>2</v>
      </c>
      <c r="D47" s="89">
        <v>60</v>
      </c>
      <c r="E47" s="88">
        <f>1800/1.19</f>
        <v>1512.6050420168067</v>
      </c>
      <c r="F47" s="142">
        <f t="shared" si="5"/>
        <v>181512.6050420168</v>
      </c>
      <c r="G47" s="87" t="s">
        <v>174</v>
      </c>
    </row>
    <row r="48" spans="1:7">
      <c r="A48" s="9" t="s">
        <v>289</v>
      </c>
      <c r="B48" s="132"/>
      <c r="C48" s="242">
        <v>0</v>
      </c>
      <c r="D48" s="242">
        <v>0</v>
      </c>
      <c r="E48" s="241">
        <v>12000</v>
      </c>
      <c r="F48" s="142">
        <f t="shared" si="5"/>
        <v>0</v>
      </c>
      <c r="G48" s="9"/>
    </row>
    <row r="49" spans="1:7">
      <c r="A49" s="215" t="s">
        <v>294</v>
      </c>
      <c r="B49" s="216"/>
      <c r="C49" s="217">
        <v>1</v>
      </c>
      <c r="D49" s="217">
        <v>60</v>
      </c>
      <c r="E49" s="218">
        <v>300000</v>
      </c>
      <c r="F49" s="142">
        <f>C49*E49</f>
        <v>300000</v>
      </c>
      <c r="G49" s="219" t="s">
        <v>241</v>
      </c>
    </row>
    <row r="50" spans="1:7">
      <c r="A50" s="95" t="s">
        <v>240</v>
      </c>
      <c r="B50" s="96"/>
      <c r="C50" s="89">
        <v>1</v>
      </c>
      <c r="D50" s="89">
        <v>60</v>
      </c>
      <c r="E50" s="88">
        <v>180000</v>
      </c>
      <c r="F50" s="142">
        <f>C50*E50</f>
        <v>180000</v>
      </c>
      <c r="G50" s="87" t="s">
        <v>241</v>
      </c>
    </row>
    <row r="51" spans="1:7">
      <c r="A51" s="95" t="s">
        <v>242</v>
      </c>
      <c r="B51" s="96"/>
      <c r="C51" s="89">
        <v>0</v>
      </c>
      <c r="D51" s="89">
        <v>0</v>
      </c>
      <c r="E51" s="88">
        <v>60000</v>
      </c>
      <c r="F51" s="142">
        <f>C51*E51</f>
        <v>0</v>
      </c>
      <c r="G51" s="87" t="s">
        <v>243</v>
      </c>
    </row>
    <row r="52" spans="1:7">
      <c r="A52" s="119" t="s">
        <v>220</v>
      </c>
      <c r="B52" s="120"/>
      <c r="C52" s="42">
        <v>0</v>
      </c>
      <c r="D52" s="42">
        <v>0</v>
      </c>
      <c r="E52" s="121">
        <v>3850</v>
      </c>
      <c r="F52" s="121">
        <v>0</v>
      </c>
      <c r="G52" s="214" t="s">
        <v>247</v>
      </c>
    </row>
    <row r="53" spans="1:7">
      <c r="A53" s="119" t="s">
        <v>222</v>
      </c>
      <c r="B53" s="120"/>
      <c r="C53" s="42">
        <v>0</v>
      </c>
      <c r="D53" s="42">
        <v>0</v>
      </c>
      <c r="E53" s="121">
        <v>24000</v>
      </c>
      <c r="F53" s="121">
        <v>0</v>
      </c>
      <c r="G53" s="87" t="s">
        <v>248</v>
      </c>
    </row>
    <row r="54" spans="1:7">
      <c r="A54" s="110" t="s">
        <v>162</v>
      </c>
      <c r="B54" s="111"/>
      <c r="C54" s="89">
        <v>11</v>
      </c>
      <c r="D54" s="89">
        <v>11</v>
      </c>
      <c r="E54" s="112">
        <v>99000</v>
      </c>
      <c r="F54" s="142">
        <f>C54*E54</f>
        <v>1089000</v>
      </c>
      <c r="G54" s="110" t="s">
        <v>163</v>
      </c>
    </row>
    <row r="55" spans="1:7">
      <c r="A55" s="110" t="s">
        <v>122</v>
      </c>
      <c r="B55" s="111"/>
      <c r="C55" s="89">
        <v>25</v>
      </c>
      <c r="D55" s="89">
        <v>50</v>
      </c>
      <c r="E55" s="112">
        <v>118000</v>
      </c>
      <c r="F55" s="142">
        <f>C55*E55</f>
        <v>2950000</v>
      </c>
      <c r="G55" s="110" t="s">
        <v>164</v>
      </c>
    </row>
    <row r="56" spans="1:7" ht="17" thickBot="1">
      <c r="F56" s="133">
        <f>SUM(F41:F55)</f>
        <v>6753537.6050420161</v>
      </c>
    </row>
    <row r="57" spans="1:7">
      <c r="A57" s="136" t="s">
        <v>206</v>
      </c>
      <c r="B57" s="137" t="s">
        <v>124</v>
      </c>
      <c r="C57" s="138" t="s">
        <v>104</v>
      </c>
      <c r="D57" s="138" t="s">
        <v>6</v>
      </c>
      <c r="E57" s="138" t="s">
        <v>0</v>
      </c>
      <c r="F57" s="138" t="s">
        <v>1</v>
      </c>
      <c r="G57" s="138" t="s">
        <v>7</v>
      </c>
    </row>
    <row r="58" spans="1:7">
      <c r="A58" s="139" t="s">
        <v>8</v>
      </c>
      <c r="B58" s="140"/>
      <c r="C58" s="124">
        <v>1</v>
      </c>
      <c r="D58" s="124">
        <v>61</v>
      </c>
      <c r="E58" s="141">
        <v>10504</v>
      </c>
      <c r="F58" s="142">
        <v>0</v>
      </c>
      <c r="G58" s="143" t="s">
        <v>159</v>
      </c>
    </row>
    <row r="59" spans="1:7" ht="16.5" customHeight="1">
      <c r="A59" s="2" t="s">
        <v>86</v>
      </c>
      <c r="B59" s="77"/>
      <c r="C59" s="33"/>
      <c r="D59" s="23"/>
      <c r="E59" s="7"/>
      <c r="F59" s="5">
        <f>SUM(F58:F58)</f>
        <v>0</v>
      </c>
      <c r="G59" s="32" t="s">
        <v>2</v>
      </c>
    </row>
    <row r="60" spans="1:7">
      <c r="A60" s="106" t="s">
        <v>156</v>
      </c>
      <c r="B60" s="107" t="s">
        <v>166</v>
      </c>
      <c r="C60" s="108"/>
      <c r="D60" s="108"/>
      <c r="E60" s="109"/>
      <c r="F60" s="109" t="s">
        <v>2</v>
      </c>
      <c r="G60" s="106" t="s">
        <v>157</v>
      </c>
    </row>
    <row r="61" spans="1:7">
      <c r="A61" s="90" t="s">
        <v>152</v>
      </c>
      <c r="B61" s="91" t="s">
        <v>2</v>
      </c>
      <c r="C61" s="92">
        <v>0</v>
      </c>
      <c r="D61" s="92">
        <v>0</v>
      </c>
      <c r="E61" s="93">
        <v>0</v>
      </c>
      <c r="F61" s="93">
        <f t="shared" ref="F61:F64" si="7">C61*D61*E61</f>
        <v>0</v>
      </c>
      <c r="G61" s="94" t="s">
        <v>154</v>
      </c>
    </row>
    <row r="62" spans="1:7">
      <c r="A62" s="90" t="s">
        <v>148</v>
      </c>
      <c r="B62" s="91" t="s">
        <v>2</v>
      </c>
      <c r="C62" s="92">
        <v>0</v>
      </c>
      <c r="D62" s="92">
        <v>0</v>
      </c>
      <c r="E62" s="93">
        <v>0</v>
      </c>
      <c r="F62" s="93">
        <f t="shared" si="7"/>
        <v>0</v>
      </c>
      <c r="G62" s="94" t="s">
        <v>155</v>
      </c>
    </row>
    <row r="63" spans="1:7" ht="16.5" customHeight="1">
      <c r="A63" s="90" t="s">
        <v>149</v>
      </c>
      <c r="B63" s="91" t="s">
        <v>2</v>
      </c>
      <c r="C63" s="92">
        <v>0</v>
      </c>
      <c r="D63" s="92">
        <v>0</v>
      </c>
      <c r="E63" s="93">
        <v>0</v>
      </c>
      <c r="F63" s="93">
        <f t="shared" si="7"/>
        <v>0</v>
      </c>
      <c r="G63" s="94" t="s">
        <v>153</v>
      </c>
    </row>
    <row r="64" spans="1:7" ht="17" thickBot="1">
      <c r="A64" s="90" t="s">
        <v>150</v>
      </c>
      <c r="B64" s="91" t="s">
        <v>2</v>
      </c>
      <c r="C64" s="92">
        <v>0</v>
      </c>
      <c r="D64" s="92">
        <v>0</v>
      </c>
      <c r="E64" s="93">
        <v>0</v>
      </c>
      <c r="F64" s="93">
        <f t="shared" si="7"/>
        <v>0</v>
      </c>
      <c r="G64" s="90" t="s">
        <v>151</v>
      </c>
    </row>
    <row r="65" spans="1:7" ht="17" thickBot="1">
      <c r="A65" s="151" t="s">
        <v>158</v>
      </c>
      <c r="B65" s="79"/>
      <c r="C65" s="36"/>
      <c r="D65" s="36"/>
      <c r="E65" s="37"/>
      <c r="F65" s="38">
        <f>F19+F29+F39+F56+F59</f>
        <v>28060088.865546219</v>
      </c>
      <c r="G65" s="6" t="s">
        <v>120</v>
      </c>
    </row>
    <row r="66" spans="1:7">
      <c r="A66" s="161" t="s">
        <v>209</v>
      </c>
      <c r="B66" s="152"/>
      <c r="C66" s="153"/>
      <c r="D66" s="153"/>
      <c r="E66" s="154"/>
      <c r="F66" s="159">
        <f>F65*0.05</f>
        <v>1403004.443277311</v>
      </c>
      <c r="G66" s="6"/>
    </row>
    <row r="67" spans="1:7">
      <c r="A67" s="162" t="s">
        <v>210</v>
      </c>
      <c r="B67" s="155"/>
      <c r="C67" s="156"/>
      <c r="D67" s="156"/>
      <c r="E67" s="157"/>
      <c r="F67" s="160">
        <f>F65*0.03</f>
        <v>841802.66596638656</v>
      </c>
      <c r="G67" s="6"/>
    </row>
    <row r="68" spans="1:7">
      <c r="A68" s="163" t="s">
        <v>211</v>
      </c>
      <c r="B68" s="164"/>
      <c r="C68" s="165"/>
      <c r="D68" s="165"/>
      <c r="E68" s="166"/>
      <c r="F68" s="167">
        <f>F65-F66-F67</f>
        <v>25815281.756302521</v>
      </c>
      <c r="G68" s="6"/>
    </row>
    <row r="69" spans="1:7">
      <c r="A69" s="168" t="s">
        <v>121</v>
      </c>
      <c r="B69" s="169"/>
      <c r="C69" s="156"/>
      <c r="D69" s="156"/>
      <c r="E69" s="158"/>
      <c r="F69" s="160">
        <f>F68*1.19-F68</f>
        <v>4904903.5336974785</v>
      </c>
      <c r="G69" s="6"/>
    </row>
    <row r="70" spans="1:7">
      <c r="A70" s="3"/>
      <c r="B70" s="78"/>
      <c r="C70" s="31"/>
      <c r="D70" s="23"/>
      <c r="E70" s="7"/>
      <c r="F70" s="4"/>
      <c r="G70" s="6"/>
    </row>
    <row r="71" spans="1:7">
      <c r="D71" s="23"/>
      <c r="E71" s="7"/>
      <c r="F71" s="4" t="s">
        <v>2</v>
      </c>
      <c r="G71" s="6"/>
    </row>
    <row r="72" spans="1:7" ht="17">
      <c r="A72" s="116" t="s">
        <v>127</v>
      </c>
      <c r="B72"/>
      <c r="E72" s="74"/>
      <c r="F72" s="74"/>
      <c r="G72" s="74"/>
    </row>
    <row r="73" spans="1:7">
      <c r="A73" s="118" t="s">
        <v>172</v>
      </c>
      <c r="B73"/>
    </row>
    <row r="74" spans="1:7">
      <c r="A74" s="118" t="s">
        <v>173</v>
      </c>
      <c r="B74"/>
    </row>
    <row r="76" spans="1:7">
      <c r="A76" s="116" t="s">
        <v>177</v>
      </c>
      <c r="B76"/>
    </row>
    <row r="77" spans="1:7">
      <c r="A77" s="117" t="s">
        <v>178</v>
      </c>
      <c r="B77"/>
    </row>
    <row r="78" spans="1:7">
      <c r="A78" s="118" t="s">
        <v>168</v>
      </c>
      <c r="B78"/>
    </row>
    <row r="79" spans="1:7">
      <c r="A79" s="118" t="s">
        <v>169</v>
      </c>
      <c r="B79"/>
    </row>
    <row r="80" spans="1:7">
      <c r="A80" s="116" t="s">
        <v>167</v>
      </c>
      <c r="B80"/>
    </row>
    <row r="81" spans="1:6">
      <c r="A81" s="118" t="s">
        <v>179</v>
      </c>
      <c r="B81"/>
    </row>
    <row r="82" spans="1:6">
      <c r="A82" s="116" t="s">
        <v>170</v>
      </c>
      <c r="B82"/>
    </row>
    <row r="83" spans="1:6">
      <c r="A83" s="118" t="s">
        <v>180</v>
      </c>
      <c r="B83"/>
    </row>
    <row r="84" spans="1:6">
      <c r="A84" s="118" t="s">
        <v>181</v>
      </c>
      <c r="B84"/>
    </row>
    <row r="85" spans="1:6">
      <c r="A85" s="118" t="s">
        <v>182</v>
      </c>
      <c r="B85"/>
    </row>
    <row r="86" spans="1:6">
      <c r="A86" s="118" t="s">
        <v>183</v>
      </c>
      <c r="B86"/>
    </row>
    <row r="87" spans="1:6">
      <c r="A87" s="117"/>
      <c r="B87"/>
    </row>
    <row r="88" spans="1:6">
      <c r="A88" s="117" t="s">
        <v>184</v>
      </c>
      <c r="B88" s="117"/>
      <c r="C88" s="117"/>
      <c r="D88" s="117"/>
      <c r="E88" s="117"/>
      <c r="F88" s="117"/>
    </row>
    <row r="89" spans="1:6">
      <c r="A89" s="129"/>
      <c r="B89"/>
    </row>
    <row r="90" spans="1:6">
      <c r="A90" s="130" t="s">
        <v>185</v>
      </c>
      <c r="B90"/>
    </row>
    <row r="91" spans="1:6" ht="16" customHeight="1">
      <c r="A91" s="170" t="s">
        <v>186</v>
      </c>
      <c r="B91" s="170"/>
      <c r="C91" s="170"/>
      <c r="D91" s="170"/>
      <c r="E91" s="170"/>
      <c r="F91" s="170"/>
    </row>
    <row r="92" spans="1:6">
      <c r="A92" s="117"/>
      <c r="B92"/>
    </row>
    <row r="93" spans="1:6">
      <c r="A93" s="116" t="s">
        <v>171</v>
      </c>
      <c r="B93"/>
    </row>
    <row r="94" spans="1:6">
      <c r="A94" s="117"/>
      <c r="B94"/>
    </row>
    <row r="95" spans="1:6">
      <c r="A95" s="117" t="s">
        <v>128</v>
      </c>
      <c r="B95" s="117" t="s">
        <v>129</v>
      </c>
    </row>
    <row r="96" spans="1:6">
      <c r="A96" s="117" t="s">
        <v>130</v>
      </c>
      <c r="B96"/>
      <c r="D96" s="117" t="s">
        <v>131</v>
      </c>
    </row>
    <row r="97" spans="1:7">
      <c r="A97" s="117" t="s">
        <v>132</v>
      </c>
      <c r="B97" s="117" t="s">
        <v>187</v>
      </c>
    </row>
    <row r="98" spans="1:7">
      <c r="A98" s="117" t="s">
        <v>133</v>
      </c>
      <c r="B98"/>
      <c r="D98" s="117" t="s">
        <v>134</v>
      </c>
    </row>
    <row r="99" spans="1:7">
      <c r="A99" s="117" t="s">
        <v>135</v>
      </c>
      <c r="B99"/>
      <c r="D99" s="117" t="s">
        <v>136</v>
      </c>
    </row>
    <row r="100" spans="1:7">
      <c r="A100" s="117" t="s">
        <v>137</v>
      </c>
      <c r="B100"/>
      <c r="C100" s="117" t="s">
        <v>138</v>
      </c>
    </row>
    <row r="101" spans="1:7">
      <c r="A101" s="117" t="s">
        <v>5</v>
      </c>
      <c r="B101"/>
      <c r="D101" s="117">
        <v>29539311</v>
      </c>
    </row>
    <row r="102" spans="1:7">
      <c r="A102" s="131" t="s">
        <v>188</v>
      </c>
      <c r="B102"/>
    </row>
    <row r="104" spans="1:7">
      <c r="A104" s="195" t="s">
        <v>215</v>
      </c>
      <c r="B104" s="196" t="s">
        <v>124</v>
      </c>
      <c r="C104" s="197" t="s">
        <v>104</v>
      </c>
      <c r="D104" s="197" t="s">
        <v>6</v>
      </c>
      <c r="E104" s="197" t="s">
        <v>0</v>
      </c>
      <c r="F104" s="197" t="s">
        <v>1</v>
      </c>
      <c r="G104" s="197" t="s">
        <v>7</v>
      </c>
    </row>
    <row r="105" spans="1:7">
      <c r="A105" s="95" t="s">
        <v>216</v>
      </c>
      <c r="B105" s="96"/>
      <c r="C105" s="89">
        <v>0</v>
      </c>
      <c r="D105" s="89">
        <v>0</v>
      </c>
      <c r="E105" s="88">
        <v>300000</v>
      </c>
      <c r="F105" s="88">
        <f>D105*E105</f>
        <v>0</v>
      </c>
      <c r="G105" s="87"/>
    </row>
    <row r="106" spans="1:7">
      <c r="A106" s="95" t="s">
        <v>217</v>
      </c>
      <c r="B106" s="96"/>
      <c r="C106" s="89">
        <v>0</v>
      </c>
      <c r="D106" s="89">
        <v>0</v>
      </c>
      <c r="E106" s="88">
        <v>570000</v>
      </c>
      <c r="F106" s="88">
        <f t="shared" ref="F106" si="8">C106*E106</f>
        <v>0</v>
      </c>
      <c r="G106" s="128"/>
    </row>
    <row r="107" spans="1:7">
      <c r="A107" s="95" t="s">
        <v>218</v>
      </c>
      <c r="B107" s="96"/>
      <c r="C107" s="89">
        <v>1</v>
      </c>
      <c r="D107" s="89">
        <v>0</v>
      </c>
      <c r="E107" s="88">
        <v>350000</v>
      </c>
      <c r="F107" s="88">
        <v>0</v>
      </c>
      <c r="G107" s="128"/>
    </row>
    <row r="108" spans="1:7">
      <c r="A108" s="95" t="s">
        <v>219</v>
      </c>
      <c r="B108" s="96"/>
      <c r="C108" s="89">
        <v>1</v>
      </c>
      <c r="D108" s="89">
        <v>0</v>
      </c>
      <c r="E108" s="88">
        <v>450000</v>
      </c>
      <c r="F108" s="88">
        <v>0</v>
      </c>
      <c r="G108" s="128" t="s">
        <v>2</v>
      </c>
    </row>
    <row r="109" spans="1:7">
      <c r="A109" s="119" t="s">
        <v>220</v>
      </c>
      <c r="B109" s="120"/>
      <c r="C109" s="42">
        <v>0</v>
      </c>
      <c r="D109" s="42">
        <v>0</v>
      </c>
      <c r="E109" s="121">
        <v>3850</v>
      </c>
      <c r="F109" s="121">
        <v>0</v>
      </c>
      <c r="G109" s="198" t="s">
        <v>221</v>
      </c>
    </row>
    <row r="110" spans="1:7">
      <c r="A110" s="119" t="s">
        <v>222</v>
      </c>
      <c r="B110" s="120"/>
      <c r="C110" s="42">
        <v>0</v>
      </c>
      <c r="D110" s="42">
        <v>0</v>
      </c>
      <c r="E110" s="121">
        <v>24000</v>
      </c>
      <c r="F110" s="121">
        <v>0</v>
      </c>
      <c r="G110" s="27" t="s">
        <v>223</v>
      </c>
    </row>
    <row r="111" spans="1:7">
      <c r="A111" s="95" t="s">
        <v>224</v>
      </c>
      <c r="B111" s="96"/>
      <c r="C111" s="42">
        <v>0</v>
      </c>
      <c r="D111" s="42">
        <v>0</v>
      </c>
      <c r="E111" s="88">
        <v>7000</v>
      </c>
      <c r="F111" s="121">
        <v>0</v>
      </c>
      <c r="G111" s="87" t="s">
        <v>225</v>
      </c>
    </row>
    <row r="112" spans="1:7">
      <c r="A112" s="119" t="s">
        <v>226</v>
      </c>
      <c r="B112" s="120"/>
      <c r="C112" s="42">
        <v>0</v>
      </c>
      <c r="D112" s="42">
        <v>0</v>
      </c>
      <c r="E112" s="121">
        <f>400000+6000*20</f>
        <v>520000</v>
      </c>
      <c r="F112" s="199">
        <v>0</v>
      </c>
      <c r="G112" s="27" t="s">
        <v>227</v>
      </c>
    </row>
    <row r="113" spans="1:7">
      <c r="A113" s="122" t="s">
        <v>228</v>
      </c>
      <c r="B113" s="123"/>
      <c r="C113" s="124">
        <v>0</v>
      </c>
      <c r="D113" s="124">
        <v>0</v>
      </c>
      <c r="E113" s="125">
        <v>3850</v>
      </c>
      <c r="F113" s="142">
        <v>0</v>
      </c>
      <c r="G113" s="126" t="s">
        <v>123</v>
      </c>
    </row>
    <row r="114" spans="1:7">
      <c r="A114" s="122" t="s">
        <v>229</v>
      </c>
      <c r="B114" s="123"/>
      <c r="C114" s="124">
        <v>0</v>
      </c>
      <c r="D114" s="124">
        <v>0</v>
      </c>
      <c r="E114" s="125">
        <v>4800</v>
      </c>
      <c r="F114" s="142">
        <v>0</v>
      </c>
      <c r="G114" s="126" t="s">
        <v>230</v>
      </c>
    </row>
    <row r="115" spans="1:7">
      <c r="A115" s="122" t="s">
        <v>231</v>
      </c>
      <c r="B115" s="123"/>
      <c r="C115" s="124">
        <v>0</v>
      </c>
      <c r="D115" s="124">
        <v>0</v>
      </c>
      <c r="E115" s="125">
        <v>5500</v>
      </c>
      <c r="F115" s="142">
        <v>0</v>
      </c>
      <c r="G115" s="126" t="s">
        <v>232</v>
      </c>
    </row>
    <row r="116" spans="1:7" ht="34">
      <c r="A116" s="95" t="s">
        <v>233</v>
      </c>
      <c r="B116" s="200"/>
      <c r="C116" s="124">
        <v>0</v>
      </c>
      <c r="D116" s="124">
        <v>0</v>
      </c>
      <c r="E116" s="201">
        <v>8500</v>
      </c>
      <c r="F116" s="142">
        <v>0</v>
      </c>
      <c r="G116" s="202" t="s">
        <v>234</v>
      </c>
    </row>
    <row r="117" spans="1:7" ht="51">
      <c r="A117" s="203" t="s">
        <v>235</v>
      </c>
      <c r="B117" s="200"/>
      <c r="C117" s="124">
        <v>0</v>
      </c>
      <c r="D117" s="124">
        <v>0</v>
      </c>
      <c r="E117" s="201">
        <v>13500</v>
      </c>
      <c r="F117" s="142">
        <v>0</v>
      </c>
      <c r="G117" s="204" t="s">
        <v>236</v>
      </c>
    </row>
    <row r="118" spans="1:7" ht="51">
      <c r="A118" s="203" t="s">
        <v>237</v>
      </c>
      <c r="B118" s="200"/>
      <c r="C118" s="124">
        <v>0</v>
      </c>
      <c r="D118" s="124">
        <v>0</v>
      </c>
      <c r="E118" s="201">
        <v>15000</v>
      </c>
      <c r="F118" s="142">
        <v>0</v>
      </c>
      <c r="G118" s="204" t="s">
        <v>238</v>
      </c>
    </row>
    <row r="119" spans="1:7">
      <c r="A119" s="205" t="s">
        <v>239</v>
      </c>
      <c r="B119" s="206"/>
      <c r="C119" s="207"/>
      <c r="D119" s="207"/>
      <c r="E119" s="208"/>
      <c r="F119" s="208">
        <v>0</v>
      </c>
      <c r="G119" s="6"/>
    </row>
    <row r="121" spans="1:7" ht="19">
      <c r="A121" s="220" t="s">
        <v>249</v>
      </c>
      <c r="B121" s="221" t="s">
        <v>124</v>
      </c>
      <c r="C121" s="221" t="s">
        <v>104</v>
      </c>
      <c r="D121" s="221" t="s">
        <v>250</v>
      </c>
      <c r="E121" s="222" t="s">
        <v>251</v>
      </c>
      <c r="F121" s="223" t="s">
        <v>1</v>
      </c>
      <c r="G121" s="221" t="s">
        <v>7</v>
      </c>
    </row>
    <row r="122" spans="1:7">
      <c r="A122" s="224" t="s">
        <v>252</v>
      </c>
      <c r="B122" s="209"/>
      <c r="C122" s="209">
        <v>4</v>
      </c>
      <c r="D122" s="209"/>
      <c r="E122" s="225">
        <v>18000</v>
      </c>
      <c r="F122" s="226">
        <f>E122/1.19</f>
        <v>15126.050420168069</v>
      </c>
      <c r="G122" s="224" t="s">
        <v>253</v>
      </c>
    </row>
    <row r="123" spans="1:7">
      <c r="A123" s="224" t="s">
        <v>252</v>
      </c>
      <c r="B123" s="209"/>
      <c r="C123" s="209">
        <v>10</v>
      </c>
      <c r="D123" s="209"/>
      <c r="E123" s="225">
        <v>40000</v>
      </c>
      <c r="F123" s="226">
        <f t="shared" ref="F123:F132" si="9">E123/1.19</f>
        <v>33613.445378151264</v>
      </c>
      <c r="G123" s="224" t="s">
        <v>253</v>
      </c>
    </row>
    <row r="124" spans="1:7">
      <c r="A124" s="227" t="s">
        <v>254</v>
      </c>
      <c r="B124" s="228"/>
      <c r="C124" s="229">
        <v>4</v>
      </c>
      <c r="D124" s="229"/>
      <c r="E124" s="230">
        <v>15000</v>
      </c>
      <c r="F124" s="226">
        <f t="shared" si="9"/>
        <v>12605.042016806723</v>
      </c>
      <c r="G124" s="224" t="s">
        <v>255</v>
      </c>
    </row>
    <row r="125" spans="1:7">
      <c r="A125" s="227" t="s">
        <v>254</v>
      </c>
      <c r="B125" s="228"/>
      <c r="C125" s="89">
        <v>10</v>
      </c>
      <c r="D125" s="89"/>
      <c r="E125" s="231">
        <v>30000</v>
      </c>
      <c r="F125" s="226">
        <f t="shared" si="9"/>
        <v>25210.084033613446</v>
      </c>
      <c r="G125" s="224" t="s">
        <v>256</v>
      </c>
    </row>
    <row r="126" spans="1:7">
      <c r="A126" s="227" t="s">
        <v>257</v>
      </c>
      <c r="B126" s="228"/>
      <c r="C126" s="229">
        <v>4</v>
      </c>
      <c r="D126" s="229"/>
      <c r="E126" s="230">
        <v>18000</v>
      </c>
      <c r="F126" s="226">
        <f t="shared" si="9"/>
        <v>15126.050420168069</v>
      </c>
      <c r="G126" s="224" t="s">
        <v>258</v>
      </c>
    </row>
    <row r="127" spans="1:7">
      <c r="A127" s="227" t="s">
        <v>257</v>
      </c>
      <c r="B127" s="228"/>
      <c r="C127" s="89">
        <v>10</v>
      </c>
      <c r="D127" s="89"/>
      <c r="E127" s="231">
        <v>50000</v>
      </c>
      <c r="F127" s="226">
        <f t="shared" si="9"/>
        <v>42016.806722689078</v>
      </c>
      <c r="G127" s="224" t="s">
        <v>258</v>
      </c>
    </row>
    <row r="128" spans="1:7">
      <c r="A128" s="227" t="s">
        <v>259</v>
      </c>
      <c r="B128" s="228"/>
      <c r="C128" s="229">
        <v>4</v>
      </c>
      <c r="D128" s="229" t="s">
        <v>2</v>
      </c>
      <c r="E128" s="230">
        <v>22000</v>
      </c>
      <c r="F128" s="226">
        <f t="shared" si="9"/>
        <v>18487.394957983193</v>
      </c>
      <c r="G128" s="224" t="s">
        <v>260</v>
      </c>
    </row>
    <row r="129" spans="1:7">
      <c r="A129" s="227" t="s">
        <v>259</v>
      </c>
      <c r="B129" s="228"/>
      <c r="C129" s="89">
        <v>10</v>
      </c>
      <c r="D129" s="89"/>
      <c r="E129" s="231">
        <v>40000</v>
      </c>
      <c r="F129" s="226">
        <f t="shared" si="9"/>
        <v>33613.445378151264</v>
      </c>
      <c r="G129" s="224" t="s">
        <v>260</v>
      </c>
    </row>
    <row r="130" spans="1:7">
      <c r="A130" s="227" t="s">
        <v>261</v>
      </c>
      <c r="B130" s="228"/>
      <c r="C130" s="229">
        <v>50</v>
      </c>
      <c r="D130" s="229"/>
      <c r="E130" s="230">
        <v>120000</v>
      </c>
      <c r="F130" s="226">
        <f>E130/1.19</f>
        <v>100840.33613445378</v>
      </c>
      <c r="G130" s="224" t="s">
        <v>262</v>
      </c>
    </row>
    <row r="131" spans="1:7">
      <c r="A131" s="232" t="s">
        <v>263</v>
      </c>
      <c r="B131" s="233"/>
      <c r="C131" s="89">
        <v>30</v>
      </c>
      <c r="D131" s="89"/>
      <c r="E131" s="231">
        <v>150000</v>
      </c>
      <c r="F131" s="226">
        <f t="shared" si="9"/>
        <v>126050.42016806723</v>
      </c>
      <c r="G131" s="224" t="s">
        <v>262</v>
      </c>
    </row>
    <row r="132" spans="1:7">
      <c r="A132" s="95" t="s">
        <v>264</v>
      </c>
      <c r="B132" s="200"/>
      <c r="C132" s="89">
        <v>25</v>
      </c>
      <c r="D132" s="89"/>
      <c r="E132" s="231">
        <v>150000</v>
      </c>
      <c r="F132" s="226">
        <f t="shared" si="9"/>
        <v>126050.42016806723</v>
      </c>
      <c r="G132" s="224" t="s">
        <v>262</v>
      </c>
    </row>
    <row r="133" spans="1:7">
      <c r="A133" s="234" t="s">
        <v>288</v>
      </c>
      <c r="B133" s="235"/>
      <c r="C133" s="235"/>
      <c r="D133" s="235"/>
      <c r="E133" s="236"/>
      <c r="F133" s="237"/>
      <c r="G133" s="238"/>
    </row>
    <row r="134" spans="1:7">
      <c r="A134" s="234"/>
      <c r="B134" s="235"/>
      <c r="C134" s="235"/>
      <c r="D134" s="235"/>
      <c r="E134" s="236"/>
      <c r="F134" s="237"/>
      <c r="G134" s="238"/>
    </row>
    <row r="135" spans="1:7" ht="19">
      <c r="A135" s="220" t="s">
        <v>265</v>
      </c>
      <c r="B135" s="221" t="s">
        <v>124</v>
      </c>
      <c r="C135" s="221" t="s">
        <v>104</v>
      </c>
      <c r="D135" s="221" t="s">
        <v>250</v>
      </c>
      <c r="E135" s="222" t="s">
        <v>251</v>
      </c>
      <c r="F135" s="223" t="s">
        <v>1</v>
      </c>
      <c r="G135" s="221" t="s">
        <v>7</v>
      </c>
    </row>
    <row r="136" spans="1:7">
      <c r="A136" s="224" t="s">
        <v>266</v>
      </c>
      <c r="B136" s="209"/>
      <c r="C136" s="209"/>
      <c r="D136" s="209"/>
      <c r="E136" s="239">
        <v>1500</v>
      </c>
      <c r="F136" s="240"/>
      <c r="G136" s="211" t="s">
        <v>267</v>
      </c>
    </row>
    <row r="137" spans="1:7">
      <c r="A137" s="224" t="s">
        <v>268</v>
      </c>
      <c r="B137" s="209"/>
      <c r="C137" s="209"/>
      <c r="D137" s="209"/>
      <c r="E137" s="225">
        <v>1500</v>
      </c>
      <c r="F137" s="226"/>
      <c r="G137" s="211"/>
    </row>
    <row r="138" spans="1:7">
      <c r="A138" s="224" t="s">
        <v>269</v>
      </c>
      <c r="B138" s="209"/>
      <c r="C138" s="209"/>
      <c r="D138" s="209"/>
      <c r="E138" s="225">
        <v>1500</v>
      </c>
      <c r="F138" s="226"/>
      <c r="G138" s="211"/>
    </row>
    <row r="139" spans="1:7">
      <c r="A139" s="224" t="s">
        <v>270</v>
      </c>
      <c r="B139" s="209"/>
      <c r="C139" s="209"/>
      <c r="D139" s="209"/>
      <c r="E139" s="225">
        <v>1500</v>
      </c>
      <c r="F139" s="226"/>
      <c r="G139" s="211"/>
    </row>
    <row r="140" spans="1:7">
      <c r="A140" s="224" t="s">
        <v>271</v>
      </c>
      <c r="B140" s="209"/>
      <c r="C140" s="209"/>
      <c r="D140" s="209"/>
      <c r="E140" s="225">
        <v>1500</v>
      </c>
      <c r="F140" s="226"/>
      <c r="G140" s="211"/>
    </row>
    <row r="141" spans="1:7">
      <c r="A141" s="224" t="s">
        <v>272</v>
      </c>
      <c r="B141" s="209"/>
      <c r="C141" s="209"/>
      <c r="D141" s="209"/>
      <c r="E141" s="239">
        <v>2500</v>
      </c>
      <c r="F141" s="240"/>
      <c r="G141" s="211"/>
    </row>
    <row r="142" spans="1:7">
      <c r="A142" s="224" t="s">
        <v>273</v>
      </c>
      <c r="B142" s="209"/>
      <c r="C142" s="209"/>
      <c r="D142" s="209"/>
      <c r="E142" s="239">
        <v>2000</v>
      </c>
      <c r="F142" s="240"/>
      <c r="G142" s="211"/>
    </row>
    <row r="143" spans="1:7">
      <c r="A143" s="224" t="s">
        <v>274</v>
      </c>
      <c r="B143" s="209"/>
      <c r="C143" s="209"/>
      <c r="D143" s="209"/>
      <c r="E143" s="239">
        <v>2000</v>
      </c>
      <c r="F143" s="240"/>
      <c r="G143" s="211"/>
    </row>
    <row r="144" spans="1:7">
      <c r="A144" s="224" t="s">
        <v>275</v>
      </c>
      <c r="B144" s="209"/>
      <c r="C144" s="209"/>
      <c r="D144" s="209"/>
      <c r="E144" s="239">
        <v>1500</v>
      </c>
      <c r="F144" s="240"/>
      <c r="G144" s="211"/>
    </row>
    <row r="145" spans="1:7">
      <c r="A145" s="224" t="s">
        <v>276</v>
      </c>
      <c r="B145" s="209"/>
      <c r="C145" s="209"/>
      <c r="D145" s="209"/>
      <c r="E145" s="239">
        <v>2000</v>
      </c>
      <c r="F145" s="240"/>
      <c r="G145" s="211"/>
    </row>
    <row r="146" spans="1:7">
      <c r="A146" s="224" t="s">
        <v>277</v>
      </c>
      <c r="B146" s="209"/>
      <c r="C146" s="209"/>
      <c r="D146" s="209"/>
      <c r="E146" s="239">
        <v>1000</v>
      </c>
      <c r="F146" s="240"/>
      <c r="G146" s="211"/>
    </row>
    <row r="147" spans="1:7">
      <c r="A147" s="224" t="s">
        <v>278</v>
      </c>
      <c r="B147" s="209"/>
      <c r="C147" s="209"/>
      <c r="D147" s="209"/>
      <c r="E147" s="239">
        <v>1500</v>
      </c>
      <c r="F147" s="240"/>
      <c r="G147" s="211"/>
    </row>
    <row r="148" spans="1:7">
      <c r="A148" s="224" t="s">
        <v>279</v>
      </c>
      <c r="B148" s="209"/>
      <c r="C148" s="209"/>
      <c r="D148" s="209"/>
      <c r="E148" s="239">
        <v>1500</v>
      </c>
      <c r="F148" s="240"/>
      <c r="G148" s="211"/>
    </row>
    <row r="149" spans="1:7">
      <c r="A149" s="224" t="s">
        <v>280</v>
      </c>
      <c r="B149" s="209"/>
      <c r="C149" s="209"/>
      <c r="D149" s="209"/>
      <c r="E149" s="239">
        <v>700</v>
      </c>
      <c r="F149" s="240"/>
      <c r="G149" s="211"/>
    </row>
    <row r="150" spans="1:7">
      <c r="A150" s="224" t="s">
        <v>281</v>
      </c>
      <c r="B150" s="209"/>
      <c r="C150" s="209"/>
      <c r="D150" s="209"/>
      <c r="E150" s="239">
        <v>700</v>
      </c>
      <c r="F150" s="240"/>
      <c r="G150" s="211"/>
    </row>
    <row r="151" spans="1:7">
      <c r="A151" s="224" t="s">
        <v>282</v>
      </c>
      <c r="B151" s="209"/>
      <c r="C151" s="209"/>
      <c r="D151" s="209"/>
      <c r="E151" s="239">
        <v>700</v>
      </c>
      <c r="F151" s="240"/>
      <c r="G151" s="211"/>
    </row>
    <row r="152" spans="1:7">
      <c r="A152" s="224" t="s">
        <v>283</v>
      </c>
      <c r="B152" s="209"/>
      <c r="C152" s="209"/>
      <c r="D152" s="209"/>
      <c r="E152" s="239">
        <v>700</v>
      </c>
      <c r="F152" s="240"/>
      <c r="G152" s="211"/>
    </row>
    <row r="153" spans="1:7">
      <c r="A153" s="224" t="s">
        <v>284</v>
      </c>
      <c r="B153" s="209"/>
      <c r="C153" s="209"/>
      <c r="D153" s="209"/>
      <c r="E153" s="239">
        <v>700</v>
      </c>
      <c r="F153" s="240"/>
      <c r="G153" s="211"/>
    </row>
    <row r="154" spans="1:7">
      <c r="A154" s="224" t="s">
        <v>285</v>
      </c>
      <c r="B154" s="209"/>
      <c r="C154" s="209"/>
      <c r="D154" s="209"/>
      <c r="E154" s="239">
        <v>700</v>
      </c>
      <c r="F154" s="240"/>
      <c r="G154" s="211"/>
    </row>
    <row r="155" spans="1:7">
      <c r="A155" s="224" t="s">
        <v>286</v>
      </c>
      <c r="B155" s="209"/>
      <c r="C155" s="209"/>
      <c r="D155" s="209"/>
      <c r="E155" s="239">
        <v>700</v>
      </c>
      <c r="F155" s="240"/>
      <c r="G155" s="211"/>
    </row>
    <row r="156" spans="1:7">
      <c r="A156" s="19" t="s">
        <v>287</v>
      </c>
      <c r="B156" s="235"/>
      <c r="C156" s="235"/>
      <c r="D156" s="235"/>
      <c r="E156" s="236"/>
      <c r="F156" s="237"/>
      <c r="G156" s="238"/>
    </row>
  </sheetData>
  <mergeCells count="1">
    <mergeCell ref="A91:F91"/>
  </mergeCells>
  <phoneticPr fontId="7" type="noConversion"/>
  <hyperlinks>
    <hyperlink ref="A102" r:id="rId1" display="mailto:sf@sflodge.cl" xr:uid="{F2E06317-FA26-FE40-932C-91E8DCBE551E}"/>
    <hyperlink ref="B4" r:id="rId2" xr:uid="{62647DB5-06A9-AF43-93B6-06BB3AE20559}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33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/>
  <cols>
    <col min="1" max="2" width="11" style="69"/>
    <col min="6" max="8" width="11" style="69"/>
    <col min="9" max="9" width="31" customWidth="1"/>
  </cols>
  <sheetData>
    <row r="1" spans="1:14">
      <c r="A1" s="181"/>
      <c r="B1" s="181"/>
      <c r="C1" s="181"/>
      <c r="D1" s="24"/>
      <c r="E1" s="24" t="s">
        <v>87</v>
      </c>
      <c r="F1" s="39"/>
      <c r="G1" s="39"/>
      <c r="H1" s="39"/>
      <c r="I1" s="24"/>
      <c r="J1" s="22"/>
      <c r="K1" s="22"/>
      <c r="L1" s="22"/>
      <c r="M1" s="22"/>
      <c r="N1" s="22"/>
    </row>
    <row r="2" spans="1:14">
      <c r="A2" s="181"/>
      <c r="B2" s="181"/>
      <c r="C2" s="181"/>
      <c r="D2" s="24"/>
      <c r="E2" s="24"/>
      <c r="F2" s="39"/>
      <c r="G2" s="39"/>
      <c r="H2" s="39"/>
      <c r="I2" s="24"/>
      <c r="J2" s="22"/>
      <c r="K2" s="22"/>
      <c r="L2" s="22"/>
      <c r="M2" s="22"/>
      <c r="N2" s="22"/>
    </row>
    <row r="3" spans="1:14">
      <c r="A3" s="181"/>
      <c r="B3" s="181"/>
      <c r="C3" s="181"/>
      <c r="D3" s="24"/>
      <c r="E3" s="24" t="s">
        <v>113</v>
      </c>
      <c r="F3" s="39"/>
      <c r="G3" s="39"/>
      <c r="H3" s="39"/>
      <c r="I3" s="24"/>
      <c r="J3" s="22"/>
      <c r="K3" s="22"/>
      <c r="L3" s="22"/>
      <c r="M3" s="22"/>
      <c r="N3" s="22"/>
    </row>
    <row r="4" spans="1:14">
      <c r="A4" s="181"/>
      <c r="B4" s="181"/>
      <c r="C4" s="181"/>
      <c r="D4" s="40"/>
      <c r="E4" s="40" t="s">
        <v>114</v>
      </c>
      <c r="F4" s="41"/>
      <c r="G4" s="41"/>
      <c r="H4" s="41"/>
      <c r="I4" s="40"/>
      <c r="J4" s="22"/>
      <c r="K4" s="22"/>
      <c r="L4" s="22"/>
      <c r="M4" s="22"/>
      <c r="N4" s="22"/>
    </row>
    <row r="5" spans="1:14">
      <c r="A5" s="35"/>
      <c r="B5" s="35"/>
      <c r="C5" s="35"/>
      <c r="D5" s="40"/>
      <c r="E5" s="40"/>
      <c r="F5" s="41"/>
      <c r="G5" s="41"/>
      <c r="H5" s="41"/>
      <c r="I5" s="40"/>
      <c r="J5" s="22"/>
      <c r="K5" s="22"/>
      <c r="L5" s="22"/>
      <c r="M5" s="22"/>
      <c r="N5" s="22"/>
    </row>
    <row r="6" spans="1:14">
      <c r="A6" s="28" t="s">
        <v>88</v>
      </c>
      <c r="B6" s="29" t="s">
        <v>89</v>
      </c>
      <c r="C6" s="182" t="s">
        <v>107</v>
      </c>
      <c r="D6" s="183"/>
      <c r="E6" s="184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>
      <c r="A7" s="49">
        <v>0.375</v>
      </c>
      <c r="B7" s="50">
        <v>0.45833333333333331</v>
      </c>
      <c r="C7" s="172" t="s">
        <v>108</v>
      </c>
      <c r="D7" s="173"/>
      <c r="E7" s="174"/>
      <c r="F7" s="51"/>
      <c r="G7" s="51"/>
      <c r="H7" s="51"/>
      <c r="I7" s="52" t="s">
        <v>109</v>
      </c>
      <c r="J7" s="22"/>
      <c r="K7" s="22"/>
      <c r="L7" s="22"/>
      <c r="M7" s="22"/>
      <c r="N7" s="22"/>
    </row>
    <row r="8" spans="1:14">
      <c r="A8" s="49">
        <v>0.46875</v>
      </c>
      <c r="B8" s="50">
        <v>0.5625</v>
      </c>
      <c r="C8" s="172" t="s">
        <v>108</v>
      </c>
      <c r="D8" s="173"/>
      <c r="E8" s="174"/>
      <c r="F8" s="51"/>
      <c r="G8" s="51"/>
      <c r="H8" s="51"/>
      <c r="I8" s="52" t="s">
        <v>109</v>
      </c>
      <c r="J8" s="22"/>
      <c r="K8" s="22"/>
      <c r="L8" s="22"/>
      <c r="M8" s="22"/>
      <c r="N8" s="22"/>
    </row>
    <row r="9" spans="1:14" ht="17">
      <c r="A9" s="44">
        <v>0.5625</v>
      </c>
      <c r="B9" s="45">
        <v>0.60416666666666663</v>
      </c>
      <c r="C9" s="175" t="s">
        <v>96</v>
      </c>
      <c r="D9" s="176"/>
      <c r="E9" s="177"/>
      <c r="F9" s="46"/>
      <c r="G9" s="46">
        <v>60</v>
      </c>
      <c r="H9" s="47" t="s">
        <v>95</v>
      </c>
      <c r="I9" s="48"/>
      <c r="J9" s="22"/>
      <c r="K9" s="22"/>
      <c r="L9" s="22"/>
      <c r="M9" s="22"/>
      <c r="N9" s="22"/>
    </row>
    <row r="10" spans="1:14">
      <c r="A10" s="49">
        <v>0.625</v>
      </c>
      <c r="B10" s="50">
        <v>0.70833333333333337</v>
      </c>
      <c r="C10" s="172" t="s">
        <v>108</v>
      </c>
      <c r="D10" s="173"/>
      <c r="E10" s="174"/>
      <c r="F10" s="51"/>
      <c r="G10" s="51"/>
      <c r="H10" s="51"/>
      <c r="I10" s="52" t="s">
        <v>109</v>
      </c>
      <c r="J10" s="22"/>
      <c r="K10" s="22"/>
      <c r="L10" s="22"/>
      <c r="M10" s="22"/>
      <c r="N10" s="22"/>
    </row>
    <row r="11" spans="1:14">
      <c r="A11" s="49">
        <v>0.71875</v>
      </c>
      <c r="B11" s="50">
        <v>0.75</v>
      </c>
      <c r="C11" s="172" t="s">
        <v>108</v>
      </c>
      <c r="D11" s="173"/>
      <c r="E11" s="174"/>
      <c r="F11" s="51"/>
      <c r="G11" s="51"/>
      <c r="H11" s="51"/>
      <c r="I11" s="52" t="s">
        <v>109</v>
      </c>
      <c r="J11" s="22"/>
      <c r="K11" s="22"/>
      <c r="L11" s="22"/>
      <c r="M11" s="22"/>
      <c r="N11" s="22"/>
    </row>
    <row r="12" spans="1:14">
      <c r="A12" s="25">
        <v>0.75</v>
      </c>
      <c r="B12" s="26">
        <v>0.79166666666666663</v>
      </c>
      <c r="C12" s="185" t="s">
        <v>97</v>
      </c>
      <c r="D12" s="186"/>
      <c r="E12" s="187"/>
      <c r="F12" s="43"/>
      <c r="G12" s="43"/>
      <c r="H12" s="42"/>
      <c r="I12" s="27" t="s">
        <v>105</v>
      </c>
      <c r="J12" s="22"/>
      <c r="K12" s="22"/>
      <c r="L12" s="22"/>
      <c r="M12" s="22"/>
      <c r="N12" s="22"/>
    </row>
    <row r="13" spans="1:14" ht="15" customHeight="1">
      <c r="A13" s="55">
        <v>0.83333333333333337</v>
      </c>
      <c r="B13" s="56">
        <v>0.875</v>
      </c>
      <c r="C13" s="188" t="s">
        <v>106</v>
      </c>
      <c r="D13" s="189"/>
      <c r="E13" s="190"/>
      <c r="F13" s="57"/>
      <c r="G13" s="57">
        <v>60</v>
      </c>
      <c r="H13" s="47" t="s">
        <v>95</v>
      </c>
      <c r="I13" s="58"/>
      <c r="J13" s="22"/>
      <c r="K13" s="22"/>
      <c r="L13" s="22"/>
      <c r="M13" s="22"/>
      <c r="N13" s="22"/>
    </row>
    <row r="14" spans="1:14">
      <c r="A14" s="61"/>
      <c r="B14" s="62"/>
      <c r="C14" s="62"/>
      <c r="D14" s="62"/>
      <c r="E14" s="62"/>
      <c r="F14" s="62"/>
      <c r="G14" s="62"/>
      <c r="H14" s="62"/>
      <c r="I14" s="63"/>
      <c r="J14" s="22"/>
      <c r="K14" s="22"/>
      <c r="L14" s="22"/>
      <c r="M14" s="22"/>
      <c r="N14" s="22"/>
    </row>
    <row r="15" spans="1:14">
      <c r="A15" s="28" t="s">
        <v>88</v>
      </c>
      <c r="B15" s="29" t="s">
        <v>89</v>
      </c>
      <c r="C15" s="191" t="s">
        <v>110</v>
      </c>
      <c r="D15" s="183"/>
      <c r="E15" s="184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>
      <c r="A16" s="44">
        <v>0.33333333333333331</v>
      </c>
      <c r="B16" s="45">
        <v>0.375</v>
      </c>
      <c r="C16" s="192" t="s">
        <v>94</v>
      </c>
      <c r="D16" s="193"/>
      <c r="E16" s="194"/>
      <c r="F16" s="59"/>
      <c r="G16" s="59">
        <v>60</v>
      </c>
      <c r="H16" s="59"/>
      <c r="I16" s="60"/>
      <c r="J16" s="22"/>
      <c r="K16" s="22"/>
      <c r="L16" s="22"/>
      <c r="M16" s="22"/>
      <c r="N16" s="22"/>
    </row>
    <row r="17" spans="1:14">
      <c r="A17" s="49">
        <v>0.375</v>
      </c>
      <c r="B17" s="50">
        <v>0.45833333333333331</v>
      </c>
      <c r="C17" s="172" t="s">
        <v>108</v>
      </c>
      <c r="D17" s="173"/>
      <c r="E17" s="174"/>
      <c r="F17" s="51"/>
      <c r="G17" s="51"/>
      <c r="H17" s="51"/>
      <c r="I17" s="52" t="s">
        <v>109</v>
      </c>
      <c r="J17" s="22"/>
      <c r="K17" s="22"/>
      <c r="L17" s="22"/>
      <c r="M17" s="22"/>
      <c r="N17" s="22"/>
    </row>
    <row r="18" spans="1:14">
      <c r="A18" s="49">
        <v>0.46875</v>
      </c>
      <c r="B18" s="50">
        <v>0.5625</v>
      </c>
      <c r="C18" s="172" t="s">
        <v>108</v>
      </c>
      <c r="D18" s="173"/>
      <c r="E18" s="174"/>
      <c r="F18" s="51"/>
      <c r="G18" s="51"/>
      <c r="H18" s="51"/>
      <c r="I18" s="52" t="s">
        <v>109</v>
      </c>
      <c r="J18" s="22"/>
      <c r="K18" s="22"/>
      <c r="L18" s="22"/>
      <c r="M18" s="22"/>
      <c r="N18" s="22"/>
    </row>
    <row r="19" spans="1:14" ht="17">
      <c r="A19" s="44">
        <v>0.5625</v>
      </c>
      <c r="B19" s="45">
        <v>0.60416666666666663</v>
      </c>
      <c r="C19" s="175" t="s">
        <v>96</v>
      </c>
      <c r="D19" s="176"/>
      <c r="E19" s="177"/>
      <c r="F19" s="46"/>
      <c r="G19" s="46">
        <v>60</v>
      </c>
      <c r="H19" s="47" t="s">
        <v>95</v>
      </c>
      <c r="I19" s="48"/>
      <c r="J19" s="22"/>
      <c r="K19" s="22"/>
      <c r="L19" s="22"/>
      <c r="M19" s="22"/>
      <c r="N19" s="22"/>
    </row>
    <row r="20" spans="1:14">
      <c r="A20" s="49">
        <v>0.625</v>
      </c>
      <c r="B20" s="50">
        <v>0.70833333333333337</v>
      </c>
      <c r="C20" s="172" t="s">
        <v>108</v>
      </c>
      <c r="D20" s="173"/>
      <c r="E20" s="174"/>
      <c r="F20" s="51"/>
      <c r="G20" s="51"/>
      <c r="H20" s="51"/>
      <c r="I20" s="52" t="s">
        <v>109</v>
      </c>
      <c r="J20" s="22"/>
      <c r="K20" s="22"/>
      <c r="L20" s="22"/>
      <c r="M20" s="22"/>
      <c r="N20" s="22"/>
    </row>
    <row r="21" spans="1:14">
      <c r="A21" s="49">
        <v>0.71875</v>
      </c>
      <c r="B21" s="50">
        <v>0.75</v>
      </c>
      <c r="C21" s="172" t="s">
        <v>108</v>
      </c>
      <c r="D21" s="173"/>
      <c r="E21" s="174"/>
      <c r="F21" s="51"/>
      <c r="G21" s="51"/>
      <c r="H21" s="51"/>
      <c r="I21" s="52" t="s">
        <v>109</v>
      </c>
      <c r="J21" s="22"/>
      <c r="K21" s="22"/>
      <c r="L21" s="22"/>
      <c r="M21" s="22"/>
      <c r="N21" s="22"/>
    </row>
    <row r="22" spans="1:14">
      <c r="A22" s="25">
        <v>0.75</v>
      </c>
      <c r="B22" s="26">
        <v>0.79166666666666663</v>
      </c>
      <c r="C22" s="185" t="s">
        <v>97</v>
      </c>
      <c r="D22" s="186"/>
      <c r="E22" s="187"/>
      <c r="F22" s="43"/>
      <c r="G22" s="43"/>
      <c r="H22" s="42"/>
      <c r="I22" s="27" t="s">
        <v>105</v>
      </c>
      <c r="J22" s="22"/>
      <c r="K22" s="22"/>
      <c r="L22" s="22"/>
      <c r="M22" s="22"/>
      <c r="N22" s="22"/>
    </row>
    <row r="23" spans="1:14" ht="15" customHeight="1">
      <c r="A23" s="55">
        <v>0.83333333333333337</v>
      </c>
      <c r="B23" s="56">
        <v>0.875</v>
      </c>
      <c r="C23" s="188" t="s">
        <v>106</v>
      </c>
      <c r="D23" s="189"/>
      <c r="E23" s="190"/>
      <c r="F23" s="57"/>
      <c r="G23" s="57">
        <v>60</v>
      </c>
      <c r="H23" s="47" t="s">
        <v>95</v>
      </c>
      <c r="I23" s="58"/>
      <c r="J23" s="22"/>
      <c r="K23" s="22"/>
      <c r="L23" s="22"/>
      <c r="M23" s="22"/>
      <c r="N23" s="22"/>
    </row>
    <row r="24" spans="1:14" s="54" customFormat="1" ht="15" customHeight="1">
      <c r="A24" s="64"/>
      <c r="B24" s="64"/>
      <c r="C24" s="65"/>
      <c r="D24" s="65"/>
      <c r="E24" s="65"/>
      <c r="F24" s="66"/>
      <c r="G24" s="66"/>
      <c r="H24" s="67"/>
      <c r="I24" s="68"/>
      <c r="J24" s="53"/>
      <c r="K24" s="53"/>
      <c r="L24" s="53"/>
      <c r="M24" s="53"/>
      <c r="N24" s="53"/>
    </row>
    <row r="25" spans="1:14">
      <c r="A25" s="28" t="s">
        <v>88</v>
      </c>
      <c r="B25" s="29" t="s">
        <v>89</v>
      </c>
      <c r="C25" s="191" t="s">
        <v>111</v>
      </c>
      <c r="D25" s="183"/>
      <c r="E25" s="184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>
      <c r="A26" s="44">
        <v>0.33333333333333331</v>
      </c>
      <c r="B26" s="45">
        <v>0.375</v>
      </c>
      <c r="C26" s="192" t="s">
        <v>94</v>
      </c>
      <c r="D26" s="193"/>
      <c r="E26" s="194"/>
      <c r="F26" s="59"/>
      <c r="G26" s="59">
        <v>60</v>
      </c>
      <c r="H26" s="59"/>
      <c r="I26" s="60"/>
      <c r="J26" s="22"/>
      <c r="K26" s="22"/>
      <c r="L26" s="22"/>
      <c r="M26" s="22"/>
      <c r="N26" s="22"/>
    </row>
    <row r="27" spans="1:14">
      <c r="A27" s="49">
        <v>0.375</v>
      </c>
      <c r="B27" s="50">
        <v>0.45833333333333331</v>
      </c>
      <c r="C27" s="172" t="s">
        <v>108</v>
      </c>
      <c r="D27" s="173"/>
      <c r="E27" s="174"/>
      <c r="F27" s="51"/>
      <c r="G27" s="51"/>
      <c r="H27" s="51"/>
      <c r="I27" s="52" t="s">
        <v>109</v>
      </c>
      <c r="J27" s="22"/>
      <c r="K27" s="22"/>
      <c r="L27" s="22"/>
      <c r="M27" s="22"/>
      <c r="N27" s="22"/>
    </row>
    <row r="28" spans="1:14">
      <c r="A28" s="49">
        <v>0.46875</v>
      </c>
      <c r="B28" s="50">
        <v>0.5625</v>
      </c>
      <c r="C28" s="172" t="s">
        <v>108</v>
      </c>
      <c r="D28" s="173"/>
      <c r="E28" s="174"/>
      <c r="F28" s="51"/>
      <c r="G28" s="51"/>
      <c r="H28" s="51"/>
      <c r="I28" s="52" t="s">
        <v>109</v>
      </c>
      <c r="J28" s="22"/>
      <c r="K28" s="22"/>
      <c r="L28" s="22"/>
      <c r="M28" s="22"/>
      <c r="N28" s="22"/>
    </row>
    <row r="29" spans="1:14" ht="17">
      <c r="A29" s="44">
        <v>0.5625</v>
      </c>
      <c r="B29" s="45">
        <v>0.60416666666666663</v>
      </c>
      <c r="C29" s="175" t="s">
        <v>96</v>
      </c>
      <c r="D29" s="176"/>
      <c r="E29" s="177"/>
      <c r="F29" s="46"/>
      <c r="G29" s="46">
        <v>60</v>
      </c>
      <c r="H29" s="47" t="s">
        <v>95</v>
      </c>
      <c r="I29" s="48"/>
      <c r="J29" s="22"/>
      <c r="K29" s="22"/>
      <c r="L29" s="22"/>
      <c r="M29" s="22"/>
      <c r="N29" s="22"/>
    </row>
    <row r="30" spans="1:14">
      <c r="A30" s="49">
        <v>0.625</v>
      </c>
      <c r="B30" s="50">
        <v>0.70833333333333337</v>
      </c>
      <c r="C30" s="172" t="s">
        <v>108</v>
      </c>
      <c r="D30" s="173"/>
      <c r="E30" s="174"/>
      <c r="F30" s="51"/>
      <c r="G30" s="51"/>
      <c r="H30" s="51"/>
      <c r="I30" s="52" t="s">
        <v>109</v>
      </c>
      <c r="J30" s="22"/>
      <c r="K30" s="22"/>
      <c r="L30" s="22"/>
      <c r="M30" s="22"/>
      <c r="N30" s="22"/>
    </row>
    <row r="31" spans="1:14">
      <c r="A31" s="49">
        <v>0.71875</v>
      </c>
      <c r="B31" s="50">
        <v>0.75</v>
      </c>
      <c r="C31" s="172" t="s">
        <v>108</v>
      </c>
      <c r="D31" s="173"/>
      <c r="E31" s="174"/>
      <c r="F31" s="51"/>
      <c r="G31" s="51"/>
      <c r="H31" s="51"/>
      <c r="I31" s="52" t="s">
        <v>109</v>
      </c>
      <c r="J31" s="22"/>
      <c r="K31" s="22"/>
      <c r="L31" s="22"/>
      <c r="M31" s="22"/>
      <c r="N31" s="22"/>
    </row>
    <row r="32" spans="1:14" s="54" customFormat="1" ht="15" customHeight="1">
      <c r="A32" s="178"/>
      <c r="B32" s="178"/>
      <c r="C32" s="178"/>
      <c r="D32" s="178"/>
      <c r="E32" s="178"/>
      <c r="F32" s="178"/>
      <c r="G32" s="178"/>
      <c r="H32" s="178"/>
      <c r="I32" s="178"/>
      <c r="J32" s="53"/>
      <c r="K32" s="53"/>
      <c r="L32" s="53"/>
      <c r="M32" s="53"/>
      <c r="N32" s="53"/>
    </row>
    <row r="33" spans="1:14" s="54" customFormat="1" ht="15" customHeight="1">
      <c r="A33" s="179" t="s">
        <v>112</v>
      </c>
      <c r="B33" s="179"/>
      <c r="C33" s="179"/>
      <c r="D33" s="179"/>
      <c r="E33" s="179"/>
      <c r="F33" s="179"/>
      <c r="G33" s="179"/>
      <c r="H33" s="179"/>
      <c r="I33" s="179"/>
      <c r="J33" s="53"/>
      <c r="K33" s="53"/>
      <c r="L33" s="53"/>
      <c r="M33" s="53"/>
      <c r="N33" s="53"/>
    </row>
    <row r="34" spans="1:14" s="54" customFormat="1" ht="15" customHeight="1">
      <c r="A34" s="178"/>
      <c r="B34" s="178"/>
      <c r="C34" s="178"/>
      <c r="D34" s="178"/>
      <c r="E34" s="178"/>
      <c r="F34" s="178"/>
      <c r="G34" s="178"/>
      <c r="H34" s="178"/>
      <c r="I34" s="178"/>
      <c r="J34" s="53"/>
      <c r="K34" s="53"/>
      <c r="L34" s="53"/>
      <c r="M34" s="53"/>
      <c r="N34" s="53"/>
    </row>
    <row r="35" spans="1:14" s="54" customFormat="1" ht="15" customHeight="1">
      <c r="A35" s="178"/>
      <c r="B35" s="178"/>
      <c r="C35" s="178"/>
      <c r="D35" s="178"/>
      <c r="E35" s="178"/>
      <c r="F35" s="178"/>
      <c r="G35" s="178"/>
      <c r="H35" s="178"/>
      <c r="I35" s="178"/>
      <c r="J35" s="53"/>
      <c r="K35" s="53"/>
      <c r="L35" s="53"/>
      <c r="M35" s="53"/>
      <c r="N35" s="53"/>
    </row>
    <row r="36" spans="1:14" s="54" customFormat="1" ht="15" customHeight="1">
      <c r="A36" s="178"/>
      <c r="B36" s="178"/>
      <c r="C36" s="178"/>
      <c r="D36" s="178"/>
      <c r="E36" s="178"/>
      <c r="F36" s="178"/>
      <c r="G36" s="178"/>
      <c r="H36" s="178"/>
      <c r="I36" s="178"/>
      <c r="J36" s="53"/>
      <c r="K36" s="53"/>
      <c r="L36" s="53"/>
      <c r="M36" s="53"/>
      <c r="N36" s="53"/>
    </row>
    <row r="37" spans="1:14" s="54" customFormat="1" ht="15" customHeight="1">
      <c r="A37" s="178"/>
      <c r="B37" s="178"/>
      <c r="C37" s="178"/>
      <c r="D37" s="178"/>
      <c r="E37" s="178"/>
      <c r="F37" s="178"/>
      <c r="G37" s="178"/>
      <c r="H37" s="178"/>
      <c r="I37" s="178"/>
      <c r="J37" s="53"/>
      <c r="K37" s="53"/>
      <c r="L37" s="53"/>
      <c r="M37" s="53"/>
      <c r="N37" s="53"/>
    </row>
    <row r="38" spans="1:14" s="54" customFormat="1" ht="15" customHeight="1">
      <c r="A38" s="178"/>
      <c r="B38" s="178"/>
      <c r="C38" s="178"/>
      <c r="D38" s="178"/>
      <c r="E38" s="178"/>
      <c r="F38" s="178"/>
      <c r="G38" s="178"/>
      <c r="H38" s="178"/>
      <c r="I38" s="178"/>
      <c r="J38" s="53"/>
      <c r="K38" s="53"/>
      <c r="L38" s="53"/>
      <c r="M38" s="53"/>
      <c r="N38" s="53"/>
    </row>
    <row r="39" spans="1:14" s="54" customFormat="1" ht="15" customHeight="1">
      <c r="A39" s="178"/>
      <c r="B39" s="178"/>
      <c r="C39" s="178"/>
      <c r="D39" s="178"/>
      <c r="E39" s="178"/>
      <c r="F39" s="178"/>
      <c r="G39" s="178"/>
      <c r="H39" s="178"/>
      <c r="I39" s="178"/>
      <c r="J39" s="53"/>
      <c r="K39" s="53"/>
      <c r="L39" s="53"/>
      <c r="M39" s="53"/>
      <c r="N39" s="53"/>
    </row>
    <row r="40" spans="1:14" s="54" customFormat="1" ht="15" customHeight="1">
      <c r="A40" s="64"/>
      <c r="B40" s="64"/>
      <c r="C40" s="65"/>
      <c r="D40" s="65"/>
      <c r="E40" s="65"/>
      <c r="F40" s="66"/>
      <c r="G40" s="66"/>
      <c r="H40" s="67"/>
      <c r="I40" s="68"/>
      <c r="J40" s="53"/>
      <c r="K40" s="53"/>
      <c r="L40" s="53"/>
      <c r="M40" s="53"/>
      <c r="N40" s="53"/>
    </row>
    <row r="41" spans="1:14" s="54" customFormat="1" ht="15" customHeight="1">
      <c r="A41" s="64"/>
      <c r="B41" s="64"/>
      <c r="C41" s="65"/>
      <c r="D41" s="65"/>
      <c r="E41" s="65"/>
      <c r="F41" s="66"/>
      <c r="G41" s="66"/>
      <c r="H41" s="67"/>
      <c r="I41" s="68"/>
      <c r="J41" s="53"/>
      <c r="K41" s="53"/>
      <c r="L41" s="53"/>
      <c r="M41" s="53"/>
      <c r="N41" s="53"/>
    </row>
    <row r="42" spans="1:14" s="54" customFormat="1" ht="15" customHeight="1">
      <c r="A42" s="64"/>
      <c r="B42" s="64"/>
      <c r="C42" s="65"/>
      <c r="D42" s="65"/>
      <c r="E42" s="65"/>
      <c r="F42" s="66"/>
      <c r="G42" s="66"/>
      <c r="H42" s="67"/>
      <c r="I42" s="68"/>
      <c r="J42" s="53"/>
      <c r="K42" s="53"/>
      <c r="L42" s="53"/>
      <c r="M42" s="53"/>
      <c r="N42" s="53"/>
    </row>
    <row r="43" spans="1:14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>
      <c r="A44" s="180" t="s">
        <v>98</v>
      </c>
      <c r="B44" s="180"/>
      <c r="C44" s="180"/>
      <c r="D44" s="180"/>
      <c r="E44" s="180"/>
      <c r="F44" s="180"/>
      <c r="G44" s="180"/>
      <c r="H44" s="35"/>
      <c r="I44" s="30" t="s">
        <v>99</v>
      </c>
      <c r="J44" s="22"/>
      <c r="K44" s="22"/>
      <c r="L44" s="22"/>
      <c r="M44" s="22"/>
      <c r="N44" s="22"/>
    </row>
    <row r="45" spans="1:14">
      <c r="A45" s="181"/>
      <c r="B45" s="181"/>
      <c r="C45" s="181"/>
      <c r="D45" s="181"/>
      <c r="E45" s="181"/>
      <c r="F45" s="181"/>
      <c r="G45" s="181"/>
      <c r="H45" s="35"/>
      <c r="I45" s="22"/>
      <c r="J45" s="22"/>
      <c r="K45" s="22"/>
      <c r="L45" s="22"/>
      <c r="M45" s="22"/>
      <c r="N45" s="22"/>
    </row>
    <row r="46" spans="1:14">
      <c r="A46" s="171" t="s">
        <v>100</v>
      </c>
      <c r="B46" s="171"/>
      <c r="C46" s="171"/>
      <c r="D46" s="171"/>
      <c r="E46" s="171"/>
      <c r="F46" s="171"/>
      <c r="G46" s="171"/>
      <c r="H46" s="35"/>
      <c r="I46" s="22"/>
      <c r="J46" s="22"/>
      <c r="K46" s="22"/>
      <c r="L46" s="22"/>
      <c r="M46" s="22"/>
      <c r="N46" s="22"/>
    </row>
    <row r="47" spans="1:14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/>
  <sheetData>
    <row r="1" spans="1:26" ht="115" customHeight="1">
      <c r="E1" s="8" t="s">
        <v>9</v>
      </c>
      <c r="L1" s="19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8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6"/>
  <cols>
    <col min="1" max="1" width="121.1640625" customWidth="1"/>
  </cols>
  <sheetData>
    <row r="1" spans="1:1" ht="17" thickBot="1"/>
    <row r="2" spans="1:1" ht="18">
      <c r="A2" s="82" t="s">
        <v>142</v>
      </c>
    </row>
    <row r="3" spans="1:1" ht="28" customHeight="1" thickBot="1">
      <c r="A3" s="83" t="s">
        <v>143</v>
      </c>
    </row>
    <row r="4" spans="1:1" ht="18">
      <c r="A4" s="84" t="s">
        <v>144</v>
      </c>
    </row>
    <row r="5" spans="1:1" ht="41" customHeight="1">
      <c r="A5" s="85" t="s">
        <v>145</v>
      </c>
    </row>
    <row r="6" spans="1:1" ht="33" customHeight="1" thickBot="1">
      <c r="A6" s="83" t="s">
        <v>147</v>
      </c>
    </row>
    <row r="7" spans="1:1" ht="29" customHeight="1" thickBot="1">
      <c r="A7" s="86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carmen@sf.cl</cp:lastModifiedBy>
  <dcterms:created xsi:type="dcterms:W3CDTF">2014-07-29T17:30:41Z</dcterms:created>
  <dcterms:modified xsi:type="dcterms:W3CDTF">2020-03-13T01:44:58Z</dcterms:modified>
</cp:coreProperties>
</file>