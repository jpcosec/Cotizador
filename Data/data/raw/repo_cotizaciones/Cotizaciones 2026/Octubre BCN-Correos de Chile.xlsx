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19CE4BB3-F67B-2543-8FB1-054A35A07FB5}" xr6:coauthVersionLast="47" xr6:coauthVersionMax="47" xr10:uidLastSave="{00000000-0000-0000-0000-000000000000}"/>
  <bookViews>
    <workbookView xWindow="60" yWindow="500" windowWidth="28660" windowHeight="16120" tabRatio="500" xr2:uid="{00000000-000D-0000-FFFF-FFFF00000000}"/>
  </bookViews>
  <sheets>
    <sheet name="Programa por di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2" i="9" l="1"/>
  <c r="E34" i="9"/>
  <c r="F34" i="9" s="1"/>
  <c r="E14" i="9"/>
  <c r="F14" i="9" s="1"/>
  <c r="E20" i="9"/>
  <c r="F20" i="9" s="1"/>
  <c r="F13" i="9" l="1"/>
  <c r="F12" i="9"/>
  <c r="F33" i="9"/>
  <c r="F16" i="9"/>
  <c r="F28" i="9"/>
  <c r="F29" i="9"/>
  <c r="E30" i="9"/>
  <c r="F30" i="9" s="1"/>
  <c r="E32" i="9"/>
  <c r="F32" i="9" s="1"/>
  <c r="F35" i="9"/>
  <c r="F36" i="9"/>
  <c r="F37" i="9"/>
  <c r="F38" i="9"/>
  <c r="E39" i="9"/>
  <c r="F39" i="9" s="1"/>
  <c r="E40" i="9"/>
  <c r="F40" i="9" s="1"/>
  <c r="E41" i="9"/>
  <c r="F41" i="9" s="1"/>
  <c r="E19" i="9"/>
  <c r="F19" i="9" s="1"/>
  <c r="F9" i="9"/>
  <c r="F18" i="9"/>
  <c r="F15" i="9"/>
  <c r="E11" i="9"/>
  <c r="F42" i="9" l="1"/>
  <c r="E21" i="9"/>
  <c r="F21" i="9" s="1"/>
  <c r="F43" i="9" l="1"/>
  <c r="F44" i="9" s="1"/>
  <c r="F10" i="9"/>
  <c r="F11" i="9" l="1"/>
  <c r="F17" i="9"/>
  <c r="F23" i="9" l="1"/>
  <c r="F24" i="9" s="1"/>
</calcChain>
</file>

<file path=xl/sharedStrings.xml><?xml version="1.0" encoding="utf-8"?>
<sst xmlns="http://schemas.openxmlformats.org/spreadsheetml/2006/main" count="148" uniqueCount="96">
  <si>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</si>
  <si>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</si>
  <si>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</si>
  <si>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</si>
  <si>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</si>
  <si>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1.-</t>
  </si>
  <si>
    <t>Fono:</t>
  </si>
  <si>
    <t>2.-</t>
  </si>
  <si>
    <t>Nº Pasajeros</t>
  </si>
  <si>
    <t>3.-</t>
  </si>
  <si>
    <t>Atiende:</t>
  </si>
  <si>
    <t>Telefono</t>
  </si>
  <si>
    <t>4.-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</si>
  <si>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</si>
  <si>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</si>
  <si>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</si>
  <si>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</si>
  <si>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</si>
  <si>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</si>
  <si>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</si>
  <si>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IVA</t>
  </si>
  <si>
    <t>Total evento con IVA</t>
  </si>
  <si>
    <t>Valor no incluye propinas.</t>
  </si>
  <si>
    <r>
      <t>Para órdenes de Compra y pagos</t>
    </r>
    <r>
      <rPr>
        <sz val="11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</si>
  <si>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</si>
  <si>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</si>
  <si>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</si>
  <si>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</si>
  <si>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</si>
  <si>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</si>
  <si>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</si>
  <si>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</si>
  <si>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</si>
  <si>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</si>
  <si>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</si>
  <si>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</si>
  <si>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</si>
  <si>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</si>
  <si>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</si>
  <si>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</si>
  <si>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</si>
  <si>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</si>
  <si>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</si>
  <si>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</si>
  <si>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</si>
  <si>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</si>
  <si>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</si>
  <si>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</si>
  <si>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</si>
  <si>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</si>
  <si>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</si>
  <si>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</si>
  <si>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</si>
  <si>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Carmen Rodriguez D.</t>
  </si>
  <si>
    <t>Bebida gaseosa</t>
  </si>
  <si>
    <t xml:space="preserve"> Sub Total </t>
  </si>
  <si>
    <t>Carta Sugerencias del chef, menos de 30 pasajeros</t>
  </si>
  <si>
    <t>Podran elegir una entrada, un fondo y un postre de las alternativas disponibles. No incluye bebidas ni aperitivo.</t>
  </si>
  <si>
    <t>Buffet parrilla, mas de 30 pax, menos de 30 Pax, $45.000.</t>
  </si>
  <si>
    <t>Botella de Vino Castillo Molina. Recomendación  1 botella cada 5 personas  (una por mesa)</t>
  </si>
  <si>
    <t>Gaseosa ó mineral.</t>
  </si>
  <si>
    <t>importante:</t>
  </si>
  <si>
    <r>
      <t>·</t>
    </r>
    <r>
      <rPr>
        <sz val="7"/>
        <color rgb="FFFF0000"/>
        <rFont val="Times New Roman"/>
        <family val="1"/>
      </rPr>
      <t xml:space="preserve">         </t>
    </r>
    <r>
      <rPr>
        <sz val="11"/>
        <color rgb="FFFF0000"/>
        <rFont val="Calibri"/>
        <family val="2"/>
      </rPr>
      <t>Confirmar asistentes con 72 hrs, luego se paga por lo reservado.</t>
    </r>
  </si>
  <si>
    <r>
      <t>·</t>
    </r>
    <r>
      <rPr>
        <sz val="7"/>
        <color rgb="FFFF0000"/>
        <rFont val="Times New Roman"/>
        <family val="1"/>
      </rPr>
      <t>         </t>
    </r>
    <r>
      <rPr>
        <sz val="11"/>
        <color rgb="FFFF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</si>
  <si>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·      Se Prohibe ingresar bebidas y alcohol a las areas comunes y restoran estas  podran ser consumidas solamente en las habitaciones.</t>
  </si>
  <si>
    <t>Botella de vino reserva.</t>
  </si>
  <si>
    <t>.         Se prohiben las fiestas en la habitaciones o en áreas comunes sin autorizacion de la Gerencia o Vendedora a Cargo.</t>
  </si>
  <si>
    <t>Se entiende que la empresa contratante, conoce y acepta cada uno de estos Itemes.</t>
  </si>
  <si>
    <t>Piscina temperada, cabalgatas, canopy, kayak, botes, standup paddle, mesas de pool, trekking actividades con Los Guias.</t>
  </si>
  <si>
    <t>Salon Directorio hasta 16 pasajeros</t>
  </si>
  <si>
    <t>Smart TV, amplificacion, telon, papelografo, pizarra.</t>
  </si>
  <si>
    <t>Masajes de relajacion de 30 minutos</t>
  </si>
  <si>
    <t>Trekking a la cumbre, Minimo 30</t>
  </si>
  <si>
    <t>Tipos de Café, Chocolate, té, leche, jugo, yogurt, cereales, Fruta, jamón, quesos, mantequilla, huevos, tocino, chorizo, verduras asadas, mermeladas, mantequilla, distintos tipos de panes, minipastelitos, queques, croissant.</t>
  </si>
  <si>
    <t>Cabalgata minimo 3 horas.</t>
  </si>
  <si>
    <t>Incluye coctel de Marcha en mitad de la ruta(opcional jugos) y 1 guia montado cada 5 pasajeros.</t>
  </si>
  <si>
    <t>.         La empresa contratante, debera pagar por daños a las habitaciones, o mobiliario, esto es valor de la reparacion o reposicion, mas los dias de no uso o no arriendo del bien o locacion.</t>
  </si>
  <si>
    <t>Maria Jose Bari</t>
  </si>
  <si>
    <t>BCN-Correos de Chile</t>
  </si>
  <si>
    <t>Cotebari@bcnglobal.com</t>
  </si>
  <si>
    <t>Café de grano en salon</t>
  </si>
  <si>
    <t xml:space="preserve">Comedor exclusivo para almuerzo con terraza </t>
  </si>
  <si>
    <t>Lomo, picana, punta paleta, pollo, cerdo, chorizos prietas, verduras y frutas a la parrilla, acompañamientos, salad bar, salsas, dresing, 1 postre, café.</t>
  </si>
  <si>
    <t>Café de grano milano para auto atencion, se cobran los cafes que consuman.</t>
  </si>
  <si>
    <t>Anfitrion para atencion exclusiva</t>
  </si>
  <si>
    <t>Opcion Carta</t>
  </si>
  <si>
    <t>con 3 masajistas durante el dia</t>
  </si>
  <si>
    <t>Octubre 27 ó 28 ó 29 ó 30 ó 31</t>
  </si>
  <si>
    <t>Incluye racion de marcha y 1 guia cada 20 pasajeros+ 1 guia montado.</t>
  </si>
  <si>
    <t>Opcion parrilla.</t>
  </si>
  <si>
    <t>Descorche por botella de vino</t>
  </si>
  <si>
    <t>Actividades libres, no exclusivas</t>
  </si>
  <si>
    <t>Cata de vinos con somelier de la zona</t>
  </si>
  <si>
    <t>Valor por persona con maridaje, 5 cepas</t>
  </si>
  <si>
    <t>Por botella, incluye copas, no incluye uso de cava.</t>
  </si>
  <si>
    <t>Descorche por botella de vino, para 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</si>
</sst>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color rgb="FF3C444F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 (Cuerpo)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Noto Sans Symbols"/>
    </font>
    <font>
      <sz val="7"/>
      <color rgb="FFFF0000"/>
      <name val="Times New Roman"/>
      <family val="1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 (Cuerpo)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3" fillId="0" borderId="0" applyFont="0" applyFill="0" applyBorder="0" applyAlignment="0" applyProtection="0"/>
  </cellStyleXfs>
  <cellXfs count="116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7" fillId="0" borderId="0" xfId="0" applyFont="1"/>
    <xf numFmtId="0" fontId="4" fillId="0" borderId="0" xfId="116"/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/>
    </xf>
    <xf numFmtId="20" fontId="8" fillId="0" borderId="0" xfId="0" applyNumberFormat="1" applyFont="1"/>
    <xf numFmtId="0" fontId="8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164" fontId="6" fillId="4" borderId="1" xfId="0" applyNumberFormat="1" applyFont="1" applyFill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4"/>
    </xf>
    <xf numFmtId="0" fontId="6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4" fontId="0" fillId="0" borderId="0" xfId="0" applyNumberFormat="1"/>
    <xf numFmtId="0" fontId="0" fillId="2" borderId="0" xfId="0" applyFill="1"/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20" fontId="2" fillId="5" borderId="7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20" fontId="6" fillId="4" borderId="1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 vertical="center"/>
    </xf>
    <xf numFmtId="165" fontId="6" fillId="4" borderId="2" xfId="175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horizontal="right"/>
    </xf>
    <xf numFmtId="0" fontId="0" fillId="2" borderId="10" xfId="0" applyFill="1" applyBorder="1" applyAlignment="1">
      <alignment horizontal="left" wrapText="1"/>
    </xf>
    <xf numFmtId="20" fontId="6" fillId="0" borderId="0" xfId="0" applyNumberFormat="1" applyFont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16" fillId="6" borderId="11" xfId="0" applyNumberFormat="1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6" borderId="11" xfId="0" applyFont="1" applyFill="1" applyBorder="1" applyAlignment="1">
      <alignment horizontal="left" vertical="center" wrapText="1"/>
    </xf>
    <xf numFmtId="165" fontId="16" fillId="6" borderId="11" xfId="0" applyNumberFormat="1" applyFont="1" applyFill="1" applyBorder="1" applyAlignment="1">
      <alignment horizontal="right"/>
    </xf>
    <xf numFmtId="0" fontId="16" fillId="9" borderId="11" xfId="0" applyFont="1" applyFill="1" applyBorder="1" applyAlignment="1">
      <alignment horizontal="left" vertical="center" wrapText="1"/>
    </xf>
    <xf numFmtId="165" fontId="16" fillId="9" borderId="11" xfId="0" applyNumberFormat="1" applyFont="1" applyFill="1" applyBorder="1" applyAlignment="1">
      <alignment horizontal="right" wrapText="1"/>
    </xf>
    <xf numFmtId="0" fontId="17" fillId="6" borderId="11" xfId="0" applyFont="1" applyFill="1" applyBorder="1" applyAlignment="1">
      <alignment horizontal="left" vertical="center"/>
    </xf>
    <xf numFmtId="164" fontId="17" fillId="6" borderId="11" xfId="0" applyNumberFormat="1" applyFont="1" applyFill="1" applyBorder="1" applyAlignment="1">
      <alignment horizontal="right"/>
    </xf>
    <xf numFmtId="0" fontId="17" fillId="2" borderId="0" xfId="0" applyFont="1" applyFill="1"/>
    <xf numFmtId="0" fontId="16" fillId="6" borderId="1" xfId="0" applyFont="1" applyFill="1" applyBorder="1" applyAlignment="1">
      <alignment horizontal="left"/>
    </xf>
    <xf numFmtId="0" fontId="16" fillId="6" borderId="12" xfId="0" applyFont="1" applyFill="1" applyBorder="1" applyAlignment="1">
      <alignment horizontal="center"/>
    </xf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/>
    </xf>
    <xf numFmtId="164" fontId="16" fillId="6" borderId="1" xfId="0" applyNumberFormat="1" applyFont="1" applyFill="1" applyBorder="1"/>
    <xf numFmtId="0" fontId="15" fillId="0" borderId="1" xfId="0" applyFont="1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3" fillId="0" borderId="0" xfId="0" applyFont="1"/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24" fillId="0" borderId="0" xfId="0" applyFont="1"/>
    <xf numFmtId="165" fontId="16" fillId="6" borderId="12" xfId="0" applyNumberFormat="1" applyFont="1" applyFill="1" applyBorder="1" applyAlignment="1">
      <alignment horizontal="right"/>
    </xf>
    <xf numFmtId="20" fontId="16" fillId="6" borderId="1" xfId="0" applyNumberFormat="1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right"/>
    </xf>
    <xf numFmtId="0" fontId="16" fillId="6" borderId="1" xfId="0" applyFont="1" applyFill="1" applyBorder="1" applyAlignment="1">
      <alignment vertical="center" wrapText="1"/>
    </xf>
    <xf numFmtId="0" fontId="16" fillId="6" borderId="14" xfId="0" applyFont="1" applyFill="1" applyBorder="1" applyAlignment="1">
      <alignment vertical="center" wrapText="1"/>
    </xf>
    <xf numFmtId="20" fontId="16" fillId="6" borderId="14" xfId="0" applyNumberFormat="1" applyFont="1" applyFill="1" applyBorder="1" applyAlignment="1">
      <alignment horizontal="center" vertical="center" wrapText="1"/>
    </xf>
    <xf numFmtId="165" fontId="16" fillId="6" borderId="14" xfId="0" applyNumberFormat="1" applyFont="1" applyFill="1" applyBorder="1" applyAlignment="1">
      <alignment horizontal="right"/>
    </xf>
    <xf numFmtId="0" fontId="16" fillId="6" borderId="1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6" fillId="4" borderId="3" xfId="0" applyNumberFormat="1" applyFont="1" applyFill="1" applyBorder="1" applyAlignment="1">
      <alignment horizontal="right"/>
    </xf>
    <xf numFmtId="0" fontId="15" fillId="2" borderId="1" xfId="0" applyFont="1" applyFill="1" applyBorder="1" applyAlignment="1">
      <alignment horizontal="left"/>
    </xf>
    <xf numFmtId="164" fontId="16" fillId="6" borderId="3" xfId="0" applyNumberFormat="1" applyFont="1" applyFill="1" applyBorder="1" applyAlignment="1">
      <alignment horizontal="right"/>
    </xf>
    <xf numFmtId="165" fontId="16" fillId="6" borderId="13" xfId="0" applyNumberFormat="1" applyFont="1" applyFill="1" applyBorder="1" applyAlignment="1">
      <alignment horizontal="right"/>
    </xf>
    <xf numFmtId="165" fontId="16" fillId="6" borderId="15" xfId="0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right"/>
    </xf>
    <xf numFmtId="164" fontId="17" fillId="6" borderId="13" xfId="0" applyNumberFormat="1" applyFont="1" applyFill="1" applyBorder="1" applyAlignment="1">
      <alignment horizontal="right"/>
    </xf>
    <xf numFmtId="0" fontId="16" fillId="6" borderId="1" xfId="0" applyFont="1" applyFill="1" applyBorder="1" applyAlignment="1">
      <alignment horizontal="left" wrapText="1"/>
    </xf>
    <xf numFmtId="165" fontId="6" fillId="8" borderId="1" xfId="0" applyNumberFormat="1" applyFont="1" applyFill="1" applyBorder="1" applyAlignment="1">
      <alignment wrapText="1"/>
    </xf>
    <xf numFmtId="0" fontId="15" fillId="0" borderId="1" xfId="0" applyFont="1" applyBorder="1" applyAlignment="1">
      <alignment wrapText="1"/>
    </xf>
    <xf numFmtId="164" fontId="17" fillId="7" borderId="1" xfId="0" applyNumberFormat="1" applyFont="1" applyFill="1" applyBorder="1"/>
    <xf numFmtId="20" fontId="25" fillId="6" borderId="11" xfId="0" applyNumberFormat="1" applyFont="1" applyFill="1" applyBorder="1" applyAlignment="1">
      <alignment horizontal="center" vertical="center"/>
    </xf>
    <xf numFmtId="20" fontId="15" fillId="6" borderId="1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/>
    </xf>
    <xf numFmtId="20" fontId="6" fillId="4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/>
    </xf>
    <xf numFmtId="0" fontId="17" fillId="6" borderId="12" xfId="0" applyFont="1" applyFill="1" applyBorder="1" applyAlignment="1">
      <alignment horizontal="left" vertical="center"/>
    </xf>
    <xf numFmtId="20" fontId="16" fillId="6" borderId="12" xfId="0" applyNumberFormat="1" applyFont="1" applyFill="1" applyBorder="1" applyAlignment="1">
      <alignment horizontal="center" vertical="center"/>
    </xf>
    <xf numFmtId="164" fontId="17" fillId="6" borderId="12" xfId="0" applyNumberFormat="1" applyFont="1" applyFill="1" applyBorder="1" applyAlignment="1">
      <alignment horizontal="right"/>
    </xf>
    <xf numFmtId="164" fontId="17" fillId="6" borderId="16" xfId="0" applyNumberFormat="1" applyFont="1" applyFill="1" applyBorder="1" applyAlignment="1">
      <alignment horizontal="right"/>
    </xf>
    <xf numFmtId="164" fontId="17" fillId="7" borderId="14" xfId="0" applyNumberFormat="1" applyFont="1" applyFill="1" applyBorder="1"/>
    <xf numFmtId="0" fontId="16" fillId="6" borderId="0" xfId="0" applyFont="1" applyFill="1" applyAlignment="1">
      <alignment horizontal="center"/>
    </xf>
    <xf numFmtId="165" fontId="16" fillId="6" borderId="0" xfId="0" applyNumberFormat="1" applyFont="1" applyFill="1" applyAlignment="1">
      <alignment horizontal="right"/>
    </xf>
    <xf numFmtId="0" fontId="10" fillId="0" borderId="0" xfId="0" applyFont="1" applyAlignment="1">
      <alignment horizontal="left" vertical="center"/>
    </xf>
  </cellXfs>
  <cellStyles count="176"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77" builtinId="8" hidden="1"/>
    <cellStyle name="Hipervínculo" xfId="6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5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3" builtinId="8" hidden="1"/>
    <cellStyle name="Hipervínculo" xfId="1" builtinId="8" hidden="1"/>
    <cellStyle name="Hipervínculo" xfId="116" builtinId="8"/>
    <cellStyle name="Hipervínculo visitado" xfId="68" builtinId="9" hidden="1"/>
    <cellStyle name="Hipervínculo visitado" xfId="72" builtinId="9" hidden="1"/>
    <cellStyle name="Hipervínculo visitado" xfId="76" builtinId="9" hidden="1"/>
    <cellStyle name="Hipervínculo visitado" xfId="80" builtinId="9" hidden="1"/>
    <cellStyle name="Hipervínculo visitado" xfId="84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3" builtinId="9" hidden="1"/>
    <cellStyle name="Hipervínculo visitado" xfId="171" builtinId="9" hidden="1"/>
    <cellStyle name="Hipervínculo visitado" xfId="169" builtinId="9" hidden="1"/>
    <cellStyle name="Hipervínculo visitado" xfId="167" builtinId="9" hidden="1"/>
    <cellStyle name="Hipervínculo visitado" xfId="165" builtinId="9" hidden="1"/>
    <cellStyle name="Hipervínculo visitado" xfId="163" builtinId="9" hidden="1"/>
    <cellStyle name="Hipervínculo visitado" xfId="161" builtinId="9" hidden="1"/>
    <cellStyle name="Hipervínculo visitado" xfId="159" builtinId="9" hidden="1"/>
    <cellStyle name="Hipervínculo visitado" xfId="157" builtinId="9" hidden="1"/>
    <cellStyle name="Hipervínculo visitado" xfId="155" builtinId="9" hidden="1"/>
    <cellStyle name="Hipervínculo visitado" xfId="153" builtinId="9" hidden="1"/>
    <cellStyle name="Hipervínculo visitado" xfId="151" builtinId="9" hidden="1"/>
    <cellStyle name="Hipervínculo visitado" xfId="149" builtinId="9" hidden="1"/>
    <cellStyle name="Hipervínculo visitado" xfId="147" builtinId="9" hidden="1"/>
    <cellStyle name="Hipervínculo visitado" xfId="145" builtinId="9" hidden="1"/>
    <cellStyle name="Hipervínculo visitado" xfId="143" builtinId="9" hidden="1"/>
    <cellStyle name="Hipervínculo visitado" xfId="141" builtinId="9" hidden="1"/>
    <cellStyle name="Hipervínculo visitado" xfId="139" builtinId="9" hidden="1"/>
    <cellStyle name="Hipervínculo visitado" xfId="137" builtinId="9" hidden="1"/>
    <cellStyle name="Hipervínculo visitado" xfId="135" builtinId="9" hidden="1"/>
    <cellStyle name="Hipervínculo visitado" xfId="133" builtinId="9" hidden="1"/>
    <cellStyle name="Hipervínculo visitado" xfId="131" builtinId="9" hidden="1"/>
    <cellStyle name="Hipervínculo visitado" xfId="129" builtinId="9" hidden="1"/>
    <cellStyle name="Hipervínculo visitado" xfId="127" builtinId="9" hidden="1"/>
    <cellStyle name="Hipervínculo visitado" xfId="125" builtinId="9" hidden="1"/>
    <cellStyle name="Hipervínculo visitado" xfId="123" builtinId="9" hidden="1"/>
    <cellStyle name="Hipervínculo visitado" xfId="121" builtinId="9" hidden="1"/>
    <cellStyle name="Hipervínculo visitado" xfId="119" builtinId="9" hidden="1"/>
    <cellStyle name="Hipervínculo visitado" xfId="117" builtinId="9" hidden="1"/>
    <cellStyle name="Hipervínculo visitado" xfId="114" builtinId="9" hidden="1"/>
    <cellStyle name="Hipervínculo visitado" xfId="112" builtinId="9" hidden="1"/>
    <cellStyle name="Hipervínculo visitado" xfId="110" builtinId="9" hidden="1"/>
    <cellStyle name="Hipervínculo visitado" xfId="108" builtinId="9" hidden="1"/>
    <cellStyle name="Hipervínculo visitado" xfId="106" builtinId="9" hidden="1"/>
    <cellStyle name="Hipervínculo visitado" xfId="104" builtinId="9" hidden="1"/>
    <cellStyle name="Hipervínculo visitado" xfId="102" builtinId="9" hidden="1"/>
    <cellStyle name="Hipervínculo visitado" xfId="100" builtinId="9" hidden="1"/>
    <cellStyle name="Hipervínculo visitado" xfId="98" builtinId="9" hidden="1"/>
    <cellStyle name="Hipervínculo visitado" xfId="96" builtinId="9" hidden="1"/>
    <cellStyle name="Hipervínculo visitado" xfId="94" builtinId="9" hidden="1"/>
    <cellStyle name="Hipervínculo visitado" xfId="92" builtinId="9" hidden="1"/>
    <cellStyle name="Hipervínculo visitado" xfId="90" builtinId="9" hidden="1"/>
    <cellStyle name="Hipervínculo visitado" xfId="88" builtinId="9" hidden="1"/>
    <cellStyle name="Hipervínculo visitado" xfId="86" builtinId="9" hidden="1"/>
    <cellStyle name="Hipervínculo visitado" xfId="82" builtinId="9" hidden="1"/>
    <cellStyle name="Hipervínculo visitado" xfId="78" builtinId="9" hidden="1"/>
    <cellStyle name="Hipervínculo visitado" xfId="74" builtinId="9" hidden="1"/>
    <cellStyle name="Hipervínculo visitado" xfId="70" builtinId="9" hidden="1"/>
    <cellStyle name="Hipervínculo visitado" xfId="66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2" builtinId="9" hidden="1"/>
    <cellStyle name="Hipervínculo visitado" xfId="54" builtinId="9" hidden="1"/>
    <cellStyle name="Hipervínculo visitado" xfId="46" builtinId="9" hidden="1"/>
    <cellStyle name="Hipervínculo visitado" xfId="38" builtinId="9" hidden="1"/>
    <cellStyle name="Hipervínculo visitado" xfId="30" builtinId="9" hidden="1"/>
    <cellStyle name="Hipervínculo visitado" xfId="22" builtinId="9" hidden="1"/>
    <cellStyle name="Hipervínculo visitado" xfId="10" builtinId="9" hidden="1"/>
    <cellStyle name="Hipervínculo visitado" xfId="12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1981200</xdr:colOff>
      <xdr:row>5</xdr:row>
      <xdr:rowOff>209494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DF3605B5-A969-A940-827E-5D3D8C45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47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f@sflodge.cl" TargetMode="External"/><Relationship Id="rId1" Type="http://schemas.openxmlformats.org/officeDocument/2006/relationships/hyperlink" Target="mailto:sf@sflodg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6"/>
  <sheetViews>
    <sheetView tabSelected="1" topLeftCell="A2" workbookViewId="0">
      <selection activeCell="A17" sqref="A17"/>
    </sheetView>
  </sheetViews>
  <sheetFormatPr baseColWidth="10" defaultColWidth="11" defaultRowHeight="16"/>
  <cols>
    <col min="1" max="1" width="36.6640625" style="8" customWidth="1"/>
    <col min="2" max="2" width="11" style="8"/>
    <col min="4" max="4" width="12.1640625" customWidth="1"/>
    <col min="5" max="5" width="12.83203125" customWidth="1"/>
    <col min="6" max="6" width="11" style="8"/>
    <col min="7" max="7" width="103.1640625" style="8" customWidth="1"/>
    <col min="8" max="8" width="11" style="8"/>
    <col min="9" max="9" width="31" customWidth="1"/>
  </cols>
  <sheetData>
    <row r="1" spans="1:8" ht="20" customHeight="1">
      <c r="A1" s="1" t="s">
        <v>0</v>
      </c>
      <c r="B1" s="13"/>
      <c r="C1" s="11" t="s">
        <v>1</v>
      </c>
      <c r="F1"/>
      <c r="G1"/>
      <c r="H1"/>
    </row>
    <row r="2" spans="1:8" ht="20" customHeight="1">
      <c r="A2"/>
      <c r="B2" s="14"/>
      <c r="F2" s="39" t="s">
        <v>0</v>
      </c>
      <c r="G2" s="35" t="s">
        <v>2</v>
      </c>
      <c r="H2"/>
    </row>
    <row r="3" spans="1:8" ht="20" customHeight="1">
      <c r="A3" s="7" t="s">
        <v>3</v>
      </c>
      <c r="B3" s="28" t="s">
        <v>77</v>
      </c>
      <c r="D3" t="s">
        <v>4</v>
      </c>
      <c r="E3" s="87" t="s">
        <v>78</v>
      </c>
      <c r="F3" s="87"/>
      <c r="G3" s="19" t="s">
        <v>5</v>
      </c>
      <c r="H3"/>
    </row>
    <row r="4" spans="1:8" ht="20" customHeight="1">
      <c r="A4" s="7" t="s">
        <v>51</v>
      </c>
      <c r="B4" s="12" t="s">
        <v>79</v>
      </c>
      <c r="C4" s="12"/>
      <c r="D4" t="s">
        <v>6</v>
      </c>
      <c r="E4" s="88">
        <v>934688073</v>
      </c>
      <c r="F4" s="87"/>
      <c r="G4" s="20" t="s">
        <v>7</v>
      </c>
      <c r="H4"/>
    </row>
    <row r="5" spans="1:8" ht="20" customHeight="1">
      <c r="A5" s="7" t="s">
        <v>52</v>
      </c>
      <c r="B5" s="28" t="s">
        <v>87</v>
      </c>
      <c r="D5" t="s">
        <v>8</v>
      </c>
      <c r="E5" s="87">
        <v>12</v>
      </c>
      <c r="F5" s="87"/>
      <c r="G5" s="20" t="s">
        <v>9</v>
      </c>
      <c r="H5"/>
    </row>
    <row r="6" spans="1:8" ht="20" customHeight="1">
      <c r="A6" s="10" t="s">
        <v>10</v>
      </c>
      <c r="B6" s="29" t="s">
        <v>53</v>
      </c>
      <c r="C6" s="9"/>
      <c r="D6" s="9" t="s">
        <v>11</v>
      </c>
      <c r="E6" s="89">
        <v>974961403</v>
      </c>
      <c r="F6" s="87"/>
      <c r="G6" s="20" t="s">
        <v>12</v>
      </c>
      <c r="H6"/>
    </row>
    <row r="7" spans="1:8" ht="20" customHeight="1" thickBot="1">
      <c r="A7" s="9" t="s">
        <v>89</v>
      </c>
      <c r="B7" s="29"/>
      <c r="C7" s="9"/>
      <c r="D7" s="9"/>
      <c r="E7" s="9"/>
      <c r="F7" s="9"/>
      <c r="G7" s="20"/>
      <c r="H7"/>
    </row>
    <row r="8" spans="1:8" s="40" customFormat="1">
      <c r="A8" s="23" t="s">
        <v>52</v>
      </c>
      <c r="B8" s="44" t="s">
        <v>13</v>
      </c>
      <c r="C8" s="24" t="s">
        <v>14</v>
      </c>
      <c r="D8" s="24" t="s">
        <v>15</v>
      </c>
      <c r="E8" s="24" t="s">
        <v>16</v>
      </c>
      <c r="F8" s="24" t="s">
        <v>17</v>
      </c>
      <c r="G8" s="25" t="s">
        <v>18</v>
      </c>
      <c r="H8" s="45"/>
    </row>
    <row r="9" spans="1:8" s="40" customFormat="1">
      <c r="A9" s="103" t="s">
        <v>84</v>
      </c>
      <c r="B9" s="104"/>
      <c r="C9" s="105">
        <v>1</v>
      </c>
      <c r="D9" s="105">
        <v>12</v>
      </c>
      <c r="E9" s="107">
        <v>100000</v>
      </c>
      <c r="F9" s="107">
        <f>E9</f>
        <v>100000</v>
      </c>
      <c r="G9" s="106"/>
      <c r="H9" s="45"/>
    </row>
    <row r="10" spans="1:8" s="40" customFormat="1" ht="33" customHeight="1">
      <c r="A10" s="22" t="s">
        <v>19</v>
      </c>
      <c r="B10" s="48">
        <v>0.375</v>
      </c>
      <c r="C10" s="21">
        <v>1</v>
      </c>
      <c r="D10" s="21">
        <v>12</v>
      </c>
      <c r="E10" s="30">
        <v>12500</v>
      </c>
      <c r="F10" s="90">
        <f>C10*D10*E10</f>
        <v>150000</v>
      </c>
      <c r="G10" s="97" t="s">
        <v>73</v>
      </c>
      <c r="H10" s="45"/>
    </row>
    <row r="11" spans="1:8" ht="18.75" customHeight="1">
      <c r="A11" s="67" t="s">
        <v>69</v>
      </c>
      <c r="B11" s="48">
        <v>0.39583333333333331</v>
      </c>
      <c r="C11" s="68">
        <v>0</v>
      </c>
      <c r="D11" s="70">
        <v>0</v>
      </c>
      <c r="E11" s="69">
        <f>290000*1.1</f>
        <v>319000</v>
      </c>
      <c r="F11" s="92">
        <f>SUM(F5:F10)</f>
        <v>250000</v>
      </c>
      <c r="G11" s="65" t="s">
        <v>70</v>
      </c>
      <c r="H11"/>
    </row>
    <row r="12" spans="1:8" s="40" customFormat="1" ht="17" customHeight="1">
      <c r="A12" s="22" t="s">
        <v>80</v>
      </c>
      <c r="B12" s="48">
        <v>0.39583333333333331</v>
      </c>
      <c r="C12" s="21">
        <v>0</v>
      </c>
      <c r="D12" s="21">
        <v>12</v>
      </c>
      <c r="E12" s="30">
        <v>1800</v>
      </c>
      <c r="F12" s="90">
        <f>C12*E12</f>
        <v>0</v>
      </c>
      <c r="G12" s="97" t="s">
        <v>83</v>
      </c>
      <c r="H12" s="45"/>
    </row>
    <row r="13" spans="1:8" ht="15.75" customHeight="1">
      <c r="A13" s="82" t="s">
        <v>95</v>
      </c>
      <c r="B13" s="80"/>
      <c r="C13" s="68">
        <v>0</v>
      </c>
      <c r="D13" s="68">
        <v>12</v>
      </c>
      <c r="E13" s="81">
        <v>10000</v>
      </c>
      <c r="F13" s="81">
        <f>C13*E13</f>
        <v>0</v>
      </c>
      <c r="G13" s="65" t="s">
        <v>94</v>
      </c>
      <c r="H13" s="57"/>
    </row>
    <row r="14" spans="1:8" ht="15.75" customHeight="1">
      <c r="A14" s="82" t="s">
        <v>92</v>
      </c>
      <c r="B14" s="80"/>
      <c r="C14" s="68">
        <v>0</v>
      </c>
      <c r="D14" s="68">
        <v>12</v>
      </c>
      <c r="E14" s="81">
        <f>40000</f>
        <v>40000</v>
      </c>
      <c r="F14" s="81">
        <f>C14*D14*E14</f>
        <v>0</v>
      </c>
      <c r="G14" s="65" t="s">
        <v>93</v>
      </c>
      <c r="H14" s="57"/>
    </row>
    <row r="15" spans="1:8" ht="15.75" customHeight="1">
      <c r="A15" s="67" t="s">
        <v>81</v>
      </c>
      <c r="B15" s="48">
        <v>0.52083333333333337</v>
      </c>
      <c r="C15" s="68">
        <v>1</v>
      </c>
      <c r="D15" s="68">
        <v>12</v>
      </c>
      <c r="E15" s="69">
        <v>275000</v>
      </c>
      <c r="F15" s="92">
        <f>C15*E15</f>
        <v>275000</v>
      </c>
      <c r="G15" s="65"/>
      <c r="H15"/>
    </row>
    <row r="16" spans="1:8" ht="35" customHeight="1">
      <c r="A16" s="60" t="s">
        <v>58</v>
      </c>
      <c r="B16" s="102">
        <v>0.5625</v>
      </c>
      <c r="C16" s="56">
        <v>1</v>
      </c>
      <c r="D16" s="56">
        <v>12</v>
      </c>
      <c r="E16" s="61">
        <v>45000</v>
      </c>
      <c r="F16" s="94">
        <f>C16*D16*E16</f>
        <v>540000</v>
      </c>
      <c r="G16" s="99" t="s">
        <v>82</v>
      </c>
      <c r="H16"/>
    </row>
    <row r="17" spans="1:8">
      <c r="A17" s="41" t="s">
        <v>54</v>
      </c>
      <c r="B17" s="55">
        <v>0.5625</v>
      </c>
      <c r="C17" s="21">
        <v>2</v>
      </c>
      <c r="D17" s="21">
        <v>12</v>
      </c>
      <c r="E17" s="42">
        <v>1933</v>
      </c>
      <c r="F17" s="95">
        <f>C17*D17*E17</f>
        <v>46392</v>
      </c>
      <c r="G17" s="43" t="s">
        <v>60</v>
      </c>
    </row>
    <row r="18" spans="1:8" s="64" customFormat="1" ht="15.75" customHeight="1">
      <c r="A18" s="62" t="s">
        <v>65</v>
      </c>
      <c r="B18" s="55">
        <v>0.5625</v>
      </c>
      <c r="C18" s="56">
        <v>3</v>
      </c>
      <c r="D18" s="56">
        <v>12</v>
      </c>
      <c r="E18" s="63">
        <v>13025</v>
      </c>
      <c r="F18" s="96">
        <f>C18*E18</f>
        <v>39075</v>
      </c>
      <c r="G18" s="100" t="s">
        <v>59</v>
      </c>
    </row>
    <row r="19" spans="1:8" ht="15.75" customHeight="1">
      <c r="A19" s="82" t="s">
        <v>71</v>
      </c>
      <c r="B19" s="80"/>
      <c r="C19" s="56">
        <v>12</v>
      </c>
      <c r="D19" s="56">
        <v>12</v>
      </c>
      <c r="E19" s="81">
        <f>30000/1.19</f>
        <v>25210.084033613446</v>
      </c>
      <c r="F19" s="59">
        <f>D19*E19</f>
        <v>302521.00840336137</v>
      </c>
      <c r="G19" s="65" t="s">
        <v>86</v>
      </c>
      <c r="H19" s="57"/>
    </row>
    <row r="20" spans="1:8" ht="15.75" customHeight="1">
      <c r="A20" s="83" t="s">
        <v>72</v>
      </c>
      <c r="B20" s="84">
        <v>0.6875</v>
      </c>
      <c r="C20" s="66">
        <v>1</v>
      </c>
      <c r="D20" s="66">
        <v>12</v>
      </c>
      <c r="E20" s="85">
        <f>7800*D20+150000</f>
        <v>243600</v>
      </c>
      <c r="F20" s="79">
        <f>E20</f>
        <v>243600</v>
      </c>
      <c r="G20" s="86" t="s">
        <v>88</v>
      </c>
      <c r="H20" s="57"/>
    </row>
    <row r="21" spans="1:8">
      <c r="A21" s="26" t="s">
        <v>91</v>
      </c>
      <c r="B21" s="46"/>
      <c r="C21" s="21">
        <v>1</v>
      </c>
      <c r="D21" s="21">
        <v>12</v>
      </c>
      <c r="E21" s="27">
        <f>25000/1.19</f>
        <v>21008.403361344539</v>
      </c>
      <c r="F21" s="90">
        <f>C21*D21*E21</f>
        <v>252100.84033613448</v>
      </c>
      <c r="G21" s="91" t="s">
        <v>68</v>
      </c>
    </row>
    <row r="22" spans="1:8" ht="19" customHeight="1">
      <c r="A22" s="47" t="s">
        <v>55</v>
      </c>
      <c r="B22" s="49"/>
      <c r="C22" s="34"/>
      <c r="D22" s="34"/>
      <c r="E22" s="50" t="s">
        <v>0</v>
      </c>
      <c r="F22" s="51">
        <f>SUM(F9:F21)</f>
        <v>2198688.848739496</v>
      </c>
      <c r="G22" s="52"/>
    </row>
    <row r="23" spans="1:8">
      <c r="A23" s="2" t="s">
        <v>20</v>
      </c>
      <c r="B23" s="53"/>
      <c r="C23" s="6"/>
      <c r="D23" s="6"/>
      <c r="E23" s="5"/>
      <c r="F23" s="3">
        <f>F22*1.19-F22</f>
        <v>417750.88126050401</v>
      </c>
      <c r="G23" s="4"/>
    </row>
    <row r="24" spans="1:8">
      <c r="A24" s="15" t="s">
        <v>21</v>
      </c>
      <c r="B24" s="54"/>
      <c r="C24" s="16"/>
      <c r="D24" s="16"/>
      <c r="E24" s="17"/>
      <c r="F24" s="18">
        <f>F22+F23</f>
        <v>2616439.73</v>
      </c>
      <c r="G24" s="4" t="s">
        <v>22</v>
      </c>
    </row>
    <row r="26" spans="1:8" ht="17" thickBot="1">
      <c r="A26" s="35" t="s">
        <v>85</v>
      </c>
    </row>
    <row r="27" spans="1:8" s="40" customFormat="1">
      <c r="A27" s="23" t="s">
        <v>52</v>
      </c>
      <c r="B27" s="44" t="s">
        <v>13</v>
      </c>
      <c r="C27" s="24" t="s">
        <v>14</v>
      </c>
      <c r="D27" s="24" t="s">
        <v>15</v>
      </c>
      <c r="E27" s="24" t="s">
        <v>16</v>
      </c>
      <c r="F27" s="24" t="s">
        <v>17</v>
      </c>
      <c r="G27" s="25" t="s">
        <v>18</v>
      </c>
      <c r="H27" s="45"/>
    </row>
    <row r="28" spans="1:8" s="40" customFormat="1">
      <c r="A28" s="103" t="s">
        <v>84</v>
      </c>
      <c r="B28" s="104"/>
      <c r="C28" s="105">
        <v>1</v>
      </c>
      <c r="D28" s="105">
        <v>12</v>
      </c>
      <c r="E28" s="107">
        <v>100000</v>
      </c>
      <c r="F28" s="107">
        <f>E28</f>
        <v>100000</v>
      </c>
      <c r="G28" s="106"/>
      <c r="H28" s="45"/>
    </row>
    <row r="29" spans="1:8" s="40" customFormat="1" ht="33" customHeight="1">
      <c r="A29" s="22" t="s">
        <v>19</v>
      </c>
      <c r="B29" s="48">
        <v>0.375</v>
      </c>
      <c r="C29" s="21">
        <v>1</v>
      </c>
      <c r="D29" s="21">
        <v>12</v>
      </c>
      <c r="E29" s="30">
        <v>12500</v>
      </c>
      <c r="F29" s="90">
        <f>C29*D29*E29</f>
        <v>150000</v>
      </c>
      <c r="G29" s="97" t="s">
        <v>73</v>
      </c>
      <c r="H29" s="45"/>
    </row>
    <row r="30" spans="1:8" ht="18.75" customHeight="1">
      <c r="A30" s="67" t="s">
        <v>69</v>
      </c>
      <c r="B30" s="48">
        <v>0.39583333333333331</v>
      </c>
      <c r="C30" s="68">
        <v>1</v>
      </c>
      <c r="D30" s="70">
        <v>12</v>
      </c>
      <c r="E30" s="69">
        <f>290000*1.1</f>
        <v>319000</v>
      </c>
      <c r="F30" s="92">
        <f>E30</f>
        <v>319000</v>
      </c>
      <c r="G30" s="65" t="s">
        <v>70</v>
      </c>
      <c r="H30"/>
    </row>
    <row r="31" spans="1:8" s="40" customFormat="1" ht="17" customHeight="1">
      <c r="A31" s="22" t="s">
        <v>80</v>
      </c>
      <c r="B31" s="48">
        <v>0.39583333333333331</v>
      </c>
      <c r="C31" s="21">
        <v>0</v>
      </c>
      <c r="D31" s="21">
        <v>0</v>
      </c>
      <c r="E31" s="30">
        <v>1800</v>
      </c>
      <c r="F31" s="90"/>
      <c r="G31" s="97" t="s">
        <v>83</v>
      </c>
      <c r="H31" s="45"/>
    </row>
    <row r="32" spans="1:8" ht="15.75" customHeight="1">
      <c r="A32" s="82" t="s">
        <v>71</v>
      </c>
      <c r="B32" s="80">
        <v>0.45833333333333331</v>
      </c>
      <c r="C32" s="56">
        <v>12</v>
      </c>
      <c r="D32" s="56">
        <v>12</v>
      </c>
      <c r="E32" s="81">
        <f>30000/1.19</f>
        <v>25210.084033613446</v>
      </c>
      <c r="F32" s="59">
        <f>D32*E32</f>
        <v>302521.00840336137</v>
      </c>
      <c r="G32" s="65"/>
      <c r="H32" s="57"/>
    </row>
    <row r="33" spans="1:8" ht="15.75" customHeight="1">
      <c r="A33" s="82" t="s">
        <v>90</v>
      </c>
      <c r="B33" s="80"/>
      <c r="C33" s="113">
        <v>0</v>
      </c>
      <c r="D33" s="113">
        <v>12</v>
      </c>
      <c r="E33" s="81">
        <v>10000</v>
      </c>
      <c r="F33" s="114">
        <f>C33*E33</f>
        <v>0</v>
      </c>
      <c r="G33" s="65" t="s">
        <v>94</v>
      </c>
      <c r="H33" s="57"/>
    </row>
    <row r="34" spans="1:8" ht="15.75" customHeight="1">
      <c r="A34" s="82" t="s">
        <v>92</v>
      </c>
      <c r="B34" s="80"/>
      <c r="C34" s="68">
        <v>0</v>
      </c>
      <c r="D34" s="68">
        <v>12</v>
      </c>
      <c r="E34" s="81">
        <f>40000</f>
        <v>40000</v>
      </c>
      <c r="F34" s="81">
        <f>C34*D34*E34</f>
        <v>0</v>
      </c>
      <c r="G34" s="65" t="s">
        <v>93</v>
      </c>
      <c r="H34" s="57"/>
    </row>
    <row r="35" spans="1:8" ht="15.75" customHeight="1">
      <c r="A35" s="67" t="s">
        <v>81</v>
      </c>
      <c r="B35" s="48">
        <v>0.52083333333333337</v>
      </c>
      <c r="C35" s="68">
        <v>1</v>
      </c>
      <c r="D35" s="68">
        <v>12</v>
      </c>
      <c r="E35" s="69">
        <v>275000</v>
      </c>
      <c r="F35" s="92">
        <f>C35*E35</f>
        <v>275000</v>
      </c>
      <c r="G35" s="65"/>
      <c r="H35"/>
    </row>
    <row r="36" spans="1:8" ht="15.75" customHeight="1">
      <c r="A36" s="58" t="s">
        <v>56</v>
      </c>
      <c r="B36" s="101" t="s">
        <v>0</v>
      </c>
      <c r="C36" s="56">
        <v>1</v>
      </c>
      <c r="D36" s="56">
        <v>12</v>
      </c>
      <c r="E36" s="59">
        <v>35000</v>
      </c>
      <c r="F36" s="93">
        <f t="shared" ref="F36" si="0">C36*D36*E36</f>
        <v>420000</v>
      </c>
      <c r="G36" s="98" t="s">
        <v>57</v>
      </c>
      <c r="H36" s="57"/>
    </row>
    <row r="37" spans="1:8">
      <c r="A37" s="41" t="s">
        <v>54</v>
      </c>
      <c r="B37" s="55">
        <v>0.5625</v>
      </c>
      <c r="C37" s="21">
        <v>2</v>
      </c>
      <c r="D37" s="21">
        <v>12</v>
      </c>
      <c r="E37" s="42">
        <v>1933</v>
      </c>
      <c r="F37" s="95">
        <f>C37*D37*E37</f>
        <v>46392</v>
      </c>
      <c r="G37" s="43" t="s">
        <v>60</v>
      </c>
    </row>
    <row r="38" spans="1:8" s="64" customFormat="1" ht="15.75" customHeight="1">
      <c r="A38" s="108" t="s">
        <v>65</v>
      </c>
      <c r="B38" s="109">
        <v>0.5625</v>
      </c>
      <c r="C38" s="66">
        <v>3</v>
      </c>
      <c r="D38" s="66">
        <v>12</v>
      </c>
      <c r="E38" s="110">
        <v>13025</v>
      </c>
      <c r="F38" s="111">
        <f>C38*E38</f>
        <v>39075</v>
      </c>
      <c r="G38" s="112" t="s">
        <v>59</v>
      </c>
    </row>
    <row r="39" spans="1:8" ht="15.75" customHeight="1">
      <c r="A39" s="82" t="s">
        <v>74</v>
      </c>
      <c r="B39" s="80">
        <v>0.625</v>
      </c>
      <c r="C39" s="68">
        <v>1</v>
      </c>
      <c r="D39" s="68">
        <v>12</v>
      </c>
      <c r="E39" s="81">
        <f>38000*D39+100000</f>
        <v>556000</v>
      </c>
      <c r="F39" s="81">
        <f>E39</f>
        <v>556000</v>
      </c>
      <c r="G39" s="65" t="s">
        <v>75</v>
      </c>
      <c r="H39" s="57"/>
    </row>
    <row r="40" spans="1:8" ht="15.75" customHeight="1">
      <c r="A40" s="83" t="s">
        <v>72</v>
      </c>
      <c r="B40" s="84">
        <v>0.6875</v>
      </c>
      <c r="C40" s="66">
        <v>1</v>
      </c>
      <c r="D40" s="66">
        <v>12</v>
      </c>
      <c r="E40" s="85">
        <f>7800*D40+150000</f>
        <v>243600</v>
      </c>
      <c r="F40" s="79">
        <f>E40</f>
        <v>243600</v>
      </c>
      <c r="G40" s="86" t="s">
        <v>88</v>
      </c>
      <c r="H40" s="57"/>
    </row>
    <row r="41" spans="1:8">
      <c r="A41" s="26" t="s">
        <v>91</v>
      </c>
      <c r="B41" s="46"/>
      <c r="C41" s="21">
        <v>1</v>
      </c>
      <c r="D41" s="21">
        <v>12</v>
      </c>
      <c r="E41" s="27">
        <f>25000/1.19</f>
        <v>21008.403361344539</v>
      </c>
      <c r="F41" s="90">
        <f>C41*D41*E41</f>
        <v>252100.84033613448</v>
      </c>
      <c r="G41" s="91" t="s">
        <v>68</v>
      </c>
    </row>
    <row r="42" spans="1:8" ht="19" customHeight="1">
      <c r="A42" s="47" t="s">
        <v>55</v>
      </c>
      <c r="B42" s="49"/>
      <c r="C42" s="34"/>
      <c r="D42" s="34"/>
      <c r="E42" s="50" t="s">
        <v>0</v>
      </c>
      <c r="F42" s="51">
        <f>SUM(F28:F41)</f>
        <v>2703688.848739496</v>
      </c>
      <c r="G42" s="52"/>
    </row>
    <row r="43" spans="1:8">
      <c r="A43" s="2" t="s">
        <v>20</v>
      </c>
      <c r="B43" s="53"/>
      <c r="C43" s="6"/>
      <c r="D43" s="6"/>
      <c r="E43" s="5"/>
      <c r="F43" s="3">
        <f>F42*1.19-F42</f>
        <v>513700.88126050401</v>
      </c>
      <c r="G43" s="4"/>
    </row>
    <row r="44" spans="1:8">
      <c r="A44" s="15" t="s">
        <v>21</v>
      </c>
      <c r="B44" s="54"/>
      <c r="C44" s="16"/>
      <c r="D44" s="16"/>
      <c r="E44" s="17"/>
      <c r="F44" s="18">
        <f>F42+F43</f>
        <v>3217389.73</v>
      </c>
      <c r="G44" s="4" t="s">
        <v>22</v>
      </c>
    </row>
    <row r="47" spans="1:8">
      <c r="A47" s="31" t="s">
        <v>23</v>
      </c>
      <c r="B47"/>
      <c r="G47"/>
      <c r="H47"/>
    </row>
    <row r="48" spans="1:8">
      <c r="A48" s="32" t="s">
        <v>24</v>
      </c>
      <c r="B48" s="32" t="s">
        <v>25</v>
      </c>
      <c r="G48"/>
      <c r="H48"/>
    </row>
    <row r="49" spans="1:26">
      <c r="A49" s="32" t="s">
        <v>26</v>
      </c>
      <c r="B49" s="32" t="s">
        <v>27</v>
      </c>
      <c r="G49"/>
      <c r="H49"/>
    </row>
    <row r="50" spans="1:26">
      <c r="A50" s="32" t="s">
        <v>28</v>
      </c>
      <c r="B50" s="32" t="s">
        <v>29</v>
      </c>
      <c r="G50"/>
      <c r="H50"/>
    </row>
    <row r="51" spans="1:26">
      <c r="A51" s="32" t="s">
        <v>30</v>
      </c>
      <c r="B51" s="32" t="s">
        <v>31</v>
      </c>
      <c r="G51"/>
      <c r="H51"/>
    </row>
    <row r="52" spans="1:26">
      <c r="A52" s="32" t="s">
        <v>32</v>
      </c>
      <c r="B52" s="32" t="s">
        <v>33</v>
      </c>
      <c r="F52"/>
      <c r="G52"/>
      <c r="H52"/>
    </row>
    <row r="53" spans="1:26">
      <c r="A53" s="32" t="s">
        <v>34</v>
      </c>
      <c r="B53" s="32" t="s">
        <v>35</v>
      </c>
      <c r="F53"/>
      <c r="G53"/>
      <c r="H53"/>
    </row>
    <row r="54" spans="1:26">
      <c r="A54" s="32" t="s">
        <v>6</v>
      </c>
      <c r="B54" s="74">
        <v>29539311</v>
      </c>
      <c r="F54"/>
      <c r="G54"/>
      <c r="H54"/>
    </row>
    <row r="55" spans="1:26">
      <c r="A55" s="38" t="s">
        <v>36</v>
      </c>
      <c r="B55"/>
      <c r="F55"/>
      <c r="G55"/>
      <c r="H55"/>
    </row>
    <row r="57" spans="1:26" ht="15.75" customHeight="1">
      <c r="A57" s="71" t="s">
        <v>61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.75" customHeight="1">
      <c r="A58" s="73" t="s">
        <v>62</v>
      </c>
      <c r="B58"/>
      <c r="F58"/>
      <c r="G58"/>
      <c r="H58"/>
    </row>
    <row r="59" spans="1:26" ht="15.75" customHeight="1">
      <c r="A59" s="73" t="s">
        <v>63</v>
      </c>
      <c r="B59"/>
      <c r="F59"/>
      <c r="G59"/>
      <c r="H59"/>
    </row>
    <row r="60" spans="1:26" ht="15.75" customHeight="1">
      <c r="A60" s="73" t="s">
        <v>64</v>
      </c>
      <c r="B60"/>
      <c r="F60"/>
      <c r="G60"/>
      <c r="H60"/>
    </row>
    <row r="61" spans="1:26" ht="15.75" customHeight="1">
      <c r="A61" s="75" t="s">
        <v>66</v>
      </c>
      <c r="B61" s="57"/>
      <c r="E61" s="76"/>
      <c r="F61" s="77"/>
      <c r="G61" s="57"/>
      <c r="H61" s="57"/>
    </row>
    <row r="62" spans="1:26" ht="15.75" customHeight="1">
      <c r="A62" s="75" t="s">
        <v>76</v>
      </c>
      <c r="B62" s="57"/>
      <c r="E62" s="76"/>
      <c r="F62" s="77"/>
      <c r="G62" s="57"/>
      <c r="H62" s="57"/>
    </row>
    <row r="63" spans="1:26">
      <c r="A63" s="78" t="s">
        <v>67</v>
      </c>
      <c r="B63" s="14"/>
      <c r="F63"/>
      <c r="G63"/>
      <c r="H63"/>
    </row>
    <row r="64" spans="1:26">
      <c r="A64"/>
      <c r="B64" s="14"/>
      <c r="F64"/>
      <c r="G64"/>
      <c r="H64"/>
    </row>
    <row r="65" spans="1:8">
      <c r="A65" s="31" t="s">
        <v>37</v>
      </c>
      <c r="B65"/>
      <c r="F65"/>
      <c r="G65"/>
      <c r="H65"/>
    </row>
    <row r="66" spans="1:8">
      <c r="A66" s="32" t="s">
        <v>38</v>
      </c>
      <c r="B66"/>
      <c r="F66"/>
      <c r="G66"/>
      <c r="H66"/>
    </row>
    <row r="67" spans="1:8">
      <c r="A67" s="33" t="s">
        <v>39</v>
      </c>
      <c r="B67"/>
      <c r="F67"/>
      <c r="G67"/>
      <c r="H67"/>
    </row>
    <row r="68" spans="1:8">
      <c r="A68" s="33" t="s">
        <v>40</v>
      </c>
      <c r="B68"/>
      <c r="F68"/>
      <c r="G68"/>
      <c r="H68"/>
    </row>
    <row r="69" spans="1:8">
      <c r="A69" s="31" t="s">
        <v>41</v>
      </c>
      <c r="B69"/>
      <c r="F69"/>
      <c r="G69"/>
      <c r="H69"/>
    </row>
    <row r="70" spans="1:8">
      <c r="A70" s="33" t="s">
        <v>42</v>
      </c>
      <c r="B70"/>
      <c r="F70"/>
      <c r="G70"/>
      <c r="H70"/>
    </row>
    <row r="71" spans="1:8">
      <c r="A71" s="31" t="s">
        <v>43</v>
      </c>
      <c r="B71"/>
      <c r="F71"/>
      <c r="G71"/>
      <c r="H71"/>
    </row>
    <row r="72" spans="1:8">
      <c r="A72" s="33" t="s">
        <v>44</v>
      </c>
      <c r="B72"/>
      <c r="F72"/>
      <c r="G72"/>
      <c r="H72"/>
    </row>
    <row r="73" spans="1:8">
      <c r="A73" s="33" t="s">
        <v>45</v>
      </c>
      <c r="B73"/>
      <c r="F73"/>
      <c r="G73"/>
      <c r="H73"/>
    </row>
    <row r="74" spans="1:8">
      <c r="A74" s="33" t="s">
        <v>46</v>
      </c>
      <c r="B74"/>
      <c r="F74"/>
      <c r="G74"/>
      <c r="H74"/>
    </row>
    <row r="75" spans="1:8">
      <c r="A75" s="33" t="s">
        <v>47</v>
      </c>
      <c r="B75"/>
      <c r="F75"/>
      <c r="G75"/>
      <c r="H75"/>
    </row>
    <row r="76" spans="1:8">
      <c r="A76" s="32"/>
      <c r="B76"/>
      <c r="F76"/>
      <c r="G76"/>
      <c r="H76"/>
    </row>
    <row r="77" spans="1:8">
      <c r="A77" s="32" t="s">
        <v>48</v>
      </c>
      <c r="B77" s="32"/>
      <c r="C77" s="32"/>
      <c r="D77" s="32"/>
      <c r="E77" s="32"/>
      <c r="F77" s="32"/>
      <c r="G77"/>
      <c r="H77"/>
    </row>
    <row r="78" spans="1:8">
      <c r="A78" s="36"/>
      <c r="B78"/>
      <c r="F78"/>
      <c r="G78"/>
      <c r="H78"/>
    </row>
    <row r="79" spans="1:8">
      <c r="A79" s="37" t="s">
        <v>49</v>
      </c>
      <c r="B79"/>
      <c r="F79"/>
      <c r="G79"/>
      <c r="H79"/>
    </row>
    <row r="80" spans="1:8" ht="16" customHeight="1">
      <c r="A80" s="115" t="s">
        <v>50</v>
      </c>
      <c r="B80" s="115"/>
      <c r="C80" s="115"/>
      <c r="D80" s="115"/>
      <c r="E80" s="115"/>
      <c r="F80" s="115"/>
      <c r="G80"/>
      <c r="H80"/>
    </row>
    <row r="81" spans="1:8">
      <c r="A81" s="32"/>
      <c r="B81"/>
      <c r="F81"/>
      <c r="G81"/>
      <c r="H81"/>
    </row>
    <row r="82" spans="1:8">
      <c r="A82" s="31" t="s">
        <v>23</v>
      </c>
      <c r="B82"/>
      <c r="F82"/>
      <c r="G82"/>
      <c r="H82"/>
    </row>
    <row r="83" spans="1:8">
      <c r="A83" s="32" t="s">
        <v>24</v>
      </c>
      <c r="B83" s="32" t="s">
        <v>25</v>
      </c>
      <c r="F83"/>
      <c r="G83"/>
      <c r="H83"/>
    </row>
    <row r="84" spans="1:8">
      <c r="A84" s="32" t="s">
        <v>26</v>
      </c>
      <c r="B84" s="32" t="s">
        <v>27</v>
      </c>
      <c r="F84"/>
      <c r="G84"/>
      <c r="H84"/>
    </row>
    <row r="85" spans="1:8">
      <c r="A85" s="32" t="s">
        <v>28</v>
      </c>
      <c r="B85" s="32" t="s">
        <v>29</v>
      </c>
      <c r="F85"/>
      <c r="G85"/>
      <c r="H85"/>
    </row>
    <row r="86" spans="1:8">
      <c r="A86" s="32" t="s">
        <v>30</v>
      </c>
      <c r="B86" s="32" t="s">
        <v>31</v>
      </c>
      <c r="F86"/>
      <c r="G86"/>
      <c r="H86"/>
    </row>
    <row r="87" spans="1:8">
      <c r="A87" s="32" t="s">
        <v>32</v>
      </c>
      <c r="B87" s="32" t="s">
        <v>33</v>
      </c>
      <c r="F87"/>
      <c r="G87"/>
      <c r="H87"/>
    </row>
    <row r="88" spans="1:8">
      <c r="A88" s="32" t="s">
        <v>34</v>
      </c>
      <c r="B88" s="32" t="s">
        <v>35</v>
      </c>
      <c r="F88"/>
      <c r="G88"/>
      <c r="H88"/>
    </row>
    <row r="89" spans="1:8">
      <c r="A89" s="32" t="s">
        <v>6</v>
      </c>
      <c r="B89" s="32">
        <v>29539311</v>
      </c>
      <c r="F89"/>
      <c r="G89"/>
      <c r="H89"/>
    </row>
    <row r="90" spans="1:8">
      <c r="A90" s="38" t="s">
        <v>36</v>
      </c>
      <c r="B90"/>
      <c r="F90"/>
      <c r="G90"/>
      <c r="H90"/>
    </row>
    <row r="91" spans="1:8">
      <c r="A91"/>
      <c r="B91" s="14"/>
      <c r="F91"/>
      <c r="G91"/>
      <c r="H91"/>
    </row>
    <row r="92" spans="1:8">
      <c r="A92"/>
      <c r="B92" s="14"/>
      <c r="F92"/>
      <c r="G92"/>
      <c r="H92"/>
    </row>
    <row r="93" spans="1:8">
      <c r="A93"/>
      <c r="B93" s="14"/>
      <c r="F93"/>
      <c r="G93"/>
      <c r="H93"/>
    </row>
    <row r="94" spans="1:8">
      <c r="A94"/>
      <c r="B94" s="14"/>
      <c r="F94"/>
      <c r="G94"/>
      <c r="H94"/>
    </row>
    <row r="95" spans="1:8">
      <c r="A95"/>
      <c r="B95" s="14"/>
      <c r="F95"/>
      <c r="G95"/>
      <c r="H95"/>
    </row>
    <row r="96" spans="1:8">
      <c r="A96"/>
      <c r="B96" s="14"/>
      <c r="F96"/>
      <c r="G96"/>
      <c r="H96"/>
    </row>
  </sheetData>
  <mergeCells count="1">
    <mergeCell ref="A80:F80"/>
  </mergeCells>
  <hyperlinks>
    <hyperlink ref="A90" r:id="rId1" display="mailto:sf@sflodge.cl" xr:uid="{57DF8044-FB95-C949-BA16-42BAF80495A0}"/>
    <hyperlink ref="A55" r:id="rId2" display="mailto:sf@sflodge.cl" xr:uid="{F820DFDB-B4C1-4448-B2A2-A730DA7D99B9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</dc:creator>
  <cp:keywords/>
  <dc:description/>
  <cp:lastModifiedBy>carmen rodriguez delgado</cp:lastModifiedBy>
  <cp:revision/>
  <dcterms:created xsi:type="dcterms:W3CDTF">2014-07-29T17:30:41Z</dcterms:created>
  <dcterms:modified xsi:type="dcterms:W3CDTF">2025-09-17T17:03:47Z</dcterms:modified>
  <cp:category/>
  <cp:contentStatus/>
</cp:coreProperties>
</file>