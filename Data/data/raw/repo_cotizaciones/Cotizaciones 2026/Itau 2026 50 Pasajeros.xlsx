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C24EBD8F-8ABE-C042-9FC3-173251200DFA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Hoja1" sheetId="4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D20" i="4" l="1"/>
  <c r="E29" i="4"/>
  <c r="F19" i="4"/>
  <c r="F26" i="4" l="1"/>
  <c r="F11" i="4"/>
  <c r="F16" i="4"/>
  <c r="F18" i="4" l="1"/>
  <c r="F15" i="4" l="1"/>
  <c r="F27" i="4" l="1"/>
  <c r="F28" i="4"/>
  <c r="F30" i="4"/>
  <c r="F29" i="4"/>
  <c r="F31" i="4" s="1"/>
  <c r="E22" i="4"/>
  <c r="F13" i="4"/>
  <c r="F20" i="4" s="1"/>
  <c r="F25" i="4"/>
  <c r="F24" i="4"/>
  <c r="F23" i="4"/>
  <c r="F32" i="4" l="1"/>
  <c r="F33" i="4" s="1"/>
  <c r="F34" i="4" s="1"/>
  <c r="F36" i="4" s="1"/>
</calcChain>
</file>

<file path=xl/sharedStrings.xml><?xml version="1.0" encoding="utf-8"?>
<sst xmlns="http://schemas.openxmlformats.org/spreadsheetml/2006/main" count="83" uniqueCount="67">
  <si>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</si>
  <si>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</si>
  <si>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</si>
  <si>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</si>
  <si>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</si>
  <si>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</si>
  <si>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</si>
  <si>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</si>
  <si>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</si>
  <si>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</si>
  <si>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</si>
  <si>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</si>
  <si>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</si>
  <si>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</si>
  <si>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</si>
  <si>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Café, té, leche, yogurt, jamón, queso, huevos, mermeladas, mantequilla, panes, minipastelitos y cereales</t>
  </si>
  <si>
    <t>Bebida gaseosa</t>
  </si>
  <si>
    <t>Habitación single hotel</t>
  </si>
  <si>
    <t>Data, amplificacion, microfonos, operador.</t>
  </si>
  <si>
    <t>Total  Evento</t>
  </si>
  <si>
    <t>IVA</t>
  </si>
  <si>
    <t>Total evento con IVA</t>
  </si>
  <si>
    <t>Email</t>
  </si>
  <si>
    <t>Fecha</t>
  </si>
  <si>
    <t xml:space="preserve"> Sub Total </t>
  </si>
  <si>
    <t>Equipado con telón papelógrafo, aire acondicionado y calefacción, 8 h Día o 4 h Noche (disponible solo hasta las 10:00)</t>
  </si>
  <si>
    <t>Desayuno, cabalgatas, canopy, kayak, botes, standup paddle, canchas tenis, minigolf, pesca con mosca y piscina temperada</t>
  </si>
  <si>
    <t>Gaseosa ó mineral.</t>
  </si>
  <si>
    <t>Carmen Rodriguez</t>
  </si>
  <si>
    <t>Habitación Doble hotel</t>
  </si>
  <si>
    <t>Opciones de parrilla de carnes y vejetales, pastas, acompañamientos, Salad bar, salsas, dressing, 1 Postre, sopas, inc café.</t>
  </si>
  <si>
    <t>140 cafes premium, espreso, americano, cortado, mocacchino, latte, capuchino, agua caliente, etc</t>
  </si>
  <si>
    <t xml:space="preserve">Galletas caseras de mantequilla </t>
  </si>
  <si>
    <t>Desayuno(incluido en el Alojamiento)</t>
  </si>
  <si>
    <t>Maquina Milano (para Coffe permanente)</t>
  </si>
  <si>
    <t>Itau</t>
  </si>
  <si>
    <t>Dia 2</t>
  </si>
  <si>
    <t xml:space="preserve"> Piscola (Cambiar a  Mistral 40°), Roncola (Havanna),  vodka (wyborowa), Whisky( Cambiar por Jack Daniel 7 Años), Gin beefeter, Ramazzotti,  Daiquiri, Pisco sour, Kir Royal, Piña Colada, Copa de vino castillo molina( blanco y tinto) , copa de espumante Viña Mar Brut, cervezas en botella tales como  Austral y Kunstmann. Las bebidas son de marcas CCU.</t>
  </si>
  <si>
    <t>3 unidades por persona+ 2 tapaditos AM y PM</t>
  </si>
  <si>
    <t>Botellas de agua mineral disponibles en Salon.</t>
  </si>
  <si>
    <t>Botellas individuales jugo Berrisur</t>
  </si>
  <si>
    <t>Reponer en la tarde los que se necesiten.</t>
  </si>
  <si>
    <t>Buffet Sugerencias del chef.</t>
  </si>
  <si>
    <t>Hora Extra de coctel(PERSONAL)</t>
  </si>
  <si>
    <t>dia 1</t>
  </si>
  <si>
    <t>Coctel con estaciones de pizzas, parrilla, minilomitos, quesos y frutos secos, frutos del mar.</t>
  </si>
  <si>
    <t>5% de descuento por fidelizacion.</t>
  </si>
  <si>
    <t>3 TRAGOS POR PERSONA</t>
  </si>
  <si>
    <t>Hasta de las 21:00.</t>
  </si>
  <si>
    <t>19:00- 21:00</t>
  </si>
  <si>
    <t>4 estaciones de comida, 1)Calamares a la romana con salsa al Olivo, ceviche, 2) Minisandwich de lomito, 3) cortes de parrilla en parrilla y bandejeado, 4)Pizzas a la Minuta, 5)Frutos secos y quesos, esto con atencion permanete hasta las 21:00 y liego se deja montadas estaciones de autoatencion, agregar algo dulce.</t>
  </si>
  <si>
    <t>19:00-23:00</t>
  </si>
  <si>
    <t>Comedor VIP</t>
  </si>
  <si>
    <t>DJ y/o Karaoque  4 hrs menos de 50 pax</t>
  </si>
  <si>
    <t>4 horas</t>
  </si>
  <si>
    <t>Café, té, agua, jugo de pulpa, 2 facturitas ó 1 muffins y 1 tapaditos.</t>
  </si>
  <si>
    <t>agregar</t>
  </si>
  <si>
    <t>Agregar  en terracita para la bienvenida</t>
  </si>
  <si>
    <t xml:space="preserve">Actividades libres por orden de llegada </t>
  </si>
  <si>
    <t>cabalgatas, canopy, kayak, botes, standup paddle, canchas tenis, minigolf, pesca con mosca y piscina temperada</t>
  </si>
  <si>
    <t>Coffee Básico, terraza Kuntzman</t>
  </si>
  <si>
    <t>Pago con Factura contra orden de compra a 30 dias</t>
  </si>
  <si>
    <t>Nicolas Sepulveda</t>
  </si>
  <si>
    <t>?</t>
  </si>
  <si>
    <t>Salon Fario medio dia</t>
  </si>
  <si>
    <t>Tecnica para salones medio dia</t>
  </si>
  <si>
    <t>NICOLAS.SEPULVEDA_MERY@ITAU.CL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</si>
</sst>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2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548DD4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3C444F"/>
      <name val="Calibri"/>
      <family val="2"/>
      <scheme val="major"/>
    </font>
    <font>
      <sz val="14"/>
      <color theme="4"/>
      <name val="Calibri"/>
      <family val="2"/>
    </font>
    <font>
      <sz val="12"/>
      <color theme="1"/>
      <name val="Helvetica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2"/>
      <color theme="3"/>
      <name val="Calibri"/>
      <family val="2"/>
      <scheme val="minor"/>
    </font>
    <font>
      <u/>
      <sz val="8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4" fillId="0" borderId="0" xfId="0" applyFont="1" applyAlignment="1">
      <alignment horizontal="right"/>
    </xf>
    <xf numFmtId="21" fontId="4" fillId="0" borderId="0" xfId="0" applyNumberFormat="1" applyFont="1" applyAlignment="1">
      <alignment horizontal="right"/>
    </xf>
    <xf numFmtId="0" fontId="5" fillId="0" borderId="0" xfId="0" applyFont="1"/>
    <xf numFmtId="21" fontId="6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11" fillId="3" borderId="1" xfId="0" applyFont="1" applyFill="1" applyBorder="1" applyAlignment="1">
      <alignment horizontal="center"/>
    </xf>
    <xf numFmtId="20" fontId="11" fillId="3" borderId="1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0" borderId="0" xfId="0" applyFont="1" applyAlignment="1">
      <alignment horizontal="center"/>
    </xf>
    <xf numFmtId="0" fontId="11" fillId="0" borderId="0" xfId="0" applyFont="1"/>
    <xf numFmtId="0" fontId="11" fillId="0" borderId="6" xfId="0" applyFont="1" applyBorder="1" applyAlignment="1">
      <alignment horizontal="right"/>
    </xf>
    <xf numFmtId="0" fontId="11" fillId="0" borderId="7" xfId="0" applyFont="1" applyBorder="1" applyAlignment="1">
      <alignment horizontal="center"/>
    </xf>
    <xf numFmtId="165" fontId="6" fillId="0" borderId="0" xfId="0" applyNumberFormat="1" applyFont="1"/>
    <xf numFmtId="0" fontId="7" fillId="0" borderId="0" xfId="0" applyFont="1" applyAlignment="1">
      <alignment horizontal="left"/>
    </xf>
    <xf numFmtId="20" fontId="6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right"/>
    </xf>
    <xf numFmtId="165" fontId="11" fillId="3" borderId="1" xfId="0" applyNumberFormat="1" applyFont="1" applyFill="1" applyBorder="1"/>
    <xf numFmtId="20" fontId="11" fillId="0" borderId="7" xfId="0" applyNumberFormat="1" applyFont="1" applyBorder="1" applyAlignment="1">
      <alignment horizontal="center"/>
    </xf>
    <xf numFmtId="165" fontId="11" fillId="0" borderId="7" xfId="0" applyNumberFormat="1" applyFont="1" applyBorder="1" applyAlignment="1">
      <alignment horizontal="right"/>
    </xf>
    <xf numFmtId="165" fontId="6" fillId="5" borderId="1" xfId="0" applyNumberFormat="1" applyFont="1" applyFill="1" applyBorder="1" applyAlignment="1">
      <alignment horizontal="right" wrapText="1"/>
    </xf>
    <xf numFmtId="0" fontId="15" fillId="0" borderId="0" xfId="0" applyFont="1"/>
    <xf numFmtId="0" fontId="11" fillId="3" borderId="9" xfId="0" applyFont="1" applyFill="1" applyBorder="1" applyAlignment="1">
      <alignment horizontal="center"/>
    </xf>
    <xf numFmtId="21" fontId="14" fillId="3" borderId="10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left"/>
    </xf>
    <xf numFmtId="164" fontId="12" fillId="0" borderId="2" xfId="0" applyNumberFormat="1" applyFont="1" applyBorder="1" applyAlignment="1">
      <alignment horizontal="left"/>
    </xf>
    <xf numFmtId="0" fontId="11" fillId="0" borderId="2" xfId="0" applyFont="1" applyBorder="1" applyAlignment="1">
      <alignment horizontal="right"/>
    </xf>
    <xf numFmtId="20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5" fontId="11" fillId="0" borderId="2" xfId="0" applyNumberFormat="1" applyFont="1" applyBorder="1" applyAlignment="1">
      <alignment horizontal="right"/>
    </xf>
    <xf numFmtId="165" fontId="11" fillId="0" borderId="4" xfId="0" applyNumberFormat="1" applyFont="1" applyBorder="1" applyAlignment="1">
      <alignment horizontal="right"/>
    </xf>
    <xf numFmtId="165" fontId="11" fillId="3" borderId="13" xfId="0" applyNumberFormat="1" applyFont="1" applyFill="1" applyBorder="1" applyAlignment="1">
      <alignment horizontal="right"/>
    </xf>
    <xf numFmtId="0" fontId="11" fillId="3" borderId="12" xfId="0" applyFont="1" applyFill="1" applyBorder="1"/>
    <xf numFmtId="164" fontId="11" fillId="3" borderId="14" xfId="0" applyNumberFormat="1" applyFont="1" applyFill="1" applyBorder="1" applyAlignment="1">
      <alignment horizontal="right"/>
    </xf>
    <xf numFmtId="165" fontId="11" fillId="3" borderId="14" xfId="0" applyNumberFormat="1" applyFont="1" applyFill="1" applyBorder="1" applyAlignment="1">
      <alignment horizontal="right"/>
    </xf>
    <xf numFmtId="0" fontId="11" fillId="0" borderId="12" xfId="0" applyFont="1" applyBorder="1" applyAlignment="1">
      <alignment horizontal="left"/>
    </xf>
    <xf numFmtId="0" fontId="11" fillId="0" borderId="18" xfId="0" applyFont="1" applyBorder="1" applyAlignment="1">
      <alignment horizontal="right" vertical="center"/>
    </xf>
    <xf numFmtId="20" fontId="11" fillId="0" borderId="19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165" fontId="11" fillId="0" borderId="19" xfId="0" applyNumberFormat="1" applyFont="1" applyBorder="1" applyAlignment="1">
      <alignment horizontal="right"/>
    </xf>
    <xf numFmtId="0" fontId="10" fillId="2" borderId="16" xfId="0" applyFont="1" applyFill="1" applyBorder="1" applyAlignment="1">
      <alignment horizontal="center"/>
    </xf>
    <xf numFmtId="20" fontId="10" fillId="2" borderId="3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65" fontId="10" fillId="2" borderId="3" xfId="0" applyNumberFormat="1" applyFont="1" applyFill="1" applyBorder="1" applyAlignment="1">
      <alignment horizontal="center"/>
    </xf>
    <xf numFmtId="165" fontId="10" fillId="2" borderId="17" xfId="0" applyNumberFormat="1" applyFont="1" applyFill="1" applyBorder="1" applyAlignment="1">
      <alignment horizontal="center"/>
    </xf>
    <xf numFmtId="0" fontId="11" fillId="3" borderId="21" xfId="0" applyFont="1" applyFill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10" fillId="3" borderId="18" xfId="0" applyFont="1" applyFill="1" applyBorder="1" applyAlignment="1">
      <alignment horizontal="right"/>
    </xf>
    <xf numFmtId="20" fontId="10" fillId="3" borderId="22" xfId="0" applyNumberFormat="1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165" fontId="10" fillId="3" borderId="22" xfId="0" applyNumberFormat="1" applyFont="1" applyFill="1" applyBorder="1" applyAlignment="1">
      <alignment horizontal="center"/>
    </xf>
    <xf numFmtId="165" fontId="10" fillId="3" borderId="23" xfId="0" applyNumberFormat="1" applyFont="1" applyFill="1" applyBorder="1" applyAlignment="1">
      <alignment horizontal="right"/>
    </xf>
    <xf numFmtId="0" fontId="10" fillId="3" borderId="23" xfId="0" applyFont="1" applyFill="1" applyBorder="1" applyAlignment="1">
      <alignment horizontal="center"/>
    </xf>
    <xf numFmtId="165" fontId="11" fillId="3" borderId="24" xfId="0" applyNumberFormat="1" applyFont="1" applyFill="1" applyBorder="1" applyAlignment="1">
      <alignment horizontal="right"/>
    </xf>
    <xf numFmtId="165" fontId="11" fillId="3" borderId="10" xfId="0" applyNumberFormat="1" applyFont="1" applyFill="1" applyBorder="1" applyAlignment="1">
      <alignment horizontal="right"/>
    </xf>
    <xf numFmtId="0" fontId="10" fillId="2" borderId="17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left"/>
    </xf>
    <xf numFmtId="0" fontId="6" fillId="4" borderId="15" xfId="0" applyFont="1" applyFill="1" applyBorder="1" applyAlignment="1">
      <alignment wrapText="1"/>
    </xf>
    <xf numFmtId="20" fontId="11" fillId="3" borderId="9" xfId="0" applyNumberFormat="1" applyFont="1" applyFill="1" applyBorder="1" applyAlignment="1">
      <alignment horizontal="center" vertical="center"/>
    </xf>
    <xf numFmtId="165" fontId="6" fillId="5" borderId="9" xfId="0" applyNumberFormat="1" applyFont="1" applyFill="1" applyBorder="1" applyAlignment="1">
      <alignment horizontal="right" wrapText="1"/>
    </xf>
    <xf numFmtId="0" fontId="11" fillId="3" borderId="26" xfId="0" applyFont="1" applyFill="1" applyBorder="1" applyAlignment="1">
      <alignment horizontal="left" vertical="center"/>
    </xf>
    <xf numFmtId="20" fontId="11" fillId="3" borderId="27" xfId="0" applyNumberFormat="1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/>
    </xf>
    <xf numFmtId="165" fontId="11" fillId="3" borderId="27" xfId="0" applyNumberFormat="1" applyFont="1" applyFill="1" applyBorder="1" applyAlignment="1">
      <alignment horizontal="right"/>
    </xf>
    <xf numFmtId="165" fontId="11" fillId="3" borderId="28" xfId="0" applyNumberFormat="1" applyFont="1" applyFill="1" applyBorder="1" applyAlignment="1">
      <alignment horizontal="right"/>
    </xf>
    <xf numFmtId="0" fontId="11" fillId="3" borderId="11" xfId="0" applyFont="1" applyFill="1" applyBorder="1" applyAlignment="1">
      <alignment horizontal="left"/>
    </xf>
    <xf numFmtId="0" fontId="11" fillId="3" borderId="25" xfId="0" applyFont="1" applyFill="1" applyBorder="1" applyAlignment="1">
      <alignment horizontal="left" wrapText="1"/>
    </xf>
    <xf numFmtId="164" fontId="11" fillId="0" borderId="10" xfId="0" applyNumberFormat="1" applyFont="1" applyBorder="1" applyAlignment="1">
      <alignment horizontal="right"/>
    </xf>
    <xf numFmtId="0" fontId="11" fillId="0" borderId="10" xfId="0" applyFont="1" applyBorder="1" applyAlignment="1">
      <alignment horizontal="left"/>
    </xf>
    <xf numFmtId="164" fontId="11" fillId="3" borderId="10" xfId="0" applyNumberFormat="1" applyFont="1" applyFill="1" applyBorder="1" applyAlignment="1">
      <alignment horizontal="right"/>
    </xf>
    <xf numFmtId="0" fontId="3" fillId="0" borderId="0" xfId="0" applyFont="1"/>
    <xf numFmtId="0" fontId="6" fillId="0" borderId="10" xfId="0" applyFont="1" applyBorder="1" applyAlignment="1">
      <alignment wrapText="1"/>
    </xf>
    <xf numFmtId="0" fontId="11" fillId="3" borderId="29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/>
    </xf>
    <xf numFmtId="0" fontId="6" fillId="3" borderId="30" xfId="0" applyFont="1" applyFill="1" applyBorder="1"/>
    <xf numFmtId="0" fontId="11" fillId="3" borderId="30" xfId="0" applyFont="1" applyFill="1" applyBorder="1" applyAlignment="1">
      <alignment vertical="center" wrapText="1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0" fillId="3" borderId="29" xfId="0" applyFont="1" applyFill="1" applyBorder="1" applyAlignment="1">
      <alignment horizontal="right"/>
    </xf>
    <xf numFmtId="165" fontId="11" fillId="3" borderId="5" xfId="0" applyNumberFormat="1" applyFont="1" applyFill="1" applyBorder="1" applyAlignment="1">
      <alignment horizontal="right" vertical="center"/>
    </xf>
    <xf numFmtId="165" fontId="11" fillId="3" borderId="5" xfId="0" applyNumberFormat="1" applyFont="1" applyFill="1" applyBorder="1" applyAlignment="1">
      <alignment horizontal="right"/>
    </xf>
    <xf numFmtId="165" fontId="11" fillId="3" borderId="25" xfId="0" applyNumberFormat="1" applyFont="1" applyFill="1" applyBorder="1" applyAlignment="1">
      <alignment horizontal="right"/>
    </xf>
    <xf numFmtId="165" fontId="11" fillId="3" borderId="11" xfId="0" applyNumberFormat="1" applyFont="1" applyFill="1" applyBorder="1" applyAlignment="1">
      <alignment horizontal="right"/>
    </xf>
    <xf numFmtId="20" fontId="11" fillId="3" borderId="9" xfId="0" applyNumberFormat="1" applyFont="1" applyFill="1" applyBorder="1" applyAlignment="1">
      <alignment horizontal="center"/>
    </xf>
    <xf numFmtId="20" fontId="11" fillId="3" borderId="10" xfId="0" applyNumberFormat="1" applyFont="1" applyFill="1" applyBorder="1" applyAlignment="1">
      <alignment horizontal="center" vertical="center"/>
    </xf>
    <xf numFmtId="20" fontId="10" fillId="3" borderId="10" xfId="0" applyNumberFormat="1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left"/>
    </xf>
    <xf numFmtId="20" fontId="16" fillId="0" borderId="0" xfId="0" applyNumberFormat="1" applyFont="1"/>
    <xf numFmtId="0" fontId="10" fillId="2" borderId="10" xfId="0" applyFont="1" applyFill="1" applyBorder="1" applyAlignment="1">
      <alignment horizontal="center"/>
    </xf>
    <xf numFmtId="20" fontId="10" fillId="2" borderId="10" xfId="0" applyNumberFormat="1" applyFont="1" applyFill="1" applyBorder="1" applyAlignment="1">
      <alignment horizontal="center"/>
    </xf>
    <xf numFmtId="165" fontId="10" fillId="2" borderId="10" xfId="0" applyNumberFormat="1" applyFont="1" applyFill="1" applyBorder="1" applyAlignment="1">
      <alignment horizontal="center"/>
    </xf>
    <xf numFmtId="0" fontId="2" fillId="7" borderId="0" xfId="0" applyFont="1" applyFill="1"/>
    <xf numFmtId="0" fontId="0" fillId="7" borderId="0" xfId="0" applyFill="1"/>
    <xf numFmtId="165" fontId="0" fillId="7" borderId="0" xfId="0" applyNumberFormat="1" applyFill="1"/>
    <xf numFmtId="0" fontId="17" fillId="0" borderId="0" xfId="0" applyFont="1"/>
    <xf numFmtId="165" fontId="1" fillId="0" borderId="0" xfId="0" applyNumberFormat="1" applyFont="1"/>
    <xf numFmtId="0" fontId="11" fillId="3" borderId="10" xfId="0" applyFont="1" applyFill="1" applyBorder="1"/>
    <xf numFmtId="164" fontId="11" fillId="3" borderId="10" xfId="0" applyNumberFormat="1" applyFont="1" applyFill="1" applyBorder="1"/>
    <xf numFmtId="0" fontId="6" fillId="6" borderId="10" xfId="0" applyFont="1" applyFill="1" applyBorder="1" applyAlignment="1">
      <alignment horizontal="center"/>
    </xf>
    <xf numFmtId="0" fontId="6" fillId="6" borderId="10" xfId="0" applyFont="1" applyFill="1" applyBorder="1"/>
    <xf numFmtId="0" fontId="19" fillId="6" borderId="10" xfId="0" applyFont="1" applyFill="1" applyBorder="1"/>
    <xf numFmtId="6" fontId="6" fillId="6" borderId="10" xfId="0" applyNumberFormat="1" applyFont="1" applyFill="1" applyBorder="1" applyAlignment="1">
      <alignment horizontal="right"/>
    </xf>
    <xf numFmtId="0" fontId="13" fillId="8" borderId="10" xfId="0" applyFont="1" applyFill="1" applyBorder="1" applyAlignment="1">
      <alignment horizontal="center"/>
    </xf>
    <xf numFmtId="21" fontId="20" fillId="3" borderId="10" xfId="0" applyNumberFormat="1" applyFont="1" applyFill="1" applyBorder="1" applyAlignment="1">
      <alignment horizontal="center" vertical="center"/>
    </xf>
    <xf numFmtId="0" fontId="1" fillId="0" borderId="0" xfId="0" applyFont="1"/>
    <xf numFmtId="0" fontId="11" fillId="3" borderId="15" xfId="0" applyFont="1" applyFill="1" applyBorder="1"/>
    <xf numFmtId="0" fontId="11" fillId="3" borderId="25" xfId="0" applyFont="1" applyFill="1" applyBorder="1" applyAlignment="1">
      <alignment horizontal="left"/>
    </xf>
    <xf numFmtId="20" fontId="6" fillId="3" borderId="6" xfId="0" applyNumberFormat="1" applyFont="1" applyFill="1" applyBorder="1" applyAlignment="1">
      <alignment horizontal="center" vertical="center"/>
    </xf>
    <xf numFmtId="20" fontId="6" fillId="3" borderId="8" xfId="0" applyNumberFormat="1" applyFont="1" applyFill="1" applyBorder="1" applyAlignment="1">
      <alignment horizontal="center" vertical="center"/>
    </xf>
    <xf numFmtId="164" fontId="11" fillId="3" borderId="5" xfId="0" applyNumberFormat="1" applyFont="1" applyFill="1" applyBorder="1"/>
    <xf numFmtId="164" fontId="11" fillId="3" borderId="25" xfId="0" applyNumberFormat="1" applyFont="1" applyFill="1" applyBorder="1"/>
    <xf numFmtId="0" fontId="11" fillId="3" borderId="33" xfId="0" applyFont="1" applyFill="1" applyBorder="1" applyAlignment="1">
      <alignment horizontal="center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981200" cy="1438275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6E11A701-C074-3344-92FF-CD89FF2264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81200" cy="14382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2362200" cy="137795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133350"/>
          <a:ext cx="2362200" cy="1377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3</xdr:row>
      <xdr:rowOff>0</xdr:rowOff>
    </xdr:from>
    <xdr:to>
      <xdr:col>14</xdr:col>
      <xdr:colOff>428656</xdr:colOff>
      <xdr:row>14</xdr:row>
      <xdr:rowOff>88900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4569C9-6817-1F09-D749-0457C8B54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9700" y="1828800"/>
          <a:ext cx="10131456" cy="218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5F89-80C7-D347-B3BD-8AFE1B771F38}">
  <dimension ref="A3:Z37"/>
  <sheetViews>
    <sheetView tabSelected="1" zoomScale="122" zoomScaleNormal="122" workbookViewId="0">
      <selection activeCell="D21" sqref="D21"/>
    </sheetView>
  </sheetViews>
  <sheetFormatPr baseColWidth="10" defaultRowHeight="16" x14ac:dyDescent="0.2"/>
  <cols>
    <col min="1" max="1" width="39.33203125" bestFit="1" customWidth="1"/>
    <col min="5" max="5" width="12.1640625" bestFit="1" customWidth="1"/>
    <col min="6" max="6" width="15" customWidth="1"/>
    <col min="7" max="7" width="101.1640625" customWidth="1"/>
    <col min="8" max="8" width="33.6640625" bestFit="1" customWidth="1"/>
  </cols>
  <sheetData>
    <row r="3" spans="1:26" ht="19.5" customHeight="1" x14ac:dyDescent="0.3">
      <c r="A3" s="1" t="s">
        <v>0</v>
      </c>
      <c r="B3" s="2"/>
      <c r="C3" s="3" t="s">
        <v>1</v>
      </c>
      <c r="E3" s="21"/>
      <c r="F3" s="21"/>
    </row>
    <row r="4" spans="1:26" ht="19.5" customHeight="1" x14ac:dyDescent="0.2">
      <c r="B4" s="4"/>
      <c r="E4" s="21"/>
      <c r="F4" s="21" t="s">
        <v>0</v>
      </c>
      <c r="G4" s="5" t="s">
        <v>2</v>
      </c>
    </row>
    <row r="5" spans="1:26" ht="19.5" customHeight="1" x14ac:dyDescent="0.25">
      <c r="A5" s="6" t="s">
        <v>3</v>
      </c>
      <c r="B5" s="8" t="s">
        <v>62</v>
      </c>
      <c r="C5" s="7"/>
      <c r="D5" s="7" t="s">
        <v>4</v>
      </c>
      <c r="E5" s="6" t="s">
        <v>35</v>
      </c>
      <c r="F5" s="7"/>
      <c r="G5" s="97" t="s">
        <v>61</v>
      </c>
    </row>
    <row r="6" spans="1:26" ht="19.5" customHeight="1" x14ac:dyDescent="0.2">
      <c r="A6" s="6" t="s">
        <v>22</v>
      </c>
      <c r="B6" s="122" t="s">
        <v>66</v>
      </c>
      <c r="C6" s="9"/>
      <c r="D6" s="7" t="s">
        <v>5</v>
      </c>
      <c r="E6" s="29">
        <v>977588025</v>
      </c>
      <c r="F6" s="7"/>
    </row>
    <row r="7" spans="1:26" ht="19.5" customHeight="1" x14ac:dyDescent="0.2">
      <c r="A7" s="6" t="s">
        <v>23</v>
      </c>
      <c r="B7" s="8" t="s">
        <v>63</v>
      </c>
      <c r="C7" s="7"/>
      <c r="D7" s="7" t="s">
        <v>6</v>
      </c>
      <c r="E7" s="6">
        <v>50</v>
      </c>
      <c r="F7" s="7"/>
      <c r="G7" s="10" t="s">
        <v>0</v>
      </c>
    </row>
    <row r="8" spans="1:26" ht="19.5" customHeight="1" x14ac:dyDescent="0.2">
      <c r="A8" s="11" t="s">
        <v>7</v>
      </c>
      <c r="B8" s="22" t="s">
        <v>28</v>
      </c>
      <c r="C8" s="12"/>
      <c r="D8" s="12" t="s">
        <v>8</v>
      </c>
      <c r="E8" s="11">
        <v>974961403</v>
      </c>
      <c r="F8" s="7"/>
      <c r="G8" s="10" t="s">
        <v>0</v>
      </c>
    </row>
    <row r="9" spans="1:26" x14ac:dyDescent="0.2">
      <c r="B9" s="79"/>
    </row>
    <row r="10" spans="1:26" ht="15.75" customHeight="1" x14ac:dyDescent="0.2">
      <c r="A10" s="98" t="s">
        <v>44</v>
      </c>
      <c r="B10" s="99" t="s">
        <v>9</v>
      </c>
      <c r="C10" s="98" t="s">
        <v>10</v>
      </c>
      <c r="D10" s="98" t="s">
        <v>11</v>
      </c>
      <c r="E10" s="100" t="s">
        <v>12</v>
      </c>
      <c r="F10" s="100" t="s">
        <v>13</v>
      </c>
      <c r="G10" s="98" t="s">
        <v>14</v>
      </c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">
      <c r="A11" s="41" t="s">
        <v>60</v>
      </c>
      <c r="B11" s="117">
        <v>0.64583333333333337</v>
      </c>
      <c r="C11" s="112">
        <v>1</v>
      </c>
      <c r="D11" s="32">
        <v>50</v>
      </c>
      <c r="E11" s="119">
        <v>6380</v>
      </c>
      <c r="F11" s="40">
        <f>D11*E11</f>
        <v>319000</v>
      </c>
      <c r="G11" s="33" t="s">
        <v>55</v>
      </c>
      <c r="H11" s="15" t="s">
        <v>57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">
      <c r="A12" s="115" t="s">
        <v>58</v>
      </c>
      <c r="B12" s="118">
        <v>0.66666666666666663</v>
      </c>
      <c r="C12" s="112"/>
      <c r="D12" s="32">
        <v>50</v>
      </c>
      <c r="E12" s="120">
        <v>0</v>
      </c>
      <c r="F12" s="43"/>
      <c r="G12" s="116" t="s">
        <v>59</v>
      </c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48" customHeight="1" x14ac:dyDescent="0.2">
      <c r="A13" s="66" t="s">
        <v>45</v>
      </c>
      <c r="B13" s="67" t="s">
        <v>49</v>
      </c>
      <c r="C13" s="121">
        <v>1</v>
      </c>
      <c r="D13" s="32">
        <v>50</v>
      </c>
      <c r="E13" s="68">
        <v>35000</v>
      </c>
      <c r="F13" s="42">
        <f>C13*D13*E13</f>
        <v>1750000</v>
      </c>
      <c r="G13" s="75" t="s">
        <v>50</v>
      </c>
      <c r="H13" s="17"/>
    </row>
    <row r="14" spans="1:26" ht="27" customHeight="1" x14ac:dyDescent="0.2">
      <c r="A14" s="66" t="s">
        <v>43</v>
      </c>
      <c r="B14" s="67">
        <v>0.79166666666666663</v>
      </c>
      <c r="C14" s="30">
        <v>1</v>
      </c>
      <c r="D14" s="32">
        <v>50</v>
      </c>
      <c r="E14" s="68">
        <v>150000</v>
      </c>
      <c r="F14" s="42">
        <v>150000</v>
      </c>
      <c r="G14" s="75" t="s">
        <v>48</v>
      </c>
      <c r="H14" s="17"/>
    </row>
    <row r="15" spans="1:26" ht="49" customHeight="1" x14ac:dyDescent="0.2">
      <c r="A15" s="77" t="s">
        <v>47</v>
      </c>
      <c r="B15" s="113" t="s">
        <v>51</v>
      </c>
      <c r="C15" s="32">
        <v>3</v>
      </c>
      <c r="D15" s="32">
        <v>50</v>
      </c>
      <c r="E15" s="76">
        <v>4850</v>
      </c>
      <c r="F15" s="78">
        <f>C15*D15*E15</f>
        <v>727500</v>
      </c>
      <c r="G15" s="80" t="s">
        <v>37</v>
      </c>
    </row>
    <row r="16" spans="1:26" ht="18" customHeight="1" x14ac:dyDescent="0.2">
      <c r="A16" s="106" t="s">
        <v>52</v>
      </c>
      <c r="B16" s="31" t="s">
        <v>0</v>
      </c>
      <c r="C16" s="32">
        <v>1</v>
      </c>
      <c r="D16" s="32">
        <v>50</v>
      </c>
      <c r="E16" s="107">
        <v>275000</v>
      </c>
      <c r="F16" s="63">
        <f>C16*E16</f>
        <v>275000</v>
      </c>
      <c r="G16" s="65" t="s">
        <v>54</v>
      </c>
    </row>
    <row r="17" spans="1:26" ht="19" customHeight="1" x14ac:dyDescent="0.2">
      <c r="A17" s="109" t="s">
        <v>53</v>
      </c>
      <c r="B17" s="31" t="s">
        <v>0</v>
      </c>
      <c r="C17" s="108">
        <v>1</v>
      </c>
      <c r="D17" s="32">
        <v>50</v>
      </c>
      <c r="E17" s="111">
        <v>850000</v>
      </c>
      <c r="F17" s="111">
        <v>850000</v>
      </c>
      <c r="G17" s="110" t="s">
        <v>0</v>
      </c>
      <c r="H17" s="114" t="s">
        <v>56</v>
      </c>
    </row>
    <row r="18" spans="1:26" ht="15.75" customHeight="1" x14ac:dyDescent="0.2">
      <c r="A18" s="44" t="s">
        <v>17</v>
      </c>
      <c r="B18" s="23"/>
      <c r="C18" s="13">
        <v>6</v>
      </c>
      <c r="D18" s="13">
        <v>6</v>
      </c>
      <c r="E18" s="24">
        <v>120630</v>
      </c>
      <c r="F18" s="40">
        <f>C18*E18</f>
        <v>723780</v>
      </c>
      <c r="G18" s="55" t="s">
        <v>26</v>
      </c>
      <c r="H18" s="17"/>
    </row>
    <row r="19" spans="1:26" ht="15.75" customHeight="1" x14ac:dyDescent="0.2">
      <c r="A19" s="44" t="s">
        <v>29</v>
      </c>
      <c r="B19" s="23"/>
      <c r="C19" s="13">
        <v>22</v>
      </c>
      <c r="D19" s="13">
        <v>44</v>
      </c>
      <c r="E19" s="24">
        <v>189219</v>
      </c>
      <c r="F19" s="40">
        <f>C19*E19</f>
        <v>4162818</v>
      </c>
      <c r="G19" s="55" t="s">
        <v>26</v>
      </c>
      <c r="H19" s="17"/>
    </row>
    <row r="20" spans="1:26" ht="15.75" customHeight="1" x14ac:dyDescent="0.2">
      <c r="A20" s="56" t="s">
        <v>24</v>
      </c>
      <c r="B20" s="57"/>
      <c r="C20" s="58"/>
      <c r="D20" s="58">
        <f>D18+D19</f>
        <v>50</v>
      </c>
      <c r="E20" s="59" t="s">
        <v>0</v>
      </c>
      <c r="F20" s="60">
        <f>SUM(F11:F19)</f>
        <v>8958098</v>
      </c>
      <c r="G20" s="61"/>
      <c r="H20" s="15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">
      <c r="A21" s="49" t="s">
        <v>36</v>
      </c>
      <c r="B21" s="50"/>
      <c r="C21" s="51"/>
      <c r="D21" s="51"/>
      <c r="E21" s="52"/>
      <c r="F21" s="53"/>
      <c r="G21" s="64"/>
      <c r="H21" s="17"/>
    </row>
    <row r="22" spans="1:26" ht="15.75" customHeight="1" x14ac:dyDescent="0.2">
      <c r="A22" s="41" t="s">
        <v>33</v>
      </c>
      <c r="B22" s="92">
        <v>0.375</v>
      </c>
      <c r="C22" s="30">
        <v>1</v>
      </c>
      <c r="D22" s="32">
        <v>50</v>
      </c>
      <c r="E22" s="25">
        <f>12500/1.19</f>
        <v>10504.20168067227</v>
      </c>
      <c r="F22" s="40">
        <v>0</v>
      </c>
      <c r="G22" s="33" t="s">
        <v>15</v>
      </c>
      <c r="H22" s="1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">
      <c r="A23" s="83" t="s">
        <v>64</v>
      </c>
      <c r="B23" s="93">
        <v>0.39583333333333331</v>
      </c>
      <c r="C23" s="32">
        <v>1</v>
      </c>
      <c r="D23" s="32">
        <v>50</v>
      </c>
      <c r="E23" s="88">
        <v>220000</v>
      </c>
      <c r="F23" s="40">
        <f t="shared" ref="F23:F24" si="0">C23*E23</f>
        <v>220000</v>
      </c>
      <c r="G23" s="33" t="s">
        <v>25</v>
      </c>
      <c r="H23" s="15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">
      <c r="A24" s="84" t="s">
        <v>65</v>
      </c>
      <c r="B24" s="93">
        <v>0.39583333333333331</v>
      </c>
      <c r="C24" s="32">
        <v>1</v>
      </c>
      <c r="D24" s="32">
        <v>50</v>
      </c>
      <c r="E24" s="89">
        <v>150000</v>
      </c>
      <c r="F24" s="40">
        <f t="shared" si="0"/>
        <v>150000</v>
      </c>
      <c r="G24" s="33" t="s">
        <v>18</v>
      </c>
      <c r="H24" s="1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">
      <c r="A25" s="85" t="s">
        <v>34</v>
      </c>
      <c r="B25" s="31" t="s">
        <v>0</v>
      </c>
      <c r="C25" s="32">
        <v>1</v>
      </c>
      <c r="D25" s="32">
        <v>50</v>
      </c>
      <c r="E25" s="90">
        <v>220000</v>
      </c>
      <c r="F25" s="43">
        <f>C25*E25</f>
        <v>220000</v>
      </c>
      <c r="G25" s="54" t="s">
        <v>31</v>
      </c>
      <c r="H25" s="17"/>
    </row>
    <row r="26" spans="1:26" ht="15.75" customHeight="1" x14ac:dyDescent="0.2">
      <c r="A26" s="86" t="s">
        <v>32</v>
      </c>
      <c r="B26" s="31" t="s">
        <v>0</v>
      </c>
      <c r="C26" s="32">
        <v>1</v>
      </c>
      <c r="D26" s="32">
        <v>50</v>
      </c>
      <c r="E26" s="91">
        <v>3800</v>
      </c>
      <c r="F26" s="63">
        <f>C26*D26*E26</f>
        <v>190000</v>
      </c>
      <c r="G26" s="65" t="s">
        <v>38</v>
      </c>
      <c r="H26" s="17"/>
    </row>
    <row r="27" spans="1:26" ht="15.75" customHeight="1" x14ac:dyDescent="0.2">
      <c r="A27" s="81" t="s">
        <v>39</v>
      </c>
      <c r="B27" s="31"/>
      <c r="C27" s="32">
        <v>1</v>
      </c>
      <c r="D27" s="32">
        <v>50</v>
      </c>
      <c r="E27" s="91">
        <v>1913</v>
      </c>
      <c r="F27" s="63">
        <f t="shared" ref="F27:F28" si="1">C27*D27*E27</f>
        <v>95650</v>
      </c>
      <c r="G27" s="82" t="s">
        <v>41</v>
      </c>
      <c r="H27" s="17"/>
    </row>
    <row r="28" spans="1:26" ht="15.75" customHeight="1" x14ac:dyDescent="0.2">
      <c r="A28" s="81" t="s">
        <v>40</v>
      </c>
      <c r="B28" s="31"/>
      <c r="C28" s="32">
        <v>1</v>
      </c>
      <c r="D28" s="32">
        <v>50</v>
      </c>
      <c r="E28" s="91">
        <v>2500</v>
      </c>
      <c r="F28" s="63">
        <f t="shared" si="1"/>
        <v>125000</v>
      </c>
      <c r="G28" s="82" t="s">
        <v>41</v>
      </c>
      <c r="H28" s="17"/>
    </row>
    <row r="29" spans="1:26" ht="18" customHeight="1" x14ac:dyDescent="0.2">
      <c r="A29" s="96" t="s">
        <v>42</v>
      </c>
      <c r="B29" s="14">
        <v>0.54166666666666663</v>
      </c>
      <c r="C29" s="13">
        <v>1</v>
      </c>
      <c r="D29" s="32">
        <v>50</v>
      </c>
      <c r="E29" s="28">
        <f>32500/1.19</f>
        <v>27310.9243697479</v>
      </c>
      <c r="F29" s="42">
        <f>C29*D29*E29</f>
        <v>1365546.218487395</v>
      </c>
      <c r="G29" s="33" t="s">
        <v>30</v>
      </c>
      <c r="H29" s="17"/>
    </row>
    <row r="30" spans="1:26" ht="15.75" customHeight="1" x14ac:dyDescent="0.2">
      <c r="A30" s="69" t="s">
        <v>16</v>
      </c>
      <c r="B30" s="70">
        <v>0.54166666666666663</v>
      </c>
      <c r="C30" s="71">
        <v>1</v>
      </c>
      <c r="D30" s="32">
        <v>50</v>
      </c>
      <c r="E30" s="72">
        <v>1933</v>
      </c>
      <c r="F30" s="73">
        <f t="shared" ref="F30" si="2">C30*D30*E30</f>
        <v>96650</v>
      </c>
      <c r="G30" s="74" t="s">
        <v>27</v>
      </c>
      <c r="H30" s="17"/>
    </row>
    <row r="31" spans="1:26" ht="15.75" customHeight="1" x14ac:dyDescent="0.2">
      <c r="A31" s="87" t="s">
        <v>24</v>
      </c>
      <c r="B31" s="94"/>
      <c r="C31" s="95"/>
      <c r="D31" s="95"/>
      <c r="E31" s="59" t="s">
        <v>0</v>
      </c>
      <c r="F31" s="60">
        <f>SUM(F22:F30)</f>
        <v>2462846.218487395</v>
      </c>
      <c r="G31" s="61"/>
      <c r="H31" s="15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">
      <c r="A32" s="45" t="s">
        <v>19</v>
      </c>
      <c r="B32" s="46"/>
      <c r="C32" s="47"/>
      <c r="D32" s="47"/>
      <c r="E32" s="48"/>
      <c r="F32" s="62">
        <f>F20+F31</f>
        <v>11420944.218487395</v>
      </c>
      <c r="G32" s="34" t="s">
        <v>0</v>
      </c>
      <c r="H32" s="17"/>
    </row>
    <row r="33" spans="1:8" ht="15.75" customHeight="1" x14ac:dyDescent="0.2">
      <c r="A33" s="35" t="s">
        <v>20</v>
      </c>
      <c r="B33" s="36"/>
      <c r="C33" s="37"/>
      <c r="D33" s="37"/>
      <c r="E33" s="38"/>
      <c r="F33" s="39">
        <f>F32*1.19-F32</f>
        <v>2169979.4015126042</v>
      </c>
      <c r="G33" s="18"/>
      <c r="H33" s="17"/>
    </row>
    <row r="34" spans="1:8" ht="15.75" customHeight="1" x14ac:dyDescent="0.2">
      <c r="A34" s="19" t="s">
        <v>21</v>
      </c>
      <c r="B34" s="26"/>
      <c r="C34" s="20"/>
      <c r="D34" s="20"/>
      <c r="E34" s="27"/>
      <c r="F34" s="24">
        <f>F32+F33</f>
        <v>13590923.619999999</v>
      </c>
      <c r="G34" s="18" t="s">
        <v>0</v>
      </c>
      <c r="H34" s="17"/>
    </row>
    <row r="36" spans="1:8" x14ac:dyDescent="0.2">
      <c r="A36" s="101" t="s">
        <v>46</v>
      </c>
      <c r="B36" s="102"/>
      <c r="C36" s="102"/>
      <c r="D36" s="102"/>
      <c r="E36" s="102"/>
      <c r="F36" s="103">
        <f>F34*0.95</f>
        <v>12911377.438999999</v>
      </c>
    </row>
    <row r="37" spans="1:8" x14ac:dyDescent="0.2">
      <c r="F37" s="105" t="s">
        <v>0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B1:B1000"/>
  <sheetViews>
    <sheetView workbookViewId="0">
      <selection activeCell="B13" sqref="B13"/>
    </sheetView>
  </sheetViews>
  <sheetFormatPr baseColWidth="10" defaultColWidth="11.1640625" defaultRowHeight="15" customHeight="1" x14ac:dyDescent="0.2"/>
  <cols>
    <col min="1" max="12" width="10.5" customWidth="1"/>
  </cols>
  <sheetData>
    <row r="1" spans="2:2" ht="114.75" customHeight="1" x14ac:dyDescent="0.2"/>
    <row r="2" spans="2:2" ht="15.75" customHeight="1" x14ac:dyDescent="0.2"/>
    <row r="3" spans="2:2" ht="15.75" customHeight="1" x14ac:dyDescent="0.2"/>
    <row r="4" spans="2:2" ht="15.75" customHeight="1" x14ac:dyDescent="0.2"/>
    <row r="5" spans="2:2" ht="15.75" customHeight="1" x14ac:dyDescent="0.2">
      <c r="B5" s="104"/>
    </row>
    <row r="6" spans="2:2" ht="15.75" customHeight="1" x14ac:dyDescent="0.2">
      <c r="B6" s="104"/>
    </row>
    <row r="7" spans="2:2" ht="15.75" customHeight="1" x14ac:dyDescent="0.2"/>
    <row r="8" spans="2:2" ht="15.75" customHeight="1" x14ac:dyDescent="0.2">
      <c r="B8" s="104"/>
    </row>
    <row r="9" spans="2:2" ht="15.75" customHeight="1" x14ac:dyDescent="0.2"/>
    <row r="10" spans="2:2" ht="15.75" customHeight="1" x14ac:dyDescent="0.2">
      <c r="B10" s="104"/>
    </row>
    <row r="11" spans="2:2" ht="15.75" customHeight="1" x14ac:dyDescent="0.2"/>
    <row r="12" spans="2:2" ht="15.75" customHeight="1" x14ac:dyDescent="0.2">
      <c r="B12" s="104"/>
    </row>
    <row r="13" spans="2:2" ht="15.75" customHeight="1" x14ac:dyDescent="0.2"/>
    <row r="14" spans="2:2" ht="15.75" customHeight="1" x14ac:dyDescent="0.2">
      <c r="B14" s="104"/>
    </row>
    <row r="15" spans="2:2" ht="15.75" customHeight="1" x14ac:dyDescent="0.2"/>
    <row r="16" spans="2:2" ht="15.75" customHeight="1" x14ac:dyDescent="0.2">
      <c r="B16" s="104"/>
    </row>
    <row r="17" spans="2:2" ht="15.75" customHeight="1" x14ac:dyDescent="0.2"/>
    <row r="18" spans="2:2" ht="15.75" customHeight="1" x14ac:dyDescent="0.2">
      <c r="B18" s="104"/>
    </row>
    <row r="19" spans="2:2" ht="15.75" customHeight="1" x14ac:dyDescent="0.2"/>
    <row r="20" spans="2:2" ht="15.75" customHeight="1" x14ac:dyDescent="0.2">
      <c r="B20" s="104"/>
    </row>
    <row r="21" spans="2:2" ht="15.75" customHeight="1" x14ac:dyDescent="0.2"/>
    <row r="22" spans="2:2" ht="15.75" customHeight="1" x14ac:dyDescent="0.2">
      <c r="B22" s="104"/>
    </row>
    <row r="23" spans="2:2" ht="15.75" customHeight="1" x14ac:dyDescent="0.2"/>
    <row r="24" spans="2:2" ht="15.75" customHeight="1" x14ac:dyDescent="0.2"/>
    <row r="25" spans="2:2" ht="15.75" customHeight="1" x14ac:dyDescent="0.2">
      <c r="B25" s="104"/>
    </row>
    <row r="26" spans="2:2" ht="15.75" customHeight="1" x14ac:dyDescent="0.2">
      <c r="B26" s="104"/>
    </row>
    <row r="27" spans="2:2" ht="15.75" customHeight="1" x14ac:dyDescent="0.2">
      <c r="B27" s="104"/>
    </row>
    <row r="28" spans="2:2" ht="15.75" customHeight="1" x14ac:dyDescent="0.2">
      <c r="B28" s="104"/>
    </row>
    <row r="29" spans="2:2" ht="15.75" customHeight="1" x14ac:dyDescent="0.2"/>
    <row r="30" spans="2:2" ht="15.75" customHeight="1" x14ac:dyDescent="0.2"/>
    <row r="31" spans="2:2" ht="15.75" customHeight="1" x14ac:dyDescent="0.2"/>
    <row r="32" spans="2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18" type="noConversion"/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2026-01-04T21:50:51Z</dcterms:modified>
</cp:coreProperties>
</file>