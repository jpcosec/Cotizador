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emf" ContentType="image/x-emf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408"/>
  <workbookPr showInkAnnotation="0"/>
  <mc:AlternateContent xmlns:mc="http://schemas.openxmlformats.org/markup-compatibility/2006">
    <mc:Choice Requires="x15">
      <x15ac:absPath xmlns:x15ac="http://schemas.microsoft.com/office/spreadsheetml/2010/11/ac" url="/Users/carmen/Dropbox/Eventos Lodge/Eventos cotizados/Cotizaciones 2018 Carmen/"/>
    </mc:Choice>
  </mc:AlternateContent>
  <bookViews>
    <workbookView xWindow="40" yWindow="1220" windowWidth="25560" windowHeight="13480"/>
  </bookViews>
  <sheets>
    <sheet name="Cotizacion" sheetId="1" r:id="rId1"/>
  </sheets>
  <definedNames>
    <definedName name="_xlnm.Print_Area" localSheetId="0">Cotizacion!$A$2:$J$47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" l="1"/>
  <c r="H20" i="1"/>
  <c r="H21" i="1"/>
  <c r="H22" i="1"/>
  <c r="H23" i="1"/>
  <c r="H28" i="1"/>
  <c r="H32" i="1"/>
  <c r="H33" i="1"/>
  <c r="H34" i="1"/>
  <c r="H35" i="1"/>
  <c r="H17" i="1"/>
  <c r="H18" i="1"/>
  <c r="H19" i="1"/>
  <c r="H31" i="1"/>
  <c r="I31" i="1"/>
  <c r="H29" i="1"/>
  <c r="H30" i="1"/>
  <c r="H27" i="1"/>
  <c r="I32" i="1"/>
  <c r="I19" i="1"/>
  <c r="I18" i="1"/>
  <c r="H15" i="1"/>
  <c r="I23" i="1"/>
  <c r="I17" i="1"/>
  <c r="I29" i="1"/>
  <c r="I35" i="1"/>
  <c r="I34" i="1"/>
  <c r="I33" i="1"/>
  <c r="I30" i="1"/>
  <c r="I28" i="1"/>
  <c r="I27" i="1"/>
  <c r="I22" i="1"/>
  <c r="I21" i="1"/>
  <c r="I16" i="1"/>
  <c r="I15" i="1"/>
  <c r="I20" i="1"/>
</calcChain>
</file>

<file path=xl/sharedStrings.xml><?xml version="1.0" encoding="utf-8"?>
<sst xmlns="http://schemas.openxmlformats.org/spreadsheetml/2006/main" count="84" uniqueCount="52">
  <si>
    <t xml:space="preserve"> </t>
  </si>
  <si>
    <t>FECHA</t>
  </si>
  <si>
    <t>$ UNITARIO</t>
  </si>
  <si>
    <t>$ SUBTOTAL</t>
  </si>
  <si>
    <t>N° DE HUÉSPEDES:</t>
  </si>
  <si>
    <t>CONTACTO EMPRESA:</t>
  </si>
  <si>
    <t>FONO:</t>
  </si>
  <si>
    <t>MAIL:</t>
  </si>
  <si>
    <t>IVA INCL.</t>
  </si>
  <si>
    <t>La cotización incluye uso de las instalaciones del resort:</t>
  </si>
  <si>
    <t>EMPRESA:</t>
  </si>
  <si>
    <t>Detalles</t>
  </si>
  <si>
    <t>FECHA EVENTO:</t>
  </si>
  <si>
    <t>ID</t>
  </si>
  <si>
    <t>* El lugar señalado para el evento solo queda confirmado una vez enviada la Orden de compra respectiva.</t>
  </si>
  <si>
    <t>PRESUPUESTO EVENTO CONVENIO MARCO</t>
  </si>
  <si>
    <t>Almuerzo Buffet</t>
  </si>
  <si>
    <t>* Check in 16:00 hrs. check out 12:00 hrs. De las habitaciones</t>
  </si>
  <si>
    <t>* Los cambios pueden realizarse hasta máximo 72 horas antes del evento.</t>
  </si>
  <si>
    <t>* No se pueden realizar cambios para disminuir la cantiadad de servicios, pasajeros etc. , con menos de 72 horas del evento.</t>
  </si>
  <si>
    <t>* NO se realiza ningún tipo de devolución en dinero de los eventos confirmados a través del Portal de ChileCompra, ChileProveedores, MercadoPúblico.</t>
  </si>
  <si>
    <t>Aventuras Andinas Limitada rut 76666800-3</t>
  </si>
  <si>
    <t>Camino a la Canabina s/n San Esteban Los Andes.</t>
  </si>
  <si>
    <t xml:space="preserve"> San Francisco Lodge  &amp; Spa</t>
  </si>
  <si>
    <t>Carmen Rodriguez D.</t>
  </si>
  <si>
    <t xml:space="preserve"> carmen@sflodge.cl</t>
  </si>
  <si>
    <t>22-  9867311</t>
  </si>
  <si>
    <t xml:space="preserve"> 9 74961403</t>
  </si>
  <si>
    <t>Piscina temperada (28 a 32º)</t>
  </si>
  <si>
    <t>Nombre: Aventuas Andinas Limitada, rut: 76666800-3</t>
  </si>
  <si>
    <t>Desayuno Buffet, incluido</t>
  </si>
  <si>
    <t>telón, notebook, red wi fi, micrófono, audio, poryector, agua, dulces</t>
  </si>
  <si>
    <t>Instalaciones</t>
  </si>
  <si>
    <t>Carmen Rodriguez D</t>
  </si>
  <si>
    <t>Programa con Desayuno</t>
  </si>
  <si>
    <t>Item</t>
  </si>
  <si>
    <t>UDS</t>
  </si>
  <si>
    <t>Personas</t>
  </si>
  <si>
    <t>Once</t>
  </si>
  <si>
    <t>Programa con Coffe</t>
  </si>
  <si>
    <t>Descuento convenio 15%</t>
  </si>
  <si>
    <t>Valor unitario</t>
  </si>
  <si>
    <t xml:space="preserve"> $45.340+IVA</t>
  </si>
  <si>
    <t>Coffe basico</t>
  </si>
  <si>
    <t>Café, te, jugo, 2 tapaditos, 1 masita dulce</t>
  </si>
  <si>
    <t>Valor total evento</t>
  </si>
  <si>
    <t>Valor total, con descuento 15%</t>
  </si>
  <si>
    <t xml:space="preserve">Uso de espacios abiertos  para trabajo de equipo </t>
  </si>
  <si>
    <t xml:space="preserve"> Se agradecerá una vez facturado, depositar el total del evento en el vencimiento respectivo a Cta.Cte. 620024-9 del Banco Santander.</t>
  </si>
  <si>
    <t>Mabel Contreras</t>
  </si>
  <si>
    <t>coho</t>
  </si>
  <si>
    <t>Valor lista  por persona, programa Standard más salon 100 Personas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</si>
</sst>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3" formatCode="_(* #,##0.00_);_(* \(#,##0.00\);_(* &quot;-&quot;??_);_(@_)"/>
    <numFmt numFmtId="196" formatCode="&quot;$&quot;#,##0"/>
  </numFmts>
  <fonts count="18" x14ac:knownFonts="1">
    <font>
      <sz val="10"/>
      <name val="Arial"/>
    </font>
    <font>
      <b/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indexed="12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name val="Calibri"/>
      <family val="2"/>
      <scheme val="minor"/>
    </font>
    <font>
      <i/>
      <sz val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u/>
      <sz val="10"/>
      <name val="Calibri"/>
      <family val="2"/>
      <scheme val="minor"/>
    </font>
    <font>
      <b/>
      <sz val="12"/>
      <name val="Calibri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4" fillId="3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183" fontId="1" fillId="0" borderId="0" applyFont="0" applyFill="0" applyBorder="0" applyAlignment="0" applyProtection="0"/>
  </cellStyleXfs>
  <cellXfs count="97">
    <xf numFmtId="0" fontId="0" fillId="0" borderId="0" xfId="0"/>
    <xf numFmtId="3" fontId="5" fillId="2" borderId="1" xfId="0" applyNumberFormat="1" applyFont="1" applyFill="1" applyBorder="1" applyAlignment="1" applyProtection="1">
      <alignment horizontal="center"/>
      <protection locked="0"/>
    </xf>
    <xf numFmtId="3" fontId="5" fillId="2" borderId="2" xfId="0" applyNumberFormat="1" applyFont="1" applyFill="1" applyBorder="1" applyAlignment="1" applyProtection="1">
      <alignment horizontal="center"/>
      <protection locked="0"/>
    </xf>
    <xf numFmtId="0" fontId="5" fillId="2" borderId="3" xfId="0" applyNumberFormat="1" applyFont="1" applyFill="1" applyBorder="1" applyAlignment="1" applyProtection="1">
      <protection locked="0"/>
    </xf>
    <xf numFmtId="0" fontId="5" fillId="2" borderId="0" xfId="0" applyNumberFormat="1" applyFont="1" applyFill="1" applyBorder="1" applyAlignment="1" applyProtection="1">
      <protection locked="0"/>
    </xf>
    <xf numFmtId="0" fontId="5" fillId="2" borderId="0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Fill="1" applyBorder="1" applyAlignment="1" applyProtection="1">
      <protection locked="0"/>
    </xf>
    <xf numFmtId="0" fontId="5" fillId="2" borderId="0" xfId="0" applyNumberFormat="1" applyFont="1" applyFill="1" applyBorder="1" applyAlignment="1" applyProtection="1">
      <alignment horizontal="left"/>
      <protection locked="0"/>
    </xf>
    <xf numFmtId="0" fontId="6" fillId="2" borderId="0" xfId="0" applyNumberFormat="1" applyFont="1" applyFill="1" applyBorder="1" applyAlignment="1" applyProtection="1">
      <alignment horizontal="left"/>
      <protection locked="0"/>
    </xf>
    <xf numFmtId="20" fontId="5" fillId="2" borderId="0" xfId="0" applyNumberFormat="1" applyFont="1" applyFill="1" applyBorder="1" applyAlignment="1" applyProtection="1">
      <alignment horizontal="center"/>
      <protection locked="0"/>
    </xf>
    <xf numFmtId="20" fontId="5" fillId="2" borderId="0" xfId="0" applyNumberFormat="1" applyFont="1" applyFill="1" applyBorder="1" applyAlignment="1" applyProtection="1">
      <alignment horizontal="left"/>
      <protection locked="0"/>
    </xf>
    <xf numFmtId="0" fontId="5" fillId="0" borderId="0" xfId="0" applyNumberFormat="1" applyFont="1" applyBorder="1" applyAlignment="1">
      <alignment horizontal="left"/>
    </xf>
    <xf numFmtId="0" fontId="7" fillId="2" borderId="0" xfId="2" applyNumberFormat="1" applyFont="1" applyFill="1" applyBorder="1" applyAlignment="1" applyProtection="1">
      <protection locked="0"/>
    </xf>
    <xf numFmtId="16" fontId="5" fillId="2" borderId="4" xfId="0" applyNumberFormat="1" applyFont="1" applyFill="1" applyBorder="1" applyAlignment="1" applyProtection="1">
      <alignment horizontal="left"/>
      <protection locked="0"/>
    </xf>
    <xf numFmtId="16" fontId="5" fillId="2" borderId="0" xfId="0" applyNumberFormat="1" applyFont="1" applyFill="1" applyBorder="1" applyAlignment="1" applyProtection="1">
      <alignment horizontal="left"/>
      <protection locked="0"/>
    </xf>
    <xf numFmtId="3" fontId="5" fillId="2" borderId="0" xfId="0" applyNumberFormat="1" applyFont="1" applyFill="1" applyBorder="1" applyAlignment="1" applyProtection="1">
      <alignment horizontal="center"/>
      <protection locked="0"/>
    </xf>
    <xf numFmtId="3" fontId="6" fillId="2" borderId="0" xfId="0" applyNumberFormat="1" applyFont="1" applyFill="1" applyBorder="1" applyAlignment="1" applyProtection="1">
      <alignment horizontal="left"/>
      <protection locked="0"/>
    </xf>
    <xf numFmtId="3" fontId="6" fillId="2" borderId="0" xfId="0" applyNumberFormat="1" applyFont="1" applyFill="1" applyBorder="1" applyAlignment="1" applyProtection="1">
      <alignment horizontal="center"/>
      <protection locked="0"/>
    </xf>
    <xf numFmtId="14" fontId="5" fillId="2" borderId="4" xfId="0" applyNumberFormat="1" applyFont="1" applyFill="1" applyBorder="1" applyAlignment="1" applyProtection="1">
      <alignment horizontal="left"/>
      <protection locked="0"/>
    </xf>
    <xf numFmtId="3" fontId="8" fillId="2" borderId="2" xfId="0" applyNumberFormat="1" applyFont="1" applyFill="1" applyBorder="1" applyAlignment="1" applyProtection="1">
      <alignment horizontal="center"/>
      <protection locked="0"/>
    </xf>
    <xf numFmtId="0" fontId="9" fillId="2" borderId="0" xfId="0" applyNumberFormat="1" applyFont="1" applyFill="1" applyBorder="1" applyAlignment="1" applyProtection="1">
      <protection locked="0"/>
    </xf>
    <xf numFmtId="0" fontId="5" fillId="0" borderId="3" xfId="0" applyNumberFormat="1" applyFont="1" applyFill="1" applyBorder="1" applyAlignment="1" applyProtection="1">
      <protection locked="0"/>
    </xf>
    <xf numFmtId="0" fontId="10" fillId="2" borderId="0" xfId="0" applyNumberFormat="1" applyFont="1" applyFill="1" applyBorder="1" applyAlignment="1" applyProtection="1">
      <protection locked="0"/>
    </xf>
    <xf numFmtId="20" fontId="6" fillId="2" borderId="0" xfId="0" applyNumberFormat="1" applyFont="1" applyFill="1" applyBorder="1" applyAlignment="1" applyProtection="1">
      <alignment horizontal="left"/>
      <protection locked="0"/>
    </xf>
    <xf numFmtId="0" fontId="10" fillId="2" borderId="3" xfId="0" applyNumberFormat="1" applyFont="1" applyFill="1" applyBorder="1" applyAlignment="1" applyProtection="1">
      <protection locked="0"/>
    </xf>
    <xf numFmtId="0" fontId="11" fillId="0" borderId="0" xfId="0" applyNumberFormat="1" applyFont="1" applyFill="1" applyBorder="1" applyAlignment="1" applyProtection="1">
      <protection locked="0"/>
    </xf>
    <xf numFmtId="0" fontId="12" fillId="3" borderId="5" xfId="1" applyNumberFormat="1" applyFont="1" applyBorder="1" applyAlignment="1" applyProtection="1">
      <alignment horizontal="center"/>
      <protection locked="0"/>
    </xf>
    <xf numFmtId="3" fontId="12" fillId="3" borderId="6" xfId="1" applyNumberFormat="1" applyFont="1" applyBorder="1" applyAlignment="1" applyProtection="1">
      <alignment horizontal="center"/>
      <protection locked="0"/>
    </xf>
    <xf numFmtId="0" fontId="12" fillId="3" borderId="7" xfId="1" applyNumberFormat="1" applyFont="1" applyBorder="1" applyAlignment="1" applyProtection="1">
      <alignment horizontal="center"/>
      <protection locked="0"/>
    </xf>
    <xf numFmtId="0" fontId="9" fillId="2" borderId="8" xfId="0" applyNumberFormat="1" applyFont="1" applyFill="1" applyBorder="1" applyAlignment="1" applyProtection="1">
      <alignment wrapText="1"/>
      <protection locked="0"/>
    </xf>
    <xf numFmtId="196" fontId="6" fillId="2" borderId="0" xfId="0" applyNumberFormat="1" applyFont="1" applyFill="1" applyBorder="1" applyAlignment="1" applyProtection="1">
      <alignment horizontal="center"/>
      <protection locked="0"/>
    </xf>
    <xf numFmtId="196" fontId="13" fillId="2" borderId="0" xfId="0" applyNumberFormat="1" applyFont="1" applyFill="1" applyBorder="1" applyAlignment="1" applyProtection="1">
      <alignment horizontal="center"/>
      <protection locked="0"/>
    </xf>
    <xf numFmtId="196" fontId="5" fillId="2" borderId="0" xfId="0" applyNumberFormat="1" applyFont="1" applyFill="1" applyBorder="1" applyAlignment="1" applyProtection="1">
      <protection locked="0"/>
    </xf>
    <xf numFmtId="196" fontId="5" fillId="2" borderId="0" xfId="0" applyNumberFormat="1" applyFont="1" applyFill="1" applyBorder="1" applyAlignment="1" applyProtection="1">
      <alignment horizontal="left"/>
      <protection locked="0"/>
    </xf>
    <xf numFmtId="196" fontId="14" fillId="2" borderId="0" xfId="2" applyNumberFormat="1" applyFont="1" applyFill="1" applyBorder="1" applyAlignment="1" applyProtection="1">
      <protection locked="0"/>
    </xf>
    <xf numFmtId="196" fontId="12" fillId="3" borderId="9" xfId="1" applyNumberFormat="1" applyFont="1" applyBorder="1" applyAlignment="1" applyProtection="1">
      <alignment horizontal="center"/>
      <protection locked="0"/>
    </xf>
    <xf numFmtId="196" fontId="5" fillId="2" borderId="10" xfId="0" applyNumberFormat="1" applyFont="1" applyFill="1" applyBorder="1" applyAlignment="1" applyProtection="1">
      <alignment horizontal="center"/>
      <protection locked="0"/>
    </xf>
    <xf numFmtId="196" fontId="5" fillId="2" borderId="0" xfId="0" applyNumberFormat="1" applyFont="1" applyFill="1" applyBorder="1" applyAlignment="1" applyProtection="1">
      <alignment horizontal="center"/>
      <protection locked="0"/>
    </xf>
    <xf numFmtId="196" fontId="5" fillId="2" borderId="11" xfId="0" applyNumberFormat="1" applyFont="1" applyFill="1" applyBorder="1" applyAlignment="1" applyProtection="1">
      <alignment horizontal="center"/>
      <protection locked="0"/>
    </xf>
    <xf numFmtId="196" fontId="5" fillId="2" borderId="2" xfId="0" applyNumberFormat="1" applyFont="1" applyFill="1" applyBorder="1" applyAlignment="1" applyProtection="1">
      <alignment horizontal="center"/>
      <protection locked="0"/>
    </xf>
    <xf numFmtId="196" fontId="5" fillId="2" borderId="3" xfId="0" applyNumberFormat="1" applyFont="1" applyFill="1" applyBorder="1" applyAlignment="1" applyProtection="1">
      <protection locked="0"/>
    </xf>
    <xf numFmtId="196" fontId="6" fillId="2" borderId="12" xfId="3" applyNumberFormat="1" applyFont="1" applyFill="1" applyBorder="1" applyAlignment="1" applyProtection="1">
      <protection locked="0"/>
    </xf>
    <xf numFmtId="196" fontId="6" fillId="2" borderId="13" xfId="0" applyNumberFormat="1" applyFont="1" applyFill="1" applyBorder="1" applyAlignment="1" applyProtection="1">
      <alignment horizontal="center"/>
      <protection locked="0"/>
    </xf>
    <xf numFmtId="196" fontId="6" fillId="2" borderId="14" xfId="0" applyNumberFormat="1" applyFont="1" applyFill="1" applyBorder="1" applyAlignment="1" applyProtection="1">
      <alignment horizontal="center"/>
      <protection locked="0"/>
    </xf>
    <xf numFmtId="196" fontId="6" fillId="2" borderId="15" xfId="0" applyNumberFormat="1" applyFont="1" applyFill="1" applyBorder="1" applyAlignment="1" applyProtection="1">
      <alignment horizontal="center"/>
      <protection locked="0"/>
    </xf>
    <xf numFmtId="196" fontId="6" fillId="2" borderId="2" xfId="0" applyNumberFormat="1" applyFont="1" applyFill="1" applyBorder="1" applyAlignment="1" applyProtection="1">
      <alignment horizontal="center"/>
      <protection locked="0"/>
    </xf>
    <xf numFmtId="196" fontId="6" fillId="2" borderId="10" xfId="3" applyNumberFormat="1" applyFont="1" applyFill="1" applyBorder="1" applyAlignment="1" applyProtection="1">
      <protection locked="0"/>
    </xf>
    <xf numFmtId="16" fontId="5" fillId="2" borderId="16" xfId="0" applyNumberFormat="1" applyFont="1" applyFill="1" applyBorder="1" applyAlignment="1" applyProtection="1">
      <alignment horizontal="left"/>
      <protection locked="0"/>
    </xf>
    <xf numFmtId="3" fontId="5" fillId="0" borderId="1" xfId="0" applyNumberFormat="1" applyFont="1" applyFill="1" applyBorder="1" applyAlignment="1" applyProtection="1">
      <alignment horizontal="center"/>
      <protection locked="0"/>
    </xf>
    <xf numFmtId="1" fontId="7" fillId="2" borderId="0" xfId="2" applyNumberFormat="1" applyFont="1" applyFill="1" applyBorder="1" applyAlignment="1" applyProtection="1">
      <alignment horizontal="left"/>
      <protection locked="0"/>
    </xf>
    <xf numFmtId="196" fontId="0" fillId="4" borderId="2" xfId="0" applyNumberFormat="1" applyFill="1" applyBorder="1"/>
    <xf numFmtId="0" fontId="12" fillId="2" borderId="0" xfId="0" applyNumberFormat="1" applyFont="1" applyFill="1" applyBorder="1" applyAlignment="1" applyProtection="1">
      <protection locked="0"/>
    </xf>
    <xf numFmtId="0" fontId="12" fillId="0" borderId="0" xfId="0" applyNumberFormat="1" applyFont="1" applyFill="1" applyBorder="1" applyAlignment="1" applyProtection="1">
      <protection locked="0"/>
    </xf>
    <xf numFmtId="0" fontId="5" fillId="2" borderId="6" xfId="0" applyNumberFormat="1" applyFont="1" applyFill="1" applyBorder="1" applyAlignment="1" applyProtection="1">
      <alignment horizontal="center"/>
      <protection locked="0"/>
    </xf>
    <xf numFmtId="0" fontId="5" fillId="2" borderId="17" xfId="0" applyNumberFormat="1" applyFont="1" applyFill="1" applyBorder="1" applyAlignment="1" applyProtection="1">
      <protection locked="0"/>
    </xf>
    <xf numFmtId="196" fontId="15" fillId="2" borderId="17" xfId="0" applyNumberFormat="1" applyFont="1" applyFill="1" applyBorder="1" applyAlignment="1" applyProtection="1">
      <alignment horizontal="center"/>
      <protection locked="0"/>
    </xf>
    <xf numFmtId="0" fontId="5" fillId="2" borderId="17" xfId="0" applyNumberFormat="1" applyFont="1" applyFill="1" applyBorder="1" applyAlignment="1" applyProtection="1">
      <alignment horizontal="center"/>
      <protection locked="0"/>
    </xf>
    <xf numFmtId="0" fontId="5" fillId="2" borderId="18" xfId="0" applyNumberFormat="1" applyFont="1" applyFill="1" applyBorder="1" applyAlignment="1" applyProtection="1">
      <protection locked="0"/>
    </xf>
    <xf numFmtId="0" fontId="10" fillId="2" borderId="19" xfId="0" applyNumberFormat="1" applyFont="1" applyFill="1" applyBorder="1" applyAlignment="1" applyProtection="1">
      <alignment horizontal="center"/>
      <protection locked="0"/>
    </xf>
    <xf numFmtId="0" fontId="5" fillId="2" borderId="20" xfId="0" applyNumberFormat="1" applyFont="1" applyFill="1" applyBorder="1" applyAlignment="1" applyProtection="1">
      <protection locked="0"/>
    </xf>
    <xf numFmtId="0" fontId="5" fillId="2" borderId="19" xfId="0" applyNumberFormat="1" applyFont="1" applyFill="1" applyBorder="1" applyAlignment="1" applyProtection="1">
      <alignment horizontal="center"/>
      <protection locked="0"/>
    </xf>
    <xf numFmtId="0" fontId="5" fillId="2" borderId="20" xfId="0" applyNumberFormat="1" applyFont="1" applyFill="1" applyBorder="1" applyAlignment="1" applyProtection="1">
      <alignment horizontal="center"/>
      <protection locked="0"/>
    </xf>
    <xf numFmtId="3" fontId="5" fillId="2" borderId="20" xfId="0" applyNumberFormat="1" applyFont="1" applyFill="1" applyBorder="1" applyAlignment="1" applyProtection="1">
      <alignment horizontal="center"/>
      <protection locked="0"/>
    </xf>
    <xf numFmtId="3" fontId="7" fillId="2" borderId="20" xfId="2" applyNumberFormat="1" applyFont="1" applyFill="1" applyBorder="1" applyAlignment="1" applyProtection="1">
      <alignment horizontal="center"/>
      <protection locked="0"/>
    </xf>
    <xf numFmtId="0" fontId="3" fillId="0" borderId="0" xfId="2" applyNumberFormat="1" applyBorder="1" applyAlignment="1" applyProtection="1"/>
    <xf numFmtId="0" fontId="12" fillId="3" borderId="21" xfId="1" applyNumberFormat="1" applyFont="1" applyBorder="1" applyAlignment="1" applyProtection="1">
      <alignment horizontal="center"/>
      <protection locked="0"/>
    </xf>
    <xf numFmtId="0" fontId="12" fillId="3" borderId="22" xfId="1" applyNumberFormat="1" applyFont="1" applyBorder="1" applyAlignment="1" applyProtection="1">
      <alignment horizontal="center"/>
      <protection locked="0"/>
    </xf>
    <xf numFmtId="0" fontId="5" fillId="2" borderId="15" xfId="0" applyNumberFormat="1" applyFont="1" applyFill="1" applyBorder="1" applyAlignment="1" applyProtection="1">
      <alignment horizontal="center"/>
      <protection locked="0"/>
    </xf>
    <xf numFmtId="0" fontId="6" fillId="2" borderId="20" xfId="0" applyNumberFormat="1" applyFont="1" applyFill="1" applyBorder="1" applyAlignment="1" applyProtection="1">
      <protection locked="0"/>
    </xf>
    <xf numFmtId="0" fontId="5" fillId="2" borderId="14" xfId="0" applyNumberFormat="1" applyFont="1" applyFill="1" applyBorder="1" applyAlignment="1" applyProtection="1">
      <alignment horizontal="center"/>
      <protection locked="0"/>
    </xf>
    <xf numFmtId="0" fontId="5" fillId="2" borderId="23" xfId="0" applyNumberFormat="1" applyFont="1" applyFill="1" applyBorder="1" applyAlignment="1" applyProtection="1">
      <protection locked="0"/>
    </xf>
    <xf numFmtId="0" fontId="9" fillId="2" borderId="23" xfId="0" applyNumberFormat="1" applyFont="1" applyFill="1" applyBorder="1" applyAlignment="1" applyProtection="1">
      <alignment wrapText="1"/>
      <protection locked="0"/>
    </xf>
    <xf numFmtId="0" fontId="10" fillId="2" borderId="19" xfId="0" applyNumberFormat="1" applyFont="1" applyFill="1" applyBorder="1" applyAlignment="1" applyProtection="1">
      <alignment horizontal="left"/>
      <protection locked="0"/>
    </xf>
    <xf numFmtId="0" fontId="10" fillId="0" borderId="24" xfId="0" applyNumberFormat="1" applyFont="1" applyFill="1" applyBorder="1" applyAlignment="1" applyProtection="1">
      <alignment horizontal="left"/>
      <protection locked="0"/>
    </xf>
    <xf numFmtId="0" fontId="5" fillId="2" borderId="25" xfId="0" applyNumberFormat="1" applyFont="1" applyFill="1" applyBorder="1" applyAlignment="1" applyProtection="1">
      <protection locked="0"/>
    </xf>
    <xf numFmtId="0" fontId="10" fillId="2" borderId="13" xfId="0" applyNumberFormat="1" applyFont="1" applyFill="1" applyBorder="1" applyAlignment="1" applyProtection="1">
      <alignment horizontal="left"/>
      <protection locked="0"/>
    </xf>
    <xf numFmtId="0" fontId="5" fillId="0" borderId="26" xfId="0" applyNumberFormat="1" applyFont="1" applyFill="1" applyBorder="1" applyAlignment="1" applyProtection="1">
      <protection locked="0"/>
    </xf>
    <xf numFmtId="0" fontId="5" fillId="2" borderId="26" xfId="0" applyNumberFormat="1" applyFont="1" applyFill="1" applyBorder="1" applyAlignment="1" applyProtection="1">
      <protection locked="0"/>
    </xf>
    <xf numFmtId="196" fontId="5" fillId="2" borderId="26" xfId="0" applyNumberFormat="1" applyFont="1" applyFill="1" applyBorder="1" applyAlignment="1" applyProtection="1">
      <protection locked="0"/>
    </xf>
    <xf numFmtId="0" fontId="5" fillId="2" borderId="27" xfId="0" applyNumberFormat="1" applyFont="1" applyFill="1" applyBorder="1" applyAlignment="1" applyProtection="1">
      <protection locked="0"/>
    </xf>
    <xf numFmtId="196" fontId="6" fillId="0" borderId="28" xfId="3" applyNumberFormat="1" applyFont="1" applyFill="1" applyBorder="1" applyAlignment="1" applyProtection="1">
      <protection locked="0"/>
    </xf>
    <xf numFmtId="16" fontId="5" fillId="2" borderId="2" xfId="0" applyNumberFormat="1" applyFont="1" applyFill="1" applyBorder="1" applyAlignment="1" applyProtection="1">
      <alignment horizontal="left"/>
      <protection locked="0"/>
    </xf>
    <xf numFmtId="0" fontId="0" fillId="4" borderId="29" xfId="0" applyFill="1" applyBorder="1" applyAlignment="1">
      <alignment horizontal="center"/>
    </xf>
    <xf numFmtId="20" fontId="12" fillId="3" borderId="30" xfId="1" applyNumberFormat="1" applyFont="1" applyBorder="1" applyAlignment="1" applyProtection="1">
      <alignment horizontal="center"/>
      <protection locked="0"/>
    </xf>
    <xf numFmtId="3" fontId="16" fillId="2" borderId="0" xfId="0" applyNumberFormat="1" applyFont="1" applyFill="1" applyBorder="1" applyAlignment="1" applyProtection="1">
      <alignment horizontal="center"/>
      <protection locked="0"/>
    </xf>
    <xf numFmtId="196" fontId="17" fillId="2" borderId="0" xfId="0" applyNumberFormat="1" applyFont="1" applyFill="1" applyBorder="1" applyAlignment="1" applyProtection="1">
      <alignment horizontal="center"/>
      <protection locked="0"/>
    </xf>
    <xf numFmtId="196" fontId="6" fillId="0" borderId="27" xfId="3" applyNumberFormat="1" applyFont="1" applyFill="1" applyBorder="1" applyAlignment="1" applyProtection="1">
      <protection locked="0"/>
    </xf>
    <xf numFmtId="196" fontId="6" fillId="2" borderId="31" xfId="0" applyNumberFormat="1" applyFont="1" applyFill="1" applyBorder="1" applyAlignment="1" applyProtection="1">
      <alignment horizontal="center"/>
      <protection locked="0"/>
    </xf>
    <xf numFmtId="196" fontId="16" fillId="2" borderId="32" xfId="0" applyNumberFormat="1" applyFont="1" applyFill="1" applyBorder="1" applyAlignment="1" applyProtection="1">
      <alignment horizontal="center"/>
      <protection locked="0"/>
    </xf>
    <xf numFmtId="3" fontId="6" fillId="5" borderId="0" xfId="0" applyNumberFormat="1" applyFont="1" applyFill="1" applyBorder="1" applyAlignment="1" applyProtection="1">
      <alignment horizontal="center"/>
      <protection locked="0"/>
    </xf>
    <xf numFmtId="196" fontId="5" fillId="5" borderId="0" xfId="0" applyNumberFormat="1" applyFont="1" applyFill="1" applyBorder="1" applyAlignment="1" applyProtection="1">
      <alignment horizontal="center"/>
      <protection locked="0"/>
    </xf>
    <xf numFmtId="196" fontId="6" fillId="5" borderId="32" xfId="0" applyNumberFormat="1" applyFont="1" applyFill="1" applyBorder="1" applyAlignment="1" applyProtection="1">
      <alignment horizontal="center"/>
      <protection locked="0"/>
    </xf>
    <xf numFmtId="196" fontId="6" fillId="5" borderId="22" xfId="3" applyNumberFormat="1" applyFont="1" applyFill="1" applyBorder="1" applyAlignment="1" applyProtection="1">
      <protection locked="0"/>
    </xf>
    <xf numFmtId="3" fontId="16" fillId="2" borderId="0" xfId="0" applyNumberFormat="1" applyFont="1" applyFill="1" applyBorder="1" applyAlignment="1" applyProtection="1">
      <alignment horizontal="left"/>
      <protection locked="0"/>
    </xf>
    <xf numFmtId="3" fontId="6" fillId="5" borderId="0" xfId="0" applyNumberFormat="1" applyFont="1" applyFill="1" applyBorder="1" applyAlignment="1" applyProtection="1">
      <alignment horizontal="left"/>
      <protection locked="0"/>
    </xf>
    <xf numFmtId="0" fontId="5" fillId="5" borderId="0" xfId="0" applyNumberFormat="1" applyFont="1" applyFill="1" applyBorder="1" applyAlignment="1" applyProtection="1">
      <protection locked="0"/>
    </xf>
    <xf numFmtId="196" fontId="16" fillId="0" borderId="27" xfId="3" applyNumberFormat="1" applyFont="1" applyFill="1" applyBorder="1" applyAlignment="1" applyProtection="1">
      <protection locked="0"/>
    </xf>
  </cellXfs>
  <cellStyles count="4">
    <cellStyle name="40% - Énfasis5" xfId="1" builtinId="47"/>
    <cellStyle name="Hipervínculo" xfId="2" builtinId="8"/>
    <cellStyle name="Millares" xfId="3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88900</xdr:colOff>
      <xdr:row>1</xdr:row>
      <xdr:rowOff>50800</xdr:rowOff>
    </xdr:from>
    <xdr:to>
      <xdr:col>3</xdr:col>
      <xdr:colOff>279400</xdr:colOff>
      <xdr:row>11</xdr:row>
      <xdr:rowOff>12700</xdr:rowOff>
    </xdr:to>
    <xdr:pic>
      <xdr:nvPicPr>
        <xdr:cNvPr id="1094" name="Imagen 2" descr="logo san francisco.jpg.pdf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41300"/>
          <a:ext cx="2222500" cy="176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49"/>
  <sheetViews>
    <sheetView tabSelected="1" zoomScale="128" zoomScaleNormal="128" zoomScalePageLayoutView="128" workbookViewId="0">
      <selection activeCell="E29" sqref="E29"/>
    </sheetView>
  </sheetViews>
  <sheetFormatPr baseColWidth="10" defaultColWidth="10" defaultRowHeight="14" x14ac:dyDescent="0.2"/>
  <cols>
    <col min="1" max="1" width="1.83203125" style="4" customWidth="1"/>
    <col min="2" max="2" width="11.33203125" style="5" customWidth="1"/>
    <col min="3" max="3" width="15.33203125" style="4" customWidth="1"/>
    <col min="4" max="4" width="20.5" style="4" customWidth="1"/>
    <col min="5" max="5" width="16.83203125" style="4" customWidth="1"/>
    <col min="6" max="6" width="11.5" style="4" customWidth="1"/>
    <col min="7" max="7" width="10.6640625" style="32" customWidth="1"/>
    <col min="8" max="8" width="15.33203125" style="4" customWidth="1"/>
    <col min="9" max="9" width="15" style="4" customWidth="1"/>
    <col min="10" max="10" width="39.1640625" style="4" customWidth="1"/>
    <col min="11" max="38" width="10" style="4" customWidth="1"/>
    <col min="39" max="16384" width="10" style="6"/>
  </cols>
  <sheetData>
    <row r="1" spans="2:38" ht="15" thickBot="1" x14ac:dyDescent="0.25">
      <c r="B1" s="4"/>
    </row>
    <row r="2" spans="2:38" ht="16" x14ac:dyDescent="0.2">
      <c r="B2" s="53"/>
      <c r="C2" s="54"/>
      <c r="D2" s="54"/>
      <c r="E2" s="54"/>
      <c r="F2" s="54"/>
      <c r="G2" s="55" t="s">
        <v>15</v>
      </c>
      <c r="H2" s="54"/>
      <c r="I2" s="56"/>
      <c r="J2" s="57"/>
    </row>
    <row r="3" spans="2:38" x14ac:dyDescent="0.2">
      <c r="B3" s="58"/>
      <c r="F3" s="25"/>
      <c r="G3" s="30" t="s">
        <v>21</v>
      </c>
      <c r="I3" s="5"/>
      <c r="J3" s="59"/>
    </row>
    <row r="4" spans="2:38" x14ac:dyDescent="0.2">
      <c r="B4" s="60"/>
      <c r="C4" s="22"/>
      <c r="F4" s="25" t="s">
        <v>22</v>
      </c>
      <c r="G4" s="31"/>
      <c r="I4" s="5"/>
      <c r="J4" s="59"/>
    </row>
    <row r="5" spans="2:38" x14ac:dyDescent="0.2">
      <c r="B5" s="60"/>
      <c r="C5" s="7"/>
      <c r="E5" s="6"/>
      <c r="F5" s="7"/>
      <c r="H5" s="5"/>
      <c r="J5" s="61" t="s">
        <v>23</v>
      </c>
    </row>
    <row r="6" spans="2:38" x14ac:dyDescent="0.2">
      <c r="B6" s="60"/>
      <c r="E6" s="7" t="s">
        <v>10</v>
      </c>
      <c r="F6" s="8" t="s">
        <v>49</v>
      </c>
      <c r="G6" s="33"/>
      <c r="H6" s="7"/>
      <c r="J6" s="62" t="s">
        <v>24</v>
      </c>
    </row>
    <row r="7" spans="2:38" x14ac:dyDescent="0.2">
      <c r="B7" s="60"/>
      <c r="C7" s="7"/>
      <c r="E7" s="4" t="s">
        <v>12</v>
      </c>
      <c r="F7" s="7" t="s">
        <v>0</v>
      </c>
      <c r="H7" s="9"/>
      <c r="J7" s="63" t="s">
        <v>25</v>
      </c>
    </row>
    <row r="8" spans="2:38" x14ac:dyDescent="0.2">
      <c r="B8" s="60"/>
      <c r="C8" s="10"/>
      <c r="E8" s="7" t="s">
        <v>4</v>
      </c>
      <c r="F8" s="7">
        <v>102</v>
      </c>
      <c r="J8" s="61" t="s">
        <v>26</v>
      </c>
    </row>
    <row r="9" spans="2:38" x14ac:dyDescent="0.2">
      <c r="B9" s="60"/>
      <c r="C9" s="10"/>
      <c r="E9" s="10" t="s">
        <v>5</v>
      </c>
      <c r="F9" s="11" t="s">
        <v>33</v>
      </c>
      <c r="G9" s="33"/>
      <c r="J9" s="61" t="s">
        <v>27</v>
      </c>
    </row>
    <row r="10" spans="2:38" x14ac:dyDescent="0.2">
      <c r="B10" s="60"/>
      <c r="C10" s="10"/>
      <c r="E10" s="10" t="s">
        <v>6</v>
      </c>
      <c r="F10" s="49" t="s">
        <v>0</v>
      </c>
      <c r="G10" s="34"/>
      <c r="I10" s="5"/>
      <c r="J10" s="61"/>
    </row>
    <row r="11" spans="2:38" x14ac:dyDescent="0.2">
      <c r="B11" s="60"/>
      <c r="C11" s="10"/>
      <c r="E11" s="10" t="s">
        <v>7</v>
      </c>
      <c r="F11" s="64"/>
      <c r="G11" s="34"/>
      <c r="I11" s="5"/>
      <c r="J11" s="61"/>
    </row>
    <row r="12" spans="2:38" x14ac:dyDescent="0.2">
      <c r="B12" s="60"/>
      <c r="C12" s="10"/>
      <c r="E12" s="10" t="s">
        <v>51</v>
      </c>
      <c r="F12" s="64"/>
      <c r="G12" s="34"/>
      <c r="I12" s="5" t="s">
        <v>42</v>
      </c>
      <c r="J12" s="61"/>
    </row>
    <row r="13" spans="2:38" ht="15" thickBot="1" x14ac:dyDescent="0.25">
      <c r="B13" s="60"/>
      <c r="C13" s="23" t="s">
        <v>34</v>
      </c>
      <c r="E13" s="10"/>
      <c r="F13" s="12"/>
      <c r="G13" s="34"/>
      <c r="I13" s="5" t="s">
        <v>0</v>
      </c>
      <c r="J13" s="61"/>
    </row>
    <row r="14" spans="2:38" ht="15" thickBot="1" x14ac:dyDescent="0.25">
      <c r="B14" s="65" t="s">
        <v>13</v>
      </c>
      <c r="C14" s="83" t="s">
        <v>1</v>
      </c>
      <c r="D14" s="26" t="s">
        <v>35</v>
      </c>
      <c r="E14" s="26" t="s">
        <v>36</v>
      </c>
      <c r="F14" s="26" t="s">
        <v>37</v>
      </c>
      <c r="G14" s="35" t="s">
        <v>2</v>
      </c>
      <c r="H14" s="27" t="s">
        <v>3</v>
      </c>
      <c r="I14" s="28" t="s">
        <v>8</v>
      </c>
      <c r="J14" s="66" t="s">
        <v>11</v>
      </c>
      <c r="AL14" s="6"/>
    </row>
    <row r="15" spans="2:38" ht="25" x14ac:dyDescent="0.2">
      <c r="B15" s="67">
        <v>1114565</v>
      </c>
      <c r="C15" s="18" t="s">
        <v>0</v>
      </c>
      <c r="D15" s="2" t="s">
        <v>50</v>
      </c>
      <c r="E15" s="2">
        <v>1</v>
      </c>
      <c r="F15" s="19">
        <v>100</v>
      </c>
      <c r="G15" s="39">
        <v>292139</v>
      </c>
      <c r="H15" s="45">
        <f>E15*G15</f>
        <v>292139</v>
      </c>
      <c r="I15" s="46">
        <f t="shared" ref="I15:I23" si="0">H15*1.19</f>
        <v>347645.41</v>
      </c>
      <c r="J15" s="71" t="s">
        <v>31</v>
      </c>
      <c r="AL15" s="6"/>
    </row>
    <row r="16" spans="2:38" x14ac:dyDescent="0.2">
      <c r="B16" s="82">
        <v>1114593</v>
      </c>
      <c r="C16" s="50" t="s">
        <v>0</v>
      </c>
      <c r="D16" s="2" t="s">
        <v>32</v>
      </c>
      <c r="E16" s="2">
        <v>0</v>
      </c>
      <c r="F16" s="1">
        <v>100</v>
      </c>
      <c r="G16" s="39">
        <v>801</v>
      </c>
      <c r="H16" s="45">
        <f>E16*F16*G16</f>
        <v>0</v>
      </c>
      <c r="I16" s="46">
        <f t="shared" si="0"/>
        <v>0</v>
      </c>
      <c r="J16" s="71" t="s">
        <v>47</v>
      </c>
      <c r="AL16" s="6"/>
    </row>
    <row r="17" spans="1:38" s="52" customFormat="1" x14ac:dyDescent="0.2">
      <c r="A17" s="51"/>
      <c r="B17" s="69">
        <v>1114613</v>
      </c>
      <c r="C17" s="47" t="s">
        <v>0</v>
      </c>
      <c r="D17" s="48" t="s">
        <v>30</v>
      </c>
      <c r="E17" s="1">
        <v>1</v>
      </c>
      <c r="F17" s="2">
        <v>102</v>
      </c>
      <c r="G17" s="38">
        <v>13663</v>
      </c>
      <c r="H17" s="43">
        <f>E17*F17*G17</f>
        <v>1393626</v>
      </c>
      <c r="I17" s="46">
        <f t="shared" si="0"/>
        <v>1658414.94</v>
      </c>
      <c r="J17" s="70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</row>
    <row r="18" spans="1:38" x14ac:dyDescent="0.2">
      <c r="B18" s="67">
        <v>1114618</v>
      </c>
      <c r="C18" s="13" t="s">
        <v>0</v>
      </c>
      <c r="D18" s="2" t="s">
        <v>16</v>
      </c>
      <c r="E18" s="1">
        <v>1</v>
      </c>
      <c r="F18" s="2">
        <v>102</v>
      </c>
      <c r="G18" s="36">
        <v>17432</v>
      </c>
      <c r="H18" s="44">
        <f>F18*G18*E18</f>
        <v>1778064</v>
      </c>
      <c r="I18" s="41">
        <f t="shared" si="0"/>
        <v>2115896.1599999997</v>
      </c>
      <c r="J18" s="29"/>
      <c r="AL18" s="6"/>
    </row>
    <row r="19" spans="1:38" x14ac:dyDescent="0.2">
      <c r="B19" s="67">
        <v>1114622</v>
      </c>
      <c r="C19" s="81"/>
      <c r="D19" s="2" t="s">
        <v>38</v>
      </c>
      <c r="E19" s="2">
        <v>1</v>
      </c>
      <c r="F19" s="2">
        <v>102</v>
      </c>
      <c r="G19" s="39">
        <v>6124</v>
      </c>
      <c r="H19" s="45">
        <f>E19*F19*G19</f>
        <v>624648</v>
      </c>
      <c r="I19" s="41">
        <f t="shared" si="0"/>
        <v>743331.12</v>
      </c>
      <c r="J19" s="68"/>
      <c r="AL19" s="6"/>
    </row>
    <row r="20" spans="1:38" ht="15" thickBot="1" x14ac:dyDescent="0.25">
      <c r="B20" s="60"/>
      <c r="C20" s="14"/>
      <c r="D20" s="15"/>
      <c r="E20" s="7" t="s">
        <v>45</v>
      </c>
      <c r="H20" s="42">
        <f>SUM(H15:H19)</f>
        <v>4088477</v>
      </c>
      <c r="I20" s="80">
        <f t="shared" si="0"/>
        <v>4865287.63</v>
      </c>
      <c r="J20" s="68"/>
    </row>
    <row r="21" spans="1:38" ht="15" thickBot="1" x14ac:dyDescent="0.25">
      <c r="B21" s="60"/>
      <c r="D21" s="16"/>
      <c r="E21" s="93" t="s">
        <v>40</v>
      </c>
      <c r="F21" s="84"/>
      <c r="G21" s="85"/>
      <c r="H21" s="88">
        <f>H20*0.15</f>
        <v>613271.54999999993</v>
      </c>
      <c r="I21" s="96">
        <f t="shared" si="0"/>
        <v>729793.14449999994</v>
      </c>
      <c r="J21" s="57"/>
    </row>
    <row r="22" spans="1:38" ht="15" thickBot="1" x14ac:dyDescent="0.25">
      <c r="B22" s="60"/>
      <c r="D22" s="16"/>
      <c r="E22" s="16" t="s">
        <v>46</v>
      </c>
      <c r="F22" s="17"/>
      <c r="G22" s="37"/>
      <c r="H22" s="87">
        <f>H20-H21</f>
        <v>3475205.45</v>
      </c>
      <c r="I22" s="86">
        <f t="shared" si="0"/>
        <v>4135494.4855</v>
      </c>
      <c r="J22" s="59"/>
    </row>
    <row r="23" spans="1:38" ht="15" thickBot="1" x14ac:dyDescent="0.25">
      <c r="B23" s="60"/>
      <c r="D23" s="16"/>
      <c r="E23" s="94" t="s">
        <v>41</v>
      </c>
      <c r="F23" s="89" t="s">
        <v>0</v>
      </c>
      <c r="G23" s="90"/>
      <c r="H23" s="91">
        <f>H22/120</f>
        <v>28960.045416666668</v>
      </c>
      <c r="I23" s="92">
        <f t="shared" si="0"/>
        <v>34462.454045833336</v>
      </c>
      <c r="J23" s="59"/>
    </row>
    <row r="24" spans="1:38" x14ac:dyDescent="0.2">
      <c r="B24" s="60"/>
      <c r="E24" s="10"/>
      <c r="F24" s="12"/>
      <c r="G24" s="34"/>
      <c r="H24" s="4" t="s">
        <v>0</v>
      </c>
      <c r="I24" s="5"/>
      <c r="J24" s="61"/>
      <c r="AL24" s="6"/>
    </row>
    <row r="25" spans="1:38" ht="15" thickBot="1" x14ac:dyDescent="0.25">
      <c r="B25" s="60"/>
      <c r="C25" s="8" t="s">
        <v>39</v>
      </c>
      <c r="E25" s="10"/>
      <c r="F25" s="12"/>
      <c r="G25" s="34"/>
      <c r="I25" s="5" t="s">
        <v>0</v>
      </c>
      <c r="J25" s="61"/>
      <c r="AL25" s="6"/>
    </row>
    <row r="26" spans="1:38" ht="15" thickBot="1" x14ac:dyDescent="0.25">
      <c r="B26" s="65" t="s">
        <v>13</v>
      </c>
      <c r="C26" s="83" t="s">
        <v>1</v>
      </c>
      <c r="D26" s="26" t="s">
        <v>35</v>
      </c>
      <c r="E26" s="26" t="s">
        <v>36</v>
      </c>
      <c r="F26" s="26" t="s">
        <v>37</v>
      </c>
      <c r="G26" s="35" t="s">
        <v>2</v>
      </c>
      <c r="H26" s="27" t="s">
        <v>3</v>
      </c>
      <c r="I26" s="28" t="s">
        <v>8</v>
      </c>
      <c r="J26" s="66" t="s">
        <v>11</v>
      </c>
      <c r="AL26" s="6"/>
    </row>
    <row r="27" spans="1:38" ht="25" x14ac:dyDescent="0.2">
      <c r="B27" s="67">
        <v>1114566</v>
      </c>
      <c r="C27" s="18" t="s">
        <v>0</v>
      </c>
      <c r="D27" s="2" t="s">
        <v>50</v>
      </c>
      <c r="E27" s="2">
        <v>1</v>
      </c>
      <c r="F27" s="19">
        <v>100</v>
      </c>
      <c r="G27" s="39">
        <v>292139</v>
      </c>
      <c r="H27" s="45">
        <f>E27*G27</f>
        <v>292139</v>
      </c>
      <c r="I27" s="46">
        <f t="shared" ref="I27:I35" si="1">H27*1.19</f>
        <v>347645.41</v>
      </c>
      <c r="J27" s="71" t="s">
        <v>31</v>
      </c>
      <c r="AL27" s="6"/>
    </row>
    <row r="28" spans="1:38" x14ac:dyDescent="0.2">
      <c r="B28" s="82">
        <v>1114593</v>
      </c>
      <c r="C28" s="50" t="s">
        <v>0</v>
      </c>
      <c r="D28" s="2" t="s">
        <v>32</v>
      </c>
      <c r="E28" s="2">
        <v>0</v>
      </c>
      <c r="F28" s="1">
        <v>100</v>
      </c>
      <c r="G28" s="39">
        <v>801</v>
      </c>
      <c r="H28" s="45">
        <f>E28*F28*G28</f>
        <v>0</v>
      </c>
      <c r="I28" s="46">
        <f t="shared" si="1"/>
        <v>0</v>
      </c>
      <c r="J28" s="71" t="s">
        <v>47</v>
      </c>
      <c r="AL28" s="6"/>
    </row>
    <row r="29" spans="1:38" x14ac:dyDescent="0.2">
      <c r="B29" s="69">
        <v>1114627</v>
      </c>
      <c r="C29" s="47" t="s">
        <v>0</v>
      </c>
      <c r="D29" s="48" t="s">
        <v>43</v>
      </c>
      <c r="E29" s="1">
        <v>1</v>
      </c>
      <c r="F29" s="2">
        <v>102</v>
      </c>
      <c r="G29" s="38">
        <v>6124</v>
      </c>
      <c r="H29" s="43">
        <f>E29*F29*G29</f>
        <v>624648</v>
      </c>
      <c r="I29" s="46">
        <f t="shared" si="1"/>
        <v>743331.12</v>
      </c>
      <c r="J29" s="70" t="s">
        <v>44</v>
      </c>
    </row>
    <row r="30" spans="1:38" x14ac:dyDescent="0.2">
      <c r="B30" s="67">
        <v>1114618</v>
      </c>
      <c r="C30" s="13" t="s">
        <v>0</v>
      </c>
      <c r="D30" s="2" t="s">
        <v>16</v>
      </c>
      <c r="E30" s="1">
        <v>1</v>
      </c>
      <c r="F30" s="2">
        <v>102</v>
      </c>
      <c r="G30" s="36">
        <v>17432</v>
      </c>
      <c r="H30" s="44">
        <f>F30*G30*E30</f>
        <v>1778064</v>
      </c>
      <c r="I30" s="41">
        <f t="shared" si="1"/>
        <v>2115896.1599999997</v>
      </c>
      <c r="J30" s="29"/>
    </row>
    <row r="31" spans="1:38" x14ac:dyDescent="0.2">
      <c r="B31" s="67">
        <v>1114622</v>
      </c>
      <c r="C31" s="81"/>
      <c r="D31" s="2" t="s">
        <v>38</v>
      </c>
      <c r="E31" s="2">
        <v>1</v>
      </c>
      <c r="F31" s="2">
        <v>102</v>
      </c>
      <c r="G31" s="39">
        <v>6124</v>
      </c>
      <c r="H31" s="45">
        <f>E31*F31*G31</f>
        <v>624648</v>
      </c>
      <c r="I31" s="41">
        <f t="shared" si="1"/>
        <v>743331.12</v>
      </c>
      <c r="J31" s="68"/>
      <c r="AL31" s="6"/>
    </row>
    <row r="32" spans="1:38" ht="15" thickBot="1" x14ac:dyDescent="0.25">
      <c r="B32" s="60"/>
      <c r="C32" s="14"/>
      <c r="D32" s="15"/>
      <c r="E32" s="7" t="s">
        <v>45</v>
      </c>
      <c r="H32" s="42">
        <f>SUM(H27:H31)</f>
        <v>3319499</v>
      </c>
      <c r="I32" s="41">
        <f t="shared" si="1"/>
        <v>3950203.81</v>
      </c>
      <c r="J32" s="68"/>
      <c r="AL32" s="6"/>
    </row>
    <row r="33" spans="2:38" ht="16.5" customHeight="1" thickBot="1" x14ac:dyDescent="0.25">
      <c r="B33" s="60"/>
      <c r="D33" s="16"/>
      <c r="E33" s="93" t="s">
        <v>40</v>
      </c>
      <c r="G33" s="85"/>
      <c r="H33" s="88">
        <f>H32*0.15</f>
        <v>497924.85</v>
      </c>
      <c r="I33" s="96">
        <f t="shared" si="1"/>
        <v>592530.57149999996</v>
      </c>
      <c r="J33" s="57"/>
      <c r="AL33" s="6"/>
    </row>
    <row r="34" spans="2:38" ht="15" thickBot="1" x14ac:dyDescent="0.25">
      <c r="B34" s="60"/>
      <c r="D34" s="16"/>
      <c r="E34" s="16" t="s">
        <v>46</v>
      </c>
      <c r="G34" s="37"/>
      <c r="H34" s="87">
        <f>H32-H33</f>
        <v>2821574.15</v>
      </c>
      <c r="I34" s="86">
        <f t="shared" si="1"/>
        <v>3357673.2384999995</v>
      </c>
      <c r="J34" s="59"/>
      <c r="AL34" s="6"/>
    </row>
    <row r="35" spans="2:38" ht="15" thickBot="1" x14ac:dyDescent="0.25">
      <c r="B35" s="60"/>
      <c r="D35" s="16"/>
      <c r="E35" s="94" t="s">
        <v>41</v>
      </c>
      <c r="F35" s="95"/>
      <c r="G35" s="90"/>
      <c r="H35" s="91">
        <f>H34/102</f>
        <v>27662.491666666665</v>
      </c>
      <c r="I35" s="92">
        <f t="shared" si="1"/>
        <v>32918.36508333333</v>
      </c>
      <c r="J35" s="59"/>
      <c r="AL35" s="6"/>
    </row>
    <row r="36" spans="2:38" x14ac:dyDescent="0.2">
      <c r="B36" s="72" t="s">
        <v>9</v>
      </c>
      <c r="C36" s="6"/>
      <c r="D36" s="22"/>
      <c r="E36" s="22"/>
      <c r="F36" s="22"/>
      <c r="J36" s="59"/>
    </row>
    <row r="37" spans="2:38" x14ac:dyDescent="0.2">
      <c r="B37" s="72" t="s">
        <v>28</v>
      </c>
      <c r="C37" s="6"/>
      <c r="D37" s="22"/>
      <c r="E37" s="22"/>
      <c r="F37" s="22"/>
      <c r="J37" s="59"/>
    </row>
    <row r="38" spans="2:38" x14ac:dyDescent="0.2">
      <c r="B38" s="72" t="s">
        <v>17</v>
      </c>
      <c r="C38" s="6"/>
      <c r="D38" s="22"/>
      <c r="E38" s="22"/>
      <c r="F38" s="22"/>
      <c r="J38" s="59"/>
    </row>
    <row r="39" spans="2:38" x14ac:dyDescent="0.2">
      <c r="B39" s="72" t="s">
        <v>14</v>
      </c>
      <c r="C39" s="6"/>
      <c r="D39" s="22"/>
      <c r="E39" s="22"/>
      <c r="F39" s="22"/>
      <c r="J39" s="59"/>
    </row>
    <row r="40" spans="2:38" x14ac:dyDescent="0.2">
      <c r="B40" s="72" t="s">
        <v>18</v>
      </c>
      <c r="C40" s="6"/>
      <c r="J40" s="59"/>
    </row>
    <row r="41" spans="2:38" x14ac:dyDescent="0.2">
      <c r="B41" s="72" t="s">
        <v>19</v>
      </c>
      <c r="C41" s="6"/>
      <c r="D41" s="22"/>
      <c r="E41" s="22"/>
      <c r="F41" s="22"/>
      <c r="J41" s="59"/>
    </row>
    <row r="42" spans="2:38" x14ac:dyDescent="0.2">
      <c r="B42" s="72" t="s">
        <v>20</v>
      </c>
      <c r="C42" s="6"/>
      <c r="E42" s="22"/>
      <c r="F42" s="22"/>
      <c r="J42" s="59"/>
    </row>
    <row r="43" spans="2:38" ht="15" thickBot="1" x14ac:dyDescent="0.25">
      <c r="B43" s="73"/>
      <c r="C43" s="21"/>
      <c r="D43" s="3"/>
      <c r="E43" s="24"/>
      <c r="F43" s="24"/>
      <c r="G43" s="40"/>
      <c r="H43" s="3"/>
      <c r="I43" s="3"/>
      <c r="J43" s="74"/>
    </row>
    <row r="44" spans="2:38" ht="15" thickTop="1" x14ac:dyDescent="0.2">
      <c r="B44" s="72" t="s">
        <v>29</v>
      </c>
      <c r="C44" s="6"/>
      <c r="E44" s="22"/>
      <c r="F44" s="22"/>
      <c r="J44" s="59"/>
    </row>
    <row r="45" spans="2:38" ht="15" thickBot="1" x14ac:dyDescent="0.25">
      <c r="B45" s="75" t="s">
        <v>48</v>
      </c>
      <c r="C45" s="76"/>
      <c r="D45" s="77"/>
      <c r="E45" s="77"/>
      <c r="F45" s="77"/>
      <c r="G45" s="78"/>
      <c r="H45" s="77"/>
      <c r="I45" s="77"/>
      <c r="J45" s="79"/>
    </row>
    <row r="49" spans="6:6" x14ac:dyDescent="0.2">
      <c r="F49" s="20"/>
    </row>
  </sheetData>
  <phoneticPr fontId="2" type="noConversion"/>
  <pageMargins left="0.39305555555555555" right="0.39305555555555555" top="0.39305555555555555" bottom="0.39305555555555555" header="0.39305555555555555" footer="0.39305555555555555"/>
  <pageSetup scale="63" orientation="portrait" horizontalDpi="300" verticalDpi="300"/>
  <ignoredErrors>
    <ignoredError sqref="H37:I39 I20 H36:I36 H15:I19 H21:I22 H20 H24:I34 I23 I35" unlocked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Cotizacion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Katherine Solis</dc:creator>
  <cp:lastModifiedBy>Usuario de Microsoft Office</cp:lastModifiedBy>
  <cp:lastPrinted>2016-05-18T20:39:27Z</cp:lastPrinted>
  <dcterms:created xsi:type="dcterms:W3CDTF">2005-01-26T16:34:30Z</dcterms:created>
  <dcterms:modified xsi:type="dcterms:W3CDTF">2018-11-14T20:17:51Z</dcterms:modified>
</cp:coreProperties>
</file>