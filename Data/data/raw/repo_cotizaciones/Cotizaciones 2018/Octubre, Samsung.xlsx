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4" i="1" l="1"/>
  <c r="F24" i="1"/>
  <c r="F13" i="1"/>
  <c r="F10" i="1"/>
  <c r="D20" i="1"/>
  <c r="D18" i="1"/>
  <c r="D17" i="1"/>
  <c r="E17" i="1"/>
  <c r="F17" i="1"/>
  <c r="F18" i="1"/>
  <c r="E19" i="1"/>
  <c r="E20" i="1"/>
  <c r="F20" i="1"/>
  <c r="F9" i="1"/>
  <c r="F11" i="1"/>
  <c r="F12" i="1"/>
  <c r="F14" i="1"/>
  <c r="F15" i="1"/>
  <c r="F16" i="1"/>
  <c r="F19" i="1"/>
  <c r="F21" i="1"/>
  <c r="F22" i="1"/>
  <c r="F23" i="1"/>
  <c r="F33" i="1"/>
  <c r="F30" i="1"/>
  <c r="F31" i="1"/>
  <c r="F32" i="1"/>
  <c r="F74" i="1"/>
  <c r="F63" i="1"/>
  <c r="F29" i="1"/>
  <c r="F70" i="1"/>
  <c r="F69" i="1"/>
  <c r="F71" i="1"/>
  <c r="F76" i="1"/>
  <c r="F95" i="1"/>
  <c r="F91" i="1"/>
  <c r="F89" i="1"/>
  <c r="F90" i="1"/>
  <c r="F92" i="1"/>
  <c r="F93" i="1"/>
  <c r="F94" i="1"/>
  <c r="F96" i="1"/>
  <c r="F88" i="1"/>
  <c r="F85" i="1"/>
  <c r="F80" i="1"/>
  <c r="F87" i="1"/>
  <c r="F67" i="1"/>
  <c r="F72" i="1"/>
  <c r="F68" i="1"/>
  <c r="F83" i="1"/>
  <c r="F78" i="1"/>
  <c r="F79" i="1"/>
  <c r="F81" i="1"/>
  <c r="F82" i="1"/>
  <c r="F84" i="1"/>
  <c r="F86" i="1"/>
  <c r="F64" i="1"/>
  <c r="F65" i="1"/>
  <c r="F66" i="1"/>
  <c r="F73" i="1"/>
  <c r="F75" i="1"/>
  <c r="F77" i="1"/>
  <c r="F30" i="5"/>
  <c r="E30" i="5"/>
  <c r="D30" i="5"/>
  <c r="C30" i="5"/>
  <c r="B30" i="5"/>
  <c r="P29" i="5"/>
  <c r="O29" i="5"/>
  <c r="N29" i="5"/>
  <c r="K29" i="5"/>
  <c r="J29" i="5"/>
  <c r="I29" i="5"/>
  <c r="Z23" i="5"/>
  <c r="F34" i="1"/>
  <c r="F35" i="1"/>
</calcChain>
</file>

<file path=xl/sharedStrings.xml><?xml version="1.0" encoding="utf-8"?>
<sst xmlns="http://schemas.openxmlformats.org/spreadsheetml/2006/main" count="454" uniqueCount="266">
  <si>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</si>
  <si>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</si>
  <si>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</si>
  <si>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</si>
  <si>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</si>
  <si>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</si>
  <si>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</si>
  <si>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</si>
  <si>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</si>
  <si>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</si>
  <si>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</si>
  <si>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</si>
  <si>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</si>
  <si>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</si>
  <si>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</si>
  <si>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</si>
  <si>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</si>
  <si>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</si>
  <si>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</si>
  <si>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</si>
  <si>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</si>
  <si>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</si>
  <si>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</si>
  <si>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</si>
  <si>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</si>
  <si>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</si>
  <si>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</si>
  <si>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</si>
  <si>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</si>
  <si>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</si>
  <si>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</si>
  <si>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</si>
  <si>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</si>
  <si>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</si>
  <si>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</si>
  <si>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</si>
  <si>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</si>
  <si>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</si>
  <si>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</si>
  <si>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</si>
  <si>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</si>
  <si>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</si>
  <si>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</si>
  <si>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</si>
  <si>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</si>
  <si>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</si>
  <si>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</si>
  <si>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</si>
  <si>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</si>
  <si>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</si>
  <si>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</si>
  <si>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</si>
  <si>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</si>
  <si>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</si>
  <si>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</si>
  <si>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</si>
  <si>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</si>
  <si>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</si>
  <si>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</si>
  <si>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</si>
  <si>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</si>
  <si>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</si>
  <si>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</si>
  <si>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</si>
  <si>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</si>
  <si>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</si>
  <si>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</si>
  <si>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</si>
  <si>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</si>
  <si>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</si>
  <si>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</si>
  <si>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</si>
  <si>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</si>
  <si>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</si>
  <si>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</si>
  <si>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</si>
  <si>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</si>
  <si>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</si>
  <si>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</si>
  <si>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</si>
  <si>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</si>
  <si>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</si>
  <si>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</si>
  <si>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</si>
  <si>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</si>
  <si>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</si>
  <si>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</si>
  <si>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</si>
  <si>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</si>
  <si>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</si>
  <si>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</si>
  <si>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</si>
  <si>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</si>
  <si>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</si>
  <si>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</si>
  <si>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</si>
  <si>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</si>
  <si>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</si>
  <si>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</si>
  <si>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</si>
  <si>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</si>
  <si>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</si>
  <si>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</si>
  <si>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</si>
  <si>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</si>
  <si>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</si>
  <si>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</si>
  <si>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</si>
  <si>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</si>
  <si>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</si>
  <si>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</si>
  <si>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</si>
  <si>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</si>
  <si>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</si>
  <si>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</si>
  <si>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</si>
  <si>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</si>
  <si>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</si>
  <si>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</si>
  <si>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</si>
  <si>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</si>
  <si>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</si>
  <si>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</si>
  <si>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</si>
  <si>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</si>
  <si>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</si>
  <si>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</si>
  <si>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</si>
  <si>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</si>
  <si>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</si>
  <si>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</si>
  <si>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</si>
  <si>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</si>
  <si>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</si>
  <si>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</si>
  <si>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</si>
  <si>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</si>
  <si>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</si>
  <si>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</si>
  <si>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</si>
  <si>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</si>
  <si>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</si>
  <si>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</si>
  <si>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</si>
  <si>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</si>
  <si>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</si>
  <si>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</si>
  <si>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</si>
  <si>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</si>
  <si>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</si>
  <si>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</si>
  <si>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</si>
  <si>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</si>
  <si>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</si>
  <si>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</si>
  <si>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</si>
  <si>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</si>
  <si>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</si>
  <si>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</si>
  <si>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</si>
  <si>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</si>
  <si>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</si>
  <si>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</si>
  <si>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</si>
  <si>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</si>
  <si>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</si>
  <si>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</si>
  <si>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</si>
  <si>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</si>
  <si>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</si>
  <si>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</si>
  <si>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</si>
  <si>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</si>
  <si>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</si>
  <si>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</si>
  <si>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</si>
  <si>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</si>
  <si>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</si>
  <si>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</si>
  <si>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</si>
  <si>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</si>
  <si>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</si>
  <si>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</si>
  <si>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</si>
  <si>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</si>
  <si>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</si>
  <si>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</si>
  <si>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</si>
  <si>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</si>
  <si>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</si>
  <si>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</si>
  <si>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</si>
  <si>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</si>
  <si>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</si>
  <si>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</si>
  <si>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</si>
  <si>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</si>
  <si>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</si>
  <si>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</si>
  <si>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</si>
  <si>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</si>
  <si>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</si>
  <si>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</si>
  <si>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</si>
  <si>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</si>
  <si>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</si>
  <si>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</si>
  <si>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</si>
  <si>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</si>
  <si>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</si>
  <si>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</si>
  <si>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</si>
  <si>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</si>
  <si>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</si>
  <si>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</si>
  <si>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</si>
  <si>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</si>
  <si>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</si>
  <si>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</si>
  <si>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</si>
  <si>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</si>
  <si>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</si>
  <si>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</si>
  <si>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</si>
  <si>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</si>
  <si>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</si>
  <si>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</si>
  <si>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</si>
  <si>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</si>
  <si>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</si>
  <si>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</si>
  <si>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</si>
  <si>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</si>
  <si>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</si>
  <si>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</si>
  <si>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</si>
  <si>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</si>
  <si>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Orden de compra indicando forma de pago abono y datos de la empresa.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</si>
  <si>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Abono de 50% del total del Evento.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</si>
  <si>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</si>
  <si>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</si>
  <si>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Forma de pago del 50% restante.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</si>
  <si>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</si>
  <si>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</si>
  <si>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</si>
  <si>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</si>
  <si>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</si>
  <si>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</si>
  <si>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Confirmar asistentes con 72 hrs, luego se paga por lo reservado.</t>
    </r>
  </si>
  <si>
    <r>
      <t>·</t>
    </r>
    <r>
      <rPr>
        <sz val="7"/>
        <color rgb="FF000000"/>
        <rFont val="Times New Roman"/>
      </rPr>
      <t>      </t>
    </r>
    <r>
      <rPr>
        <sz val="11"/>
        <color rgb="FF000000"/>
        <rFont val="Calibri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</si>
  <si>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</si>
  <si>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</si>
  <si>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Salón chinook</t>
  </si>
  <si>
    <t>Habitación triple hotel</t>
  </si>
  <si>
    <t>Habitación cuadruple hotel</t>
  </si>
  <si>
    <t>Habitación quintuple hotel</t>
  </si>
  <si>
    <t>Cabaña 4</t>
  </si>
  <si>
    <t>Cabaña 10</t>
  </si>
  <si>
    <t>Cabaña 12</t>
  </si>
  <si>
    <t>UDS</t>
  </si>
  <si>
    <t>Nº</t>
  </si>
  <si>
    <t>Monica Versin</t>
  </si>
  <si>
    <t>Carmen Rodriguez</t>
  </si>
  <si>
    <t>9 74961403</t>
  </si>
  <si>
    <t>Samsung</t>
  </si>
  <si>
    <t>Equipado con data, telón papelógrafo, aire acondicionado y calefacción.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</si>
</sst>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;[Red]&quot;$&quot;\-#,##0"/>
    <numFmt numFmtId="165" formatCode="&quot;$&quot;#,##0"/>
    <numFmt numFmtId="166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Symbol"/>
      <charset val="2"/>
    </font>
    <font>
      <sz val="7"/>
      <color rgb="FF000000"/>
      <name val="Times New Roman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166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6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164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6" fontId="6" fillId="9" borderId="1" xfId="0" applyNumberFormat="1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0" fillId="3" borderId="0" xfId="0" applyFill="1"/>
    <xf numFmtId="166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6" fontId="15" fillId="9" borderId="1" xfId="0" applyNumberFormat="1" applyFont="1" applyFill="1" applyBorder="1" applyAlignment="1">
      <alignment horizontal="left" vertical="center"/>
    </xf>
    <xf numFmtId="164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6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/>
    </xf>
    <xf numFmtId="166" fontId="2" fillId="10" borderId="2" xfId="0" applyNumberFormat="1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4"/>
  <sheetViews>
    <sheetView tabSelected="1" zoomScale="109" zoomScaleNormal="109" zoomScalePageLayoutView="109" workbookViewId="0">
      <selection activeCell="C33" sqref="C33"/>
    </sheetView>
  </sheetViews>
  <sheetFormatPr baseColWidth="10" defaultRowHeight="16" x14ac:dyDescent="0.2"/>
  <cols>
    <col min="1" max="1" width="31.33203125" customWidth="1"/>
    <col min="2" max="2" width="10.83203125" style="77" customWidth="1"/>
    <col min="3" max="3" width="7.6640625" customWidth="1"/>
    <col min="4" max="4" width="7.5" customWidth="1"/>
    <col min="5" max="5" width="10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234</v>
      </c>
    </row>
    <row r="2" spans="1:7" x14ac:dyDescent="0.2">
      <c r="G2" t="s">
        <v>191</v>
      </c>
    </row>
    <row r="3" spans="1:7" x14ac:dyDescent="0.2">
      <c r="A3" s="70" t="s">
        <v>138</v>
      </c>
      <c r="B3" s="133" t="s">
        <v>261</v>
      </c>
      <c r="E3" t="s">
        <v>3</v>
      </c>
      <c r="F3" s="34" t="s">
        <v>264</v>
      </c>
      <c r="G3" s="86" t="s">
        <v>192</v>
      </c>
    </row>
    <row r="4" spans="1:7" x14ac:dyDescent="0.2">
      <c r="A4" t="s">
        <v>139</v>
      </c>
      <c r="B4" s="133"/>
      <c r="C4" s="74"/>
      <c r="E4" t="s">
        <v>5</v>
      </c>
      <c r="G4" s="87" t="s">
        <v>193</v>
      </c>
    </row>
    <row r="5" spans="1:7" x14ac:dyDescent="0.2">
      <c r="A5" t="s">
        <v>140</v>
      </c>
      <c r="B5" s="133"/>
      <c r="E5" t="s">
        <v>4</v>
      </c>
      <c r="F5" s="34">
        <v>390</v>
      </c>
      <c r="G5" s="87" t="s">
        <v>194</v>
      </c>
    </row>
    <row r="6" spans="1:7" x14ac:dyDescent="0.2">
      <c r="A6" s="72" t="s">
        <v>142</v>
      </c>
      <c r="B6" s="134" t="s">
        <v>262</v>
      </c>
      <c r="C6" s="71"/>
      <c r="D6" s="71"/>
      <c r="E6" s="71" t="s">
        <v>141</v>
      </c>
      <c r="F6" s="72" t="s">
        <v>263</v>
      </c>
      <c r="G6" s="87" t="s">
        <v>195</v>
      </c>
    </row>
    <row r="7" spans="1:7" ht="17" thickBot="1" x14ac:dyDescent="0.25">
      <c r="A7" s="71"/>
      <c r="B7" s="134"/>
      <c r="C7" s="71"/>
      <c r="D7" s="71"/>
      <c r="E7" s="71"/>
      <c r="F7" s="71"/>
      <c r="G7" s="87"/>
    </row>
    <row r="8" spans="1:7" ht="15.75" customHeight="1" x14ac:dyDescent="0.2">
      <c r="A8" s="113" t="s">
        <v>125</v>
      </c>
      <c r="B8" s="114" t="s">
        <v>161</v>
      </c>
      <c r="C8" s="115" t="s">
        <v>260</v>
      </c>
      <c r="D8" s="115" t="s">
        <v>259</v>
      </c>
      <c r="E8" s="115" t="s">
        <v>0</v>
      </c>
      <c r="F8" s="115" t="s">
        <v>1</v>
      </c>
      <c r="G8" s="116" t="s">
        <v>8</v>
      </c>
    </row>
    <row r="9" spans="1:7" x14ac:dyDescent="0.2">
      <c r="A9" s="103" t="s">
        <v>252</v>
      </c>
      <c r="B9" s="104"/>
      <c r="C9" s="95">
        <v>1</v>
      </c>
      <c r="D9" s="95">
        <v>1</v>
      </c>
      <c r="E9" s="105">
        <v>300000</v>
      </c>
      <c r="F9" s="94">
        <f>C9*E9</f>
        <v>300000</v>
      </c>
      <c r="G9" s="93" t="s">
        <v>265</v>
      </c>
    </row>
    <row r="10" spans="1:7" ht="15" customHeight="1" x14ac:dyDescent="0.2">
      <c r="A10" s="106" t="s">
        <v>116</v>
      </c>
      <c r="B10" s="107"/>
      <c r="C10" s="95">
        <v>1</v>
      </c>
      <c r="D10" s="95">
        <v>390</v>
      </c>
      <c r="E10" s="105">
        <v>5500</v>
      </c>
      <c r="F10" s="94">
        <f>C10*D10*E10</f>
        <v>2145000</v>
      </c>
      <c r="G10" s="103" t="s">
        <v>157</v>
      </c>
    </row>
    <row r="11" spans="1:7" ht="16.5" customHeight="1" x14ac:dyDescent="0.2">
      <c r="A11" s="103" t="s">
        <v>121</v>
      </c>
      <c r="B11" s="104" t="s">
        <v>175</v>
      </c>
      <c r="C11" s="95">
        <v>1</v>
      </c>
      <c r="D11" s="95">
        <v>390</v>
      </c>
      <c r="E11" s="94">
        <v>15000</v>
      </c>
      <c r="F11" s="94">
        <f t="shared" ref="F11:F21" si="0">D11*E11</f>
        <v>5850000</v>
      </c>
      <c r="G11" s="93" t="s">
        <v>114</v>
      </c>
    </row>
    <row r="12" spans="1:7" x14ac:dyDescent="0.2">
      <c r="A12" s="103" t="s">
        <v>221</v>
      </c>
      <c r="B12" s="104"/>
      <c r="C12" s="95">
        <v>1</v>
      </c>
      <c r="D12" s="95">
        <v>390</v>
      </c>
      <c r="E12" s="94">
        <v>1500</v>
      </c>
      <c r="F12" s="94">
        <f t="shared" si="0"/>
        <v>585000</v>
      </c>
      <c r="G12" s="93" t="s">
        <v>214</v>
      </c>
    </row>
    <row r="13" spans="1:7" x14ac:dyDescent="0.2">
      <c r="A13" s="103" t="s">
        <v>172</v>
      </c>
      <c r="B13" s="104"/>
      <c r="C13" s="95">
        <v>1</v>
      </c>
      <c r="D13" s="95">
        <v>390</v>
      </c>
      <c r="E13" s="94">
        <v>8500</v>
      </c>
      <c r="F13" s="94">
        <f t="shared" ref="F13" si="1">C13*D13*E13</f>
        <v>3315000</v>
      </c>
      <c r="G13" s="108" t="s">
        <v>229</v>
      </c>
    </row>
    <row r="14" spans="1:7" x14ac:dyDescent="0.2">
      <c r="A14" s="103" t="s">
        <v>122</v>
      </c>
      <c r="B14" s="104" t="s">
        <v>176</v>
      </c>
      <c r="C14" s="95">
        <v>1</v>
      </c>
      <c r="D14" s="95">
        <v>390</v>
      </c>
      <c r="E14" s="105">
        <v>15000</v>
      </c>
      <c r="F14" s="94">
        <f t="shared" si="0"/>
        <v>5850000</v>
      </c>
      <c r="G14" s="93" t="s">
        <v>216</v>
      </c>
    </row>
    <row r="15" spans="1:7" x14ac:dyDescent="0.2">
      <c r="A15" s="103" t="s">
        <v>221</v>
      </c>
      <c r="B15" s="104"/>
      <c r="C15" s="95">
        <v>0</v>
      </c>
      <c r="D15" s="95">
        <v>390</v>
      </c>
      <c r="E15" s="94">
        <v>1500</v>
      </c>
      <c r="F15" s="94">
        <f t="shared" si="0"/>
        <v>585000</v>
      </c>
      <c r="G15" s="93" t="s">
        <v>214</v>
      </c>
    </row>
    <row r="16" spans="1:7" ht="16.5" customHeight="1" x14ac:dyDescent="0.2">
      <c r="A16" s="130" t="s">
        <v>231</v>
      </c>
      <c r="B16" s="131"/>
      <c r="C16" s="95">
        <v>1</v>
      </c>
      <c r="D16" s="95">
        <v>1</v>
      </c>
      <c r="E16" s="132">
        <v>99000</v>
      </c>
      <c r="F16" s="94">
        <f t="shared" si="0"/>
        <v>99000</v>
      </c>
      <c r="G16" s="130" t="s">
        <v>232</v>
      </c>
    </row>
    <row r="17" spans="1:7" ht="16.5" customHeight="1" x14ac:dyDescent="0.2">
      <c r="A17" s="130" t="s">
        <v>150</v>
      </c>
      <c r="B17" s="131"/>
      <c r="C17" s="95">
        <v>2</v>
      </c>
      <c r="D17" s="95">
        <f>4*2+6*4+8</f>
        <v>40</v>
      </c>
      <c r="E17" s="132">
        <f>E16+9500+5000</f>
        <v>113500</v>
      </c>
      <c r="F17" s="94">
        <f t="shared" si="0"/>
        <v>4540000</v>
      </c>
      <c r="G17" s="130" t="s">
        <v>233</v>
      </c>
    </row>
    <row r="18" spans="1:7" ht="16.5" customHeight="1" x14ac:dyDescent="0.2">
      <c r="A18" s="130" t="s">
        <v>253</v>
      </c>
      <c r="B18" s="131"/>
      <c r="C18" s="95">
        <v>3</v>
      </c>
      <c r="D18" s="95">
        <f>2*4+6</f>
        <v>14</v>
      </c>
      <c r="E18" s="132">
        <v>139500</v>
      </c>
      <c r="F18" s="94">
        <f t="shared" si="0"/>
        <v>1953000</v>
      </c>
      <c r="G18" s="169"/>
    </row>
    <row r="19" spans="1:7" ht="16.5" customHeight="1" x14ac:dyDescent="0.2">
      <c r="A19" s="130" t="s">
        <v>254</v>
      </c>
      <c r="B19" s="131"/>
      <c r="C19" s="95">
        <v>4</v>
      </c>
      <c r="D19" s="95">
        <v>8</v>
      </c>
      <c r="E19" s="132">
        <f>E18+E18-E17</f>
        <v>165500</v>
      </c>
      <c r="F19" s="94">
        <f t="shared" si="0"/>
        <v>1324000</v>
      </c>
      <c r="G19" s="169"/>
    </row>
    <row r="20" spans="1:7" ht="16.5" customHeight="1" x14ac:dyDescent="0.2">
      <c r="A20" s="130" t="s">
        <v>255</v>
      </c>
      <c r="B20" s="131"/>
      <c r="C20" s="95">
        <v>5</v>
      </c>
      <c r="D20" s="95">
        <f>2*4+1+8</f>
        <v>17</v>
      </c>
      <c r="E20" s="132">
        <f>E19+E18-E17</f>
        <v>191500</v>
      </c>
      <c r="F20" s="94">
        <f t="shared" si="0"/>
        <v>3255500</v>
      </c>
      <c r="G20" s="169"/>
    </row>
    <row r="21" spans="1:7" ht="16.5" customHeight="1" x14ac:dyDescent="0.2">
      <c r="A21" s="130" t="s">
        <v>256</v>
      </c>
      <c r="B21" s="131"/>
      <c r="C21" s="95">
        <v>4</v>
      </c>
      <c r="D21" s="95">
        <v>3</v>
      </c>
      <c r="E21" s="132">
        <v>220000</v>
      </c>
      <c r="F21" s="94">
        <f t="shared" si="0"/>
        <v>660000</v>
      </c>
      <c r="G21" s="169"/>
    </row>
    <row r="22" spans="1:7" ht="16.5" customHeight="1" x14ac:dyDescent="0.2">
      <c r="A22" s="130" t="s">
        <v>257</v>
      </c>
      <c r="B22" s="131"/>
      <c r="C22" s="95">
        <v>10</v>
      </c>
      <c r="D22" s="95">
        <v>9</v>
      </c>
      <c r="E22" s="132">
        <v>296000</v>
      </c>
      <c r="F22" s="94">
        <f>D22*E22</f>
        <v>2664000</v>
      </c>
      <c r="G22" s="169"/>
    </row>
    <row r="23" spans="1:7" ht="16.5" customHeight="1" x14ac:dyDescent="0.2">
      <c r="A23" s="130" t="s">
        <v>258</v>
      </c>
      <c r="B23" s="131"/>
      <c r="C23" s="95">
        <v>12</v>
      </c>
      <c r="D23" s="95">
        <v>4</v>
      </c>
      <c r="E23" s="132">
        <v>347000</v>
      </c>
      <c r="F23" s="94">
        <f>D23*E23</f>
        <v>1388000</v>
      </c>
      <c r="G23" s="169"/>
    </row>
    <row r="24" spans="1:7" ht="16.5" customHeight="1" thickBot="1" x14ac:dyDescent="0.25">
      <c r="A24" s="2" t="s">
        <v>92</v>
      </c>
      <c r="B24" s="172"/>
      <c r="C24" s="173">
        <f>C16*D16+C17*D17+C18*D18+C19*D19+C20*D20+C21*D21+C22*D22+C23*D23</f>
        <v>390</v>
      </c>
      <c r="D24" s="173">
        <v>96</v>
      </c>
      <c r="E24" s="174"/>
      <c r="F24" s="174">
        <f>SUM(F9:F23)</f>
        <v>34513500</v>
      </c>
      <c r="G24" s="33" t="s">
        <v>2</v>
      </c>
    </row>
    <row r="25" spans="1:7" ht="16.5" customHeight="1" x14ac:dyDescent="0.2">
      <c r="A25" s="113" t="s">
        <v>126</v>
      </c>
      <c r="B25" s="170"/>
      <c r="C25" s="171" t="s">
        <v>124</v>
      </c>
      <c r="D25" s="171" t="s">
        <v>7</v>
      </c>
      <c r="E25" s="171" t="s">
        <v>0</v>
      </c>
      <c r="F25" s="171" t="s">
        <v>1</v>
      </c>
      <c r="G25" s="116" t="s">
        <v>8</v>
      </c>
    </row>
    <row r="26" spans="1:7" x14ac:dyDescent="0.2">
      <c r="A26" s="109" t="s">
        <v>10</v>
      </c>
      <c r="B26" s="110"/>
      <c r="C26" s="95">
        <v>0</v>
      </c>
      <c r="D26" s="95">
        <v>0</v>
      </c>
      <c r="E26" s="135">
        <v>10500</v>
      </c>
      <c r="F26" s="94" t="s">
        <v>127</v>
      </c>
      <c r="G26" s="93" t="s">
        <v>215</v>
      </c>
    </row>
    <row r="27" spans="1:7" x14ac:dyDescent="0.2">
      <c r="A27" s="124"/>
      <c r="B27" s="125"/>
      <c r="C27" s="126"/>
      <c r="D27" s="126"/>
      <c r="E27" s="127"/>
      <c r="F27" s="128">
        <v>0</v>
      </c>
      <c r="G27" s="129"/>
    </row>
    <row r="28" spans="1:7" x14ac:dyDescent="0.2">
      <c r="A28" s="117" t="s">
        <v>210</v>
      </c>
      <c r="B28" s="118" t="s">
        <v>235</v>
      </c>
      <c r="C28" s="119"/>
      <c r="D28" s="119"/>
      <c r="E28" s="120"/>
      <c r="F28" s="120" t="s">
        <v>2</v>
      </c>
      <c r="G28" s="117" t="s">
        <v>211</v>
      </c>
    </row>
    <row r="29" spans="1:7" x14ac:dyDescent="0.2">
      <c r="A29" s="96" t="s">
        <v>206</v>
      </c>
      <c r="B29" s="97" t="s">
        <v>2</v>
      </c>
      <c r="C29" s="98">
        <v>0</v>
      </c>
      <c r="D29" s="98">
        <v>0</v>
      </c>
      <c r="E29" s="99">
        <v>0</v>
      </c>
      <c r="F29" s="99">
        <f t="shared" ref="F29:F32" si="2">C29*D29*E29</f>
        <v>0</v>
      </c>
      <c r="G29" s="100" t="s">
        <v>208</v>
      </c>
    </row>
    <row r="30" spans="1:7" x14ac:dyDescent="0.2">
      <c r="A30" s="96" t="s">
        <v>202</v>
      </c>
      <c r="B30" s="97" t="s">
        <v>2</v>
      </c>
      <c r="C30" s="98">
        <v>0</v>
      </c>
      <c r="D30" s="98">
        <v>0</v>
      </c>
      <c r="E30" s="99">
        <v>0</v>
      </c>
      <c r="F30" s="99">
        <f t="shared" si="2"/>
        <v>0</v>
      </c>
      <c r="G30" s="100" t="s">
        <v>209</v>
      </c>
    </row>
    <row r="31" spans="1:7" ht="16.5" customHeight="1" x14ac:dyDescent="0.2">
      <c r="A31" s="96" t="s">
        <v>203</v>
      </c>
      <c r="B31" s="97" t="s">
        <v>2</v>
      </c>
      <c r="C31" s="98">
        <v>0</v>
      </c>
      <c r="D31" s="98">
        <v>0</v>
      </c>
      <c r="E31" s="99">
        <v>0</v>
      </c>
      <c r="F31" s="99">
        <f t="shared" si="2"/>
        <v>0</v>
      </c>
      <c r="G31" s="100" t="s">
        <v>207</v>
      </c>
    </row>
    <row r="32" spans="1:7" ht="17" thickBot="1" x14ac:dyDescent="0.25">
      <c r="A32" s="96" t="s">
        <v>204</v>
      </c>
      <c r="B32" s="97" t="s">
        <v>2</v>
      </c>
      <c r="C32" s="98">
        <v>0</v>
      </c>
      <c r="D32" s="98">
        <v>0</v>
      </c>
      <c r="E32" s="99">
        <v>0</v>
      </c>
      <c r="F32" s="99">
        <f t="shared" si="2"/>
        <v>0</v>
      </c>
      <c r="G32" s="96" t="s">
        <v>205</v>
      </c>
    </row>
    <row r="33" spans="1:7" ht="17" thickBot="1" x14ac:dyDescent="0.25">
      <c r="A33" s="36" t="s">
        <v>212</v>
      </c>
      <c r="B33" s="79"/>
      <c r="C33" s="37"/>
      <c r="D33" s="37"/>
      <c r="E33" s="38"/>
      <c r="F33" s="39">
        <f>F24+F27</f>
        <v>34513500</v>
      </c>
      <c r="G33" s="6" t="s">
        <v>148</v>
      </c>
    </row>
    <row r="34" spans="1:7" x14ac:dyDescent="0.2">
      <c r="A34" s="3" t="s">
        <v>149</v>
      </c>
      <c r="B34" s="78"/>
      <c r="C34" s="32"/>
      <c r="D34" s="24"/>
      <c r="E34" s="7"/>
      <c r="F34" s="5">
        <f>F33*1.19-F33</f>
        <v>6557565</v>
      </c>
      <c r="G34" s="6"/>
    </row>
    <row r="35" spans="1:7" x14ac:dyDescent="0.2">
      <c r="A35" s="81" t="s">
        <v>230</v>
      </c>
      <c r="B35" s="82"/>
      <c r="C35" s="83"/>
      <c r="D35" s="83"/>
      <c r="E35" s="84"/>
      <c r="F35" s="85">
        <f>F33+F34</f>
        <v>41071065</v>
      </c>
      <c r="G35" s="6"/>
    </row>
    <row r="36" spans="1:7" x14ac:dyDescent="0.2">
      <c r="A36" s="3"/>
      <c r="B36" s="78"/>
      <c r="C36" s="32"/>
      <c r="D36" s="24"/>
      <c r="E36" s="7"/>
      <c r="F36" s="4"/>
      <c r="G36" s="6"/>
    </row>
    <row r="37" spans="1:7" ht="17" x14ac:dyDescent="0.2">
      <c r="A37" s="137" t="s">
        <v>179</v>
      </c>
      <c r="B37"/>
      <c r="E37" s="75"/>
      <c r="F37" s="75" t="s">
        <v>2</v>
      </c>
      <c r="G37" s="75"/>
    </row>
    <row r="38" spans="1:7" x14ac:dyDescent="0.2">
      <c r="A38" s="139" t="s">
        <v>248</v>
      </c>
      <c r="B38"/>
    </row>
    <row r="39" spans="1:7" x14ac:dyDescent="0.2">
      <c r="A39" s="139" t="s">
        <v>249</v>
      </c>
      <c r="B39"/>
    </row>
    <row r="41" spans="1:7" x14ac:dyDescent="0.2">
      <c r="A41" s="137" t="s">
        <v>250</v>
      </c>
      <c r="B41"/>
    </row>
    <row r="42" spans="1:7" x14ac:dyDescent="0.2">
      <c r="A42" s="137" t="s">
        <v>236</v>
      </c>
      <c r="B42"/>
      <c r="F42" s="137" t="s">
        <v>240</v>
      </c>
    </row>
    <row r="43" spans="1:7" x14ac:dyDescent="0.2">
      <c r="A43" s="139" t="s">
        <v>237</v>
      </c>
      <c r="B43"/>
      <c r="F43" s="139" t="s">
        <v>237</v>
      </c>
    </row>
    <row r="44" spans="1:7" x14ac:dyDescent="0.2">
      <c r="A44" s="139" t="s">
        <v>238</v>
      </c>
      <c r="B44"/>
      <c r="F44" s="139" t="s">
        <v>238</v>
      </c>
    </row>
    <row r="45" spans="1:7" x14ac:dyDescent="0.2">
      <c r="A45" s="139" t="s">
        <v>239</v>
      </c>
      <c r="B45"/>
      <c r="F45" s="139" t="s">
        <v>241</v>
      </c>
    </row>
    <row r="46" spans="1:7" x14ac:dyDescent="0.2">
      <c r="F46" s="139" t="s">
        <v>242</v>
      </c>
    </row>
    <row r="47" spans="1:7" x14ac:dyDescent="0.2">
      <c r="A47" s="137" t="s">
        <v>251</v>
      </c>
      <c r="B47"/>
    </row>
    <row r="48" spans="1:7" x14ac:dyDescent="0.2">
      <c r="A48" s="138" t="s">
        <v>151</v>
      </c>
      <c r="B48"/>
    </row>
    <row r="49" spans="1:7" x14ac:dyDescent="0.2">
      <c r="A49" s="138" t="s">
        <v>152</v>
      </c>
      <c r="B49"/>
    </row>
    <row r="50" spans="1:7" ht="17" x14ac:dyDescent="0.2">
      <c r="A50" s="138" t="s">
        <v>153</v>
      </c>
      <c r="B50"/>
      <c r="F50" s="75" t="s">
        <v>2</v>
      </c>
    </row>
    <row r="51" spans="1:7" ht="17" x14ac:dyDescent="0.2">
      <c r="A51" s="138" t="s">
        <v>154</v>
      </c>
      <c r="B51"/>
      <c r="F51" s="75" t="s">
        <v>2</v>
      </c>
    </row>
    <row r="52" spans="1:7" ht="17" x14ac:dyDescent="0.2">
      <c r="A52" s="138"/>
      <c r="B52"/>
      <c r="F52" s="75" t="s">
        <v>2</v>
      </c>
    </row>
    <row r="53" spans="1:7" ht="16" customHeight="1" x14ac:dyDescent="0.2">
      <c r="A53" s="138" t="s">
        <v>245</v>
      </c>
      <c r="B53"/>
    </row>
    <row r="54" spans="1:7" ht="16" customHeight="1" x14ac:dyDescent="0.2">
      <c r="A54" s="138" t="s">
        <v>243</v>
      </c>
      <c r="B54"/>
    </row>
    <row r="55" spans="1:7" ht="16" customHeight="1" x14ac:dyDescent="0.2">
      <c r="B55"/>
    </row>
    <row r="56" spans="1:7" ht="16" customHeight="1" x14ac:dyDescent="0.2">
      <c r="A56" s="137" t="s">
        <v>244</v>
      </c>
      <c r="B56"/>
      <c r="E56" s="138" t="s">
        <v>185</v>
      </c>
      <c r="F56" s="138" t="s">
        <v>186</v>
      </c>
    </row>
    <row r="57" spans="1:7" ht="16" customHeight="1" x14ac:dyDescent="0.2">
      <c r="A57" s="138" t="s">
        <v>180</v>
      </c>
      <c r="B57" s="138" t="s">
        <v>181</v>
      </c>
      <c r="E57" s="138" t="s">
        <v>187</v>
      </c>
      <c r="F57" s="138" t="s">
        <v>188</v>
      </c>
    </row>
    <row r="58" spans="1:7" ht="16" customHeight="1" x14ac:dyDescent="0.2">
      <c r="A58" s="138" t="s">
        <v>182</v>
      </c>
      <c r="B58" s="138" t="s">
        <v>183</v>
      </c>
      <c r="E58" s="138" t="s">
        <v>189</v>
      </c>
      <c r="F58" s="138" t="s">
        <v>190</v>
      </c>
    </row>
    <row r="59" spans="1:7" ht="16" customHeight="1" x14ac:dyDescent="0.2">
      <c r="A59" s="138" t="s">
        <v>184</v>
      </c>
      <c r="B59" s="138" t="s">
        <v>246</v>
      </c>
      <c r="E59" s="138" t="s">
        <v>5</v>
      </c>
      <c r="F59" s="138">
        <v>29539311</v>
      </c>
    </row>
    <row r="60" spans="1:7" ht="16" customHeight="1" x14ac:dyDescent="0.2">
      <c r="A60" s="140" t="s">
        <v>247</v>
      </c>
    </row>
    <row r="61" spans="1:7" ht="16" customHeight="1" x14ac:dyDescent="0.2">
      <c r="A61" s="75"/>
      <c r="B61"/>
    </row>
    <row r="62" spans="1:7" x14ac:dyDescent="0.2">
      <c r="A62" s="141" t="s">
        <v>123</v>
      </c>
      <c r="B62" s="142" t="s">
        <v>161</v>
      </c>
      <c r="C62" s="141" t="s">
        <v>89</v>
      </c>
      <c r="D62" s="141" t="s">
        <v>7</v>
      </c>
      <c r="E62" s="141" t="s">
        <v>6</v>
      </c>
      <c r="F62" s="141" t="s">
        <v>90</v>
      </c>
      <c r="G62" s="141" t="s">
        <v>8</v>
      </c>
    </row>
    <row r="63" spans="1:7" x14ac:dyDescent="0.2">
      <c r="A63" s="93" t="s">
        <v>178</v>
      </c>
      <c r="B63" s="101"/>
      <c r="C63" s="95">
        <v>0</v>
      </c>
      <c r="D63" s="95">
        <v>0</v>
      </c>
      <c r="E63" s="102">
        <v>200000</v>
      </c>
      <c r="F63" s="102">
        <f>C63*D63*E63</f>
        <v>0</v>
      </c>
      <c r="G63" s="93" t="s">
        <v>213</v>
      </c>
    </row>
    <row r="64" spans="1:7" x14ac:dyDescent="0.2">
      <c r="A64" s="103" t="s">
        <v>91</v>
      </c>
      <c r="B64" s="104"/>
      <c r="C64" s="95">
        <v>0</v>
      </c>
      <c r="D64" s="95">
        <v>0</v>
      </c>
      <c r="E64" s="94">
        <v>12000</v>
      </c>
      <c r="F64" s="94">
        <f t="shared" ref="F64:F77" si="3">C64*D64*E64</f>
        <v>0</v>
      </c>
      <c r="G64" s="93" t="s">
        <v>217</v>
      </c>
    </row>
    <row r="65" spans="1:7" x14ac:dyDescent="0.2">
      <c r="A65" s="103" t="s">
        <v>93</v>
      </c>
      <c r="B65" s="104"/>
      <c r="C65" s="95">
        <v>0</v>
      </c>
      <c r="D65" s="95">
        <v>0</v>
      </c>
      <c r="E65" s="94">
        <v>26000</v>
      </c>
      <c r="F65" s="94">
        <f t="shared" si="3"/>
        <v>0</v>
      </c>
      <c r="G65" s="93" t="s">
        <v>118</v>
      </c>
    </row>
    <row r="66" spans="1:7" x14ac:dyDescent="0.2">
      <c r="A66" s="103" t="s">
        <v>94</v>
      </c>
      <c r="B66" s="104"/>
      <c r="C66" s="95">
        <v>0</v>
      </c>
      <c r="D66" s="95">
        <v>0</v>
      </c>
      <c r="E66" s="94">
        <v>35000</v>
      </c>
      <c r="F66" s="94">
        <f t="shared" si="3"/>
        <v>0</v>
      </c>
      <c r="G66" s="93" t="s">
        <v>118</v>
      </c>
    </row>
    <row r="67" spans="1:7" x14ac:dyDescent="0.2">
      <c r="A67" s="103" t="s">
        <v>120</v>
      </c>
      <c r="B67" s="104"/>
      <c r="C67" s="95">
        <v>0</v>
      </c>
      <c r="D67" s="95">
        <v>0</v>
      </c>
      <c r="E67" s="94">
        <v>10000</v>
      </c>
      <c r="F67" s="94">
        <f t="shared" si="3"/>
        <v>0</v>
      </c>
      <c r="G67" s="93"/>
    </row>
    <row r="68" spans="1:7" x14ac:dyDescent="0.2">
      <c r="A68" s="103" t="s">
        <v>159</v>
      </c>
      <c r="B68" s="104"/>
      <c r="C68" s="95">
        <v>0</v>
      </c>
      <c r="D68" s="95">
        <v>0</v>
      </c>
      <c r="E68" s="94">
        <v>4500</v>
      </c>
      <c r="F68" s="94">
        <f t="shared" si="3"/>
        <v>0</v>
      </c>
      <c r="G68" s="93" t="s">
        <v>160</v>
      </c>
    </row>
    <row r="69" spans="1:7" x14ac:dyDescent="0.2">
      <c r="A69" s="103" t="s">
        <v>173</v>
      </c>
      <c r="B69" s="104"/>
      <c r="C69" s="95">
        <v>0</v>
      </c>
      <c r="D69" s="95">
        <v>0</v>
      </c>
      <c r="E69" s="94">
        <v>5000</v>
      </c>
      <c r="F69" s="94">
        <f t="shared" ref="F69:F70" si="4">C69*D69*E69</f>
        <v>0</v>
      </c>
      <c r="G69" s="93" t="s">
        <v>218</v>
      </c>
    </row>
    <row r="70" spans="1:7" x14ac:dyDescent="0.2">
      <c r="A70" s="103" t="s">
        <v>174</v>
      </c>
      <c r="B70" s="104"/>
      <c r="C70" s="95">
        <v>0</v>
      </c>
      <c r="D70" s="95">
        <v>0</v>
      </c>
      <c r="E70" s="94">
        <v>5000</v>
      </c>
      <c r="F70" s="94">
        <f t="shared" si="4"/>
        <v>0</v>
      </c>
      <c r="G70" s="93" t="s">
        <v>219</v>
      </c>
    </row>
    <row r="71" spans="1:7" x14ac:dyDescent="0.2">
      <c r="A71" s="103" t="s">
        <v>158</v>
      </c>
      <c r="B71" s="104"/>
      <c r="C71" s="95">
        <v>0</v>
      </c>
      <c r="D71" s="95">
        <v>0</v>
      </c>
      <c r="E71" s="94">
        <v>3000</v>
      </c>
      <c r="F71" s="94">
        <f t="shared" ref="F71" si="5">C71*D71*E71</f>
        <v>0</v>
      </c>
      <c r="G71" s="93" t="s">
        <v>220</v>
      </c>
    </row>
    <row r="72" spans="1:7" x14ac:dyDescent="0.2">
      <c r="A72" s="103" t="s">
        <v>119</v>
      </c>
      <c r="B72" s="104"/>
      <c r="C72" s="95">
        <v>0</v>
      </c>
      <c r="D72" s="95">
        <v>0</v>
      </c>
      <c r="E72" s="94">
        <v>16000</v>
      </c>
      <c r="F72" s="94">
        <f t="shared" si="3"/>
        <v>0</v>
      </c>
      <c r="G72" s="93" t="s">
        <v>146</v>
      </c>
    </row>
    <row r="73" spans="1:7" x14ac:dyDescent="0.2">
      <c r="A73" s="103" t="s">
        <v>11</v>
      </c>
      <c r="B73" s="104"/>
      <c r="C73" s="95">
        <v>0</v>
      </c>
      <c r="D73" s="95">
        <v>0</v>
      </c>
      <c r="E73" s="94">
        <v>7000</v>
      </c>
      <c r="F73" s="94">
        <f t="shared" si="3"/>
        <v>0</v>
      </c>
      <c r="G73" s="93" t="s">
        <v>162</v>
      </c>
    </row>
    <row r="74" spans="1:7" x14ac:dyDescent="0.2">
      <c r="A74" s="121" t="s">
        <v>221</v>
      </c>
      <c r="B74" s="122"/>
      <c r="C74" s="98">
        <v>0</v>
      </c>
      <c r="D74" s="98">
        <v>0</v>
      </c>
      <c r="E74" s="99">
        <v>1500</v>
      </c>
      <c r="F74" s="99">
        <f t="shared" si="3"/>
        <v>0</v>
      </c>
      <c r="G74" s="96" t="s">
        <v>214</v>
      </c>
    </row>
    <row r="75" spans="1:7" x14ac:dyDescent="0.2">
      <c r="A75" s="121" t="s">
        <v>163</v>
      </c>
      <c r="B75" s="122"/>
      <c r="C75" s="98">
        <v>0</v>
      </c>
      <c r="D75" s="98">
        <v>0</v>
      </c>
      <c r="E75" s="99">
        <v>3000</v>
      </c>
      <c r="F75" s="99">
        <f t="shared" si="3"/>
        <v>0</v>
      </c>
      <c r="G75" s="96"/>
    </row>
    <row r="76" spans="1:7" x14ac:dyDescent="0.2">
      <c r="A76" s="121" t="s">
        <v>222</v>
      </c>
      <c r="B76" s="122"/>
      <c r="C76" s="98">
        <v>0</v>
      </c>
      <c r="D76" s="98">
        <v>0</v>
      </c>
      <c r="E76" s="99">
        <v>1000</v>
      </c>
      <c r="F76" s="99">
        <f t="shared" ref="F76" si="6">C76*D76*E76</f>
        <v>0</v>
      </c>
      <c r="G76" s="96" t="s">
        <v>164</v>
      </c>
    </row>
    <row r="77" spans="1:7" x14ac:dyDescent="0.2">
      <c r="A77" s="121" t="s">
        <v>226</v>
      </c>
      <c r="B77" s="122"/>
      <c r="C77" s="98">
        <v>0</v>
      </c>
      <c r="D77" s="98">
        <v>0</v>
      </c>
      <c r="E77" s="99">
        <v>3000</v>
      </c>
      <c r="F77" s="99">
        <f t="shared" si="3"/>
        <v>0</v>
      </c>
      <c r="G77" s="96" t="s">
        <v>9</v>
      </c>
    </row>
    <row r="78" spans="1:7" x14ac:dyDescent="0.2">
      <c r="A78" s="121" t="s">
        <v>96</v>
      </c>
      <c r="B78" s="122"/>
      <c r="C78" s="98">
        <v>0</v>
      </c>
      <c r="D78" s="98">
        <v>0</v>
      </c>
      <c r="E78" s="123">
        <v>150000</v>
      </c>
      <c r="F78" s="99">
        <f t="shared" ref="F78:F85" si="7">C78*D78*E78</f>
        <v>0</v>
      </c>
      <c r="G78" s="96" t="s">
        <v>97</v>
      </c>
    </row>
    <row r="79" spans="1:7" x14ac:dyDescent="0.2">
      <c r="A79" s="103" t="s">
        <v>98</v>
      </c>
      <c r="B79" s="104"/>
      <c r="C79" s="95">
        <v>0</v>
      </c>
      <c r="D79" s="95">
        <v>0</v>
      </c>
      <c r="E79" s="105">
        <v>100000</v>
      </c>
      <c r="F79" s="94">
        <f t="shared" si="7"/>
        <v>0</v>
      </c>
      <c r="G79" s="93" t="s">
        <v>99</v>
      </c>
    </row>
    <row r="80" spans="1:7" x14ac:dyDescent="0.2">
      <c r="A80" s="106" t="s">
        <v>223</v>
      </c>
      <c r="B80" s="107"/>
      <c r="C80" s="95">
        <v>0</v>
      </c>
      <c r="D80" s="143">
        <v>0</v>
      </c>
      <c r="E80" s="105">
        <v>3850</v>
      </c>
      <c r="F80" s="136">
        <f>E80*D80*C80</f>
        <v>0</v>
      </c>
      <c r="G80" s="103" t="s">
        <v>155</v>
      </c>
    </row>
    <row r="81" spans="1:7" x14ac:dyDescent="0.2">
      <c r="A81" s="106" t="s">
        <v>115</v>
      </c>
      <c r="B81" s="107"/>
      <c r="C81" s="95">
        <v>0</v>
      </c>
      <c r="D81" s="95">
        <v>0</v>
      </c>
      <c r="E81" s="105">
        <v>4800</v>
      </c>
      <c r="F81" s="94">
        <f>C81*D81*E81</f>
        <v>0</v>
      </c>
      <c r="G81" s="103" t="s">
        <v>224</v>
      </c>
    </row>
    <row r="82" spans="1:7" ht="15" customHeight="1" x14ac:dyDescent="0.2">
      <c r="A82" s="106" t="s">
        <v>116</v>
      </c>
      <c r="B82" s="107"/>
      <c r="C82" s="95">
        <v>0</v>
      </c>
      <c r="D82" s="95">
        <v>0</v>
      </c>
      <c r="E82" s="105">
        <v>5500</v>
      </c>
      <c r="F82" s="94">
        <f>C82*D82*E82</f>
        <v>0</v>
      </c>
      <c r="G82" s="103" t="s">
        <v>157</v>
      </c>
    </row>
    <row r="83" spans="1:7" ht="15" customHeight="1" x14ac:dyDescent="0.2">
      <c r="A83" s="106" t="s">
        <v>117</v>
      </c>
      <c r="B83" s="107"/>
      <c r="C83" s="95">
        <v>0</v>
      </c>
      <c r="D83" s="95">
        <v>0</v>
      </c>
      <c r="E83" s="105">
        <v>7500</v>
      </c>
      <c r="F83" s="94">
        <f t="shared" si="7"/>
        <v>0</v>
      </c>
      <c r="G83" s="103" t="s">
        <v>156</v>
      </c>
    </row>
    <row r="84" spans="1:7" x14ac:dyDescent="0.2">
      <c r="A84" s="103" t="s">
        <v>172</v>
      </c>
      <c r="B84" s="104"/>
      <c r="C84" s="95">
        <v>0</v>
      </c>
      <c r="D84" s="95">
        <v>0</v>
      </c>
      <c r="E84" s="94">
        <v>8500</v>
      </c>
      <c r="F84" s="94">
        <f t="shared" si="7"/>
        <v>0</v>
      </c>
      <c r="G84" s="108" t="s">
        <v>229</v>
      </c>
    </row>
    <row r="85" spans="1:7" ht="32" x14ac:dyDescent="0.2">
      <c r="A85" s="103" t="s">
        <v>165</v>
      </c>
      <c r="B85" s="104"/>
      <c r="C85" s="95">
        <v>0</v>
      </c>
      <c r="D85" s="95">
        <v>0</v>
      </c>
      <c r="E85" s="94">
        <v>13500</v>
      </c>
      <c r="F85" s="94">
        <f t="shared" si="7"/>
        <v>0</v>
      </c>
      <c r="G85" s="144" t="s">
        <v>147</v>
      </c>
    </row>
    <row r="86" spans="1:7" x14ac:dyDescent="0.2">
      <c r="A86" s="103" t="s">
        <v>95</v>
      </c>
      <c r="B86" s="104"/>
      <c r="C86" s="95">
        <v>0</v>
      </c>
      <c r="D86" s="95">
        <v>0</v>
      </c>
      <c r="E86" s="94">
        <v>2500</v>
      </c>
      <c r="F86" s="94">
        <f>C86*D86*E86</f>
        <v>0</v>
      </c>
      <c r="G86" s="93" t="s">
        <v>227</v>
      </c>
    </row>
    <row r="87" spans="1:7" x14ac:dyDescent="0.2">
      <c r="A87" s="103" t="s">
        <v>166</v>
      </c>
      <c r="B87" s="104"/>
      <c r="C87" s="95">
        <v>0</v>
      </c>
      <c r="D87" s="95">
        <v>0</v>
      </c>
      <c r="E87" s="105">
        <v>300000</v>
      </c>
      <c r="F87" s="94">
        <f>C87*D87*E87</f>
        <v>0</v>
      </c>
      <c r="G87" s="93" t="s">
        <v>225</v>
      </c>
    </row>
    <row r="88" spans="1:7" x14ac:dyDescent="0.2">
      <c r="A88" s="103" t="s">
        <v>167</v>
      </c>
      <c r="B88" s="104"/>
      <c r="C88" s="95">
        <v>0</v>
      </c>
      <c r="D88" s="95">
        <v>0</v>
      </c>
      <c r="E88" s="105">
        <v>250000</v>
      </c>
      <c r="F88" s="94">
        <f>C88*D88*E88</f>
        <v>0</v>
      </c>
      <c r="G88" s="93" t="s">
        <v>225</v>
      </c>
    </row>
    <row r="89" spans="1:7" x14ac:dyDescent="0.2">
      <c r="A89" s="103" t="s">
        <v>144</v>
      </c>
      <c r="B89" s="104"/>
      <c r="C89" s="95">
        <v>0</v>
      </c>
      <c r="D89" s="95">
        <v>0</v>
      </c>
      <c r="E89" s="105">
        <v>210000</v>
      </c>
      <c r="F89" s="94">
        <f t="shared" ref="F89:F96" si="8">C89*D89*E89</f>
        <v>0</v>
      </c>
      <c r="G89" s="93" t="s">
        <v>225</v>
      </c>
    </row>
    <row r="90" spans="1:7" x14ac:dyDescent="0.2">
      <c r="A90" s="103" t="s">
        <v>145</v>
      </c>
      <c r="B90" s="104"/>
      <c r="C90" s="95">
        <v>0</v>
      </c>
      <c r="D90" s="95">
        <v>0</v>
      </c>
      <c r="E90" s="105">
        <v>210000</v>
      </c>
      <c r="F90" s="94">
        <f t="shared" si="8"/>
        <v>0</v>
      </c>
      <c r="G90" s="93" t="s">
        <v>225</v>
      </c>
    </row>
    <row r="91" spans="1:7" x14ac:dyDescent="0.2">
      <c r="A91" s="103" t="s">
        <v>168</v>
      </c>
      <c r="B91" s="104"/>
      <c r="C91" s="95">
        <v>0</v>
      </c>
      <c r="D91" s="95">
        <v>0</v>
      </c>
      <c r="E91" s="105">
        <v>180000</v>
      </c>
      <c r="F91" s="94">
        <f t="shared" si="8"/>
        <v>0</v>
      </c>
      <c r="G91" s="93" t="s">
        <v>225</v>
      </c>
    </row>
    <row r="92" spans="1:7" x14ac:dyDescent="0.2">
      <c r="A92" s="103" t="s">
        <v>143</v>
      </c>
      <c r="B92" s="104"/>
      <c r="C92" s="95">
        <v>0</v>
      </c>
      <c r="D92" s="95">
        <v>0</v>
      </c>
      <c r="E92" s="105">
        <v>180000</v>
      </c>
      <c r="F92" s="94">
        <f t="shared" si="8"/>
        <v>0</v>
      </c>
      <c r="G92" s="93" t="s">
        <v>225</v>
      </c>
    </row>
    <row r="93" spans="1:7" x14ac:dyDescent="0.2">
      <c r="A93" s="103" t="s">
        <v>170</v>
      </c>
      <c r="B93" s="104"/>
      <c r="C93" s="95">
        <v>0</v>
      </c>
      <c r="D93" s="95">
        <v>0</v>
      </c>
      <c r="E93" s="99">
        <v>120000</v>
      </c>
      <c r="F93" s="94">
        <f t="shared" si="8"/>
        <v>0</v>
      </c>
      <c r="G93" s="93" t="s">
        <v>225</v>
      </c>
    </row>
    <row r="94" spans="1:7" x14ac:dyDescent="0.2">
      <c r="A94" s="103" t="s">
        <v>169</v>
      </c>
      <c r="B94" s="104"/>
      <c r="C94" s="95">
        <v>0</v>
      </c>
      <c r="D94" s="95">
        <v>0</v>
      </c>
      <c r="E94" s="99">
        <v>90000</v>
      </c>
      <c r="F94" s="94">
        <f t="shared" si="8"/>
        <v>0</v>
      </c>
      <c r="G94" s="93" t="s">
        <v>225</v>
      </c>
    </row>
    <row r="95" spans="1:7" x14ac:dyDescent="0.2">
      <c r="A95" s="103" t="s">
        <v>177</v>
      </c>
      <c r="B95" s="104"/>
      <c r="C95" s="95">
        <v>0</v>
      </c>
      <c r="D95" s="95">
        <v>0</v>
      </c>
      <c r="E95" s="99">
        <v>100000</v>
      </c>
      <c r="F95" s="94">
        <f t="shared" si="8"/>
        <v>0</v>
      </c>
      <c r="G95" s="93" t="s">
        <v>228</v>
      </c>
    </row>
    <row r="96" spans="1:7" x14ac:dyDescent="0.2">
      <c r="A96" s="103" t="s">
        <v>171</v>
      </c>
      <c r="B96" s="104"/>
      <c r="C96" s="95">
        <v>0</v>
      </c>
      <c r="D96" s="95">
        <v>0</v>
      </c>
      <c r="E96" s="99">
        <v>300000</v>
      </c>
      <c r="F96" s="94">
        <f t="shared" si="8"/>
        <v>0</v>
      </c>
      <c r="G96" s="93" t="s">
        <v>225</v>
      </c>
    </row>
    <row r="97" spans="1:6" x14ac:dyDescent="0.2">
      <c r="A97" s="111"/>
      <c r="B97" s="112"/>
      <c r="C97" s="111"/>
      <c r="D97" s="111"/>
      <c r="E97" s="111"/>
      <c r="F97" s="111"/>
    </row>
    <row r="98" spans="1:6" x14ac:dyDescent="0.2">
      <c r="A98" s="111"/>
      <c r="B98" s="112"/>
      <c r="C98" s="111"/>
      <c r="D98" s="111"/>
      <c r="E98" s="111"/>
      <c r="F98" s="111"/>
    </row>
    <row r="114" spans="1:7" ht="17" x14ac:dyDescent="0.2">
      <c r="A114" s="23"/>
      <c r="B114" s="80"/>
      <c r="C114" s="6"/>
      <c r="D114" s="6"/>
      <c r="E114" s="6"/>
      <c r="F114" s="6"/>
      <c r="G114" s="6"/>
    </row>
  </sheetData>
  <phoneticPr fontId="7" type="noConversion"/>
  <hyperlinks>
    <hyperlink ref="A60" r:id="rId1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9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3"/>
      <c r="B1" s="163"/>
      <c r="C1" s="163"/>
      <c r="D1" s="25"/>
      <c r="E1" s="25" t="s">
        <v>100</v>
      </c>
      <c r="F1" s="40"/>
      <c r="G1" s="40"/>
      <c r="H1" s="40"/>
      <c r="I1" s="25"/>
      <c r="J1" s="22"/>
      <c r="K1" s="22"/>
      <c r="L1" s="22"/>
      <c r="M1" s="22"/>
      <c r="N1" s="22"/>
    </row>
    <row r="2" spans="1:14" x14ac:dyDescent="0.2">
      <c r="A2" s="163"/>
      <c r="B2" s="163"/>
      <c r="C2" s="163"/>
      <c r="D2" s="25"/>
      <c r="E2" s="25"/>
      <c r="F2" s="40"/>
      <c r="G2" s="40"/>
      <c r="H2" s="40"/>
      <c r="I2" s="25"/>
      <c r="J2" s="22"/>
      <c r="K2" s="22"/>
      <c r="L2" s="22"/>
      <c r="M2" s="22"/>
      <c r="N2" s="22"/>
    </row>
    <row r="3" spans="1:14" x14ac:dyDescent="0.2">
      <c r="A3" s="163"/>
      <c r="B3" s="163"/>
      <c r="C3" s="163"/>
      <c r="D3" s="25"/>
      <c r="E3" s="25" t="s">
        <v>136</v>
      </c>
      <c r="F3" s="40"/>
      <c r="G3" s="40"/>
      <c r="H3" s="40"/>
      <c r="I3" s="25"/>
      <c r="J3" s="22"/>
      <c r="K3" s="22"/>
      <c r="L3" s="22"/>
      <c r="M3" s="22"/>
      <c r="N3" s="22"/>
    </row>
    <row r="4" spans="1:14" x14ac:dyDescent="0.2">
      <c r="A4" s="163"/>
      <c r="B4" s="163"/>
      <c r="C4" s="163"/>
      <c r="D4" s="41"/>
      <c r="E4" s="41" t="s">
        <v>137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64" t="s">
        <v>130</v>
      </c>
      <c r="D6" s="158"/>
      <c r="E6" s="159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45" t="s">
        <v>131</v>
      </c>
      <c r="D7" s="146"/>
      <c r="E7" s="147"/>
      <c r="F7" s="52"/>
      <c r="G7" s="52"/>
      <c r="H7" s="52"/>
      <c r="I7" s="53" t="s">
        <v>132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45" t="s">
        <v>131</v>
      </c>
      <c r="D8" s="146"/>
      <c r="E8" s="147"/>
      <c r="F8" s="52"/>
      <c r="G8" s="52"/>
      <c r="H8" s="52"/>
      <c r="I8" s="53" t="s">
        <v>132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48" t="s">
        <v>109</v>
      </c>
      <c r="D9" s="149"/>
      <c r="E9" s="150"/>
      <c r="F9" s="47"/>
      <c r="G9" s="47">
        <v>60</v>
      </c>
      <c r="H9" s="48" t="s">
        <v>108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45" t="s">
        <v>131</v>
      </c>
      <c r="D10" s="146"/>
      <c r="E10" s="147"/>
      <c r="F10" s="52"/>
      <c r="G10" s="52"/>
      <c r="H10" s="52"/>
      <c r="I10" s="53" t="s">
        <v>132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45" t="s">
        <v>131</v>
      </c>
      <c r="D11" s="146"/>
      <c r="E11" s="147"/>
      <c r="F11" s="52"/>
      <c r="G11" s="52"/>
      <c r="H11" s="52"/>
      <c r="I11" s="53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51" t="s">
        <v>110</v>
      </c>
      <c r="D12" s="152"/>
      <c r="E12" s="153"/>
      <c r="F12" s="44"/>
      <c r="G12" s="44"/>
      <c r="H12" s="43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54" t="s">
        <v>129</v>
      </c>
      <c r="D13" s="155"/>
      <c r="E13" s="156"/>
      <c r="F13" s="58"/>
      <c r="G13" s="58">
        <v>60</v>
      </c>
      <c r="H13" s="48" t="s">
        <v>108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57" t="s">
        <v>133</v>
      </c>
      <c r="D15" s="158"/>
      <c r="E15" s="159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60" t="s">
        <v>107</v>
      </c>
      <c r="D16" s="161"/>
      <c r="E16" s="162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45" t="s">
        <v>131</v>
      </c>
      <c r="D17" s="146"/>
      <c r="E17" s="147"/>
      <c r="F17" s="52"/>
      <c r="G17" s="52"/>
      <c r="H17" s="52"/>
      <c r="I17" s="53" t="s">
        <v>132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45" t="s">
        <v>131</v>
      </c>
      <c r="D18" s="146"/>
      <c r="E18" s="147"/>
      <c r="F18" s="52"/>
      <c r="G18" s="52"/>
      <c r="H18" s="52"/>
      <c r="I18" s="53" t="s">
        <v>132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48" t="s">
        <v>109</v>
      </c>
      <c r="D19" s="149"/>
      <c r="E19" s="150"/>
      <c r="F19" s="47"/>
      <c r="G19" s="47">
        <v>60</v>
      </c>
      <c r="H19" s="48" t="s">
        <v>108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45" t="s">
        <v>131</v>
      </c>
      <c r="D20" s="146"/>
      <c r="E20" s="147"/>
      <c r="F20" s="52"/>
      <c r="G20" s="52"/>
      <c r="H20" s="52"/>
      <c r="I20" s="53" t="s">
        <v>132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45" t="s">
        <v>131</v>
      </c>
      <c r="D21" s="146"/>
      <c r="E21" s="147"/>
      <c r="F21" s="52"/>
      <c r="G21" s="52"/>
      <c r="H21" s="52"/>
      <c r="I21" s="53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51" t="s">
        <v>110</v>
      </c>
      <c r="D22" s="152"/>
      <c r="E22" s="153"/>
      <c r="F22" s="44"/>
      <c r="G22" s="44"/>
      <c r="H22" s="43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54" t="s">
        <v>129</v>
      </c>
      <c r="D23" s="155"/>
      <c r="E23" s="156"/>
      <c r="F23" s="58"/>
      <c r="G23" s="58">
        <v>60</v>
      </c>
      <c r="H23" s="48" t="s">
        <v>108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9" t="s">
        <v>101</v>
      </c>
      <c r="B25" s="30" t="s">
        <v>102</v>
      </c>
      <c r="C25" s="157" t="s">
        <v>134</v>
      </c>
      <c r="D25" s="158"/>
      <c r="E25" s="159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60" t="s">
        <v>107</v>
      </c>
      <c r="D26" s="161"/>
      <c r="E26" s="162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45" t="s">
        <v>131</v>
      </c>
      <c r="D27" s="146"/>
      <c r="E27" s="147"/>
      <c r="F27" s="52"/>
      <c r="G27" s="52"/>
      <c r="H27" s="52"/>
      <c r="I27" s="53" t="s">
        <v>132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45" t="s">
        <v>131</v>
      </c>
      <c r="D28" s="146"/>
      <c r="E28" s="147"/>
      <c r="F28" s="52"/>
      <c r="G28" s="52"/>
      <c r="H28" s="52"/>
      <c r="I28" s="53" t="s">
        <v>132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48" t="s">
        <v>109</v>
      </c>
      <c r="D29" s="149"/>
      <c r="E29" s="150"/>
      <c r="F29" s="47"/>
      <c r="G29" s="47">
        <v>60</v>
      </c>
      <c r="H29" s="48" t="s">
        <v>108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45" t="s">
        <v>131</v>
      </c>
      <c r="D30" s="146"/>
      <c r="E30" s="147"/>
      <c r="F30" s="52"/>
      <c r="G30" s="52"/>
      <c r="H30" s="52"/>
      <c r="I30" s="53" t="s">
        <v>132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45" t="s">
        <v>131</v>
      </c>
      <c r="D31" s="146"/>
      <c r="E31" s="147"/>
      <c r="F31" s="52"/>
      <c r="G31" s="52"/>
      <c r="H31" s="52"/>
      <c r="I31" s="53" t="s">
        <v>132</v>
      </c>
      <c r="J31" s="22"/>
      <c r="K31" s="22"/>
      <c r="L31" s="22"/>
      <c r="M31" s="22"/>
      <c r="N31" s="22"/>
    </row>
    <row r="32" spans="1:14" s="55" customFormat="1" ht="15" customHeight="1" x14ac:dyDescent="0.2">
      <c r="A32" s="166"/>
      <c r="B32" s="166"/>
      <c r="C32" s="166"/>
      <c r="D32" s="166"/>
      <c r="E32" s="166"/>
      <c r="F32" s="166"/>
      <c r="G32" s="166"/>
      <c r="H32" s="166"/>
      <c r="I32" s="166"/>
      <c r="J32" s="54"/>
      <c r="K32" s="54"/>
      <c r="L32" s="54"/>
      <c r="M32" s="54"/>
      <c r="N32" s="54"/>
    </row>
    <row r="33" spans="1:14" s="55" customFormat="1" ht="15" customHeight="1" x14ac:dyDescent="0.2">
      <c r="A33" s="167" t="s">
        <v>135</v>
      </c>
      <c r="B33" s="167"/>
      <c r="C33" s="167"/>
      <c r="D33" s="167"/>
      <c r="E33" s="167"/>
      <c r="F33" s="167"/>
      <c r="G33" s="167"/>
      <c r="H33" s="167"/>
      <c r="I33" s="167"/>
      <c r="J33" s="54"/>
      <c r="K33" s="54"/>
      <c r="L33" s="54"/>
      <c r="M33" s="54"/>
      <c r="N33" s="54"/>
    </row>
    <row r="34" spans="1:14" s="55" customFormat="1" ht="15" customHeight="1" x14ac:dyDescent="0.2">
      <c r="A34" s="166"/>
      <c r="B34" s="166"/>
      <c r="C34" s="166"/>
      <c r="D34" s="166"/>
      <c r="E34" s="166"/>
      <c r="F34" s="166"/>
      <c r="G34" s="166"/>
      <c r="H34" s="166"/>
      <c r="I34" s="166"/>
      <c r="J34" s="54"/>
      <c r="K34" s="54"/>
      <c r="L34" s="54"/>
      <c r="M34" s="54"/>
      <c r="N34" s="54"/>
    </row>
    <row r="35" spans="1:14" s="55" customFormat="1" ht="15" customHeight="1" x14ac:dyDescent="0.2">
      <c r="A35" s="166"/>
      <c r="B35" s="166"/>
      <c r="C35" s="166"/>
      <c r="D35" s="166"/>
      <c r="E35" s="166"/>
      <c r="F35" s="166"/>
      <c r="G35" s="166"/>
      <c r="H35" s="166"/>
      <c r="I35" s="166"/>
      <c r="J35" s="54"/>
      <c r="K35" s="54"/>
      <c r="L35" s="54"/>
      <c r="M35" s="54"/>
      <c r="N35" s="54"/>
    </row>
    <row r="36" spans="1:14" s="55" customFormat="1" ht="15" customHeight="1" x14ac:dyDescent="0.2">
      <c r="A36" s="166"/>
      <c r="B36" s="166"/>
      <c r="C36" s="166"/>
      <c r="D36" s="166"/>
      <c r="E36" s="166"/>
      <c r="F36" s="166"/>
      <c r="G36" s="166"/>
      <c r="H36" s="166"/>
      <c r="I36" s="166"/>
      <c r="J36" s="54"/>
      <c r="K36" s="54"/>
      <c r="L36" s="54"/>
      <c r="M36" s="54"/>
      <c r="N36" s="54"/>
    </row>
    <row r="37" spans="1:14" s="55" customFormat="1" ht="15" customHeight="1" x14ac:dyDescent="0.2">
      <c r="A37" s="166"/>
      <c r="B37" s="166"/>
      <c r="C37" s="166"/>
      <c r="D37" s="166"/>
      <c r="E37" s="166"/>
      <c r="F37" s="166"/>
      <c r="G37" s="166"/>
      <c r="H37" s="166"/>
      <c r="I37" s="166"/>
      <c r="J37" s="54"/>
      <c r="K37" s="54"/>
      <c r="L37" s="54"/>
      <c r="M37" s="54"/>
      <c r="N37" s="54"/>
    </row>
    <row r="38" spans="1:14" s="55" customFormat="1" ht="15" customHeight="1" x14ac:dyDescent="0.2">
      <c r="A38" s="166"/>
      <c r="B38" s="166"/>
      <c r="C38" s="166"/>
      <c r="D38" s="166"/>
      <c r="E38" s="166"/>
      <c r="F38" s="166"/>
      <c r="G38" s="166"/>
      <c r="H38" s="166"/>
      <c r="I38" s="166"/>
      <c r="J38" s="54"/>
      <c r="K38" s="54"/>
      <c r="L38" s="54"/>
      <c r="M38" s="54"/>
      <c r="N38" s="54"/>
    </row>
    <row r="39" spans="1:14" s="55" customFormat="1" ht="15" customHeight="1" x14ac:dyDescent="0.2">
      <c r="A39" s="166"/>
      <c r="B39" s="166"/>
      <c r="C39" s="166"/>
      <c r="D39" s="166"/>
      <c r="E39" s="166"/>
      <c r="F39" s="166"/>
      <c r="G39" s="166"/>
      <c r="H39" s="166"/>
      <c r="I39" s="166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8" t="s">
        <v>111</v>
      </c>
      <c r="B44" s="168"/>
      <c r="C44" s="168"/>
      <c r="D44" s="168"/>
      <c r="E44" s="168"/>
      <c r="F44" s="168"/>
      <c r="G44" s="168"/>
      <c r="H44" s="35"/>
      <c r="I44" s="31" t="s">
        <v>112</v>
      </c>
      <c r="J44" s="22"/>
      <c r="K44" s="22"/>
      <c r="L44" s="22"/>
      <c r="M44" s="22"/>
      <c r="N44" s="22"/>
    </row>
    <row r="45" spans="1:14" x14ac:dyDescent="0.2">
      <c r="A45" s="163"/>
      <c r="B45" s="163"/>
      <c r="C45" s="163"/>
      <c r="D45" s="163"/>
      <c r="E45" s="163"/>
      <c r="F45" s="163"/>
      <c r="G45" s="163"/>
      <c r="H45" s="35"/>
      <c r="I45" s="22"/>
      <c r="J45" s="22"/>
      <c r="K45" s="22"/>
      <c r="L45" s="22"/>
      <c r="M45" s="22"/>
      <c r="N45" s="22"/>
    </row>
    <row r="46" spans="1:14" x14ac:dyDescent="0.2">
      <c r="A46" s="165" t="s">
        <v>113</v>
      </c>
      <c r="B46" s="165"/>
      <c r="C46" s="165"/>
      <c r="D46" s="165"/>
      <c r="E46" s="165"/>
      <c r="F46" s="165"/>
      <c r="G46" s="165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196</v>
      </c>
    </row>
    <row r="3" spans="1:1" ht="28" customHeight="1" thickBot="1" x14ac:dyDescent="0.25">
      <c r="A3" s="89" t="s">
        <v>197</v>
      </c>
    </row>
    <row r="4" spans="1:1" ht="17" x14ac:dyDescent="0.2">
      <c r="A4" s="90" t="s">
        <v>198</v>
      </c>
    </row>
    <row r="5" spans="1:1" ht="41" customHeight="1" x14ac:dyDescent="0.2">
      <c r="A5" s="91" t="s">
        <v>199</v>
      </c>
    </row>
    <row r="6" spans="1:1" ht="33" customHeight="1" thickBot="1" x14ac:dyDescent="0.25">
      <c r="A6" s="89" t="s">
        <v>201</v>
      </c>
    </row>
    <row r="7" spans="1:1" ht="29" customHeight="1" thickBot="1" x14ac:dyDescent="0.25">
      <c r="A7" s="9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2018-05-23T03:47:23Z</dcterms:modified>
</cp:coreProperties>
</file>