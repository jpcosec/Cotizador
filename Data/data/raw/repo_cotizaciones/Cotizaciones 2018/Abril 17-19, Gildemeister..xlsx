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EEAD0929-F8F0-49EA-BDAC-F010C799322C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5" i="1" l="1"/>
  <c r="F11" i="1"/>
  <c r="F13" i="1"/>
  <c r="F14" i="1"/>
  <c r="F15" i="1"/>
  <c r="F16" i="1"/>
  <c r="F17" i="1"/>
  <c r="F9" i="1"/>
  <c r="F18" i="1" s="1"/>
  <c r="F10" i="1"/>
  <c r="F12" i="1"/>
  <c r="F21" i="1"/>
  <c r="F30" i="1" s="1"/>
  <c r="F22" i="1"/>
  <c r="F23" i="1"/>
  <c r="F24" i="1"/>
  <c r="F25" i="1"/>
  <c r="F26" i="1"/>
  <c r="F27" i="1"/>
  <c r="F28" i="1"/>
  <c r="F29" i="1"/>
  <c r="F33" i="1"/>
  <c r="F36" i="1" s="1"/>
  <c r="F34" i="1"/>
  <c r="F35" i="1"/>
  <c r="F44" i="1"/>
  <c r="F46" i="1" s="1"/>
  <c r="F40" i="1"/>
  <c r="F41" i="1"/>
  <c r="F140" i="1"/>
  <c r="F139" i="1"/>
  <c r="F136" i="1"/>
  <c r="F137" i="1"/>
  <c r="F138" i="1"/>
  <c r="F96" i="1"/>
  <c r="F85" i="1"/>
  <c r="F135" i="1"/>
  <c r="F39" i="1"/>
  <c r="F38" i="1"/>
  <c r="F134" i="1"/>
  <c r="F92" i="1"/>
  <c r="F91" i="1"/>
  <c r="F93" i="1"/>
  <c r="F131" i="1"/>
  <c r="F132" i="1"/>
  <c r="F133" i="1"/>
  <c r="F126" i="1"/>
  <c r="F125" i="1"/>
  <c r="F124" i="1"/>
  <c r="F98" i="1"/>
  <c r="F117" i="1"/>
  <c r="F130" i="1"/>
  <c r="F113" i="1"/>
  <c r="F111" i="1"/>
  <c r="F112" i="1"/>
  <c r="F114" i="1"/>
  <c r="F115" i="1"/>
  <c r="F116" i="1"/>
  <c r="F118" i="1"/>
  <c r="F122" i="1"/>
  <c r="F123" i="1"/>
  <c r="F127" i="1"/>
  <c r="F110" i="1"/>
  <c r="F107" i="1"/>
  <c r="F102" i="1"/>
  <c r="F109" i="1"/>
  <c r="F128" i="1"/>
  <c r="F129" i="1"/>
  <c r="F89" i="1"/>
  <c r="F94" i="1"/>
  <c r="F90" i="1"/>
  <c r="F105" i="1"/>
  <c r="F100" i="1"/>
  <c r="F101" i="1"/>
  <c r="F103" i="1"/>
  <c r="F104" i="1"/>
  <c r="F106" i="1"/>
  <c r="F108" i="1"/>
  <c r="F86" i="1"/>
  <c r="F87" i="1"/>
  <c r="F88" i="1"/>
  <c r="F95" i="1"/>
  <c r="F97" i="1"/>
  <c r="F99" i="1"/>
  <c r="F30" i="5"/>
  <c r="E30" i="5"/>
  <c r="D30" i="5"/>
  <c r="C30" i="5"/>
  <c r="B30" i="5"/>
  <c r="P29" i="5"/>
  <c r="O29" i="5"/>
  <c r="N29" i="5"/>
  <c r="K29" i="5"/>
  <c r="J29" i="5"/>
  <c r="I29" i="5"/>
  <c r="Z23" i="5"/>
  <c r="F47" i="1" l="1"/>
  <c r="F48" i="1" l="1"/>
  <c r="F49" i="1"/>
</calcChain>
</file>

<file path=xl/sharedStrings.xml><?xml version="1.0" encoding="utf-8"?>
<sst xmlns="http://schemas.openxmlformats.org/spreadsheetml/2006/main" count="530" uniqueCount="301">
  <si>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</si>
  <si>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</si>
  <si>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</si>
  <si>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</si>
  <si>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</si>
  <si>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</si>
  <si>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</si>
  <si>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</si>
  <si>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</si>
  <si>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</si>
  <si>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</si>
  <si>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</si>
  <si>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</si>
  <si>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</si>
  <si>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</si>
  <si>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</si>
  <si>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</si>
  <si>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</si>
  <si>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</si>
  <si>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</si>
  <si>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</si>
  <si>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</si>
  <si>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</si>
  <si>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</si>
  <si>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</si>
  <si>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</si>
  <si>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</si>
  <si>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</si>
  <si>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</si>
  <si>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</si>
  <si>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</si>
  <si>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</si>
  <si>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</si>
  <si>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</si>
  <si>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</si>
  <si>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</si>
  <si>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</si>
  <si>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</si>
  <si>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</si>
  <si>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</si>
  <si>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</si>
  <si>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</si>
  <si>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</si>
  <si>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</si>
  <si>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</si>
  <si>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</si>
  <si>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</si>
  <si>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</si>
  <si>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</si>
  <si>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</si>
  <si>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</si>
  <si>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</si>
  <si>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</si>
  <si>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</si>
  <si>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</si>
  <si>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</si>
  <si>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</si>
  <si>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</si>
  <si>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</si>
  <si>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</si>
  <si>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</si>
  <si>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</si>
  <si>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</si>
  <si>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</si>
  <si>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</si>
  <si>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</si>
  <si>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</si>
  <si>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</si>
  <si>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</si>
  <si>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</si>
  <si>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</si>
  <si>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</si>
  <si>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</si>
  <si>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</si>
  <si>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</si>
  <si>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</si>
  <si>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</si>
  <si>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</si>
  <si>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</si>
  <si>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</si>
  <si>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</si>
  <si>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</si>
  <si>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</si>
  <si>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</si>
  <si>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</si>
  <si>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</si>
  <si>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</si>
  <si>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</si>
  <si>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</si>
  <si>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</si>
  <si>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</si>
  <si>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</si>
  <si>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</si>
  <si>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</si>
  <si>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</si>
  <si>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</si>
  <si>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</si>
  <si>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</si>
  <si>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</si>
  <si>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</si>
  <si>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</si>
  <si>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</si>
  <si>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</si>
  <si>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</si>
  <si>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</si>
  <si>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</si>
  <si>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</si>
  <si>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</si>
  <si>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</si>
  <si>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</si>
  <si>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</si>
  <si>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</si>
  <si>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</si>
  <si>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</si>
  <si>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</si>
  <si>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</si>
  <si>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</si>
  <si>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</si>
  <si>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</si>
  <si>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</si>
  <si>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</si>
  <si>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</si>
  <si>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</si>
  <si>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</si>
  <si>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</si>
  <si>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</si>
  <si>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</si>
  <si>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</si>
  <si>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</si>
  <si>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</si>
  <si>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</si>
  <si>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</si>
  <si>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</si>
  <si>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</si>
  <si>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</si>
  <si>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</si>
  <si>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</si>
  <si>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</si>
  <si>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>Cotización de servicios.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</si>
  <si>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</si>
  <si>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</si>
  <si>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</si>
  <si>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</si>
  <si>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</si>
  <si>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</si>
  <si>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</si>
  <si>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</si>
  <si>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</si>
  <si>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Vino tinto, Blanco, espumante, pisco sour,  bebidas,  cerveza, empanaditas de Pino, queso, queso crema con aceitunas y nueces,   bruzquetas jamón serrano, bruzquetas de Salmón, brocheta mediterranea,  frutos secos o quesos.</t>
  </si>
  <si>
    <t>Amplificación Full c/operador, 8 horas</t>
  </si>
  <si>
    <t>Valor no incluye propinas.</t>
  </si>
  <si>
    <t>IVA</t>
  </si>
  <si>
    <t>Habitación single hotel</t>
  </si>
  <si>
    <t>Habitación doble hotel</t>
  </si>
  <si>
    <t>Formalización y forma de pago.</t>
  </si>
  <si>
    <t>A) Pago Contado:</t>
  </si>
  <si>
    <t>50% saldo pagado contra factura el día del evento en el Lodge.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</si>
  <si>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</si>
  <si>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</si>
  <si>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</si>
  <si>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</si>
  <si>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Crédito a 30 días, genera interés de 5% sobre el saldo adeudado, 60 días 10% sobre el saldo adeudado.</t>
  </si>
  <si>
    <t>En no pago del saldo en la fecha señalada, genera automáticamente un 15% de recargo sobre el saldo, por gastos de cobranza más en máximo interés convencional</t>
  </si>
  <si>
    <t>DJ y Animador 4 horas en la noche</t>
  </si>
  <si>
    <t>Vg Karaoke y animador 4 horas en la noche</t>
  </si>
  <si>
    <t xml:space="preserve">Hora adicional de DJ o VG karaoke en la noche </t>
  </si>
  <si>
    <t>David Azan</t>
  </si>
  <si>
    <t>Incluye salon, amplificación e iluminación.</t>
  </si>
  <si>
    <t>Enzo Massardo</t>
  </si>
  <si>
    <t>Iluminación y humo, audio</t>
  </si>
  <si>
    <t>DJ que se encarga de la música, animador para fiesta</t>
  </si>
  <si>
    <t>Incluye salon, amplificación e iluminación con Karaoke en vivo</t>
  </si>
  <si>
    <t>Incluye salon, amplificación e iluminación Concierto.</t>
  </si>
  <si>
    <t>Equipos de fiesta robotizado, fiesta top.</t>
  </si>
  <si>
    <t>VG que se encarga de la música, animador para fiesta equipos.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</si>
  <si>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</si>
  <si>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</si>
  <si>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</si>
  <si>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</si>
  <si>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</si>
  <si>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</si>
  <si>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</si>
  <si>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</si>
  <si>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</si>
  <si>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</si>
  <si>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</si>
  <si>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</si>
  <si>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</si>
  <si>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</si>
  <si>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</si>
  <si>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</si>
  <si>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</si>
  <si>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Punto de amplificación exterior estática</t>
  </si>
  <si>
    <t xml:space="preserve">Animador para fiesta </t>
  </si>
  <si>
    <t>4 horas, Marcelo o Fabian.</t>
  </si>
  <si>
    <t>Dj + Salón</t>
  </si>
  <si>
    <t xml:space="preserve">4 horas, Marcelo </t>
  </si>
  <si>
    <t>Karaoke + Salón</t>
  </si>
  <si>
    <t>Micrófono Inalámbrico solapa.</t>
  </si>
  <si>
    <t>Micrófono disponible y conectado</t>
  </si>
  <si>
    <t>Data adicional</t>
  </si>
  <si>
    <t>Coctail Básico.</t>
  </si>
  <si>
    <t>Servicio en comedor exclusivo</t>
  </si>
  <si>
    <t>Cambio de hora Alimentacion</t>
  </si>
  <si>
    <t>Masajista exclusiva,  hasta 1 a 8 horas</t>
  </si>
  <si>
    <t>13:00-15:00</t>
  </si>
  <si>
    <t>20:00- 21:00</t>
  </si>
  <si>
    <t>Pergola uso exclusivo 8 horas</t>
  </si>
  <si>
    <t>Coordinador de evento</t>
  </si>
  <si>
    <t>Importante:</t>
  </si>
  <si>
    <t>Se deberá definir el Itinerario a más tardar 48 horas de iniciado el evento, después de 48 horas cualquier cambio tienen recargo de 50% al valor del servicio.</t>
  </si>
  <si>
    <t>Confirmar asistentes con 72 hrs., luego se paga por lo reservado.</t>
  </si>
  <si>
    <t>Para formalizar reserva se requiere lo siguiente.</t>
  </si>
  <si>
    <t>Orden de compra indicando forma de pago.</t>
  </si>
  <si>
    <t>Abono de 50% del total del Evento.</t>
  </si>
  <si>
    <t>50% anticipado al momento de reservar.</t>
  </si>
  <si>
    <t>B)  En caso de Solicitar Crédito a Aventuras Andinas Limitada.  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</si>
  <si>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</si>
  <si>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</si>
  <si>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</si>
  <si>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</si>
  <si>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</si>
  <si>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</si>
  <si>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</si>
  <si>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</si>
  <si>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</si>
  <si>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</si>
  <si>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</si>
  <si>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</si>
  <si>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</si>
  <si>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56 29539311</t>
  </si>
  <si>
    <t>Detalles Importantes:</t>
  </si>
  <si>
    <t>1.-</t>
  </si>
  <si>
    <t>2.-</t>
  </si>
  <si>
    <t>3.-</t>
  </si>
  <si>
    <t>4.-</t>
  </si>
  <si>
    <t>1 noche de alojamiento, 2 desayunos, valor por  2 personas.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</si>
  <si>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</si>
  <si>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</si>
  <si>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</si>
  <si>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</si>
  <si>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</si>
  <si>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</si>
  <si>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</si>
  <si>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</si>
  <si>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</si>
  <si>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</si>
  <si>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</si>
  <si>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</si>
  <si>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</si>
  <si>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</si>
  <si>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Todo el dia</t>
  </si>
  <si>
    <t>Siempre que se usen en horarios establecidos y en forma no exclusiva, indicando hora de uso.</t>
  </si>
  <si>
    <t>Total  Evento</t>
  </si>
  <si>
    <t xml:space="preserve"> Confirmar</t>
  </si>
  <si>
    <r>
      <t>Para órdenes de Compra y Pagos</t>
    </r>
    <r>
      <rPr>
        <u/>
        <sz val="13"/>
        <color rgb="FF000000"/>
        <rFont val="Calibri"/>
        <family val="2"/>
      </rPr>
      <t>.</t>
    </r>
  </si>
  <si>
    <t>12 horas, persona a cargo de recibir al grupo y coordinar cada una de las actividades.</t>
  </si>
  <si>
    <t>Amplificación y 1 micrófono inalambrico, 4 horas.</t>
  </si>
  <si>
    <t>Gaseosa ó mineral ó  jugo de botella ó cerveza Cristal o Escudo.</t>
  </si>
  <si>
    <t>1 noche de alojamiento, 1 desayuno, valor por persona.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</si>
  <si>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</si>
  <si>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</si>
  <si>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Salida después de las 12:00, pudiendo permanecer hasta las 16:00 en la habitación. Después se cobra dia adicional por habitacion.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</si>
  <si>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</si>
  <si>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</si>
  <si>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</si>
  <si>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</si>
  <si>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</si>
  <si>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</si>
  <si>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</si>
  <si>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</si>
  <si>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</si>
  <si>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Micrófono normal adicional</t>
  </si>
  <si>
    <t>8 h Día o 4 h Noche</t>
  </si>
  <si>
    <t xml:space="preserve">Realiza hasta 10 pasajes de relajación de 1/2 hora + salón y aceites, hay que considerar entre masaje 15 minutos app. </t>
  </si>
  <si>
    <t>Copa de vino varietal</t>
  </si>
  <si>
    <t>1 agua mineral por persona, café, té, infusiones, 5 dulces por persona en pocillo, 3 galletas artesanales.</t>
  </si>
  <si>
    <t>Pérgola comedor principal o pérgola bar</t>
  </si>
  <si>
    <t>1 aperitivo ó 1 bebida ó 1 cerveza, 2 empanaditas, 2 bruzquetas,  frutos secos o quesos.</t>
  </si>
  <si>
    <t>Early check in habitacion</t>
  </si>
  <si>
    <t>Early check in cabaña</t>
  </si>
  <si>
    <t>Late check out habitacion.</t>
  </si>
  <si>
    <t>Noche adicional sin desayuno habitaccion</t>
  </si>
  <si>
    <t>Noche adicional sin desayuno cabaña</t>
  </si>
  <si>
    <t>Late check out cabaña.</t>
  </si>
  <si>
    <t>Entrada a las 13:00, la entrada normal es a las 16:00.</t>
  </si>
  <si>
    <t>Salida después de las 12:00, pudiendo permanecer hasta las 16:00 en la habitación. Después se cobra dia adicional por cabaña.</t>
  </si>
  <si>
    <t>Total evento con IVA</t>
  </si>
  <si>
    <t>Maria José Guerra</t>
  </si>
  <si>
    <t>Gildemeister</t>
  </si>
  <si>
    <t>mjguerra@gildemeister.cl</t>
  </si>
  <si>
    <t>Carmen Rodriguez D.</t>
  </si>
  <si>
    <t>9 74961403</t>
  </si>
  <si>
    <t>17-19 abril</t>
  </si>
  <si>
    <t>Salón Fario</t>
  </si>
  <si>
    <t>Día 3</t>
  </si>
  <si>
    <t>Valor organización</t>
  </si>
  <si>
    <t>Team Building Circuitos de Alianzas.</t>
  </si>
  <si>
    <t>Actividades incluidas sin costo</t>
  </si>
  <si>
    <t>Valor por persona</t>
  </si>
  <si>
    <t xml:space="preserve">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</si>
</sst>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&quot;$&quot;\-#,##0"/>
    <numFmt numFmtId="42" formatCode="_ &quot;$&quot;* #,##0_ ;_ &quot;$&quot;* \-#,##0_ ;_ &quot;$&quot;* &quot;-&quot;_ ;_ @_ "/>
    <numFmt numFmtId="164" formatCode="&quot;$&quot;#,##0"/>
    <numFmt numFmtId="165" formatCode="h:mm:ss;@"/>
  </numFmts>
  <fonts count="2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2"/>
      <color theme="3" tint="0.39997558519241921"/>
      <name val="Calibri"/>
      <family val="2"/>
      <scheme val="minor"/>
    </font>
    <font>
      <b/>
      <u/>
      <sz val="13"/>
      <color rgb="FF000000"/>
      <name val="Calibri"/>
      <family val="2"/>
    </font>
    <font>
      <u/>
      <sz val="13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5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5">
    <xf numFmtId="0" fontId="0" fillId="0" borderId="0" xfId="0"/>
    <xf numFmtId="0" fontId="4" fillId="0" borderId="0" xfId="0" applyFont="1" applyAlignment="1">
      <alignment horizontal="right"/>
    </xf>
    <xf numFmtId="0" fontId="7" fillId="0" borderId="9" xfId="0" applyFont="1" applyBorder="1" applyAlignment="1">
      <alignment horizontal="right"/>
    </xf>
    <xf numFmtId="0" fontId="7" fillId="0" borderId="0" xfId="0" applyFont="1" applyAlignment="1">
      <alignment horizontal="right"/>
    </xf>
    <xf numFmtId="6" fontId="7" fillId="0" borderId="0" xfId="0" applyNumberFormat="1" applyFont="1" applyAlignment="1">
      <alignment horizontal="right"/>
    </xf>
    <xf numFmtId="6" fontId="7" fillId="0" borderId="6" xfId="0" applyNumberFormat="1" applyFont="1" applyBorder="1" applyAlignment="1">
      <alignment horizontal="right"/>
    </xf>
    <xf numFmtId="0" fontId="7" fillId="0" borderId="0" xfId="0" applyFont="1"/>
    <xf numFmtId="0" fontId="9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9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2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7" fillId="4" borderId="0" xfId="0" applyFont="1" applyFill="1"/>
    <xf numFmtId="0" fontId="10" fillId="4" borderId="0" xfId="0" applyFont="1" applyFill="1" applyAlignment="1">
      <alignment vertical="center"/>
    </xf>
    <xf numFmtId="0" fontId="7" fillId="0" borderId="0" xfId="0" applyFont="1" applyAlignment="1">
      <alignment horizontal="center"/>
    </xf>
    <xf numFmtId="0" fontId="3" fillId="4" borderId="0" xfId="0" applyFont="1" applyFill="1" applyAlignment="1">
      <alignment vertical="center"/>
    </xf>
    <xf numFmtId="20" fontId="7" fillId="4" borderId="8" xfId="0" applyNumberFormat="1" applyFont="1" applyFill="1" applyBorder="1" applyAlignment="1">
      <alignment horizontal="center"/>
    </xf>
    <xf numFmtId="20" fontId="7" fillId="4" borderId="2" xfId="0" applyNumberFormat="1" applyFont="1" applyFill="1" applyBorder="1" applyAlignment="1">
      <alignment horizontal="center"/>
    </xf>
    <xf numFmtId="0" fontId="7" fillId="0" borderId="2" xfId="0" applyFont="1" applyBorder="1"/>
    <xf numFmtId="0" fontId="3" fillId="5" borderId="1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7" fillId="4" borderId="13" xfId="0" applyFont="1" applyFill="1" applyBorder="1"/>
    <xf numFmtId="0" fontId="12" fillId="0" borderId="0" xfId="0" applyFont="1"/>
    <xf numFmtId="0" fontId="7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7" fillId="4" borderId="0" xfId="0" applyFont="1" applyFill="1" applyAlignment="1">
      <alignment horizontal="center"/>
    </xf>
    <xf numFmtId="0" fontId="7" fillId="0" borderId="14" xfId="0" applyFont="1" applyBorder="1" applyAlignment="1">
      <alignment horizontal="right" vertical="center"/>
    </xf>
    <xf numFmtId="0" fontId="7" fillId="0" borderId="15" xfId="0" applyFont="1" applyBorder="1" applyAlignment="1">
      <alignment horizontal="center"/>
    </xf>
    <xf numFmtId="0" fontId="7" fillId="0" borderId="15" xfId="0" applyFont="1" applyBorder="1" applyAlignment="1">
      <alignment horizontal="right"/>
    </xf>
    <xf numFmtId="6" fontId="7" fillId="0" borderId="16" xfId="0" applyNumberFormat="1" applyFont="1" applyBorder="1" applyAlignment="1">
      <alignment horizontal="right"/>
    </xf>
    <xf numFmtId="0" fontId="3" fillId="4" borderId="0" xfId="0" applyFont="1" applyFill="1" applyAlignment="1">
      <alignment horizontal="center" vertical="center"/>
    </xf>
    <xf numFmtId="0" fontId="7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20" fontId="7" fillId="6" borderId="8" xfId="0" applyNumberFormat="1" applyFont="1" applyFill="1" applyBorder="1" applyAlignment="1">
      <alignment horizontal="center"/>
    </xf>
    <xf numFmtId="20" fontId="7" fillId="6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6" borderId="2" xfId="0" applyFont="1" applyFill="1" applyBorder="1" applyAlignment="1">
      <alignment horizontal="center" vertical="center" wrapText="1"/>
    </xf>
    <xf numFmtId="0" fontId="7" fillId="7" borderId="2" xfId="0" applyFont="1" applyFill="1" applyBorder="1"/>
    <xf numFmtId="20" fontId="7" fillId="0" borderId="8" xfId="0" applyNumberFormat="1" applyFont="1" applyBorder="1" applyAlignment="1">
      <alignment horizontal="center"/>
    </xf>
    <xf numFmtId="20" fontId="7" fillId="0" borderId="2" xfId="0" applyNumberFormat="1" applyFont="1" applyBorder="1" applyAlignment="1">
      <alignment horizontal="center"/>
    </xf>
    <xf numFmtId="20" fontId="7" fillId="6" borderId="8" xfId="0" applyNumberFormat="1" applyFont="1" applyFill="1" applyBorder="1" applyAlignment="1">
      <alignment horizontal="center" vertical="center"/>
    </xf>
    <xf numFmtId="20" fontId="7" fillId="6" borderId="2" xfId="0" applyNumberFormat="1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wrapText="1" shrinkToFit="1"/>
    </xf>
    <xf numFmtId="0" fontId="7" fillId="6" borderId="2" xfId="0" applyFont="1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7" fillId="0" borderId="9" xfId="0" applyFont="1" applyBorder="1"/>
    <xf numFmtId="0" fontId="7" fillId="0" borderId="19" xfId="0" applyFont="1" applyBorder="1"/>
    <xf numFmtId="20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wrapText="1" shrinkToFit="1"/>
    </xf>
    <xf numFmtId="0" fontId="7" fillId="0" borderId="0" xfId="0" applyFont="1" applyAlignment="1">
      <alignment horizontal="center" wrapText="1" shrinkToFi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13" fillId="0" borderId="0" xfId="0" applyFont="1"/>
    <xf numFmtId="0" fontId="5" fillId="0" borderId="0" xfId="116"/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165" fontId="0" fillId="0" borderId="0" xfId="0" applyNumberFormat="1" applyAlignment="1">
      <alignment horizontal="center"/>
    </xf>
    <xf numFmtId="0" fontId="7" fillId="0" borderId="3" xfId="0" applyFont="1" applyBorder="1" applyAlignment="1">
      <alignment horizontal="right"/>
    </xf>
    <xf numFmtId="0" fontId="7" fillId="0" borderId="4" xfId="0" applyFont="1" applyBorder="1" applyAlignment="1">
      <alignment horizontal="center"/>
    </xf>
    <xf numFmtId="6" fontId="7" fillId="0" borderId="4" xfId="0" applyNumberFormat="1" applyFont="1" applyBorder="1" applyAlignment="1">
      <alignment horizontal="right"/>
    </xf>
    <xf numFmtId="6" fontId="7" fillId="0" borderId="18" xfId="0" applyNumberFormat="1" applyFont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2" fillId="0" borderId="0" xfId="116" applyFont="1" applyAlignment="1">
      <alignment vertical="center"/>
    </xf>
    <xf numFmtId="20" fontId="19" fillId="0" borderId="0" xfId="0" applyNumberFormat="1" applyFont="1"/>
    <xf numFmtId="0" fontId="19" fillId="0" borderId="0" xfId="0" applyFont="1"/>
    <xf numFmtId="0" fontId="15" fillId="0" borderId="25" xfId="0" applyFont="1" applyBorder="1" applyAlignment="1">
      <alignment vertical="center" wrapText="1"/>
    </xf>
    <xf numFmtId="0" fontId="14" fillId="0" borderId="26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4" fillId="0" borderId="27" xfId="0" applyFont="1" applyBorder="1" applyAlignment="1">
      <alignment vertical="center" wrapText="1"/>
    </xf>
    <xf numFmtId="0" fontId="15" fillId="0" borderId="26" xfId="0" applyFont="1" applyBorder="1" applyAlignment="1">
      <alignment vertical="center" wrapText="1"/>
    </xf>
    <xf numFmtId="0" fontId="7" fillId="9" borderId="12" xfId="0" applyFont="1" applyFill="1" applyBorder="1"/>
    <xf numFmtId="0" fontId="7" fillId="9" borderId="2" xfId="0" applyFont="1" applyFill="1" applyBorder="1" applyAlignment="1">
      <alignment horizontal="center"/>
    </xf>
    <xf numFmtId="6" fontId="7" fillId="9" borderId="2" xfId="0" applyNumberFormat="1" applyFont="1" applyFill="1" applyBorder="1"/>
    <xf numFmtId="6" fontId="7" fillId="9" borderId="2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/>
    </xf>
    <xf numFmtId="0" fontId="7" fillId="9" borderId="7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center"/>
    </xf>
    <xf numFmtId="0" fontId="7" fillId="9" borderId="12" xfId="0" applyFont="1" applyFill="1" applyBorder="1" applyAlignment="1">
      <alignment horizontal="left" vertical="center"/>
    </xf>
    <xf numFmtId="6" fontId="7" fillId="9" borderId="2" xfId="0" applyNumberFormat="1" applyFont="1" applyFill="1" applyBorder="1" applyAlignment="1">
      <alignment horizontal="right" vertical="center"/>
    </xf>
    <xf numFmtId="0" fontId="16" fillId="9" borderId="1" xfId="0" applyFont="1" applyFill="1" applyBorder="1" applyAlignment="1">
      <alignment horizontal="left"/>
    </xf>
    <xf numFmtId="0" fontId="16" fillId="9" borderId="1" xfId="0" applyFont="1" applyFill="1" applyBorder="1" applyAlignment="1">
      <alignment horizontal="center"/>
    </xf>
    <xf numFmtId="6" fontId="16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0" fontId="20" fillId="0" borderId="0" xfId="0" applyFont="1" applyAlignment="1">
      <alignment vertical="center"/>
    </xf>
    <xf numFmtId="165" fontId="7" fillId="9" borderId="1" xfId="0" applyNumberFormat="1" applyFont="1" applyFill="1" applyBorder="1" applyAlignment="1">
      <alignment horizontal="center"/>
    </xf>
    <xf numFmtId="164" fontId="7" fillId="9" borderId="1" xfId="0" applyNumberFormat="1" applyFont="1" applyFill="1" applyBorder="1" applyAlignment="1">
      <alignment horizontal="right"/>
    </xf>
    <xf numFmtId="0" fontId="7" fillId="9" borderId="1" xfId="0" applyFont="1" applyFill="1" applyBorder="1" applyAlignment="1">
      <alignment horizontal="left" vertical="center"/>
    </xf>
    <xf numFmtId="6" fontId="7" fillId="9" borderId="1" xfId="0" applyNumberFormat="1" applyFont="1" applyFill="1" applyBorder="1" applyAlignment="1">
      <alignment horizontal="right" vertical="center"/>
    </xf>
    <xf numFmtId="0" fontId="7" fillId="9" borderId="12" xfId="0" applyFont="1" applyFill="1" applyBorder="1" applyAlignment="1">
      <alignment vertical="center"/>
    </xf>
    <xf numFmtId="0" fontId="0" fillId="3" borderId="22" xfId="0" applyFill="1" applyBorder="1" applyAlignment="1">
      <alignment horizontal="center"/>
    </xf>
    <xf numFmtId="6" fontId="7" fillId="3" borderId="22" xfId="0" applyNumberFormat="1" applyFont="1" applyFill="1" applyBorder="1" applyAlignment="1">
      <alignment horizontal="right"/>
    </xf>
    <xf numFmtId="0" fontId="7" fillId="9" borderId="23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vertical="center"/>
    </xf>
    <xf numFmtId="0" fontId="7" fillId="9" borderId="1" xfId="0" applyFont="1" applyFill="1" applyBorder="1" applyAlignment="1">
      <alignment horizontal="left" wrapText="1"/>
    </xf>
    <xf numFmtId="0" fontId="7" fillId="9" borderId="1" xfId="0" applyFont="1" applyFill="1" applyBorder="1" applyAlignment="1">
      <alignment horizontal="justify" vertical="center"/>
    </xf>
    <xf numFmtId="42" fontId="7" fillId="9" borderId="1" xfId="117" applyFont="1" applyFill="1" applyBorder="1" applyAlignment="1">
      <alignment horizontal="right" vertical="center"/>
    </xf>
    <xf numFmtId="0" fontId="7" fillId="9" borderId="1" xfId="0" applyFont="1" applyFill="1" applyBorder="1"/>
    <xf numFmtId="0" fontId="0" fillId="3" borderId="0" xfId="0" applyFill="1"/>
    <xf numFmtId="0" fontId="3" fillId="10" borderId="5" xfId="0" applyFont="1" applyFill="1" applyBorder="1" applyAlignment="1">
      <alignment horizontal="center"/>
    </xf>
    <xf numFmtId="165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24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center"/>
    </xf>
    <xf numFmtId="6" fontId="2" fillId="10" borderId="1" xfId="0" applyNumberFormat="1" applyFont="1" applyFill="1" applyBorder="1" applyAlignment="1">
      <alignment horizontal="right"/>
    </xf>
    <xf numFmtId="0" fontId="3" fillId="10" borderId="10" xfId="0" applyFont="1" applyFill="1" applyBorder="1" applyAlignment="1">
      <alignment horizontal="center"/>
    </xf>
    <xf numFmtId="165" fontId="3" fillId="10" borderId="20" xfId="0" applyNumberFormat="1" applyFont="1" applyFill="1" applyBorder="1" applyAlignment="1">
      <alignment horizontal="center"/>
    </xf>
    <xf numFmtId="0" fontId="3" fillId="10" borderId="20" xfId="0" applyFont="1" applyFill="1" applyBorder="1" applyAlignment="1">
      <alignment horizontal="center"/>
    </xf>
    <xf numFmtId="0" fontId="3" fillId="10" borderId="21" xfId="0" applyFont="1" applyFill="1" applyBorder="1" applyAlignment="1">
      <alignment horizontal="center"/>
    </xf>
    <xf numFmtId="0" fontId="12" fillId="9" borderId="23" xfId="0" applyFont="1" applyFill="1" applyBorder="1" applyAlignment="1">
      <alignment horizontal="left" wrapText="1"/>
    </xf>
    <xf numFmtId="0" fontId="16" fillId="9" borderId="7" xfId="0" applyFont="1" applyFill="1" applyBorder="1" applyAlignment="1">
      <alignment horizontal="left" vertical="center"/>
    </xf>
    <xf numFmtId="0" fontId="16" fillId="9" borderId="1" xfId="0" applyFont="1" applyFill="1" applyBorder="1" applyAlignment="1">
      <alignment horizontal="left" vertical="center"/>
    </xf>
    <xf numFmtId="6" fontId="16" fillId="9" borderId="1" xfId="0" applyNumberFormat="1" applyFont="1" applyFill="1" applyBorder="1" applyAlignment="1">
      <alignment horizontal="right" vertical="center"/>
    </xf>
    <xf numFmtId="42" fontId="16" fillId="9" borderId="1" xfId="117" applyFont="1" applyFill="1" applyBorder="1" applyAlignment="1">
      <alignment horizontal="right" vertical="center"/>
    </xf>
    <xf numFmtId="164" fontId="0" fillId="3" borderId="1" xfId="0" applyNumberFormat="1" applyFill="1" applyBorder="1"/>
    <xf numFmtId="165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5" fontId="7" fillId="9" borderId="2" xfId="0" applyNumberFormat="1" applyFont="1" applyFill="1" applyBorder="1" applyAlignment="1">
      <alignment horizontal="center"/>
    </xf>
    <xf numFmtId="165" fontId="7" fillId="9" borderId="2" xfId="0" applyNumberFormat="1" applyFont="1" applyFill="1" applyBorder="1" applyAlignment="1">
      <alignment horizontal="center" vertical="center"/>
    </xf>
    <xf numFmtId="165" fontId="7" fillId="9" borderId="1" xfId="0" applyNumberFormat="1" applyFont="1" applyFill="1" applyBorder="1" applyAlignment="1">
      <alignment horizontal="center" vertical="center"/>
    </xf>
    <xf numFmtId="165" fontId="7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/>
    </xf>
    <xf numFmtId="165" fontId="7" fillId="0" borderId="9" xfId="0" applyNumberFormat="1" applyFont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165" fontId="7" fillId="0" borderId="15" xfId="0" applyNumberFormat="1" applyFont="1" applyBorder="1" applyAlignment="1">
      <alignment horizontal="center" vertical="center"/>
    </xf>
    <xf numFmtId="165" fontId="7" fillId="0" borderId="0" xfId="0" applyNumberFormat="1" applyFont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165" fontId="16" fillId="9" borderId="18" xfId="0" applyNumberFormat="1" applyFont="1" applyFill="1" applyBorder="1" applyAlignment="1">
      <alignment horizontal="center" vertical="center"/>
    </xf>
    <xf numFmtId="165" fontId="16" fillId="9" borderId="1" xfId="0" applyNumberFormat="1" applyFon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/>
    </xf>
    <xf numFmtId="165" fontId="0" fillId="3" borderId="0" xfId="0" applyNumberFormat="1" applyFill="1" applyAlignment="1">
      <alignment horizontal="center"/>
    </xf>
    <xf numFmtId="165" fontId="10" fillId="4" borderId="0" xfId="0" applyNumberFormat="1" applyFont="1" applyFill="1" applyAlignment="1">
      <alignment horizontal="center" vertical="center"/>
    </xf>
    <xf numFmtId="165" fontId="5" fillId="0" borderId="0" xfId="116" applyNumberFormat="1" applyAlignment="1">
      <alignment horizontal="left"/>
    </xf>
    <xf numFmtId="0" fontId="3" fillId="8" borderId="28" xfId="0" applyFont="1" applyFill="1" applyBorder="1" applyAlignment="1">
      <alignment horizontal="left"/>
    </xf>
    <xf numFmtId="0" fontId="3" fillId="8" borderId="29" xfId="0" applyFont="1" applyFill="1" applyBorder="1" applyAlignment="1">
      <alignment horizontal="center"/>
    </xf>
    <xf numFmtId="0" fontId="7" fillId="8" borderId="29" xfId="0" applyFont="1" applyFill="1" applyBorder="1" applyAlignment="1">
      <alignment horizontal="center"/>
    </xf>
    <xf numFmtId="6" fontId="7" fillId="8" borderId="30" xfId="0" applyNumberFormat="1" applyFont="1" applyFill="1" applyBorder="1" applyAlignment="1">
      <alignment horizontal="right"/>
    </xf>
    <xf numFmtId="0" fontId="7" fillId="11" borderId="7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center"/>
    </xf>
    <xf numFmtId="6" fontId="7" fillId="11" borderId="1" xfId="0" applyNumberFormat="1" applyFont="1" applyFill="1" applyBorder="1" applyAlignment="1">
      <alignment horizontal="right"/>
    </xf>
    <xf numFmtId="6" fontId="7" fillId="11" borderId="23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6" fontId="3" fillId="0" borderId="1" xfId="0" applyNumberFormat="1" applyFont="1" applyBorder="1" applyAlignment="1">
      <alignment horizontal="right"/>
    </xf>
    <xf numFmtId="6" fontId="3" fillId="0" borderId="23" xfId="0" applyNumberFormat="1" applyFont="1" applyBorder="1" applyAlignment="1">
      <alignment horizontal="right"/>
    </xf>
    <xf numFmtId="6" fontId="3" fillId="8" borderId="29" xfId="0" applyNumberFormat="1" applyFont="1" applyFill="1" applyBorder="1" applyAlignment="1">
      <alignment horizontal="right"/>
    </xf>
    <xf numFmtId="0" fontId="16" fillId="9" borderId="31" xfId="0" applyFont="1" applyFill="1" applyBorder="1" applyAlignment="1">
      <alignment horizontal="right"/>
    </xf>
    <xf numFmtId="0" fontId="7" fillId="0" borderId="3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7" fillId="0" borderId="17" xfId="0" applyFont="1" applyBorder="1" applyAlignment="1">
      <alignment horizontal="left"/>
    </xf>
    <xf numFmtId="0" fontId="7" fillId="7" borderId="3" xfId="0" applyFont="1" applyFill="1" applyBorder="1" applyAlignment="1">
      <alignment horizontal="left"/>
    </xf>
    <xf numFmtId="0" fontId="7" fillId="7" borderId="4" xfId="0" applyFont="1" applyFill="1" applyBorder="1" applyAlignment="1">
      <alignment horizontal="left"/>
    </xf>
    <xf numFmtId="0" fontId="7" fillId="7" borderId="17" xfId="0" applyFont="1" applyFill="1" applyBorder="1" applyAlignment="1">
      <alignment horizontal="left"/>
    </xf>
    <xf numFmtId="0" fontId="7" fillId="6" borderId="3" xfId="0" applyFont="1" applyFill="1" applyBorder="1" applyAlignment="1">
      <alignment horizontal="left" wrapText="1" shrinkToFit="1"/>
    </xf>
    <xf numFmtId="0" fontId="7" fillId="6" borderId="4" xfId="0" applyFont="1" applyFill="1" applyBorder="1" applyAlignment="1">
      <alignment horizontal="left" wrapText="1" shrinkToFit="1"/>
    </xf>
    <xf numFmtId="0" fontId="7" fillId="6" borderId="17" xfId="0" applyFont="1" applyFill="1" applyBorder="1" applyAlignment="1">
      <alignment horizontal="left" wrapText="1" shrinkToFit="1"/>
    </xf>
    <xf numFmtId="17" fontId="3" fillId="5" borderId="3" xfId="0" applyNumberFormat="1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7" fillId="6" borderId="3" xfId="0" applyFont="1" applyFill="1" applyBorder="1" applyAlignment="1">
      <alignment horizontal="left"/>
    </xf>
    <xf numFmtId="0" fontId="7" fillId="6" borderId="4" xfId="0" applyFont="1" applyFill="1" applyBorder="1" applyAlignment="1">
      <alignment horizontal="left"/>
    </xf>
    <xf numFmtId="0" fontId="7" fillId="6" borderId="17" xfId="0" applyFont="1" applyFill="1" applyBorder="1" applyAlignment="1">
      <alignment horizontal="left"/>
    </xf>
    <xf numFmtId="0" fontId="7" fillId="4" borderId="0" xfId="0" applyFont="1" applyFill="1" applyAlignment="1">
      <alignment horizontal="center"/>
    </xf>
    <xf numFmtId="0" fontId="3" fillId="5" borderId="3" xfId="0" applyFont="1" applyFill="1" applyBorder="1" applyAlignment="1">
      <alignment horizontal="center"/>
    </xf>
    <xf numFmtId="0" fontId="11" fillId="4" borderId="0" xfId="0" applyFont="1" applyFill="1" applyAlignment="1">
      <alignment horizontal="center"/>
    </xf>
    <xf numFmtId="20" fontId="7" fillId="0" borderId="1" xfId="0" applyNumberFormat="1" applyFont="1" applyBorder="1" applyAlignment="1">
      <alignment horizontal="center" vertical="center"/>
    </xf>
    <xf numFmtId="20" fontId="7" fillId="8" borderId="1" xfId="0" applyNumberFormat="1" applyFont="1" applyFill="1" applyBorder="1" applyAlignment="1">
      <alignment horizontal="center" vertical="center"/>
    </xf>
    <xf numFmtId="0" fontId="11" fillId="4" borderId="0" xfId="0" applyFont="1" applyFill="1" applyAlignment="1">
      <alignment horizontal="left" vertical="center" wrapText="1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17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5</xdr:row>
      <xdr:rowOff>135391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jguerra@gildemeister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160"/>
  <sheetViews>
    <sheetView tabSelected="1" workbookViewId="0">
      <selection activeCell="B4" sqref="B4"/>
    </sheetView>
  </sheetViews>
  <sheetFormatPr baseColWidth="10" defaultRowHeight="15.75" x14ac:dyDescent="0.25"/>
  <cols>
    <col min="1" max="1" width="32.125" customWidth="1"/>
    <col min="2" max="2" width="13.875" style="68" customWidth="1"/>
    <col min="3" max="4" width="6.375" customWidth="1"/>
    <col min="5" max="5" width="11.125" customWidth="1"/>
    <col min="6" max="6" width="12.5" customWidth="1"/>
    <col min="7" max="7" width="109.875" bestFit="1" customWidth="1"/>
    <col min="8" max="8" width="11.375" bestFit="1" customWidth="1"/>
    <col min="9" max="9" width="99.875" customWidth="1"/>
  </cols>
  <sheetData>
    <row r="1" spans="1:7" ht="63.95" customHeight="1" x14ac:dyDescent="0.35">
      <c r="A1" s="1" t="s">
        <v>2</v>
      </c>
      <c r="B1" s="131"/>
      <c r="C1" s="63" t="s">
        <v>138</v>
      </c>
    </row>
    <row r="2" spans="1:7" x14ac:dyDescent="0.25">
      <c r="G2" t="s">
        <v>231</v>
      </c>
    </row>
    <row r="3" spans="1:7" x14ac:dyDescent="0.25">
      <c r="A3" s="61" t="s">
        <v>139</v>
      </c>
      <c r="B3" s="129" t="s">
        <v>288</v>
      </c>
      <c r="E3" t="s">
        <v>3</v>
      </c>
      <c r="F3" s="32" t="s">
        <v>289</v>
      </c>
      <c r="G3" s="76" t="s">
        <v>232</v>
      </c>
    </row>
    <row r="4" spans="1:7" x14ac:dyDescent="0.25">
      <c r="A4" t="s">
        <v>140</v>
      </c>
      <c r="B4" s="149" t="s">
        <v>290</v>
      </c>
      <c r="C4" s="64"/>
      <c r="E4" t="s">
        <v>5</v>
      </c>
      <c r="F4" s="32">
        <v>225964070</v>
      </c>
      <c r="G4" s="77" t="s">
        <v>233</v>
      </c>
    </row>
    <row r="5" spans="1:7" x14ac:dyDescent="0.25">
      <c r="A5" t="s">
        <v>141</v>
      </c>
      <c r="B5" s="68" t="s">
        <v>293</v>
      </c>
      <c r="E5" t="s">
        <v>4</v>
      </c>
      <c r="F5" s="32">
        <v>25</v>
      </c>
      <c r="G5" s="77" t="s">
        <v>234</v>
      </c>
    </row>
    <row r="6" spans="1:7" x14ac:dyDescent="0.25">
      <c r="A6" s="62" t="s">
        <v>143</v>
      </c>
      <c r="B6" s="130" t="s">
        <v>291</v>
      </c>
      <c r="C6" s="17"/>
      <c r="D6" s="17"/>
      <c r="E6" s="17" t="s">
        <v>142</v>
      </c>
      <c r="F6" s="62" t="s">
        <v>292</v>
      </c>
      <c r="G6" s="77" t="s">
        <v>235</v>
      </c>
    </row>
    <row r="7" spans="1:7" ht="16.5" thickBot="1" x14ac:dyDescent="0.3">
      <c r="A7" s="17"/>
      <c r="B7" s="132"/>
      <c r="C7" s="17"/>
      <c r="D7" s="17"/>
      <c r="E7" s="17"/>
      <c r="F7" s="17"/>
      <c r="G7" s="77"/>
    </row>
    <row r="8" spans="1:7" ht="15.75" customHeight="1" x14ac:dyDescent="0.25">
      <c r="A8" s="112" t="s">
        <v>125</v>
      </c>
      <c r="B8" s="113" t="s">
        <v>181</v>
      </c>
      <c r="C8" s="114" t="s">
        <v>124</v>
      </c>
      <c r="D8" s="114" t="s">
        <v>7</v>
      </c>
      <c r="E8" s="114" t="s">
        <v>0</v>
      </c>
      <c r="F8" s="114" t="s">
        <v>1</v>
      </c>
      <c r="G8" s="115" t="s">
        <v>8</v>
      </c>
    </row>
    <row r="9" spans="1:7" x14ac:dyDescent="0.25">
      <c r="A9" s="100" t="s">
        <v>294</v>
      </c>
      <c r="B9" s="135">
        <v>0.375</v>
      </c>
      <c r="C9" s="90">
        <v>1</v>
      </c>
      <c r="D9" s="90">
        <v>1</v>
      </c>
      <c r="E9" s="101">
        <v>200000</v>
      </c>
      <c r="F9" s="89">
        <f>C9*D9*E9</f>
        <v>200000</v>
      </c>
      <c r="G9" s="87" t="s">
        <v>271</v>
      </c>
    </row>
    <row r="10" spans="1:7" x14ac:dyDescent="0.25">
      <c r="A10" s="102" t="s">
        <v>269</v>
      </c>
      <c r="B10" s="134">
        <v>0.47916666666666669</v>
      </c>
      <c r="C10" s="84">
        <v>1</v>
      </c>
      <c r="D10" s="103">
        <v>25</v>
      </c>
      <c r="E10" s="92">
        <v>3850</v>
      </c>
      <c r="F10" s="89">
        <f>C10*D10*E10</f>
        <v>96250</v>
      </c>
      <c r="G10" s="105" t="s">
        <v>175</v>
      </c>
    </row>
    <row r="11" spans="1:7" ht="16.5" customHeight="1" x14ac:dyDescent="0.25">
      <c r="A11" s="88" t="s">
        <v>121</v>
      </c>
      <c r="B11" s="134" t="s">
        <v>205</v>
      </c>
      <c r="C11" s="84">
        <v>1</v>
      </c>
      <c r="D11" s="103">
        <v>25</v>
      </c>
      <c r="E11" s="89">
        <v>15000</v>
      </c>
      <c r="F11" s="89">
        <f t="shared" ref="F11:F17" si="0">C11*D11*E11</f>
        <v>375000</v>
      </c>
      <c r="G11" s="87" t="s">
        <v>114</v>
      </c>
    </row>
    <row r="12" spans="1:7" x14ac:dyDescent="0.25">
      <c r="A12" s="88" t="s">
        <v>267</v>
      </c>
      <c r="B12" s="136"/>
      <c r="C12" s="90">
        <v>1</v>
      </c>
      <c r="D12" s="103">
        <v>25</v>
      </c>
      <c r="E12" s="89">
        <v>1500</v>
      </c>
      <c r="F12" s="89">
        <f t="shared" ref="F12" si="1">C12*D12*E12</f>
        <v>37500</v>
      </c>
      <c r="G12" s="87" t="s">
        <v>258</v>
      </c>
    </row>
    <row r="13" spans="1:7" x14ac:dyDescent="0.25">
      <c r="A13" s="91" t="s">
        <v>122</v>
      </c>
      <c r="B13" s="134" t="s">
        <v>206</v>
      </c>
      <c r="C13" s="84">
        <v>1</v>
      </c>
      <c r="D13" s="103">
        <v>25</v>
      </c>
      <c r="E13" s="92">
        <v>15000</v>
      </c>
      <c r="F13" s="86">
        <f t="shared" si="0"/>
        <v>375000</v>
      </c>
      <c r="G13" s="87" t="s">
        <v>261</v>
      </c>
    </row>
    <row r="14" spans="1:7" x14ac:dyDescent="0.25">
      <c r="A14" s="88" t="s">
        <v>267</v>
      </c>
      <c r="B14" s="136"/>
      <c r="C14" s="90">
        <v>1</v>
      </c>
      <c r="D14" s="103">
        <v>25</v>
      </c>
      <c r="E14" s="89">
        <v>1500</v>
      </c>
      <c r="F14" s="89">
        <f t="shared" si="0"/>
        <v>37500</v>
      </c>
      <c r="G14" s="87" t="s">
        <v>258</v>
      </c>
    </row>
    <row r="15" spans="1:7" x14ac:dyDescent="0.25">
      <c r="A15" s="100" t="s">
        <v>93</v>
      </c>
      <c r="B15" s="135"/>
      <c r="C15" s="90">
        <v>1</v>
      </c>
      <c r="D15" s="103">
        <v>25</v>
      </c>
      <c r="E15" s="89">
        <v>26000</v>
      </c>
      <c r="F15" s="89">
        <f t="shared" si="0"/>
        <v>650000</v>
      </c>
      <c r="G15" s="87" t="s">
        <v>118</v>
      </c>
    </row>
    <row r="16" spans="1:7" x14ac:dyDescent="0.25">
      <c r="A16" s="93" t="s">
        <v>152</v>
      </c>
      <c r="B16" s="137"/>
      <c r="C16" s="94">
        <v>1</v>
      </c>
      <c r="D16" s="94">
        <v>1</v>
      </c>
      <c r="E16" s="95">
        <v>99000</v>
      </c>
      <c r="F16" s="95">
        <f t="shared" si="0"/>
        <v>99000</v>
      </c>
      <c r="G16" s="93" t="s">
        <v>259</v>
      </c>
    </row>
    <row r="17" spans="1:7" x14ac:dyDescent="0.25">
      <c r="A17" s="93" t="s">
        <v>153</v>
      </c>
      <c r="B17" s="137"/>
      <c r="C17" s="94">
        <v>1</v>
      </c>
      <c r="D17" s="94">
        <v>10</v>
      </c>
      <c r="E17" s="95">
        <v>113500</v>
      </c>
      <c r="F17" s="95">
        <f t="shared" si="0"/>
        <v>1135000</v>
      </c>
      <c r="G17" s="93" t="s">
        <v>236</v>
      </c>
    </row>
    <row r="18" spans="1:7" ht="16.5" customHeight="1" thickBot="1" x14ac:dyDescent="0.3">
      <c r="A18" s="2" t="s">
        <v>92</v>
      </c>
      <c r="B18" s="138"/>
      <c r="C18" s="31"/>
      <c r="D18" s="22"/>
      <c r="E18" s="4"/>
      <c r="F18" s="5">
        <f>SUM(F9:F17)</f>
        <v>3005250</v>
      </c>
      <c r="G18" s="30" t="s">
        <v>2</v>
      </c>
    </row>
    <row r="19" spans="1:7" ht="16.5" customHeight="1" x14ac:dyDescent="0.25">
      <c r="A19" s="112" t="s">
        <v>126</v>
      </c>
      <c r="B19" s="113"/>
      <c r="C19" s="114" t="s">
        <v>124</v>
      </c>
      <c r="D19" s="114" t="s">
        <v>7</v>
      </c>
      <c r="E19" s="114" t="s">
        <v>0</v>
      </c>
      <c r="F19" s="114" t="s">
        <v>1</v>
      </c>
      <c r="G19" s="115" t="s">
        <v>8</v>
      </c>
    </row>
    <row r="20" spans="1:7" ht="16.5" customHeight="1" x14ac:dyDescent="0.25">
      <c r="A20" s="83" t="s">
        <v>10</v>
      </c>
      <c r="B20" s="133"/>
      <c r="C20" s="84">
        <v>125</v>
      </c>
      <c r="D20" s="84">
        <v>0</v>
      </c>
      <c r="E20" s="85">
        <v>10500</v>
      </c>
      <c r="F20" s="86" t="s">
        <v>127</v>
      </c>
      <c r="G20" s="87" t="s">
        <v>260</v>
      </c>
    </row>
    <row r="21" spans="1:7" x14ac:dyDescent="0.25">
      <c r="A21" s="100" t="s">
        <v>294</v>
      </c>
      <c r="B21" s="135">
        <v>0.375</v>
      </c>
      <c r="C21" s="90">
        <v>1</v>
      </c>
      <c r="D21" s="90">
        <v>1</v>
      </c>
      <c r="E21" s="101">
        <v>200000</v>
      </c>
      <c r="F21" s="89">
        <f>C21*D21*E21</f>
        <v>200000</v>
      </c>
      <c r="G21" s="87" t="s">
        <v>271</v>
      </c>
    </row>
    <row r="22" spans="1:7" x14ac:dyDescent="0.25">
      <c r="A22" s="102" t="s">
        <v>269</v>
      </c>
      <c r="B22" s="134">
        <v>0.47916666666666669</v>
      </c>
      <c r="C22" s="84">
        <v>1</v>
      </c>
      <c r="D22" s="103">
        <v>25</v>
      </c>
      <c r="E22" s="92">
        <v>3850</v>
      </c>
      <c r="F22" s="89">
        <f>C22*D22*E22</f>
        <v>96250</v>
      </c>
      <c r="G22" s="105" t="s">
        <v>175</v>
      </c>
    </row>
    <row r="23" spans="1:7" ht="16.5" customHeight="1" x14ac:dyDescent="0.25">
      <c r="A23" s="88" t="s">
        <v>121</v>
      </c>
      <c r="B23" s="134"/>
      <c r="C23" s="84">
        <v>1</v>
      </c>
      <c r="D23" s="84">
        <v>25</v>
      </c>
      <c r="E23" s="89">
        <v>15000</v>
      </c>
      <c r="F23" s="89">
        <f>C23*D23*E23</f>
        <v>375000</v>
      </c>
      <c r="G23" s="87" t="s">
        <v>114</v>
      </c>
    </row>
    <row r="24" spans="1:7" x14ac:dyDescent="0.25">
      <c r="A24" s="88" t="s">
        <v>267</v>
      </c>
      <c r="B24" s="136"/>
      <c r="C24" s="90">
        <v>1</v>
      </c>
      <c r="D24" s="90">
        <v>25</v>
      </c>
      <c r="E24" s="89">
        <v>1500</v>
      </c>
      <c r="F24" s="89">
        <f t="shared" ref="F24:F29" si="2">C24*D24*E24</f>
        <v>37500</v>
      </c>
      <c r="G24" s="87" t="s">
        <v>258</v>
      </c>
    </row>
    <row r="25" spans="1:7" x14ac:dyDescent="0.25">
      <c r="A25" s="91" t="s">
        <v>122</v>
      </c>
      <c r="B25" s="134" t="s">
        <v>206</v>
      </c>
      <c r="C25" s="84">
        <v>1</v>
      </c>
      <c r="D25" s="103">
        <v>25</v>
      </c>
      <c r="E25" s="92">
        <v>15000</v>
      </c>
      <c r="F25" s="86">
        <f t="shared" si="2"/>
        <v>375000</v>
      </c>
      <c r="G25" s="87" t="s">
        <v>261</v>
      </c>
    </row>
    <row r="26" spans="1:7" x14ac:dyDescent="0.25">
      <c r="A26" s="88" t="s">
        <v>267</v>
      </c>
      <c r="B26" s="136"/>
      <c r="C26" s="90">
        <v>1</v>
      </c>
      <c r="D26" s="103">
        <v>25</v>
      </c>
      <c r="E26" s="89">
        <v>1500</v>
      </c>
      <c r="F26" s="89">
        <f t="shared" si="2"/>
        <v>37500</v>
      </c>
      <c r="G26" s="87" t="s">
        <v>258</v>
      </c>
    </row>
    <row r="27" spans="1:7" x14ac:dyDescent="0.25">
      <c r="A27" s="100" t="s">
        <v>93</v>
      </c>
      <c r="B27" s="135"/>
      <c r="C27" s="90">
        <v>1</v>
      </c>
      <c r="D27" s="103">
        <v>25</v>
      </c>
      <c r="E27" s="89">
        <v>26000</v>
      </c>
      <c r="F27" s="89">
        <f t="shared" si="2"/>
        <v>650000</v>
      </c>
      <c r="G27" s="87" t="s">
        <v>118</v>
      </c>
    </row>
    <row r="28" spans="1:7" x14ac:dyDescent="0.25">
      <c r="A28" s="93" t="s">
        <v>152</v>
      </c>
      <c r="B28" s="137"/>
      <c r="C28" s="94">
        <v>1</v>
      </c>
      <c r="D28" s="94">
        <v>1</v>
      </c>
      <c r="E28" s="95">
        <v>99000</v>
      </c>
      <c r="F28" s="95">
        <f t="shared" si="2"/>
        <v>99000</v>
      </c>
      <c r="G28" s="93" t="s">
        <v>259</v>
      </c>
    </row>
    <row r="29" spans="1:7" x14ac:dyDescent="0.25">
      <c r="A29" s="93" t="s">
        <v>153</v>
      </c>
      <c r="B29" s="137"/>
      <c r="C29" s="94">
        <v>1</v>
      </c>
      <c r="D29" s="94">
        <v>10</v>
      </c>
      <c r="E29" s="95">
        <v>113500</v>
      </c>
      <c r="F29" s="95">
        <f t="shared" si="2"/>
        <v>1135000</v>
      </c>
      <c r="G29" s="93" t="s">
        <v>236</v>
      </c>
    </row>
    <row r="30" spans="1:7" ht="16.5" thickBot="1" x14ac:dyDescent="0.3">
      <c r="A30" s="2" t="s">
        <v>92</v>
      </c>
      <c r="B30" s="138"/>
      <c r="C30" s="31"/>
      <c r="D30" s="22"/>
      <c r="E30" s="4"/>
      <c r="F30" s="5">
        <f>SUM(F20:F29)</f>
        <v>3005250</v>
      </c>
      <c r="G30" s="30" t="s">
        <v>2</v>
      </c>
    </row>
    <row r="31" spans="1:7" x14ac:dyDescent="0.25">
      <c r="A31" s="112" t="s">
        <v>295</v>
      </c>
      <c r="B31" s="113"/>
      <c r="C31" s="114" t="s">
        <v>124</v>
      </c>
      <c r="D31" s="114" t="s">
        <v>7</v>
      </c>
      <c r="E31" s="114" t="s">
        <v>0</v>
      </c>
      <c r="F31" s="114" t="s">
        <v>1</v>
      </c>
      <c r="G31" s="115" t="s">
        <v>8</v>
      </c>
    </row>
    <row r="32" spans="1:7" x14ac:dyDescent="0.25">
      <c r="A32" s="83" t="s">
        <v>10</v>
      </c>
      <c r="B32" s="133"/>
      <c r="C32" s="84">
        <v>0</v>
      </c>
      <c r="D32" s="84">
        <v>0</v>
      </c>
      <c r="E32" s="85">
        <v>10500</v>
      </c>
      <c r="F32" s="86" t="s">
        <v>127</v>
      </c>
      <c r="G32" s="87" t="s">
        <v>260</v>
      </c>
    </row>
    <row r="33" spans="1:7" x14ac:dyDescent="0.25">
      <c r="A33" s="100" t="s">
        <v>294</v>
      </c>
      <c r="B33" s="135">
        <v>0.375</v>
      </c>
      <c r="C33" s="90">
        <v>1</v>
      </c>
      <c r="D33" s="90">
        <v>1</v>
      </c>
      <c r="E33" s="101">
        <v>200000</v>
      </c>
      <c r="F33" s="89">
        <f>C33*D33*E33</f>
        <v>200000</v>
      </c>
      <c r="G33" s="87" t="s">
        <v>271</v>
      </c>
    </row>
    <row r="34" spans="1:7" x14ac:dyDescent="0.25">
      <c r="A34" s="88" t="s">
        <v>121</v>
      </c>
      <c r="B34" s="134"/>
      <c r="C34" s="84">
        <v>1</v>
      </c>
      <c r="D34" s="84">
        <v>25</v>
      </c>
      <c r="E34" s="89">
        <v>15000</v>
      </c>
      <c r="F34" s="89">
        <f>C34*D34*E34</f>
        <v>375000</v>
      </c>
      <c r="G34" s="87" t="s">
        <v>114</v>
      </c>
    </row>
    <row r="35" spans="1:7" x14ac:dyDescent="0.25">
      <c r="A35" s="88" t="s">
        <v>267</v>
      </c>
      <c r="B35" s="136"/>
      <c r="C35" s="90">
        <v>1</v>
      </c>
      <c r="D35" s="90">
        <v>25</v>
      </c>
      <c r="E35" s="89">
        <v>1500</v>
      </c>
      <c r="F35" s="89">
        <f t="shared" ref="F35" si="3">C35*D35*E35</f>
        <v>37500</v>
      </c>
      <c r="G35" s="87" t="s">
        <v>258</v>
      </c>
    </row>
    <row r="36" spans="1:7" ht="16.5" customHeight="1" x14ac:dyDescent="0.25">
      <c r="A36" s="2" t="s">
        <v>92</v>
      </c>
      <c r="B36" s="138"/>
      <c r="C36" s="31"/>
      <c r="D36" s="22"/>
      <c r="E36" s="4"/>
      <c r="F36" s="5">
        <f>SUM(F32:F35)</f>
        <v>612500</v>
      </c>
      <c r="G36" s="30" t="s">
        <v>2</v>
      </c>
    </row>
    <row r="37" spans="1:7" x14ac:dyDescent="0.25">
      <c r="A37" s="116" t="s">
        <v>298</v>
      </c>
      <c r="B37" s="139" t="s">
        <v>254</v>
      </c>
      <c r="C37" s="117"/>
      <c r="D37" s="117"/>
      <c r="E37" s="118"/>
      <c r="F37" s="118"/>
      <c r="G37" s="116" t="s">
        <v>252</v>
      </c>
    </row>
    <row r="38" spans="1:7" x14ac:dyDescent="0.25">
      <c r="A38" s="93" t="s">
        <v>247</v>
      </c>
      <c r="B38" s="137">
        <v>0.42569444444444443</v>
      </c>
      <c r="C38" s="94">
        <v>1</v>
      </c>
      <c r="D38" s="94">
        <v>50</v>
      </c>
      <c r="E38" s="95">
        <v>0</v>
      </c>
      <c r="F38" s="95">
        <f t="shared" ref="F38:F41" si="4">C38*D38*E38</f>
        <v>0</v>
      </c>
      <c r="G38" s="96" t="s">
        <v>249</v>
      </c>
    </row>
    <row r="39" spans="1:7" x14ac:dyDescent="0.25">
      <c r="A39" s="93" t="s">
        <v>243</v>
      </c>
      <c r="B39" s="137">
        <v>0.42569444444444443</v>
      </c>
      <c r="C39" s="94">
        <v>1</v>
      </c>
      <c r="D39" s="94">
        <v>50</v>
      </c>
      <c r="E39" s="95">
        <v>0</v>
      </c>
      <c r="F39" s="95">
        <f t="shared" si="4"/>
        <v>0</v>
      </c>
      <c r="G39" s="96" t="s">
        <v>250</v>
      </c>
    </row>
    <row r="40" spans="1:7" x14ac:dyDescent="0.25">
      <c r="A40" s="93" t="s">
        <v>244</v>
      </c>
      <c r="B40" s="137">
        <v>0.42569444444444443</v>
      </c>
      <c r="C40" s="94">
        <v>1</v>
      </c>
      <c r="D40" s="94">
        <v>50</v>
      </c>
      <c r="E40" s="95">
        <v>0</v>
      </c>
      <c r="F40" s="95">
        <f t="shared" si="4"/>
        <v>0</v>
      </c>
      <c r="G40" s="96" t="s">
        <v>248</v>
      </c>
    </row>
    <row r="41" spans="1:7" x14ac:dyDescent="0.25">
      <c r="A41" s="93" t="s">
        <v>245</v>
      </c>
      <c r="B41" s="137" t="s">
        <v>251</v>
      </c>
      <c r="C41" s="94">
        <v>1</v>
      </c>
      <c r="D41" s="94">
        <v>50</v>
      </c>
      <c r="E41" s="95">
        <v>0</v>
      </c>
      <c r="F41" s="95">
        <f t="shared" si="4"/>
        <v>0</v>
      </c>
      <c r="G41" s="93" t="s">
        <v>246</v>
      </c>
    </row>
    <row r="42" spans="1:7" ht="16.5" thickBot="1" x14ac:dyDescent="0.3">
      <c r="A42" s="163" t="s">
        <v>92</v>
      </c>
      <c r="F42">
        <v>0</v>
      </c>
    </row>
    <row r="43" spans="1:7" ht="16.5" customHeight="1" x14ac:dyDescent="0.25">
      <c r="A43" s="150" t="s">
        <v>297</v>
      </c>
      <c r="B43" s="151" t="s">
        <v>181</v>
      </c>
      <c r="C43" s="152"/>
      <c r="D43" s="152"/>
      <c r="E43" s="162" t="s">
        <v>0</v>
      </c>
      <c r="F43" s="153"/>
      <c r="G43" s="153"/>
    </row>
    <row r="44" spans="1:7" ht="16.5" customHeight="1" x14ac:dyDescent="0.25">
      <c r="A44" s="154" t="s">
        <v>296</v>
      </c>
      <c r="B44" s="155" t="s">
        <v>2</v>
      </c>
      <c r="C44" s="155">
        <v>1</v>
      </c>
      <c r="D44" s="155">
        <v>1</v>
      </c>
      <c r="E44" s="156">
        <v>400000</v>
      </c>
      <c r="F44" s="157">
        <f>E44</f>
        <v>400000</v>
      </c>
      <c r="G44" s="157" t="s">
        <v>2</v>
      </c>
    </row>
    <row r="45" spans="1:7" ht="16.5" customHeight="1" x14ac:dyDescent="0.25">
      <c r="A45" s="154" t="s">
        <v>299</v>
      </c>
      <c r="B45" s="155" t="s">
        <v>300</v>
      </c>
      <c r="C45" s="155">
        <v>1</v>
      </c>
      <c r="D45" s="155">
        <v>25</v>
      </c>
      <c r="E45" s="156">
        <v>6000</v>
      </c>
      <c r="F45" s="157">
        <f>D45*E45</f>
        <v>150000</v>
      </c>
      <c r="G45" s="157" t="s">
        <v>2</v>
      </c>
    </row>
    <row r="46" spans="1:7" ht="16.5" customHeight="1" thickBot="1" x14ac:dyDescent="0.3">
      <c r="A46" s="158" t="s">
        <v>1</v>
      </c>
      <c r="B46" s="159"/>
      <c r="C46" s="159"/>
      <c r="D46" s="159"/>
      <c r="E46" s="160"/>
      <c r="F46" s="161">
        <f>SUM(F44:F45)</f>
        <v>550000</v>
      </c>
      <c r="G46" s="161" t="s">
        <v>2</v>
      </c>
    </row>
    <row r="47" spans="1:7" ht="16.5" thickBot="1" x14ac:dyDescent="0.3">
      <c r="A47" s="34" t="s">
        <v>253</v>
      </c>
      <c r="B47" s="140"/>
      <c r="C47" s="35"/>
      <c r="D47" s="35"/>
      <c r="E47" s="36"/>
      <c r="F47" s="37">
        <f>F18+F30+F36+F46</f>
        <v>7173000</v>
      </c>
      <c r="G47" s="6" t="s">
        <v>150</v>
      </c>
    </row>
    <row r="48" spans="1:7" x14ac:dyDescent="0.25">
      <c r="A48" s="3" t="s">
        <v>151</v>
      </c>
      <c r="B48" s="141"/>
      <c r="C48" s="22"/>
      <c r="D48" s="22"/>
      <c r="E48" s="4"/>
      <c r="F48" s="5">
        <f>F47*1.19-F47</f>
        <v>1362870</v>
      </c>
      <c r="G48" s="6"/>
    </row>
    <row r="49" spans="1:7" x14ac:dyDescent="0.25">
      <c r="A49" s="69" t="s">
        <v>287</v>
      </c>
      <c r="B49" s="142"/>
      <c r="C49" s="70"/>
      <c r="D49" s="70"/>
      <c r="E49" s="71"/>
      <c r="F49" s="72">
        <f>F47+F48</f>
        <v>8535870</v>
      </c>
      <c r="G49" s="6"/>
    </row>
    <row r="50" spans="1:7" x14ac:dyDescent="0.25">
      <c r="A50" s="3"/>
      <c r="B50" s="141"/>
      <c r="C50" s="22"/>
      <c r="D50" s="22"/>
      <c r="E50" s="4"/>
      <c r="F50" s="4"/>
      <c r="G50" s="6"/>
    </row>
    <row r="51" spans="1:7" x14ac:dyDescent="0.25">
      <c r="A51" s="3"/>
      <c r="B51" s="141"/>
      <c r="C51" s="22"/>
      <c r="D51" s="22"/>
      <c r="E51" s="4"/>
      <c r="F51" s="4"/>
      <c r="G51" s="6"/>
    </row>
    <row r="52" spans="1:7" x14ac:dyDescent="0.25">
      <c r="A52" s="3"/>
      <c r="B52" s="141"/>
      <c r="C52" s="22"/>
      <c r="D52" s="22"/>
      <c r="E52" s="4"/>
      <c r="F52" s="4"/>
      <c r="G52" s="6"/>
    </row>
    <row r="53" spans="1:7" x14ac:dyDescent="0.25">
      <c r="A53" s="3"/>
      <c r="B53" s="141"/>
      <c r="C53" s="22"/>
      <c r="D53" s="22"/>
      <c r="E53" s="4"/>
      <c r="F53" s="4"/>
      <c r="G53" s="6"/>
    </row>
    <row r="54" spans="1:7" x14ac:dyDescent="0.25">
      <c r="A54" s="3"/>
      <c r="B54" s="141"/>
      <c r="C54" s="22"/>
      <c r="D54" s="22"/>
      <c r="E54" s="4"/>
      <c r="F54" s="4"/>
      <c r="G54" s="6"/>
    </row>
    <row r="55" spans="1:7" x14ac:dyDescent="0.25">
      <c r="A55" s="3"/>
      <c r="B55" s="141"/>
      <c r="C55" s="22"/>
      <c r="D55" s="22"/>
      <c r="E55" s="4"/>
      <c r="F55" s="4"/>
      <c r="G55" s="6"/>
    </row>
    <row r="56" spans="1:7" x14ac:dyDescent="0.25">
      <c r="A56" s="3"/>
      <c r="B56" s="141"/>
      <c r="C56" s="22"/>
      <c r="D56" s="22"/>
      <c r="E56" s="4"/>
      <c r="F56" s="4"/>
      <c r="G56" s="6"/>
    </row>
    <row r="57" spans="1:7" x14ac:dyDescent="0.25">
      <c r="A57" s="3"/>
      <c r="B57" s="141"/>
      <c r="C57" s="22"/>
      <c r="D57" s="22"/>
      <c r="E57" s="4"/>
      <c r="F57" s="4"/>
      <c r="G57" s="6"/>
    </row>
    <row r="58" spans="1:7" x14ac:dyDescent="0.25">
      <c r="A58" s="3"/>
      <c r="B58" s="141"/>
      <c r="C58" s="22"/>
      <c r="D58" s="22"/>
      <c r="E58" s="4"/>
      <c r="F58" s="4"/>
      <c r="G58" s="6"/>
    </row>
    <row r="59" spans="1:7" ht="18.75" x14ac:dyDescent="0.25">
      <c r="A59" s="74" t="s">
        <v>209</v>
      </c>
      <c r="B59" s="61"/>
      <c r="E59" s="67"/>
      <c r="F59" s="67"/>
      <c r="G59" s="67"/>
    </row>
    <row r="60" spans="1:7" ht="18.75" x14ac:dyDescent="0.25">
      <c r="A60" s="73" t="s">
        <v>210</v>
      </c>
      <c r="B60" s="61"/>
      <c r="E60" s="66"/>
      <c r="F60" s="66"/>
      <c r="G60" s="66"/>
    </row>
    <row r="61" spans="1:7" ht="17.25" x14ac:dyDescent="0.25">
      <c r="A61" s="67" t="s">
        <v>211</v>
      </c>
      <c r="B61" s="61"/>
    </row>
    <row r="62" spans="1:7" ht="17.25" x14ac:dyDescent="0.25">
      <c r="A62" s="67"/>
      <c r="B62" s="61"/>
    </row>
    <row r="63" spans="1:7" ht="18.75" x14ac:dyDescent="0.25">
      <c r="A63" s="74" t="s">
        <v>154</v>
      </c>
      <c r="B63" s="61"/>
    </row>
    <row r="64" spans="1:7" ht="17.25" x14ac:dyDescent="0.25">
      <c r="A64" s="67" t="s">
        <v>212</v>
      </c>
      <c r="B64" s="61"/>
    </row>
    <row r="65" spans="1:6" ht="17.25" x14ac:dyDescent="0.25">
      <c r="A65" s="67" t="s">
        <v>213</v>
      </c>
      <c r="B65" s="61"/>
    </row>
    <row r="66" spans="1:6" ht="17.25" x14ac:dyDescent="0.25">
      <c r="A66" s="67" t="s">
        <v>214</v>
      </c>
      <c r="B66" s="61"/>
    </row>
    <row r="67" spans="1:6" ht="17.25" x14ac:dyDescent="0.25">
      <c r="A67" s="65" t="s">
        <v>155</v>
      </c>
      <c r="B67" s="61"/>
    </row>
    <row r="68" spans="1:6" ht="17.25" x14ac:dyDescent="0.25">
      <c r="A68" s="67" t="s">
        <v>215</v>
      </c>
      <c r="B68" s="61"/>
    </row>
    <row r="69" spans="1:6" ht="17.25" x14ac:dyDescent="0.25">
      <c r="A69" s="67" t="s">
        <v>156</v>
      </c>
      <c r="B69" s="61"/>
    </row>
    <row r="70" spans="1:6" ht="17.25" x14ac:dyDescent="0.25">
      <c r="A70" s="65" t="s">
        <v>216</v>
      </c>
      <c r="B70" s="61"/>
    </row>
    <row r="71" spans="1:6" ht="17.25" x14ac:dyDescent="0.25">
      <c r="A71" s="67" t="s">
        <v>157</v>
      </c>
      <c r="B71" s="61"/>
    </row>
    <row r="72" spans="1:6" ht="17.25" x14ac:dyDescent="0.25">
      <c r="A72" s="67" t="s">
        <v>158</v>
      </c>
      <c r="B72" s="61"/>
    </row>
    <row r="73" spans="1:6" ht="17.25" x14ac:dyDescent="0.25">
      <c r="A73" s="67" t="s">
        <v>159</v>
      </c>
      <c r="B73" s="61"/>
    </row>
    <row r="74" spans="1:6" ht="17.25" x14ac:dyDescent="0.25">
      <c r="A74" s="67" t="s">
        <v>160</v>
      </c>
      <c r="B74" s="61"/>
    </row>
    <row r="75" spans="1:6" ht="17.25" x14ac:dyDescent="0.25">
      <c r="A75" s="67" t="s">
        <v>161</v>
      </c>
      <c r="B75" s="61"/>
    </row>
    <row r="76" spans="1:6" ht="17.25" x14ac:dyDescent="0.25">
      <c r="A76" s="67" t="s">
        <v>162</v>
      </c>
      <c r="B76" s="61"/>
    </row>
    <row r="77" spans="1:6" ht="17.25" x14ac:dyDescent="0.25">
      <c r="A77" s="67"/>
      <c r="B77" s="61"/>
    </row>
    <row r="78" spans="1:6" ht="17.25" x14ac:dyDescent="0.25">
      <c r="A78" s="97" t="s">
        <v>255</v>
      </c>
      <c r="B78" s="61"/>
    </row>
    <row r="79" spans="1:6" ht="17.25" x14ac:dyDescent="0.25">
      <c r="A79" s="67" t="s">
        <v>217</v>
      </c>
      <c r="B79" s="143" t="s">
        <v>218</v>
      </c>
      <c r="D79" s="67" t="s">
        <v>219</v>
      </c>
      <c r="F79" s="67" t="s">
        <v>220</v>
      </c>
    </row>
    <row r="80" spans="1:6" ht="17.25" x14ac:dyDescent="0.25">
      <c r="A80" s="67" t="s">
        <v>223</v>
      </c>
      <c r="B80" s="143" t="s">
        <v>224</v>
      </c>
      <c r="D80" s="67" t="s">
        <v>221</v>
      </c>
      <c r="F80" s="67" t="s">
        <v>222</v>
      </c>
    </row>
    <row r="81" spans="1:7" ht="17.25" x14ac:dyDescent="0.25">
      <c r="A81" s="67" t="s">
        <v>225</v>
      </c>
      <c r="B81" s="143" t="s">
        <v>226</v>
      </c>
      <c r="D81" s="67" t="s">
        <v>227</v>
      </c>
      <c r="F81" s="67" t="s">
        <v>228</v>
      </c>
    </row>
    <row r="82" spans="1:7" ht="17.25" x14ac:dyDescent="0.25">
      <c r="A82" s="67" t="s">
        <v>5</v>
      </c>
      <c r="B82" s="143" t="s">
        <v>230</v>
      </c>
      <c r="D82" s="75" t="s">
        <v>229</v>
      </c>
    </row>
    <row r="83" spans="1:7" ht="18" thickBot="1" x14ac:dyDescent="0.3">
      <c r="A83" s="67"/>
      <c r="B83" s="61"/>
    </row>
    <row r="84" spans="1:7" ht="15.95" customHeight="1" x14ac:dyDescent="0.25">
      <c r="A84" s="119" t="s">
        <v>123</v>
      </c>
      <c r="B84" s="120" t="s">
        <v>181</v>
      </c>
      <c r="C84" s="121" t="s">
        <v>89</v>
      </c>
      <c r="D84" s="121" t="s">
        <v>7</v>
      </c>
      <c r="E84" s="121" t="s">
        <v>6</v>
      </c>
      <c r="F84" s="121" t="s">
        <v>90</v>
      </c>
      <c r="G84" s="122" t="s">
        <v>8</v>
      </c>
    </row>
    <row r="85" spans="1:7" ht="15.95" customHeight="1" x14ac:dyDescent="0.25">
      <c r="A85" s="87" t="s">
        <v>208</v>
      </c>
      <c r="B85" s="98"/>
      <c r="C85" s="90">
        <v>0</v>
      </c>
      <c r="D85" s="90">
        <v>0</v>
      </c>
      <c r="E85" s="99">
        <v>200000</v>
      </c>
      <c r="F85" s="99">
        <f>C85*D85*E85</f>
        <v>0</v>
      </c>
      <c r="G85" s="87" t="s">
        <v>256</v>
      </c>
    </row>
    <row r="86" spans="1:7" x14ac:dyDescent="0.25">
      <c r="A86" s="100" t="s">
        <v>91</v>
      </c>
      <c r="B86" s="135"/>
      <c r="C86" s="90">
        <v>0</v>
      </c>
      <c r="D86" s="90">
        <v>0</v>
      </c>
      <c r="E86" s="89">
        <v>12000</v>
      </c>
      <c r="F86" s="89">
        <f t="shared" ref="F86:F99" si="5">C86*D86*E86</f>
        <v>0</v>
      </c>
      <c r="G86" s="87" t="s">
        <v>263</v>
      </c>
    </row>
    <row r="87" spans="1:7" x14ac:dyDescent="0.25">
      <c r="A87" s="100" t="s">
        <v>93</v>
      </c>
      <c r="B87" s="135"/>
      <c r="C87" s="90">
        <v>0</v>
      </c>
      <c r="D87" s="90">
        <v>0</v>
      </c>
      <c r="E87" s="89">
        <v>26000</v>
      </c>
      <c r="F87" s="89">
        <f t="shared" si="5"/>
        <v>0</v>
      </c>
      <c r="G87" s="87" t="s">
        <v>118</v>
      </c>
    </row>
    <row r="88" spans="1:7" x14ac:dyDescent="0.25">
      <c r="A88" s="100" t="s">
        <v>94</v>
      </c>
      <c r="B88" s="135"/>
      <c r="C88" s="90">
        <v>0</v>
      </c>
      <c r="D88" s="90">
        <v>0</v>
      </c>
      <c r="E88" s="89">
        <v>35000</v>
      </c>
      <c r="F88" s="89">
        <f t="shared" si="5"/>
        <v>0</v>
      </c>
      <c r="G88" s="87" t="s">
        <v>118</v>
      </c>
    </row>
    <row r="89" spans="1:7" x14ac:dyDescent="0.25">
      <c r="A89" s="100" t="s">
        <v>120</v>
      </c>
      <c r="B89" s="135"/>
      <c r="C89" s="90">
        <v>0</v>
      </c>
      <c r="D89" s="90">
        <v>0</v>
      </c>
      <c r="E89" s="89">
        <v>10000</v>
      </c>
      <c r="F89" s="89">
        <f t="shared" si="5"/>
        <v>0</v>
      </c>
      <c r="G89" s="87"/>
    </row>
    <row r="90" spans="1:7" x14ac:dyDescent="0.25">
      <c r="A90" s="100" t="s">
        <v>179</v>
      </c>
      <c r="B90" s="135"/>
      <c r="C90" s="90">
        <v>0</v>
      </c>
      <c r="D90" s="90">
        <v>0</v>
      </c>
      <c r="E90" s="89">
        <v>4500</v>
      </c>
      <c r="F90" s="89">
        <f t="shared" si="5"/>
        <v>0</v>
      </c>
      <c r="G90" s="87" t="s">
        <v>180</v>
      </c>
    </row>
    <row r="91" spans="1:7" x14ac:dyDescent="0.25">
      <c r="A91" s="100" t="s">
        <v>202</v>
      </c>
      <c r="B91" s="135"/>
      <c r="C91" s="90">
        <v>0</v>
      </c>
      <c r="D91" s="90">
        <v>0</v>
      </c>
      <c r="E91" s="89">
        <v>5000</v>
      </c>
      <c r="F91" s="89">
        <f t="shared" ref="F91:F92" si="6">C91*D91*E91</f>
        <v>0</v>
      </c>
      <c r="G91" s="87" t="s">
        <v>264</v>
      </c>
    </row>
    <row r="92" spans="1:7" x14ac:dyDescent="0.25">
      <c r="A92" s="100" t="s">
        <v>203</v>
      </c>
      <c r="B92" s="135"/>
      <c r="C92" s="90">
        <v>0</v>
      </c>
      <c r="D92" s="90">
        <v>0</v>
      </c>
      <c r="E92" s="89">
        <v>5000</v>
      </c>
      <c r="F92" s="89">
        <f t="shared" si="6"/>
        <v>0</v>
      </c>
      <c r="G92" s="87" t="s">
        <v>265</v>
      </c>
    </row>
    <row r="93" spans="1:7" x14ac:dyDescent="0.25">
      <c r="A93" s="100" t="s">
        <v>178</v>
      </c>
      <c r="B93" s="135"/>
      <c r="C93" s="90">
        <v>0</v>
      </c>
      <c r="D93" s="90">
        <v>0</v>
      </c>
      <c r="E93" s="89">
        <v>3000</v>
      </c>
      <c r="F93" s="89">
        <f t="shared" ref="F93" si="7">C93*D93*E93</f>
        <v>0</v>
      </c>
      <c r="G93" s="87" t="s">
        <v>266</v>
      </c>
    </row>
    <row r="94" spans="1:7" x14ac:dyDescent="0.25">
      <c r="A94" s="100" t="s">
        <v>119</v>
      </c>
      <c r="B94" s="135"/>
      <c r="C94" s="90">
        <v>0</v>
      </c>
      <c r="D94" s="90">
        <v>0</v>
      </c>
      <c r="E94" s="89">
        <v>16000</v>
      </c>
      <c r="F94" s="89">
        <f t="shared" si="5"/>
        <v>0</v>
      </c>
      <c r="G94" s="87" t="s">
        <v>147</v>
      </c>
    </row>
    <row r="95" spans="1:7" x14ac:dyDescent="0.25">
      <c r="A95" s="100" t="s">
        <v>11</v>
      </c>
      <c r="B95" s="135"/>
      <c r="C95" s="90">
        <v>0</v>
      </c>
      <c r="D95" s="90">
        <v>0</v>
      </c>
      <c r="E95" s="89">
        <v>7000</v>
      </c>
      <c r="F95" s="89">
        <f t="shared" si="5"/>
        <v>0</v>
      </c>
      <c r="G95" s="87" t="s">
        <v>182</v>
      </c>
    </row>
    <row r="96" spans="1:7" x14ac:dyDescent="0.25">
      <c r="A96" s="124" t="s">
        <v>267</v>
      </c>
      <c r="B96" s="144"/>
      <c r="C96" s="94">
        <v>0</v>
      </c>
      <c r="D96" s="94">
        <v>0</v>
      </c>
      <c r="E96" s="95">
        <v>1500</v>
      </c>
      <c r="F96" s="95">
        <f t="shared" si="5"/>
        <v>0</v>
      </c>
      <c r="G96" s="93" t="s">
        <v>258</v>
      </c>
    </row>
    <row r="97" spans="1:7" x14ac:dyDescent="0.25">
      <c r="A97" s="125" t="s">
        <v>183</v>
      </c>
      <c r="B97" s="145"/>
      <c r="C97" s="94">
        <v>0</v>
      </c>
      <c r="D97" s="94">
        <v>0</v>
      </c>
      <c r="E97" s="95">
        <v>3000</v>
      </c>
      <c r="F97" s="95">
        <f t="shared" si="5"/>
        <v>0</v>
      </c>
      <c r="G97" s="93"/>
    </row>
    <row r="98" spans="1:7" x14ac:dyDescent="0.25">
      <c r="A98" s="125" t="s">
        <v>268</v>
      </c>
      <c r="B98" s="145"/>
      <c r="C98" s="94">
        <v>0</v>
      </c>
      <c r="D98" s="94">
        <v>0</v>
      </c>
      <c r="E98" s="95">
        <v>1000</v>
      </c>
      <c r="F98" s="95">
        <f t="shared" ref="F98" si="8">C98*D98*E98</f>
        <v>0</v>
      </c>
      <c r="G98" s="93" t="s">
        <v>184</v>
      </c>
    </row>
    <row r="99" spans="1:7" x14ac:dyDescent="0.25">
      <c r="A99" s="125" t="s">
        <v>275</v>
      </c>
      <c r="B99" s="145"/>
      <c r="C99" s="94">
        <v>0</v>
      </c>
      <c r="D99" s="94">
        <v>0</v>
      </c>
      <c r="E99" s="95">
        <v>3000</v>
      </c>
      <c r="F99" s="95">
        <f t="shared" si="5"/>
        <v>0</v>
      </c>
      <c r="G99" s="93" t="s">
        <v>9</v>
      </c>
    </row>
    <row r="100" spans="1:7" x14ac:dyDescent="0.25">
      <c r="A100" s="125" t="s">
        <v>96</v>
      </c>
      <c r="B100" s="145"/>
      <c r="C100" s="94">
        <v>0</v>
      </c>
      <c r="D100" s="94">
        <v>0</v>
      </c>
      <c r="E100" s="126">
        <v>150000</v>
      </c>
      <c r="F100" s="95">
        <f t="shared" ref="F100:F107" si="9">C100*D100*E100</f>
        <v>0</v>
      </c>
      <c r="G100" s="93" t="s">
        <v>97</v>
      </c>
    </row>
    <row r="101" spans="1:7" x14ac:dyDescent="0.25">
      <c r="A101" s="100" t="s">
        <v>98</v>
      </c>
      <c r="B101" s="135"/>
      <c r="C101" s="90">
        <v>0</v>
      </c>
      <c r="D101" s="90">
        <v>0</v>
      </c>
      <c r="E101" s="101">
        <v>100000</v>
      </c>
      <c r="F101" s="89">
        <f t="shared" si="9"/>
        <v>0</v>
      </c>
      <c r="G101" s="87" t="s">
        <v>99</v>
      </c>
    </row>
    <row r="102" spans="1:7" x14ac:dyDescent="0.25">
      <c r="A102" s="102" t="s">
        <v>269</v>
      </c>
      <c r="B102" s="134"/>
      <c r="C102" s="84">
        <v>0</v>
      </c>
      <c r="D102" s="103">
        <v>0</v>
      </c>
      <c r="E102" s="92">
        <v>3850</v>
      </c>
      <c r="F102" s="104">
        <f>E102*D102*C102</f>
        <v>0</v>
      </c>
      <c r="G102" s="105" t="s">
        <v>175</v>
      </c>
    </row>
    <row r="103" spans="1:7" x14ac:dyDescent="0.25">
      <c r="A103" s="106" t="s">
        <v>115</v>
      </c>
      <c r="B103" s="135"/>
      <c r="C103" s="90">
        <v>0</v>
      </c>
      <c r="D103" s="90">
        <v>0</v>
      </c>
      <c r="E103" s="101">
        <v>4800</v>
      </c>
      <c r="F103" s="89">
        <f>C103*D103*E103</f>
        <v>0</v>
      </c>
      <c r="G103" s="100" t="s">
        <v>270</v>
      </c>
    </row>
    <row r="104" spans="1:7" x14ac:dyDescent="0.25">
      <c r="A104" s="106" t="s">
        <v>116</v>
      </c>
      <c r="B104" s="135"/>
      <c r="C104" s="90">
        <v>0</v>
      </c>
      <c r="D104" s="90">
        <v>0</v>
      </c>
      <c r="E104" s="101">
        <v>5500</v>
      </c>
      <c r="F104" s="89">
        <f>C104*D104*E104</f>
        <v>0</v>
      </c>
      <c r="G104" s="100" t="s">
        <v>177</v>
      </c>
    </row>
    <row r="105" spans="1:7" x14ac:dyDescent="0.25">
      <c r="A105" s="106" t="s">
        <v>117</v>
      </c>
      <c r="B105" s="135"/>
      <c r="C105" s="90">
        <v>0</v>
      </c>
      <c r="D105" s="90">
        <v>0</v>
      </c>
      <c r="E105" s="101">
        <v>7500</v>
      </c>
      <c r="F105" s="89">
        <f t="shared" si="9"/>
        <v>0</v>
      </c>
      <c r="G105" s="100" t="s">
        <v>176</v>
      </c>
    </row>
    <row r="106" spans="1:7" ht="15" customHeight="1" x14ac:dyDescent="0.25">
      <c r="A106" s="100" t="s">
        <v>201</v>
      </c>
      <c r="B106" s="135"/>
      <c r="C106" s="90">
        <v>0</v>
      </c>
      <c r="D106" s="90">
        <v>0</v>
      </c>
      <c r="E106" s="89">
        <v>8500</v>
      </c>
      <c r="F106" s="89">
        <f t="shared" si="9"/>
        <v>0</v>
      </c>
      <c r="G106" s="107" t="s">
        <v>278</v>
      </c>
    </row>
    <row r="107" spans="1:7" ht="15" customHeight="1" x14ac:dyDescent="0.25">
      <c r="A107" s="88" t="s">
        <v>185</v>
      </c>
      <c r="B107" s="136"/>
      <c r="C107" s="90">
        <v>0</v>
      </c>
      <c r="D107" s="90">
        <v>0</v>
      </c>
      <c r="E107" s="89">
        <v>13500</v>
      </c>
      <c r="F107" s="89">
        <f t="shared" si="9"/>
        <v>0</v>
      </c>
      <c r="G107" s="123" t="s">
        <v>148</v>
      </c>
    </row>
    <row r="108" spans="1:7" x14ac:dyDescent="0.25">
      <c r="A108" s="100" t="s">
        <v>95</v>
      </c>
      <c r="B108" s="135"/>
      <c r="C108" s="90">
        <v>0</v>
      </c>
      <c r="D108" s="90">
        <v>0</v>
      </c>
      <c r="E108" s="89">
        <v>2500</v>
      </c>
      <c r="F108" s="89">
        <f>C108*D108*E108</f>
        <v>0</v>
      </c>
      <c r="G108" s="87" t="s">
        <v>276</v>
      </c>
    </row>
    <row r="109" spans="1:7" x14ac:dyDescent="0.25">
      <c r="A109" s="100" t="s">
        <v>186</v>
      </c>
      <c r="B109" s="135"/>
      <c r="C109" s="90">
        <v>0</v>
      </c>
      <c r="D109" s="90">
        <v>0</v>
      </c>
      <c r="E109" s="101">
        <v>300000</v>
      </c>
      <c r="F109" s="89">
        <f>C109*D109*E109</f>
        <v>0</v>
      </c>
      <c r="G109" s="87" t="s">
        <v>271</v>
      </c>
    </row>
    <row r="110" spans="1:7" x14ac:dyDescent="0.25">
      <c r="A110" s="100" t="s">
        <v>187</v>
      </c>
      <c r="B110" s="135"/>
      <c r="C110" s="90">
        <v>0</v>
      </c>
      <c r="D110" s="90">
        <v>0</v>
      </c>
      <c r="E110" s="101">
        <v>250000</v>
      </c>
      <c r="F110" s="89">
        <f>C110*D110*E110</f>
        <v>0</v>
      </c>
      <c r="G110" s="87" t="s">
        <v>271</v>
      </c>
    </row>
    <row r="111" spans="1:7" x14ac:dyDescent="0.25">
      <c r="A111" s="100" t="s">
        <v>145</v>
      </c>
      <c r="B111" s="135"/>
      <c r="C111" s="90">
        <v>0</v>
      </c>
      <c r="D111" s="90">
        <v>0</v>
      </c>
      <c r="E111" s="101">
        <v>210000</v>
      </c>
      <c r="F111" s="89">
        <f t="shared" ref="F111:F127" si="10">C111*D111*E111</f>
        <v>0</v>
      </c>
      <c r="G111" s="87" t="s">
        <v>271</v>
      </c>
    </row>
    <row r="112" spans="1:7" x14ac:dyDescent="0.25">
      <c r="A112" s="100" t="s">
        <v>146</v>
      </c>
      <c r="B112" s="135"/>
      <c r="C112" s="90">
        <v>0</v>
      </c>
      <c r="D112" s="90">
        <v>0</v>
      </c>
      <c r="E112" s="101">
        <v>210000</v>
      </c>
      <c r="F112" s="89">
        <f t="shared" si="10"/>
        <v>0</v>
      </c>
      <c r="G112" s="87" t="s">
        <v>271</v>
      </c>
    </row>
    <row r="113" spans="1:7" x14ac:dyDescent="0.25">
      <c r="A113" s="100" t="s">
        <v>188</v>
      </c>
      <c r="B113" s="135"/>
      <c r="C113" s="90">
        <v>0</v>
      </c>
      <c r="D113" s="90">
        <v>0</v>
      </c>
      <c r="E113" s="101">
        <v>180000</v>
      </c>
      <c r="F113" s="89">
        <f t="shared" si="10"/>
        <v>0</v>
      </c>
      <c r="G113" s="87" t="s">
        <v>271</v>
      </c>
    </row>
    <row r="114" spans="1:7" x14ac:dyDescent="0.25">
      <c r="A114" s="100" t="s">
        <v>144</v>
      </c>
      <c r="B114" s="135"/>
      <c r="C114" s="90">
        <v>0</v>
      </c>
      <c r="D114" s="90">
        <v>0</v>
      </c>
      <c r="E114" s="101">
        <v>180000</v>
      </c>
      <c r="F114" s="89">
        <f t="shared" si="10"/>
        <v>0</v>
      </c>
      <c r="G114" s="87" t="s">
        <v>271</v>
      </c>
    </row>
    <row r="115" spans="1:7" x14ac:dyDescent="0.25">
      <c r="A115" s="100" t="s">
        <v>190</v>
      </c>
      <c r="B115" s="135"/>
      <c r="C115" s="90">
        <v>0</v>
      </c>
      <c r="D115" s="90">
        <v>0</v>
      </c>
      <c r="E115" s="95">
        <v>120000</v>
      </c>
      <c r="F115" s="89">
        <f t="shared" si="10"/>
        <v>0</v>
      </c>
      <c r="G115" s="87" t="s">
        <v>271</v>
      </c>
    </row>
    <row r="116" spans="1:7" x14ac:dyDescent="0.25">
      <c r="A116" s="100" t="s">
        <v>189</v>
      </c>
      <c r="B116" s="135"/>
      <c r="C116" s="90">
        <v>0</v>
      </c>
      <c r="D116" s="90">
        <v>0</v>
      </c>
      <c r="E116" s="95">
        <v>90000</v>
      </c>
      <c r="F116" s="89">
        <f t="shared" si="10"/>
        <v>0</v>
      </c>
      <c r="G116" s="87" t="s">
        <v>271</v>
      </c>
    </row>
    <row r="117" spans="1:7" x14ac:dyDescent="0.25">
      <c r="A117" s="100" t="s">
        <v>207</v>
      </c>
      <c r="B117" s="135"/>
      <c r="C117" s="90">
        <v>0</v>
      </c>
      <c r="D117" s="90">
        <v>0</v>
      </c>
      <c r="E117" s="95">
        <v>100000</v>
      </c>
      <c r="F117" s="89">
        <f t="shared" si="10"/>
        <v>0</v>
      </c>
      <c r="G117" s="87" t="s">
        <v>277</v>
      </c>
    </row>
    <row r="118" spans="1:7" x14ac:dyDescent="0.25">
      <c r="A118" s="100" t="s">
        <v>191</v>
      </c>
      <c r="B118" s="135"/>
      <c r="C118" s="90">
        <v>0</v>
      </c>
      <c r="D118" s="90">
        <v>0</v>
      </c>
      <c r="E118" s="95">
        <v>300000</v>
      </c>
      <c r="F118" s="89">
        <f t="shared" si="10"/>
        <v>0</v>
      </c>
      <c r="G118" s="87" t="s">
        <v>271</v>
      </c>
    </row>
    <row r="119" spans="1:7" x14ac:dyDescent="0.25">
      <c r="A119" s="108" t="s">
        <v>198</v>
      </c>
      <c r="B119" s="146"/>
      <c r="C119" s="90">
        <v>0</v>
      </c>
      <c r="D119" s="90">
        <v>0</v>
      </c>
      <c r="E119" s="127">
        <v>25000</v>
      </c>
      <c r="F119" s="96"/>
      <c r="G119" s="87" t="s">
        <v>199</v>
      </c>
    </row>
    <row r="120" spans="1:7" x14ac:dyDescent="0.25">
      <c r="A120" s="108" t="s">
        <v>272</v>
      </c>
      <c r="B120" s="146"/>
      <c r="C120" s="90">
        <v>0</v>
      </c>
      <c r="D120" s="90">
        <v>0</v>
      </c>
      <c r="E120" s="109">
        <v>15000</v>
      </c>
      <c r="F120" s="96"/>
      <c r="G120" s="87" t="s">
        <v>199</v>
      </c>
    </row>
    <row r="121" spans="1:7" x14ac:dyDescent="0.25">
      <c r="A121" s="108" t="s">
        <v>200</v>
      </c>
      <c r="B121" s="146"/>
      <c r="C121" s="90">
        <v>0</v>
      </c>
      <c r="D121" s="90">
        <v>0</v>
      </c>
      <c r="E121" s="109">
        <v>60000</v>
      </c>
      <c r="F121" s="96"/>
      <c r="G121" s="87"/>
    </row>
    <row r="122" spans="1:7" x14ac:dyDescent="0.25">
      <c r="A122" s="108" t="s">
        <v>149</v>
      </c>
      <c r="B122" s="135"/>
      <c r="C122" s="90">
        <v>0</v>
      </c>
      <c r="D122" s="90">
        <v>0</v>
      </c>
      <c r="E122" s="101">
        <v>150000</v>
      </c>
      <c r="F122" s="89">
        <f t="shared" si="10"/>
        <v>0</v>
      </c>
      <c r="G122" s="87" t="s">
        <v>273</v>
      </c>
    </row>
    <row r="123" spans="1:7" x14ac:dyDescent="0.25">
      <c r="A123" s="87" t="s">
        <v>192</v>
      </c>
      <c r="B123" s="98"/>
      <c r="C123" s="90">
        <v>0</v>
      </c>
      <c r="D123" s="90">
        <v>0</v>
      </c>
      <c r="E123" s="89">
        <v>100000</v>
      </c>
      <c r="F123" s="89">
        <f t="shared" si="10"/>
        <v>0</v>
      </c>
      <c r="G123" s="87" t="s">
        <v>257</v>
      </c>
    </row>
    <row r="124" spans="1:7" x14ac:dyDescent="0.25">
      <c r="A124" s="87" t="s">
        <v>193</v>
      </c>
      <c r="B124" s="98"/>
      <c r="C124" s="90">
        <v>0</v>
      </c>
      <c r="D124" s="90">
        <v>0</v>
      </c>
      <c r="E124" s="95">
        <v>150000</v>
      </c>
      <c r="F124" s="89">
        <f t="shared" si="10"/>
        <v>0</v>
      </c>
      <c r="G124" s="87" t="s">
        <v>194</v>
      </c>
    </row>
    <row r="125" spans="1:7" x14ac:dyDescent="0.25">
      <c r="A125" s="87" t="s">
        <v>195</v>
      </c>
      <c r="B125" s="98"/>
      <c r="C125" s="90">
        <v>0</v>
      </c>
      <c r="D125" s="90">
        <v>0</v>
      </c>
      <c r="E125" s="95">
        <v>380000</v>
      </c>
      <c r="F125" s="89">
        <f t="shared" si="10"/>
        <v>0</v>
      </c>
      <c r="G125" s="87" t="s">
        <v>196</v>
      </c>
    </row>
    <row r="126" spans="1:7" x14ac:dyDescent="0.25">
      <c r="A126" s="87" t="s">
        <v>197</v>
      </c>
      <c r="B126" s="98"/>
      <c r="C126" s="90">
        <v>0</v>
      </c>
      <c r="D126" s="90">
        <v>0</v>
      </c>
      <c r="E126" s="95">
        <v>280000</v>
      </c>
      <c r="F126" s="89">
        <f t="shared" si="10"/>
        <v>0</v>
      </c>
      <c r="G126" s="87" t="s">
        <v>194</v>
      </c>
    </row>
    <row r="127" spans="1:7" x14ac:dyDescent="0.25">
      <c r="A127" s="110" t="s">
        <v>164</v>
      </c>
      <c r="B127" s="98"/>
      <c r="C127" s="90">
        <v>0</v>
      </c>
      <c r="D127" s="90">
        <v>0</v>
      </c>
      <c r="E127" s="95">
        <v>650000</v>
      </c>
      <c r="F127" s="89">
        <f t="shared" si="10"/>
        <v>0</v>
      </c>
      <c r="G127" s="87" t="s">
        <v>170</v>
      </c>
    </row>
    <row r="128" spans="1:7" ht="15" customHeight="1" x14ac:dyDescent="0.25">
      <c r="A128" s="110" t="s">
        <v>163</v>
      </c>
      <c r="B128" s="98"/>
      <c r="C128" s="90">
        <v>0</v>
      </c>
      <c r="D128" s="90">
        <v>0</v>
      </c>
      <c r="E128" s="95">
        <v>450000</v>
      </c>
      <c r="F128" s="99">
        <f t="shared" ref="F128:F129" si="11">C128*D128*E128</f>
        <v>0</v>
      </c>
      <c r="G128" s="87" t="s">
        <v>174</v>
      </c>
    </row>
    <row r="129" spans="1:7" ht="15" customHeight="1" x14ac:dyDescent="0.25">
      <c r="A129" s="110" t="s">
        <v>165</v>
      </c>
      <c r="B129" s="98"/>
      <c r="C129" s="90">
        <v>0</v>
      </c>
      <c r="D129" s="90">
        <v>0</v>
      </c>
      <c r="E129" s="95">
        <v>80000</v>
      </c>
      <c r="F129" s="99">
        <f t="shared" si="11"/>
        <v>0</v>
      </c>
      <c r="G129" s="87"/>
    </row>
    <row r="130" spans="1:7" ht="15" customHeight="1" x14ac:dyDescent="0.25">
      <c r="A130" s="110" t="s">
        <v>169</v>
      </c>
      <c r="B130" s="98"/>
      <c r="C130" s="90">
        <v>0</v>
      </c>
      <c r="D130" s="90">
        <v>0</v>
      </c>
      <c r="E130" s="95">
        <v>300000</v>
      </c>
      <c r="F130" s="99">
        <f t="shared" ref="F130:F133" si="12">C130*D130*E130</f>
        <v>0</v>
      </c>
      <c r="G130" s="87" t="s">
        <v>173</v>
      </c>
    </row>
    <row r="131" spans="1:7" ht="15" customHeight="1" x14ac:dyDescent="0.25">
      <c r="A131" s="110" t="s">
        <v>166</v>
      </c>
      <c r="B131" s="98"/>
      <c r="C131" s="90">
        <v>0</v>
      </c>
      <c r="D131" s="90">
        <v>0</v>
      </c>
      <c r="E131" s="89">
        <v>680000</v>
      </c>
      <c r="F131" s="99">
        <f t="shared" si="12"/>
        <v>0</v>
      </c>
      <c r="G131" s="87" t="s">
        <v>171</v>
      </c>
    </row>
    <row r="132" spans="1:7" ht="15" customHeight="1" x14ac:dyDescent="0.25">
      <c r="A132" s="110" t="s">
        <v>166</v>
      </c>
      <c r="B132" s="98"/>
      <c r="C132" s="90">
        <v>0</v>
      </c>
      <c r="D132" s="90">
        <v>0</v>
      </c>
      <c r="E132" s="89">
        <v>580000</v>
      </c>
      <c r="F132" s="99">
        <f t="shared" si="12"/>
        <v>0</v>
      </c>
      <c r="G132" s="87" t="s">
        <v>172</v>
      </c>
    </row>
    <row r="133" spans="1:7" ht="15" customHeight="1" x14ac:dyDescent="0.25">
      <c r="A133" s="110" t="s">
        <v>168</v>
      </c>
      <c r="B133" s="98"/>
      <c r="C133" s="90">
        <v>0</v>
      </c>
      <c r="D133" s="90">
        <v>0</v>
      </c>
      <c r="E133" s="89">
        <v>580000</v>
      </c>
      <c r="F133" s="99">
        <f t="shared" si="12"/>
        <v>0</v>
      </c>
      <c r="G133" s="87" t="s">
        <v>167</v>
      </c>
    </row>
    <row r="134" spans="1:7" x14ac:dyDescent="0.25">
      <c r="A134" s="87" t="s">
        <v>204</v>
      </c>
      <c r="B134" s="98"/>
      <c r="C134" s="90">
        <v>0</v>
      </c>
      <c r="D134" s="90">
        <v>0</v>
      </c>
      <c r="E134" s="89">
        <v>180000</v>
      </c>
      <c r="F134" s="89">
        <f>C134*D134*E134</f>
        <v>0</v>
      </c>
      <c r="G134" s="87" t="s">
        <v>274</v>
      </c>
    </row>
    <row r="135" spans="1:7" x14ac:dyDescent="0.25">
      <c r="A135" s="93" t="s">
        <v>279</v>
      </c>
      <c r="B135" s="137"/>
      <c r="C135" s="94">
        <v>0</v>
      </c>
      <c r="D135" s="94">
        <v>0</v>
      </c>
      <c r="E135" s="95">
        <v>35000</v>
      </c>
      <c r="F135" s="95">
        <f t="shared" ref="F135" si="13">C135*D135*E135</f>
        <v>0</v>
      </c>
      <c r="G135" s="93" t="s">
        <v>285</v>
      </c>
    </row>
    <row r="136" spans="1:7" x14ac:dyDescent="0.25">
      <c r="A136" s="93" t="s">
        <v>280</v>
      </c>
      <c r="B136" s="137"/>
      <c r="C136" s="94">
        <v>0</v>
      </c>
      <c r="D136" s="94">
        <v>0</v>
      </c>
      <c r="E136" s="95">
        <v>55000</v>
      </c>
      <c r="F136" s="95">
        <f t="shared" ref="F136:F140" si="14">C136*D136*E136</f>
        <v>0</v>
      </c>
      <c r="G136" s="93" t="s">
        <v>285</v>
      </c>
    </row>
    <row r="137" spans="1:7" ht="17.100000000000001" customHeight="1" x14ac:dyDescent="0.25">
      <c r="A137" s="93" t="s">
        <v>281</v>
      </c>
      <c r="B137" s="137"/>
      <c r="C137" s="94">
        <v>0</v>
      </c>
      <c r="D137" s="94">
        <v>0</v>
      </c>
      <c r="E137" s="95">
        <v>35000</v>
      </c>
      <c r="F137" s="95">
        <f t="shared" si="14"/>
        <v>0</v>
      </c>
      <c r="G137" s="93" t="s">
        <v>262</v>
      </c>
    </row>
    <row r="138" spans="1:7" ht="17.100000000000001" customHeight="1" x14ac:dyDescent="0.25">
      <c r="A138" s="93" t="s">
        <v>284</v>
      </c>
      <c r="B138" s="137"/>
      <c r="C138" s="94">
        <v>0</v>
      </c>
      <c r="D138" s="94">
        <v>0</v>
      </c>
      <c r="E138" s="95">
        <v>55000</v>
      </c>
      <c r="F138" s="95">
        <f t="shared" si="14"/>
        <v>0</v>
      </c>
      <c r="G138" s="93" t="s">
        <v>286</v>
      </c>
    </row>
    <row r="139" spans="1:7" x14ac:dyDescent="0.25">
      <c r="A139" s="96" t="s">
        <v>282</v>
      </c>
      <c r="B139" s="146"/>
      <c r="C139" s="96"/>
      <c r="D139" s="96"/>
      <c r="E139" s="128">
        <v>120000</v>
      </c>
      <c r="F139" s="95">
        <f t="shared" si="14"/>
        <v>0</v>
      </c>
      <c r="G139" s="96"/>
    </row>
    <row r="140" spans="1:7" x14ac:dyDescent="0.25">
      <c r="A140" s="96" t="s">
        <v>283</v>
      </c>
      <c r="B140" s="146"/>
      <c r="C140" s="96"/>
      <c r="D140" s="96"/>
      <c r="E140" s="128">
        <v>200000</v>
      </c>
      <c r="F140" s="95">
        <f t="shared" si="14"/>
        <v>0</v>
      </c>
      <c r="G140" s="96"/>
    </row>
    <row r="141" spans="1:7" ht="17.100000000000001" customHeight="1" x14ac:dyDescent="0.25">
      <c r="A141" s="111"/>
      <c r="B141" s="147"/>
      <c r="C141" s="111"/>
      <c r="D141" s="111"/>
      <c r="E141" s="111"/>
      <c r="F141" s="111"/>
      <c r="G141" s="111"/>
    </row>
    <row r="142" spans="1:7" ht="17.100000000000001" customHeight="1" x14ac:dyDescent="0.25">
      <c r="A142" s="111"/>
      <c r="B142" s="147"/>
      <c r="C142" s="111"/>
      <c r="D142" s="111"/>
      <c r="E142" s="111"/>
      <c r="F142" s="111"/>
      <c r="G142" s="111"/>
    </row>
    <row r="143" spans="1:7" x14ac:dyDescent="0.25">
      <c r="A143" s="111"/>
      <c r="B143" s="147"/>
      <c r="C143" s="111"/>
      <c r="D143" s="111"/>
      <c r="E143" s="111"/>
      <c r="F143" s="111"/>
      <c r="G143" s="111"/>
    </row>
    <row r="144" spans="1:7" x14ac:dyDescent="0.25">
      <c r="A144" s="111"/>
      <c r="B144" s="147"/>
      <c r="C144" s="111"/>
      <c r="D144" s="111"/>
      <c r="E144" s="111"/>
      <c r="F144" s="111"/>
      <c r="G144" s="111"/>
    </row>
    <row r="160" spans="1:7" ht="17.25" x14ac:dyDescent="0.25">
      <c r="A160" s="21"/>
      <c r="B160" s="148"/>
      <c r="C160" s="6"/>
      <c r="D160" s="6"/>
      <c r="E160" s="6"/>
      <c r="F160" s="6"/>
      <c r="G160" s="6"/>
    </row>
  </sheetData>
  <phoneticPr fontId="8" type="noConversion"/>
  <hyperlinks>
    <hyperlink ref="D82" r:id="rId1" xr:uid="{00000000-0004-0000-0000-000000000000}"/>
    <hyperlink ref="B4" r:id="rId2" xr:uid="{00000000-0004-0000-0000-000001000000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 x14ac:dyDescent="0.25"/>
  <cols>
    <col min="1" max="2" width="11" style="61"/>
    <col min="6" max="8" width="11" style="61"/>
    <col min="9" max="9" width="31" customWidth="1"/>
  </cols>
  <sheetData>
    <row r="1" spans="1:14" x14ac:dyDescent="0.25">
      <c r="A1" s="179"/>
      <c r="B1" s="179"/>
      <c r="C1" s="179"/>
      <c r="D1" s="23"/>
      <c r="E1" s="23" t="s">
        <v>100</v>
      </c>
      <c r="F1" s="38"/>
      <c r="G1" s="38"/>
      <c r="H1" s="38"/>
      <c r="I1" s="23"/>
      <c r="J1" s="20"/>
      <c r="K1" s="20"/>
      <c r="L1" s="20"/>
      <c r="M1" s="20"/>
      <c r="N1" s="20"/>
    </row>
    <row r="2" spans="1:14" x14ac:dyDescent="0.25">
      <c r="A2" s="179"/>
      <c r="B2" s="179"/>
      <c r="C2" s="179"/>
      <c r="D2" s="23"/>
      <c r="E2" s="23"/>
      <c r="F2" s="38"/>
      <c r="G2" s="38"/>
      <c r="H2" s="38"/>
      <c r="I2" s="23"/>
      <c r="J2" s="20"/>
      <c r="K2" s="20"/>
      <c r="L2" s="20"/>
      <c r="M2" s="20"/>
      <c r="N2" s="20"/>
    </row>
    <row r="3" spans="1:14" x14ac:dyDescent="0.25">
      <c r="A3" s="179"/>
      <c r="B3" s="179"/>
      <c r="C3" s="179"/>
      <c r="D3" s="23"/>
      <c r="E3" s="23" t="s">
        <v>136</v>
      </c>
      <c r="F3" s="38"/>
      <c r="G3" s="38"/>
      <c r="H3" s="38"/>
      <c r="I3" s="23"/>
      <c r="J3" s="20"/>
      <c r="K3" s="20"/>
      <c r="L3" s="20"/>
      <c r="M3" s="20"/>
      <c r="N3" s="20"/>
    </row>
    <row r="4" spans="1:14" x14ac:dyDescent="0.25">
      <c r="A4" s="179"/>
      <c r="B4" s="179"/>
      <c r="C4" s="179"/>
      <c r="D4" s="23"/>
      <c r="E4" s="23" t="s">
        <v>137</v>
      </c>
      <c r="F4" s="38"/>
      <c r="G4" s="38"/>
      <c r="H4" s="38"/>
      <c r="I4" s="23"/>
      <c r="J4" s="20"/>
      <c r="K4" s="20"/>
      <c r="L4" s="20"/>
      <c r="M4" s="20"/>
      <c r="N4" s="20"/>
    </row>
    <row r="5" spans="1:14" x14ac:dyDescent="0.25">
      <c r="A5" s="33"/>
      <c r="B5" s="33"/>
      <c r="C5" s="33"/>
      <c r="D5" s="23"/>
      <c r="E5" s="23"/>
      <c r="F5" s="38"/>
      <c r="G5" s="38"/>
      <c r="H5" s="38"/>
      <c r="I5" s="23"/>
      <c r="J5" s="20"/>
      <c r="K5" s="20"/>
      <c r="L5" s="20"/>
      <c r="M5" s="20"/>
      <c r="N5" s="20"/>
    </row>
    <row r="6" spans="1:14" x14ac:dyDescent="0.25">
      <c r="A6" s="27" t="s">
        <v>101</v>
      </c>
      <c r="B6" s="28" t="s">
        <v>102</v>
      </c>
      <c r="C6" s="180" t="s">
        <v>130</v>
      </c>
      <c r="D6" s="174"/>
      <c r="E6" s="175"/>
      <c r="F6" s="28" t="s">
        <v>103</v>
      </c>
      <c r="G6" s="28" t="s">
        <v>104</v>
      </c>
      <c r="H6" s="28" t="s">
        <v>105</v>
      </c>
      <c r="I6" s="28" t="s">
        <v>106</v>
      </c>
      <c r="J6" s="20"/>
      <c r="K6" s="20"/>
      <c r="L6" s="20"/>
      <c r="M6" s="20"/>
      <c r="N6" s="20"/>
    </row>
    <row r="7" spans="1:14" x14ac:dyDescent="0.25">
      <c r="A7" s="46">
        <v>0.375</v>
      </c>
      <c r="B7" s="47">
        <v>0.45833333333333331</v>
      </c>
      <c r="C7" s="164" t="s">
        <v>131</v>
      </c>
      <c r="D7" s="165"/>
      <c r="E7" s="166"/>
      <c r="F7" s="39"/>
      <c r="G7" s="39"/>
      <c r="H7" s="39"/>
      <c r="I7" s="26" t="s">
        <v>132</v>
      </c>
      <c r="J7" s="20"/>
      <c r="K7" s="20"/>
      <c r="L7" s="20"/>
      <c r="M7" s="20"/>
      <c r="N7" s="20"/>
    </row>
    <row r="8" spans="1:14" x14ac:dyDescent="0.25">
      <c r="A8" s="46">
        <v>0.46875</v>
      </c>
      <c r="B8" s="47">
        <v>0.5625</v>
      </c>
      <c r="C8" s="164" t="s">
        <v>131</v>
      </c>
      <c r="D8" s="165"/>
      <c r="E8" s="166"/>
      <c r="F8" s="39"/>
      <c r="G8" s="39"/>
      <c r="H8" s="39"/>
      <c r="I8" s="26" t="s">
        <v>132</v>
      </c>
      <c r="J8" s="20"/>
      <c r="K8" s="20"/>
      <c r="L8" s="20"/>
      <c r="M8" s="20"/>
      <c r="N8" s="20"/>
    </row>
    <row r="9" spans="1:14" x14ac:dyDescent="0.25">
      <c r="A9" s="41">
        <v>0.5625</v>
      </c>
      <c r="B9" s="42">
        <v>0.60416666666666663</v>
      </c>
      <c r="C9" s="167" t="s">
        <v>109</v>
      </c>
      <c r="D9" s="168"/>
      <c r="E9" s="169"/>
      <c r="F9" s="43"/>
      <c r="G9" s="43">
        <v>60</v>
      </c>
      <c r="H9" s="44" t="s">
        <v>108</v>
      </c>
      <c r="I9" s="45"/>
      <c r="J9" s="20"/>
      <c r="K9" s="20"/>
      <c r="L9" s="20"/>
      <c r="M9" s="20"/>
      <c r="N9" s="20"/>
    </row>
    <row r="10" spans="1:14" x14ac:dyDescent="0.25">
      <c r="A10" s="46">
        <v>0.625</v>
      </c>
      <c r="B10" s="47">
        <v>0.70833333333333337</v>
      </c>
      <c r="C10" s="164" t="s">
        <v>131</v>
      </c>
      <c r="D10" s="165"/>
      <c r="E10" s="166"/>
      <c r="F10" s="39"/>
      <c r="G10" s="39"/>
      <c r="H10" s="39"/>
      <c r="I10" s="26" t="s">
        <v>132</v>
      </c>
      <c r="J10" s="20"/>
      <c r="K10" s="20"/>
      <c r="L10" s="20"/>
      <c r="M10" s="20"/>
      <c r="N10" s="20"/>
    </row>
    <row r="11" spans="1:14" x14ac:dyDescent="0.25">
      <c r="A11" s="46">
        <v>0.71875</v>
      </c>
      <c r="B11" s="47">
        <v>0.75</v>
      </c>
      <c r="C11" s="164" t="s">
        <v>131</v>
      </c>
      <c r="D11" s="165"/>
      <c r="E11" s="166"/>
      <c r="F11" s="39"/>
      <c r="G11" s="39"/>
      <c r="H11" s="39"/>
      <c r="I11" s="26" t="s">
        <v>132</v>
      </c>
      <c r="J11" s="20"/>
      <c r="K11" s="20"/>
      <c r="L11" s="20"/>
      <c r="M11" s="20"/>
      <c r="N11" s="20"/>
    </row>
    <row r="12" spans="1:14" x14ac:dyDescent="0.25">
      <c r="A12" s="24">
        <v>0.75</v>
      </c>
      <c r="B12" s="25">
        <v>0.79166666666666663</v>
      </c>
      <c r="C12" s="164" t="s">
        <v>110</v>
      </c>
      <c r="D12" s="165"/>
      <c r="E12" s="166"/>
      <c r="F12" s="40"/>
      <c r="G12" s="40"/>
      <c r="H12" s="39"/>
      <c r="I12" s="26" t="s">
        <v>128</v>
      </c>
      <c r="J12" s="20"/>
      <c r="K12" s="20"/>
      <c r="L12" s="20"/>
      <c r="M12" s="20"/>
      <c r="N12" s="20"/>
    </row>
    <row r="13" spans="1:14" ht="15" customHeight="1" x14ac:dyDescent="0.25">
      <c r="A13" s="48">
        <v>0.83333333333333337</v>
      </c>
      <c r="B13" s="49">
        <v>0.875</v>
      </c>
      <c r="C13" s="170" t="s">
        <v>129</v>
      </c>
      <c r="D13" s="171"/>
      <c r="E13" s="172"/>
      <c r="F13" s="50"/>
      <c r="G13" s="50">
        <v>60</v>
      </c>
      <c r="H13" s="44" t="s">
        <v>108</v>
      </c>
      <c r="I13" s="51"/>
      <c r="J13" s="20"/>
      <c r="K13" s="20"/>
      <c r="L13" s="20"/>
      <c r="M13" s="20"/>
      <c r="N13" s="20"/>
    </row>
    <row r="14" spans="1:14" x14ac:dyDescent="0.25">
      <c r="A14" s="54"/>
      <c r="B14" s="6"/>
      <c r="C14" s="6"/>
      <c r="D14" s="6"/>
      <c r="E14" s="6"/>
      <c r="F14" s="6"/>
      <c r="G14" s="6"/>
      <c r="H14" s="6"/>
      <c r="I14" s="55"/>
      <c r="J14" s="20"/>
      <c r="K14" s="20"/>
      <c r="L14" s="20"/>
      <c r="M14" s="20"/>
      <c r="N14" s="20"/>
    </row>
    <row r="15" spans="1:14" x14ac:dyDescent="0.25">
      <c r="A15" s="27" t="s">
        <v>101</v>
      </c>
      <c r="B15" s="28" t="s">
        <v>102</v>
      </c>
      <c r="C15" s="173" t="s">
        <v>133</v>
      </c>
      <c r="D15" s="174"/>
      <c r="E15" s="175"/>
      <c r="F15" s="28" t="s">
        <v>103</v>
      </c>
      <c r="G15" s="28" t="s">
        <v>104</v>
      </c>
      <c r="H15" s="28" t="s">
        <v>105</v>
      </c>
      <c r="I15" s="28" t="s">
        <v>106</v>
      </c>
      <c r="J15" s="20"/>
      <c r="K15" s="20"/>
      <c r="L15" s="20"/>
      <c r="M15" s="20"/>
      <c r="N15" s="20"/>
    </row>
    <row r="16" spans="1:14" x14ac:dyDescent="0.25">
      <c r="A16" s="41">
        <v>0.33333333333333331</v>
      </c>
      <c r="B16" s="42">
        <v>0.375</v>
      </c>
      <c r="C16" s="176" t="s">
        <v>107</v>
      </c>
      <c r="D16" s="177"/>
      <c r="E16" s="178"/>
      <c r="F16" s="52"/>
      <c r="G16" s="52">
        <v>60</v>
      </c>
      <c r="H16" s="52"/>
      <c r="I16" s="53"/>
      <c r="J16" s="20"/>
      <c r="K16" s="20"/>
      <c r="L16" s="20"/>
      <c r="M16" s="20"/>
      <c r="N16" s="20"/>
    </row>
    <row r="17" spans="1:14" x14ac:dyDescent="0.25">
      <c r="A17" s="46">
        <v>0.375</v>
      </c>
      <c r="B17" s="47">
        <v>0.45833333333333331</v>
      </c>
      <c r="C17" s="164" t="s">
        <v>131</v>
      </c>
      <c r="D17" s="165"/>
      <c r="E17" s="166"/>
      <c r="F17" s="39"/>
      <c r="G17" s="39"/>
      <c r="H17" s="39"/>
      <c r="I17" s="26" t="s">
        <v>132</v>
      </c>
      <c r="J17" s="20"/>
      <c r="K17" s="20"/>
      <c r="L17" s="20"/>
      <c r="M17" s="20"/>
      <c r="N17" s="20"/>
    </row>
    <row r="18" spans="1:14" x14ac:dyDescent="0.25">
      <c r="A18" s="46">
        <v>0.46875</v>
      </c>
      <c r="B18" s="47">
        <v>0.5625</v>
      </c>
      <c r="C18" s="164" t="s">
        <v>131</v>
      </c>
      <c r="D18" s="165"/>
      <c r="E18" s="166"/>
      <c r="F18" s="39"/>
      <c r="G18" s="39"/>
      <c r="H18" s="39"/>
      <c r="I18" s="26" t="s">
        <v>132</v>
      </c>
      <c r="J18" s="20"/>
      <c r="K18" s="20"/>
      <c r="L18" s="20"/>
      <c r="M18" s="20"/>
      <c r="N18" s="20"/>
    </row>
    <row r="19" spans="1:14" x14ac:dyDescent="0.25">
      <c r="A19" s="41">
        <v>0.5625</v>
      </c>
      <c r="B19" s="42">
        <v>0.60416666666666663</v>
      </c>
      <c r="C19" s="167" t="s">
        <v>109</v>
      </c>
      <c r="D19" s="168"/>
      <c r="E19" s="169"/>
      <c r="F19" s="43"/>
      <c r="G19" s="43">
        <v>60</v>
      </c>
      <c r="H19" s="44" t="s">
        <v>108</v>
      </c>
      <c r="I19" s="45"/>
      <c r="J19" s="20"/>
      <c r="K19" s="20"/>
      <c r="L19" s="20"/>
      <c r="M19" s="20"/>
      <c r="N19" s="20"/>
    </row>
    <row r="20" spans="1:14" x14ac:dyDescent="0.25">
      <c r="A20" s="46">
        <v>0.625</v>
      </c>
      <c r="B20" s="47">
        <v>0.70833333333333337</v>
      </c>
      <c r="C20" s="164" t="s">
        <v>131</v>
      </c>
      <c r="D20" s="165"/>
      <c r="E20" s="166"/>
      <c r="F20" s="39"/>
      <c r="G20" s="39"/>
      <c r="H20" s="39"/>
      <c r="I20" s="26" t="s">
        <v>132</v>
      </c>
      <c r="J20" s="20"/>
      <c r="K20" s="20"/>
      <c r="L20" s="20"/>
      <c r="M20" s="20"/>
      <c r="N20" s="20"/>
    </row>
    <row r="21" spans="1:14" x14ac:dyDescent="0.25">
      <c r="A21" s="46">
        <v>0.71875</v>
      </c>
      <c r="B21" s="47">
        <v>0.75</v>
      </c>
      <c r="C21" s="164" t="s">
        <v>131</v>
      </c>
      <c r="D21" s="165"/>
      <c r="E21" s="166"/>
      <c r="F21" s="39"/>
      <c r="G21" s="39"/>
      <c r="H21" s="39"/>
      <c r="I21" s="26" t="s">
        <v>132</v>
      </c>
      <c r="J21" s="20"/>
      <c r="K21" s="20"/>
      <c r="L21" s="20"/>
      <c r="M21" s="20"/>
      <c r="N21" s="20"/>
    </row>
    <row r="22" spans="1:14" x14ac:dyDescent="0.25">
      <c r="A22" s="24">
        <v>0.75</v>
      </c>
      <c r="B22" s="25">
        <v>0.79166666666666663</v>
      </c>
      <c r="C22" s="164" t="s">
        <v>110</v>
      </c>
      <c r="D22" s="165"/>
      <c r="E22" s="166"/>
      <c r="F22" s="40"/>
      <c r="G22" s="40"/>
      <c r="H22" s="39"/>
      <c r="I22" s="26" t="s">
        <v>128</v>
      </c>
      <c r="J22" s="20"/>
      <c r="K22" s="20"/>
      <c r="L22" s="20"/>
      <c r="M22" s="20"/>
      <c r="N22" s="20"/>
    </row>
    <row r="23" spans="1:14" ht="15" customHeight="1" x14ac:dyDescent="0.25">
      <c r="A23" s="48">
        <v>0.83333333333333337</v>
      </c>
      <c r="B23" s="49">
        <v>0.875</v>
      </c>
      <c r="C23" s="170" t="s">
        <v>129</v>
      </c>
      <c r="D23" s="171"/>
      <c r="E23" s="172"/>
      <c r="F23" s="50"/>
      <c r="G23" s="50">
        <v>60</v>
      </c>
      <c r="H23" s="44" t="s">
        <v>108</v>
      </c>
      <c r="I23" s="51"/>
      <c r="J23" s="20"/>
      <c r="K23" s="20"/>
      <c r="L23" s="20"/>
      <c r="M23" s="20"/>
      <c r="N23" s="20"/>
    </row>
    <row r="24" spans="1:14" ht="15" customHeight="1" x14ac:dyDescent="0.25">
      <c r="A24" s="56"/>
      <c r="B24" s="56"/>
      <c r="C24" s="57"/>
      <c r="D24" s="57"/>
      <c r="E24" s="57"/>
      <c r="F24" s="58"/>
      <c r="G24" s="58"/>
      <c r="H24" s="59"/>
      <c r="I24" s="60"/>
      <c r="J24" s="6"/>
      <c r="K24" s="6"/>
      <c r="L24" s="6"/>
      <c r="M24" s="6"/>
      <c r="N24" s="6"/>
    </row>
    <row r="25" spans="1:14" x14ac:dyDescent="0.25">
      <c r="A25" s="27" t="s">
        <v>101</v>
      </c>
      <c r="B25" s="28" t="s">
        <v>102</v>
      </c>
      <c r="C25" s="173" t="s">
        <v>134</v>
      </c>
      <c r="D25" s="174"/>
      <c r="E25" s="175"/>
      <c r="F25" s="28" t="s">
        <v>103</v>
      </c>
      <c r="G25" s="28" t="s">
        <v>104</v>
      </c>
      <c r="H25" s="28" t="s">
        <v>105</v>
      </c>
      <c r="I25" s="28" t="s">
        <v>106</v>
      </c>
      <c r="J25" s="20"/>
      <c r="K25" s="20"/>
      <c r="L25" s="20"/>
      <c r="M25" s="20"/>
      <c r="N25" s="20"/>
    </row>
    <row r="26" spans="1:14" x14ac:dyDescent="0.25">
      <c r="A26" s="41">
        <v>0.33333333333333331</v>
      </c>
      <c r="B26" s="42">
        <v>0.375</v>
      </c>
      <c r="C26" s="176" t="s">
        <v>107</v>
      </c>
      <c r="D26" s="177"/>
      <c r="E26" s="178"/>
      <c r="F26" s="52"/>
      <c r="G26" s="52">
        <v>60</v>
      </c>
      <c r="H26" s="52"/>
      <c r="I26" s="53"/>
      <c r="J26" s="20"/>
      <c r="K26" s="20"/>
      <c r="L26" s="20"/>
      <c r="M26" s="20"/>
      <c r="N26" s="20"/>
    </row>
    <row r="27" spans="1:14" x14ac:dyDescent="0.25">
      <c r="A27" s="46">
        <v>0.375</v>
      </c>
      <c r="B27" s="47">
        <v>0.45833333333333331</v>
      </c>
      <c r="C27" s="164" t="s">
        <v>131</v>
      </c>
      <c r="D27" s="165"/>
      <c r="E27" s="166"/>
      <c r="F27" s="39"/>
      <c r="G27" s="39"/>
      <c r="H27" s="39"/>
      <c r="I27" s="26" t="s">
        <v>132</v>
      </c>
      <c r="J27" s="20"/>
      <c r="K27" s="20"/>
      <c r="L27" s="20"/>
      <c r="M27" s="20"/>
      <c r="N27" s="20"/>
    </row>
    <row r="28" spans="1:14" x14ac:dyDescent="0.25">
      <c r="A28" s="46">
        <v>0.46875</v>
      </c>
      <c r="B28" s="47">
        <v>0.5625</v>
      </c>
      <c r="C28" s="164" t="s">
        <v>131</v>
      </c>
      <c r="D28" s="165"/>
      <c r="E28" s="166"/>
      <c r="F28" s="39"/>
      <c r="G28" s="39"/>
      <c r="H28" s="39"/>
      <c r="I28" s="26" t="s">
        <v>132</v>
      </c>
      <c r="J28" s="20"/>
      <c r="K28" s="20"/>
      <c r="L28" s="20"/>
      <c r="M28" s="20"/>
      <c r="N28" s="20"/>
    </row>
    <row r="29" spans="1:14" x14ac:dyDescent="0.25">
      <c r="A29" s="41">
        <v>0.5625</v>
      </c>
      <c r="B29" s="42">
        <v>0.60416666666666663</v>
      </c>
      <c r="C29" s="167" t="s">
        <v>109</v>
      </c>
      <c r="D29" s="168"/>
      <c r="E29" s="169"/>
      <c r="F29" s="43"/>
      <c r="G29" s="43">
        <v>60</v>
      </c>
      <c r="H29" s="44" t="s">
        <v>108</v>
      </c>
      <c r="I29" s="45"/>
      <c r="J29" s="20"/>
      <c r="K29" s="20"/>
      <c r="L29" s="20"/>
      <c r="M29" s="20"/>
      <c r="N29" s="20"/>
    </row>
    <row r="30" spans="1:14" x14ac:dyDescent="0.25">
      <c r="A30" s="46">
        <v>0.625</v>
      </c>
      <c r="B30" s="47">
        <v>0.70833333333333337</v>
      </c>
      <c r="C30" s="164" t="s">
        <v>131</v>
      </c>
      <c r="D30" s="165"/>
      <c r="E30" s="166"/>
      <c r="F30" s="39"/>
      <c r="G30" s="39"/>
      <c r="H30" s="39"/>
      <c r="I30" s="26" t="s">
        <v>132</v>
      </c>
      <c r="J30" s="20"/>
      <c r="K30" s="20"/>
      <c r="L30" s="20"/>
      <c r="M30" s="20"/>
      <c r="N30" s="20"/>
    </row>
    <row r="31" spans="1:14" x14ac:dyDescent="0.25">
      <c r="A31" s="46">
        <v>0.71875</v>
      </c>
      <c r="B31" s="47">
        <v>0.75</v>
      </c>
      <c r="C31" s="164" t="s">
        <v>131</v>
      </c>
      <c r="D31" s="165"/>
      <c r="E31" s="166"/>
      <c r="F31" s="39"/>
      <c r="G31" s="39"/>
      <c r="H31" s="39"/>
      <c r="I31" s="26" t="s">
        <v>132</v>
      </c>
      <c r="J31" s="20"/>
      <c r="K31" s="20"/>
      <c r="L31" s="20"/>
      <c r="M31" s="20"/>
      <c r="N31" s="20"/>
    </row>
    <row r="32" spans="1:14" ht="15" customHeight="1" x14ac:dyDescent="0.25">
      <c r="A32" s="182"/>
      <c r="B32" s="182"/>
      <c r="C32" s="182"/>
      <c r="D32" s="182"/>
      <c r="E32" s="182"/>
      <c r="F32" s="182"/>
      <c r="G32" s="182"/>
      <c r="H32" s="182"/>
      <c r="I32" s="182"/>
      <c r="J32" s="6"/>
      <c r="K32" s="6"/>
      <c r="L32" s="6"/>
      <c r="M32" s="6"/>
      <c r="N32" s="6"/>
    </row>
    <row r="33" spans="1:14" ht="15" customHeight="1" x14ac:dyDescent="0.25">
      <c r="A33" s="183" t="s">
        <v>135</v>
      </c>
      <c r="B33" s="183"/>
      <c r="C33" s="183"/>
      <c r="D33" s="183"/>
      <c r="E33" s="183"/>
      <c r="F33" s="183"/>
      <c r="G33" s="183"/>
      <c r="H33" s="183"/>
      <c r="I33" s="183"/>
      <c r="J33" s="6"/>
      <c r="K33" s="6"/>
      <c r="L33" s="6"/>
      <c r="M33" s="6"/>
      <c r="N33" s="6"/>
    </row>
    <row r="34" spans="1:14" ht="15" customHeight="1" x14ac:dyDescent="0.25">
      <c r="A34" s="182"/>
      <c r="B34" s="182"/>
      <c r="C34" s="182"/>
      <c r="D34" s="182"/>
      <c r="E34" s="182"/>
      <c r="F34" s="182"/>
      <c r="G34" s="182"/>
      <c r="H34" s="182"/>
      <c r="I34" s="182"/>
      <c r="J34" s="6"/>
      <c r="K34" s="6"/>
      <c r="L34" s="6"/>
      <c r="M34" s="6"/>
      <c r="N34" s="6"/>
    </row>
    <row r="35" spans="1:14" ht="15" customHeight="1" x14ac:dyDescent="0.25">
      <c r="A35" s="182"/>
      <c r="B35" s="182"/>
      <c r="C35" s="182"/>
      <c r="D35" s="182"/>
      <c r="E35" s="182"/>
      <c r="F35" s="182"/>
      <c r="G35" s="182"/>
      <c r="H35" s="182"/>
      <c r="I35" s="182"/>
      <c r="J35" s="6"/>
      <c r="K35" s="6"/>
      <c r="L35" s="6"/>
      <c r="M35" s="6"/>
      <c r="N35" s="6"/>
    </row>
    <row r="36" spans="1:14" ht="15" customHeight="1" x14ac:dyDescent="0.25">
      <c r="A36" s="182"/>
      <c r="B36" s="182"/>
      <c r="C36" s="182"/>
      <c r="D36" s="182"/>
      <c r="E36" s="182"/>
      <c r="F36" s="182"/>
      <c r="G36" s="182"/>
      <c r="H36" s="182"/>
      <c r="I36" s="182"/>
      <c r="J36" s="6"/>
      <c r="K36" s="6"/>
      <c r="L36" s="6"/>
      <c r="M36" s="6"/>
      <c r="N36" s="6"/>
    </row>
    <row r="37" spans="1:14" ht="15" customHeight="1" x14ac:dyDescent="0.25">
      <c r="A37" s="182"/>
      <c r="B37" s="182"/>
      <c r="C37" s="182"/>
      <c r="D37" s="182"/>
      <c r="E37" s="182"/>
      <c r="F37" s="182"/>
      <c r="G37" s="182"/>
      <c r="H37" s="182"/>
      <c r="I37" s="182"/>
      <c r="J37" s="6"/>
      <c r="K37" s="6"/>
      <c r="L37" s="6"/>
      <c r="M37" s="6"/>
      <c r="N37" s="6"/>
    </row>
    <row r="38" spans="1:14" ht="15" customHeight="1" x14ac:dyDescent="0.25">
      <c r="A38" s="182"/>
      <c r="B38" s="182"/>
      <c r="C38" s="182"/>
      <c r="D38" s="182"/>
      <c r="E38" s="182"/>
      <c r="F38" s="182"/>
      <c r="G38" s="182"/>
      <c r="H38" s="182"/>
      <c r="I38" s="182"/>
      <c r="J38" s="6"/>
      <c r="K38" s="6"/>
      <c r="L38" s="6"/>
      <c r="M38" s="6"/>
      <c r="N38" s="6"/>
    </row>
    <row r="39" spans="1:14" ht="15" customHeight="1" x14ac:dyDescent="0.25">
      <c r="A39" s="182"/>
      <c r="B39" s="182"/>
      <c r="C39" s="182"/>
      <c r="D39" s="182"/>
      <c r="E39" s="182"/>
      <c r="F39" s="182"/>
      <c r="G39" s="182"/>
      <c r="H39" s="182"/>
      <c r="I39" s="182"/>
      <c r="J39" s="6"/>
      <c r="K39" s="6"/>
      <c r="L39" s="6"/>
      <c r="M39" s="6"/>
      <c r="N39" s="6"/>
    </row>
    <row r="40" spans="1:14" ht="15" customHeight="1" x14ac:dyDescent="0.25">
      <c r="A40" s="56"/>
      <c r="B40" s="56"/>
      <c r="C40" s="57"/>
      <c r="D40" s="57"/>
      <c r="E40" s="57"/>
      <c r="F40" s="58"/>
      <c r="G40" s="58"/>
      <c r="H40" s="59"/>
      <c r="I40" s="60"/>
      <c r="J40" s="6"/>
      <c r="K40" s="6"/>
      <c r="L40" s="6"/>
      <c r="M40" s="6"/>
      <c r="N40" s="6"/>
    </row>
    <row r="41" spans="1:14" ht="15" customHeight="1" x14ac:dyDescent="0.25">
      <c r="A41" s="56"/>
      <c r="B41" s="56"/>
      <c r="C41" s="57"/>
      <c r="D41" s="57"/>
      <c r="E41" s="57"/>
      <c r="F41" s="58"/>
      <c r="G41" s="58"/>
      <c r="H41" s="59"/>
      <c r="I41" s="60"/>
      <c r="J41" s="6"/>
      <c r="K41" s="6"/>
      <c r="L41" s="6"/>
      <c r="M41" s="6"/>
      <c r="N41" s="6"/>
    </row>
    <row r="42" spans="1:14" ht="15" customHeight="1" x14ac:dyDescent="0.25">
      <c r="A42" s="56"/>
      <c r="B42" s="56"/>
      <c r="C42" s="57"/>
      <c r="D42" s="57"/>
      <c r="E42" s="57"/>
      <c r="F42" s="58"/>
      <c r="G42" s="58"/>
      <c r="H42" s="59"/>
      <c r="I42" s="60"/>
      <c r="J42" s="6"/>
      <c r="K42" s="6"/>
      <c r="L42" s="6"/>
      <c r="M42" s="6"/>
      <c r="N42" s="6"/>
    </row>
    <row r="43" spans="1:14" x14ac:dyDescent="0.25">
      <c r="A43" s="33"/>
      <c r="B43" s="33"/>
      <c r="C43" s="20"/>
      <c r="D43" s="33"/>
      <c r="E43" s="20"/>
      <c r="F43" s="33"/>
      <c r="G43" s="33"/>
      <c r="H43" s="33"/>
      <c r="I43" s="20"/>
      <c r="J43" s="20"/>
      <c r="K43" s="20"/>
      <c r="L43" s="20"/>
      <c r="M43" s="20"/>
      <c r="N43" s="20"/>
    </row>
    <row r="44" spans="1:14" ht="24" customHeight="1" x14ac:dyDescent="0.25">
      <c r="A44" s="184" t="s">
        <v>111</v>
      </c>
      <c r="B44" s="184"/>
      <c r="C44" s="184"/>
      <c r="D44" s="184"/>
      <c r="E44" s="184"/>
      <c r="F44" s="184"/>
      <c r="G44" s="184"/>
      <c r="H44" s="33"/>
      <c r="I44" s="29" t="s">
        <v>112</v>
      </c>
      <c r="J44" s="20"/>
      <c r="K44" s="20"/>
      <c r="L44" s="20"/>
      <c r="M44" s="20"/>
      <c r="N44" s="20"/>
    </row>
    <row r="45" spans="1:14" x14ac:dyDescent="0.25">
      <c r="A45" s="179"/>
      <c r="B45" s="179"/>
      <c r="C45" s="179"/>
      <c r="D45" s="179"/>
      <c r="E45" s="179"/>
      <c r="F45" s="179"/>
      <c r="G45" s="179"/>
      <c r="H45" s="33"/>
      <c r="I45" s="20"/>
      <c r="J45" s="20"/>
      <c r="K45" s="20"/>
      <c r="L45" s="20"/>
      <c r="M45" s="20"/>
      <c r="N45" s="20"/>
    </row>
    <row r="46" spans="1:14" x14ac:dyDescent="0.25">
      <c r="A46" s="181" t="s">
        <v>113</v>
      </c>
      <c r="B46" s="181"/>
      <c r="C46" s="181"/>
      <c r="D46" s="181"/>
      <c r="E46" s="181"/>
      <c r="F46" s="181"/>
      <c r="G46" s="181"/>
      <c r="H46" s="33"/>
      <c r="I46" s="20"/>
      <c r="J46" s="20"/>
      <c r="K46" s="20"/>
      <c r="L46" s="20"/>
      <c r="M46" s="20"/>
      <c r="N46" s="20"/>
    </row>
    <row r="47" spans="1:14" x14ac:dyDescent="0.25">
      <c r="A47" s="33"/>
      <c r="B47" s="33"/>
      <c r="C47" s="20"/>
      <c r="D47" s="20"/>
      <c r="E47" s="20"/>
      <c r="F47" s="33"/>
      <c r="G47" s="33"/>
      <c r="H47" s="33"/>
      <c r="I47" s="20"/>
      <c r="J47" s="20"/>
      <c r="K47" s="20"/>
      <c r="L47" s="20"/>
      <c r="M47" s="20"/>
      <c r="N47" s="20"/>
    </row>
    <row r="48" spans="1:14" x14ac:dyDescent="0.25">
      <c r="A48" s="33"/>
      <c r="B48" s="33"/>
      <c r="C48" s="20"/>
      <c r="D48" s="20"/>
      <c r="E48" s="20"/>
      <c r="F48" s="33"/>
      <c r="G48" s="33"/>
      <c r="H48" s="33"/>
      <c r="I48" s="20"/>
      <c r="J48" s="20"/>
      <c r="K48" s="20"/>
      <c r="L48" s="20"/>
      <c r="M48" s="20"/>
      <c r="N48" s="20"/>
    </row>
    <row r="49" spans="1:14" x14ac:dyDescent="0.25">
      <c r="A49" s="33"/>
      <c r="B49" s="33"/>
      <c r="C49" s="20"/>
      <c r="D49" s="20"/>
      <c r="E49" s="20"/>
      <c r="F49" s="33"/>
      <c r="G49" s="33"/>
      <c r="H49" s="33"/>
      <c r="I49" s="20"/>
      <c r="J49" s="20"/>
      <c r="K49" s="20"/>
      <c r="L49" s="20"/>
      <c r="M49" s="20"/>
      <c r="N49" s="20"/>
    </row>
    <row r="50" spans="1:14" x14ac:dyDescent="0.25">
      <c r="A50" s="33"/>
      <c r="B50" s="33"/>
      <c r="C50" s="20"/>
      <c r="D50" s="20"/>
      <c r="E50" s="20"/>
      <c r="F50" s="33"/>
      <c r="G50" s="33"/>
      <c r="H50" s="33"/>
      <c r="I50" s="20"/>
      <c r="J50" s="20"/>
      <c r="K50" s="20"/>
      <c r="L50" s="20"/>
      <c r="M50" s="20"/>
      <c r="N50" s="20"/>
    </row>
    <row r="51" spans="1:14" x14ac:dyDescent="0.25">
      <c r="A51" s="33"/>
      <c r="B51" s="33"/>
      <c r="C51" s="20"/>
      <c r="D51" s="20"/>
      <c r="E51" s="20"/>
      <c r="F51" s="33"/>
      <c r="G51" s="33"/>
      <c r="H51" s="33"/>
      <c r="I51" s="20"/>
      <c r="J51" s="20"/>
      <c r="K51" s="20"/>
      <c r="L51" s="20"/>
      <c r="M51" s="20"/>
      <c r="N51" s="20"/>
    </row>
    <row r="52" spans="1:14" x14ac:dyDescent="0.25">
      <c r="A52" s="33"/>
      <c r="B52" s="33"/>
      <c r="C52" s="20"/>
      <c r="D52" s="20"/>
      <c r="E52" s="20"/>
      <c r="F52" s="33"/>
      <c r="G52" s="33"/>
      <c r="H52" s="33"/>
      <c r="I52" s="20"/>
      <c r="J52" s="20"/>
      <c r="K52" s="20"/>
      <c r="L52" s="20"/>
      <c r="M52" s="20"/>
      <c r="N52" s="20"/>
    </row>
    <row r="53" spans="1:14" x14ac:dyDescent="0.25">
      <c r="A53" s="33"/>
      <c r="B53" s="33"/>
      <c r="C53" s="20"/>
      <c r="D53" s="20"/>
      <c r="E53" s="20"/>
      <c r="F53" s="33"/>
      <c r="G53" s="33"/>
      <c r="H53" s="33"/>
      <c r="I53" s="20"/>
      <c r="J53" s="20"/>
      <c r="K53" s="20"/>
      <c r="L53" s="20"/>
      <c r="M53" s="20"/>
      <c r="N53" s="20"/>
    </row>
  </sheetData>
  <mergeCells count="36"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  <mergeCell ref="A1:C4"/>
    <mergeCell ref="C6:E6"/>
    <mergeCell ref="C8:E8"/>
    <mergeCell ref="C9:E9"/>
    <mergeCell ref="C10:E10"/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 x14ac:dyDescent="0.25"/>
  <sheetData>
    <row r="1" spans="1:26" ht="114.95" customHeight="1" x14ac:dyDescent="0.35">
      <c r="E1" s="7" t="s">
        <v>12</v>
      </c>
      <c r="L1" s="17" t="s">
        <v>2</v>
      </c>
    </row>
    <row r="2" spans="1:26" x14ac:dyDescent="0.25">
      <c r="A2" t="s">
        <v>13</v>
      </c>
      <c r="J2" t="s">
        <v>14</v>
      </c>
      <c r="P2" t="s">
        <v>2</v>
      </c>
      <c r="U2" t="s">
        <v>15</v>
      </c>
    </row>
    <row r="3" spans="1:26" ht="57.75" x14ac:dyDescent="0.25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5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33</v>
      </c>
      <c r="I4" s="8">
        <v>1</v>
      </c>
      <c r="J4" s="8">
        <v>2</v>
      </c>
      <c r="K4" s="18">
        <v>4</v>
      </c>
      <c r="M4" s="8" t="s">
        <v>33</v>
      </c>
      <c r="N4" s="8">
        <v>1</v>
      </c>
      <c r="O4" s="8">
        <v>2</v>
      </c>
      <c r="P4" s="18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8">
        <v>12</v>
      </c>
    </row>
    <row r="5" spans="1:26" x14ac:dyDescent="0.25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37</v>
      </c>
      <c r="I5" s="8">
        <v>1</v>
      </c>
      <c r="J5" s="8">
        <v>2</v>
      </c>
      <c r="K5" s="18">
        <v>4</v>
      </c>
      <c r="M5" s="8" t="s">
        <v>37</v>
      </c>
      <c r="N5" s="8">
        <v>1</v>
      </c>
      <c r="O5" s="8">
        <v>2</v>
      </c>
      <c r="P5" s="18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8">
        <v>12</v>
      </c>
    </row>
    <row r="6" spans="1:26" x14ac:dyDescent="0.25">
      <c r="A6" s="8" t="s">
        <v>38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39</v>
      </c>
      <c r="I6" s="8">
        <v>1</v>
      </c>
      <c r="J6" s="8">
        <v>2</v>
      </c>
      <c r="K6" s="18">
        <v>4</v>
      </c>
      <c r="M6" s="8" t="s">
        <v>39</v>
      </c>
      <c r="N6" s="8">
        <v>1</v>
      </c>
      <c r="O6" s="8">
        <v>2</v>
      </c>
      <c r="P6" s="18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8">
        <v>12</v>
      </c>
    </row>
    <row r="7" spans="1:26" x14ac:dyDescent="0.25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41</v>
      </c>
      <c r="I7" s="8">
        <v>1</v>
      </c>
      <c r="J7" s="8">
        <v>2</v>
      </c>
      <c r="K7" s="18">
        <v>4</v>
      </c>
      <c r="M7" s="8" t="s">
        <v>41</v>
      </c>
      <c r="N7" s="8">
        <v>1</v>
      </c>
      <c r="O7" s="8">
        <v>2</v>
      </c>
      <c r="P7" s="18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8">
        <v>12</v>
      </c>
    </row>
    <row r="8" spans="1:26" x14ac:dyDescent="0.25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44</v>
      </c>
      <c r="I8" s="8">
        <v>1</v>
      </c>
      <c r="J8" s="8">
        <v>2</v>
      </c>
      <c r="K8" s="18" t="s">
        <v>2</v>
      </c>
      <c r="M8" s="8" t="s">
        <v>44</v>
      </c>
      <c r="N8" s="8">
        <v>1</v>
      </c>
      <c r="O8" s="8">
        <v>2</v>
      </c>
      <c r="P8" s="18">
        <v>3</v>
      </c>
    </row>
    <row r="9" spans="1:26" x14ac:dyDescent="0.25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46</v>
      </c>
      <c r="I9" s="8">
        <v>1</v>
      </c>
      <c r="J9" s="8">
        <v>2</v>
      </c>
      <c r="K9" s="18" t="s">
        <v>2</v>
      </c>
      <c r="M9" s="8" t="s">
        <v>46</v>
      </c>
      <c r="N9" s="8">
        <v>1</v>
      </c>
      <c r="O9" s="8">
        <v>2</v>
      </c>
      <c r="P9" s="18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 x14ac:dyDescent="0.25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49</v>
      </c>
      <c r="I10" s="8">
        <v>1</v>
      </c>
      <c r="J10" s="8">
        <v>2</v>
      </c>
      <c r="K10" s="18" t="s">
        <v>2</v>
      </c>
      <c r="M10" s="8" t="s">
        <v>49</v>
      </c>
      <c r="N10" s="8">
        <v>1</v>
      </c>
      <c r="O10" s="8">
        <v>2</v>
      </c>
      <c r="P10" s="18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8">
        <v>8</v>
      </c>
    </row>
    <row r="11" spans="1:26" x14ac:dyDescent="0.25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51</v>
      </c>
      <c r="I11" s="8">
        <v>1</v>
      </c>
      <c r="J11" s="8">
        <v>2</v>
      </c>
      <c r="K11" s="18" t="s">
        <v>2</v>
      </c>
      <c r="M11" s="8" t="s">
        <v>51</v>
      </c>
      <c r="N11" s="8">
        <v>1</v>
      </c>
      <c r="O11" s="8">
        <v>2</v>
      </c>
      <c r="P11" s="18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8">
        <v>8</v>
      </c>
    </row>
    <row r="12" spans="1:26" x14ac:dyDescent="0.25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8" t="s">
        <v>2</v>
      </c>
      <c r="M12" s="8" t="s">
        <v>53</v>
      </c>
      <c r="N12" s="8">
        <v>1</v>
      </c>
      <c r="O12" s="8">
        <v>2</v>
      </c>
      <c r="P12" s="18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8">
        <v>8</v>
      </c>
    </row>
    <row r="13" spans="1:26" x14ac:dyDescent="0.25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55</v>
      </c>
      <c r="I13" s="8">
        <v>1</v>
      </c>
      <c r="J13" s="8">
        <v>2</v>
      </c>
      <c r="K13" s="18">
        <v>3</v>
      </c>
      <c r="M13" s="8" t="s">
        <v>55</v>
      </c>
      <c r="N13" s="8">
        <v>1</v>
      </c>
      <c r="O13" s="8">
        <v>2</v>
      </c>
      <c r="P13" s="18">
        <v>3</v>
      </c>
    </row>
    <row r="14" spans="1:26" x14ac:dyDescent="0.25">
      <c r="A14" s="8" t="s">
        <v>56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57</v>
      </c>
      <c r="I14" s="8">
        <v>1</v>
      </c>
      <c r="J14" s="8">
        <v>2</v>
      </c>
      <c r="K14" s="18">
        <v>3</v>
      </c>
      <c r="M14" s="8" t="s">
        <v>57</v>
      </c>
      <c r="N14" s="8">
        <v>1</v>
      </c>
      <c r="O14" s="8">
        <v>2</v>
      </c>
      <c r="P14" s="18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 x14ac:dyDescent="0.25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59</v>
      </c>
      <c r="I15" s="8">
        <v>1</v>
      </c>
      <c r="J15" s="8">
        <v>2</v>
      </c>
      <c r="K15" s="18" t="s">
        <v>2</v>
      </c>
      <c r="M15" s="8" t="s">
        <v>59</v>
      </c>
      <c r="N15" s="8">
        <v>1</v>
      </c>
      <c r="O15" s="8">
        <v>2</v>
      </c>
      <c r="P15" s="18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8">
        <v>8</v>
      </c>
    </row>
    <row r="16" spans="1:26" x14ac:dyDescent="0.25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61</v>
      </c>
      <c r="I16" s="16" t="s">
        <v>2</v>
      </c>
      <c r="J16" t="s">
        <v>2</v>
      </c>
      <c r="K16" t="s">
        <v>2</v>
      </c>
      <c r="M16" t="s">
        <v>62</v>
      </c>
      <c r="N16" s="16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8">
        <v>8</v>
      </c>
    </row>
    <row r="17" spans="1:26" x14ac:dyDescent="0.25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64</v>
      </c>
      <c r="I17" s="8">
        <v>1</v>
      </c>
      <c r="J17" s="8">
        <v>2</v>
      </c>
      <c r="K17" s="18">
        <v>4</v>
      </c>
      <c r="M17" s="8" t="s">
        <v>64</v>
      </c>
      <c r="N17" s="8">
        <v>1</v>
      </c>
      <c r="O17" s="8">
        <v>2</v>
      </c>
      <c r="P17" s="18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8">
        <v>8</v>
      </c>
    </row>
    <row r="18" spans="1:26" x14ac:dyDescent="0.25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66</v>
      </c>
      <c r="I18" s="8">
        <v>1</v>
      </c>
      <c r="J18" s="8">
        <v>2</v>
      </c>
      <c r="K18" s="18">
        <v>4</v>
      </c>
      <c r="M18" s="8" t="s">
        <v>66</v>
      </c>
      <c r="N18" s="8">
        <v>1</v>
      </c>
      <c r="O18" s="8">
        <v>2</v>
      </c>
      <c r="P18" s="18">
        <v>3</v>
      </c>
    </row>
    <row r="19" spans="1:26" x14ac:dyDescent="0.25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68</v>
      </c>
      <c r="I19" s="8">
        <v>1</v>
      </c>
      <c r="J19" s="8">
        <v>2</v>
      </c>
      <c r="K19" s="18">
        <v>4</v>
      </c>
      <c r="M19" s="8" t="s">
        <v>68</v>
      </c>
      <c r="N19" s="8">
        <v>1</v>
      </c>
      <c r="O19" s="8">
        <v>2</v>
      </c>
      <c r="P19" s="18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 x14ac:dyDescent="0.25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70</v>
      </c>
      <c r="I20" s="8">
        <v>1</v>
      </c>
      <c r="J20" s="8">
        <v>2</v>
      </c>
      <c r="K20" s="18">
        <v>4</v>
      </c>
      <c r="M20" s="8" t="s">
        <v>70</v>
      </c>
      <c r="N20" s="8">
        <v>1</v>
      </c>
      <c r="O20" s="8">
        <v>2</v>
      </c>
      <c r="P20" s="18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8">
        <v>8</v>
      </c>
    </row>
    <row r="21" spans="1:26" x14ac:dyDescent="0.25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8" t="s">
        <v>2</v>
      </c>
      <c r="M21" s="8" t="s">
        <v>72</v>
      </c>
      <c r="N21" s="8">
        <v>1</v>
      </c>
      <c r="O21" s="8">
        <v>2</v>
      </c>
      <c r="P21" s="18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8">
        <v>8</v>
      </c>
    </row>
    <row r="22" spans="1:26" x14ac:dyDescent="0.25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74</v>
      </c>
      <c r="I22" s="8">
        <v>1</v>
      </c>
      <c r="J22" s="8">
        <v>2</v>
      </c>
      <c r="K22" s="18" t="s">
        <v>2</v>
      </c>
      <c r="M22" s="8" t="s">
        <v>74</v>
      </c>
      <c r="N22" s="8">
        <v>1</v>
      </c>
      <c r="O22" s="8">
        <v>2</v>
      </c>
      <c r="P22" s="18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8">
        <v>8</v>
      </c>
    </row>
    <row r="23" spans="1:26" x14ac:dyDescent="0.25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76</v>
      </c>
      <c r="I23" s="8">
        <v>1</v>
      </c>
      <c r="J23" s="8">
        <v>2</v>
      </c>
      <c r="K23" s="18" t="s">
        <v>2</v>
      </c>
      <c r="M23" s="8" t="s">
        <v>76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 x14ac:dyDescent="0.25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78</v>
      </c>
      <c r="I24" s="8">
        <v>1</v>
      </c>
      <c r="J24" s="8">
        <v>2</v>
      </c>
      <c r="K24" s="18" t="s">
        <v>2</v>
      </c>
      <c r="M24" s="8" t="s">
        <v>78</v>
      </c>
      <c r="N24" s="8">
        <v>1</v>
      </c>
      <c r="O24" s="8">
        <v>2</v>
      </c>
      <c r="P24" s="18">
        <v>3</v>
      </c>
    </row>
    <row r="25" spans="1:26" x14ac:dyDescent="0.25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80</v>
      </c>
      <c r="I25" s="8">
        <v>1</v>
      </c>
      <c r="J25" s="8">
        <v>2</v>
      </c>
      <c r="K25" s="18" t="s">
        <v>2</v>
      </c>
      <c r="M25" s="8" t="s">
        <v>80</v>
      </c>
      <c r="N25" s="8">
        <v>1</v>
      </c>
      <c r="O25" s="8">
        <v>2</v>
      </c>
      <c r="P25" s="18">
        <v>3</v>
      </c>
      <c r="T25" t="s">
        <v>2</v>
      </c>
    </row>
    <row r="26" spans="1:26" x14ac:dyDescent="0.25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82</v>
      </c>
      <c r="I26" s="8">
        <v>1</v>
      </c>
      <c r="J26" s="8">
        <v>2</v>
      </c>
      <c r="K26" s="18">
        <v>3</v>
      </c>
      <c r="M26" s="8" t="s">
        <v>82</v>
      </c>
      <c r="N26" s="8">
        <v>1</v>
      </c>
      <c r="O26" s="8">
        <v>2</v>
      </c>
      <c r="P26" s="18">
        <v>3</v>
      </c>
    </row>
    <row r="27" spans="1:26" x14ac:dyDescent="0.25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84</v>
      </c>
      <c r="I27" s="8">
        <v>1</v>
      </c>
      <c r="J27" s="8">
        <v>2</v>
      </c>
      <c r="K27" s="18">
        <v>3</v>
      </c>
      <c r="M27" s="8" t="s">
        <v>84</v>
      </c>
      <c r="N27" s="8">
        <v>1</v>
      </c>
      <c r="O27" s="8">
        <v>2</v>
      </c>
      <c r="P27" s="18">
        <v>3</v>
      </c>
    </row>
    <row r="28" spans="1:26" x14ac:dyDescent="0.25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86</v>
      </c>
      <c r="I28" s="8">
        <v>1</v>
      </c>
      <c r="J28" s="8">
        <v>2</v>
      </c>
      <c r="K28" s="18" t="s">
        <v>2</v>
      </c>
      <c r="M28" s="8" t="s">
        <v>86</v>
      </c>
      <c r="N28" s="8">
        <v>1</v>
      </c>
      <c r="O28" s="8">
        <v>2</v>
      </c>
      <c r="P28" s="18">
        <v>3</v>
      </c>
    </row>
    <row r="29" spans="1:26" x14ac:dyDescent="0.25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5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5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 x14ac:dyDescent="0.25"/>
  <cols>
    <col min="1" max="1" width="121.125" customWidth="1"/>
  </cols>
  <sheetData>
    <row r="1" spans="1:1" ht="16.5" thickBot="1" x14ac:dyDescent="0.3"/>
    <row r="2" spans="1:1" ht="17.25" x14ac:dyDescent="0.25">
      <c r="A2" s="78" t="s">
        <v>237</v>
      </c>
    </row>
    <row r="3" spans="1:1" ht="27.95" customHeight="1" thickBot="1" x14ac:dyDescent="0.3">
      <c r="A3" s="79" t="s">
        <v>238</v>
      </c>
    </row>
    <row r="4" spans="1:1" ht="17.25" x14ac:dyDescent="0.25">
      <c r="A4" s="80" t="s">
        <v>239</v>
      </c>
    </row>
    <row r="5" spans="1:1" ht="41.1" customHeight="1" x14ac:dyDescent="0.25">
      <c r="A5" s="81" t="s">
        <v>240</v>
      </c>
    </row>
    <row r="6" spans="1:1" ht="33" customHeight="1" thickBot="1" x14ac:dyDescent="0.3">
      <c r="A6" s="79" t="s">
        <v>242</v>
      </c>
    </row>
    <row r="7" spans="1:1" ht="29.1" customHeight="1" thickBot="1" x14ac:dyDescent="0.3">
      <c r="A7" s="82" t="s">
        <v>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2024-11-14T16:12:25Z</dcterms:modified>
</cp:coreProperties>
</file>