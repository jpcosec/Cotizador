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320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1" i="1" l="1"/>
  <c r="F49" i="1"/>
  <c r="F31" i="1"/>
  <c r="F32" i="1"/>
  <c r="F33" i="1"/>
  <c r="F34" i="1"/>
  <c r="F35" i="1"/>
  <c r="F36" i="1"/>
  <c r="F37" i="1"/>
  <c r="F43" i="1"/>
  <c r="F9" i="1"/>
  <c r="F10" i="1"/>
  <c r="F11" i="1"/>
  <c r="F12" i="1"/>
  <c r="F13" i="1"/>
  <c r="F14" i="1"/>
  <c r="F24" i="1"/>
  <c r="F25" i="1"/>
  <c r="F26" i="1"/>
  <c r="F27" i="1"/>
  <c r="F17" i="1"/>
  <c r="F18" i="1"/>
  <c r="F19" i="1"/>
  <c r="F20" i="1"/>
  <c r="F21" i="1"/>
  <c r="F22" i="1"/>
  <c r="F23" i="1"/>
  <c r="F28" i="1"/>
  <c r="F44" i="1"/>
  <c r="F41" i="1"/>
  <c r="F42" i="1"/>
  <c r="F138" i="1"/>
  <c r="F137" i="1"/>
  <c r="F134" i="1"/>
  <c r="F135" i="1"/>
  <c r="F136" i="1"/>
  <c r="F94" i="1"/>
  <c r="F83" i="1"/>
  <c r="F133" i="1"/>
  <c r="F40" i="1"/>
  <c r="F39" i="1"/>
  <c r="F132" i="1"/>
  <c r="F90" i="1"/>
  <c r="F89" i="1"/>
  <c r="F91" i="1"/>
  <c r="F129" i="1"/>
  <c r="F130" i="1"/>
  <c r="F131" i="1"/>
  <c r="F124" i="1"/>
  <c r="F123" i="1"/>
  <c r="F122" i="1"/>
  <c r="F96" i="1"/>
  <c r="F115" i="1"/>
  <c r="F128" i="1"/>
  <c r="F111" i="1"/>
  <c r="F109" i="1"/>
  <c r="F110" i="1"/>
  <c r="F112" i="1"/>
  <c r="F113" i="1"/>
  <c r="F114" i="1"/>
  <c r="F116" i="1"/>
  <c r="F120" i="1"/>
  <c r="F121" i="1"/>
  <c r="F125" i="1"/>
  <c r="F108" i="1"/>
  <c r="F105" i="1"/>
  <c r="F100" i="1"/>
  <c r="F107" i="1"/>
  <c r="F126" i="1"/>
  <c r="F127" i="1"/>
  <c r="F87" i="1"/>
  <c r="F92" i="1"/>
  <c r="F88" i="1"/>
  <c r="F103" i="1"/>
  <c r="F98" i="1"/>
  <c r="F99" i="1"/>
  <c r="F101" i="1"/>
  <c r="F102" i="1"/>
  <c r="F104" i="1"/>
  <c r="F106" i="1"/>
  <c r="F84" i="1"/>
  <c r="F85" i="1"/>
  <c r="F86" i="1"/>
  <c r="F93" i="1"/>
  <c r="F95" i="1"/>
  <c r="F97" i="1"/>
  <c r="F30" i="5"/>
  <c r="E30" i="5"/>
  <c r="D30" i="5"/>
  <c r="C30" i="5"/>
  <c r="B30" i="5"/>
  <c r="P29" i="5"/>
  <c r="O29" i="5"/>
  <c r="N29" i="5"/>
  <c r="K29" i="5"/>
  <c r="J29" i="5"/>
  <c r="I29" i="5"/>
  <c r="Z23" i="5"/>
  <c r="F45" i="1"/>
  <c r="F46" i="1"/>
</calcChain>
</file>

<file path=xl/sharedStrings.xml><?xml version="1.0" encoding="utf-8"?>
<sst xmlns="http://schemas.openxmlformats.org/spreadsheetml/2006/main" count="530" uniqueCount="305">
  <si>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</si>
  <si>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</si>
  <si>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</si>
  <si>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</si>
  <si>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</si>
  <si>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</si>
  <si>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</si>
  <si>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</si>
  <si>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</si>
  <si>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</si>
  <si>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</si>
  <si>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</si>
  <si>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</si>
  <si>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</si>
  <si>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</si>
  <si>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</si>
  <si>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</si>
  <si>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</si>
  <si>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</si>
  <si>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</si>
  <si>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</si>
  <si>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</si>
  <si>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</si>
  <si>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</si>
  <si>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</si>
  <si>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</si>
  <si>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</si>
  <si>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</si>
  <si>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</si>
  <si>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</si>
  <si>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</si>
  <si>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</si>
  <si>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</si>
  <si>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</si>
  <si>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</si>
  <si>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</si>
  <si>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</si>
  <si>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</si>
  <si>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</si>
  <si>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</si>
  <si>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</si>
  <si>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</si>
  <si>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</si>
  <si>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</si>
  <si>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</si>
  <si>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</si>
  <si>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</si>
  <si>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</si>
  <si>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</si>
  <si>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</si>
  <si>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</si>
  <si>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</si>
  <si>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</si>
  <si>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</si>
  <si>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</si>
  <si>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</si>
  <si>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</si>
  <si>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</si>
  <si>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</si>
  <si>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</si>
  <si>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</si>
  <si>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</si>
  <si>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</si>
  <si>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</si>
  <si>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</si>
  <si>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</si>
  <si>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</si>
  <si>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</si>
  <si>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</si>
  <si>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</si>
  <si>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</si>
  <si>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</si>
  <si>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</si>
  <si>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</si>
  <si>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</si>
  <si>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</si>
  <si>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</si>
  <si>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</si>
  <si>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</si>
  <si>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</si>
  <si>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</si>
  <si>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</si>
  <si>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</si>
  <si>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</si>
  <si>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</si>
  <si>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</si>
  <si>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</si>
  <si>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</si>
  <si>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</si>
  <si>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</si>
  <si>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</si>
  <si>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</si>
  <si>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</si>
  <si>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</si>
  <si>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</si>
  <si>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</si>
  <si>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</si>
  <si>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</si>
  <si>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</si>
  <si>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</si>
  <si>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</si>
  <si>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</si>
  <si>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</si>
  <si>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</si>
  <si>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</si>
  <si>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</si>
  <si>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</si>
  <si>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</si>
  <si>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</si>
  <si>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</si>
  <si>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</si>
  <si>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</si>
  <si>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</si>
  <si>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</si>
  <si>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</si>
  <si>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</si>
  <si>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</si>
  <si>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</si>
  <si>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</si>
  <si>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</si>
  <si>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</si>
  <si>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</si>
  <si>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</si>
  <si>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</si>
  <si>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</si>
  <si>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</si>
  <si>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</si>
  <si>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</si>
  <si>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</si>
  <si>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</si>
  <si>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</si>
  <si>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</si>
  <si>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</si>
  <si>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</si>
  <si>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</si>
  <si>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</si>
  <si>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</si>
  <si>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</si>
  <si>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</si>
  <si>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</si>
  <si>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</si>
  <si>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</si>
  <si>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</si>
  <si>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</si>
  <si>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</si>
  <si>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</si>
  <si>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</si>
  <si>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</si>
  <si>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</si>
  <si>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</si>
  <si>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</si>
  <si>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</si>
  <si>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</si>
  <si>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</si>
  <si>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</si>
  <si>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</si>
  <si>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</si>
  <si>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</si>
  <si>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</si>
  <si>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</si>
  <si>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</si>
  <si>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</si>
  <si>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</si>
  <si>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</si>
  <si>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</si>
  <si>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</si>
  <si>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</si>
  <si>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</si>
  <si>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</si>
  <si>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</si>
  <si>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</si>
  <si>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</si>
  <si>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</si>
  <si>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</si>
  <si>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</si>
  <si>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</si>
  <si>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</si>
  <si>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</si>
  <si>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</si>
  <si>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</si>
  <si>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</si>
  <si>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</si>
  <si>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</si>
  <si>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</si>
  <si>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</si>
  <si>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</si>
  <si>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</si>
  <si>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</si>
  <si>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</si>
  <si>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</si>
  <si>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</si>
  <si>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</si>
  <si>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</si>
  <si>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</si>
  <si>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</si>
  <si>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</si>
  <si>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</si>
  <si>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</si>
  <si>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</si>
  <si>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</si>
  <si>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</si>
  <si>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</si>
  <si>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</si>
  <si>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</si>
  <si>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</si>
  <si>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</si>
  <si>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</si>
  <si>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</si>
  <si>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</si>
  <si>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</si>
  <si>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</si>
  <si>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</si>
  <si>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</si>
  <si>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</si>
  <si>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</si>
  <si>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</si>
  <si>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</si>
  <si>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</si>
  <si>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</si>
  <si>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</si>
  <si>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</si>
  <si>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</si>
  <si>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</si>
  <si>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</si>
  <si>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</si>
  <si>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</si>
  <si>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</si>
  <si>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</si>
  <si>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</si>
  <si>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</si>
  <si>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</si>
  <si>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</si>
  <si>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</si>
  <si>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</si>
  <si>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</si>
  <si>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</si>
  <si>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</si>
  <si>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</si>
  <si>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</si>
  <si>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</si>
  <si>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</si>
  <si>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</si>
  <si>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</si>
  <si>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</si>
  <si>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</si>
  <si>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</si>
  <si>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</si>
  <si>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</si>
  <si>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</si>
  <si>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</si>
  <si>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</si>
  <si>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</si>
  <si>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</si>
  <si>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</si>
  <si>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</si>
  <si>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</si>
  <si>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</si>
  <si>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</si>
  <si>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</si>
  <si>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</si>
  <si>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</si>
  <si>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</si>
  <si>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</si>
  <si>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</si>
  <si>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</si>
  <si>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</si>
  <si>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</si>
  <si>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</si>
  <si>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</si>
  <si>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</si>
  <si>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</si>
  <si>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</si>
  <si>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</si>
  <si>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</si>
  <si>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</si>
  <si>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</si>
  <si>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</si>
  <si>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</si>
  <si>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</si>
  <si>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</si>
  <si>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</si>
  <si>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</si>
  <si>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</si>
  <si>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</si>
  <si>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</si>
  <si>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</si>
  <si>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</si>
  <si>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</si>
  <si>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</si>
  <si>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</si>
  <si>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</si>
  <si>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</si>
  <si>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Carolina Peñailillo</t>
  </si>
  <si>
    <t>AMCOR</t>
  </si>
  <si>
    <t xml:space="preserve">                                                           E Mail:</t>
  </si>
  <si>
    <t xml:space="preserve">                                                           Fecha:</t>
  </si>
  <si>
    <t>incluido</t>
  </si>
  <si>
    <t>1 mineral por persona</t>
  </si>
  <si>
    <t>Agua mineral en la mesa con vaso y 3 dulces por persona</t>
  </si>
  <si>
    <t>Propuesta de actividades nocturnas, No incluidas.</t>
  </si>
  <si>
    <t>Incluye salon o fogata, amplificación e iluminación con Karaoke en vivo</t>
  </si>
  <si>
    <t>Fogata</t>
  </si>
  <si>
    <t>4 horas</t>
  </si>
  <si>
    <t>4 horas.</t>
  </si>
  <si>
    <t>Día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</si>
</sst>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&quot;$&quot;#,##0"/>
    <numFmt numFmtId="167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9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7" fontId="4" fillId="0" borderId="0" xfId="0" applyNumberFormat="1" applyFont="1" applyAlignment="1">
      <alignment horizontal="right"/>
    </xf>
    <xf numFmtId="167" fontId="0" fillId="0" borderId="0" xfId="0" applyNumberFormat="1"/>
    <xf numFmtId="167" fontId="2" fillId="0" borderId="0" xfId="0" applyNumberFormat="1" applyFont="1" applyFill="1" applyAlignment="1">
      <alignment horizontal="right"/>
    </xf>
    <xf numFmtId="167" fontId="2" fillId="0" borderId="0" xfId="0" applyNumberFormat="1" applyFont="1" applyFill="1"/>
    <xf numFmtId="167" fontId="7" fillId="0" borderId="9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7" fillId="0" borderId="15" xfId="0" applyNumberFormat="1" applyFont="1" applyBorder="1" applyAlignment="1">
      <alignment horizontal="right" vertical="center"/>
    </xf>
    <xf numFmtId="167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7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right"/>
    </xf>
    <xf numFmtId="164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7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164" fontId="7" fillId="9" borderId="2" xfId="0" applyNumberFormat="1" applyFont="1" applyFill="1" applyBorder="1"/>
    <xf numFmtId="164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7" fontId="7" fillId="9" borderId="2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/>
    </xf>
    <xf numFmtId="167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164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7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7" fontId="7" fillId="9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7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7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164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7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7" fontId="7" fillId="9" borderId="1" xfId="0" applyNumberFormat="1" applyFont="1" applyFill="1" applyBorder="1" applyAlignment="1">
      <alignment horizontal="justify" vertical="center"/>
    </xf>
    <xf numFmtId="167" fontId="0" fillId="3" borderId="1" xfId="0" applyNumberFormat="1" applyFill="1" applyBorder="1"/>
    <xf numFmtId="165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7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7" fontId="7" fillId="9" borderId="1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7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7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7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7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7" fontId="16" fillId="9" borderId="1" xfId="0" applyNumberFormat="1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5" fontId="16" fillId="9" borderId="1" xfId="117" applyFont="1" applyFill="1" applyBorder="1" applyAlignment="1">
      <alignment horizontal="right" vertical="center"/>
    </xf>
    <xf numFmtId="166" fontId="0" fillId="3" borderId="1" xfId="0" applyNumberFormat="1" applyFill="1" applyBorder="1"/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167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3" fillId="11" borderId="28" xfId="0" applyFont="1" applyFill="1" applyBorder="1" applyAlignment="1">
      <alignment horizontal="left"/>
    </xf>
    <xf numFmtId="164" fontId="7" fillId="11" borderId="0" xfId="0" applyNumberFormat="1" applyFont="1" applyFill="1" applyAlignment="1">
      <alignment horizontal="right"/>
    </xf>
    <xf numFmtId="164" fontId="7" fillId="11" borderId="0" xfId="0" applyNumberFormat="1" applyFont="1" applyFill="1" applyBorder="1" applyAlignment="1">
      <alignment horizontal="right"/>
    </xf>
    <xf numFmtId="0" fontId="7" fillId="11" borderId="0" xfId="0" applyFont="1" applyFill="1"/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58"/>
  <sheetViews>
    <sheetView tabSelected="1" workbookViewId="0">
      <selection activeCell="A46" sqref="A46"/>
    </sheetView>
  </sheetViews>
  <sheetFormatPr baseColWidth="10" defaultRowHeight="16" x14ac:dyDescent="0.2"/>
  <cols>
    <col min="1" max="1" width="33.1640625" customWidth="1"/>
    <col min="2" max="2" width="10.83203125" style="80" customWidth="1"/>
    <col min="3" max="4" width="6.33203125" customWidth="1"/>
    <col min="5" max="5" width="10.83203125" customWidth="1"/>
    <col min="6" max="6" width="10.66406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138</v>
      </c>
    </row>
    <row r="2" spans="1:7" x14ac:dyDescent="0.2">
      <c r="G2" t="s">
        <v>232</v>
      </c>
    </row>
    <row r="3" spans="1:7" x14ac:dyDescent="0.2">
      <c r="A3" s="71" t="s">
        <v>139</v>
      </c>
      <c r="B3" s="188" t="s">
        <v>292</v>
      </c>
      <c r="C3" s="189"/>
      <c r="D3" s="189"/>
      <c r="E3" t="s">
        <v>3</v>
      </c>
      <c r="F3" s="35" t="s">
        <v>293</v>
      </c>
      <c r="G3" s="95" t="s">
        <v>233</v>
      </c>
    </row>
    <row r="4" spans="1:7" x14ac:dyDescent="0.2">
      <c r="A4" t="s">
        <v>294</v>
      </c>
      <c r="C4" s="75"/>
      <c r="E4" t="s">
        <v>5</v>
      </c>
      <c r="G4" s="96" t="s">
        <v>234</v>
      </c>
    </row>
    <row r="5" spans="1:7" x14ac:dyDescent="0.2">
      <c r="A5" t="s">
        <v>295</v>
      </c>
      <c r="E5" t="s">
        <v>4</v>
      </c>
      <c r="F5" s="35">
        <v>25</v>
      </c>
      <c r="G5" s="96" t="s">
        <v>235</v>
      </c>
    </row>
    <row r="6" spans="1:7" x14ac:dyDescent="0.2">
      <c r="A6" s="73" t="s">
        <v>141</v>
      </c>
      <c r="B6" s="81"/>
      <c r="C6" s="72"/>
      <c r="D6" s="72"/>
      <c r="E6" s="72" t="s">
        <v>140</v>
      </c>
      <c r="F6" s="72"/>
      <c r="G6" s="96" t="s">
        <v>236</v>
      </c>
    </row>
    <row r="7" spans="1:7" ht="17" thickBot="1" x14ac:dyDescent="0.25">
      <c r="A7" s="72"/>
      <c r="B7" s="82"/>
      <c r="C7" s="72"/>
      <c r="D7" s="72"/>
      <c r="E7" s="72"/>
      <c r="F7" s="72"/>
      <c r="G7" s="96"/>
    </row>
    <row r="8" spans="1:7" ht="15.75" customHeight="1" x14ac:dyDescent="0.2">
      <c r="A8" s="144" t="s">
        <v>125</v>
      </c>
      <c r="B8" s="145" t="s">
        <v>180</v>
      </c>
      <c r="C8" s="146" t="s">
        <v>124</v>
      </c>
      <c r="D8" s="146" t="s">
        <v>7</v>
      </c>
      <c r="E8" s="146" t="s">
        <v>0</v>
      </c>
      <c r="F8" s="146" t="s">
        <v>1</v>
      </c>
      <c r="G8" s="147" t="s">
        <v>8</v>
      </c>
    </row>
    <row r="9" spans="1:7" x14ac:dyDescent="0.2">
      <c r="A9" s="113" t="s">
        <v>122</v>
      </c>
      <c r="B9" s="109" t="s">
        <v>207</v>
      </c>
      <c r="C9" s="104">
        <v>1</v>
      </c>
      <c r="D9" s="104">
        <v>25</v>
      </c>
      <c r="E9" s="114">
        <v>15000</v>
      </c>
      <c r="F9" s="106">
        <f t="shared" ref="F9:F13" si="0">C9*D9*E9</f>
        <v>375000</v>
      </c>
      <c r="G9" s="107" t="s">
        <v>265</v>
      </c>
    </row>
    <row r="10" spans="1:7" x14ac:dyDescent="0.2">
      <c r="A10" s="108" t="s">
        <v>271</v>
      </c>
      <c r="B10" s="111"/>
      <c r="C10" s="112">
        <v>1</v>
      </c>
      <c r="D10" s="112">
        <v>25</v>
      </c>
      <c r="E10" s="110">
        <v>1500</v>
      </c>
      <c r="F10" s="110">
        <f t="shared" si="0"/>
        <v>37500</v>
      </c>
      <c r="G10" s="107" t="s">
        <v>262</v>
      </c>
    </row>
    <row r="11" spans="1:7" x14ac:dyDescent="0.2">
      <c r="A11" s="115" t="s">
        <v>150</v>
      </c>
      <c r="B11" s="116"/>
      <c r="C11" s="117">
        <v>1</v>
      </c>
      <c r="D11" s="117">
        <v>1</v>
      </c>
      <c r="E11" s="118">
        <v>99000</v>
      </c>
      <c r="F11" s="118">
        <f t="shared" si="0"/>
        <v>99000</v>
      </c>
      <c r="G11" s="115" t="s">
        <v>263</v>
      </c>
    </row>
    <row r="12" spans="1:7" x14ac:dyDescent="0.2">
      <c r="A12" s="115" t="s">
        <v>151</v>
      </c>
      <c r="B12" s="116"/>
      <c r="C12" s="117">
        <v>1</v>
      </c>
      <c r="D12" s="117">
        <v>12</v>
      </c>
      <c r="E12" s="118">
        <v>113500</v>
      </c>
      <c r="F12" s="118">
        <f t="shared" si="0"/>
        <v>1362000</v>
      </c>
      <c r="G12" s="115" t="s">
        <v>237</v>
      </c>
    </row>
    <row r="13" spans="1:7" x14ac:dyDescent="0.2">
      <c r="A13" s="115" t="s">
        <v>181</v>
      </c>
      <c r="B13" s="116"/>
      <c r="C13" s="117">
        <v>0</v>
      </c>
      <c r="D13" s="117">
        <v>0</v>
      </c>
      <c r="E13" s="118">
        <v>128000</v>
      </c>
      <c r="F13" s="118">
        <f t="shared" si="0"/>
        <v>0</v>
      </c>
      <c r="G13" s="115" t="s">
        <v>238</v>
      </c>
    </row>
    <row r="14" spans="1:7" ht="16.5" customHeight="1" thickBot="1" x14ac:dyDescent="0.25">
      <c r="A14" s="2" t="s">
        <v>92</v>
      </c>
      <c r="B14" s="83"/>
      <c r="C14" s="34"/>
      <c r="D14" s="24"/>
      <c r="E14" s="7"/>
      <c r="F14" s="5">
        <f>SUM(F9:F13)</f>
        <v>1873500</v>
      </c>
      <c r="G14" s="33" t="s">
        <v>2</v>
      </c>
    </row>
    <row r="15" spans="1:7" ht="15.75" customHeight="1" x14ac:dyDescent="0.2">
      <c r="A15" s="144" t="s">
        <v>126</v>
      </c>
      <c r="B15" s="145" t="s">
        <v>180</v>
      </c>
      <c r="C15" s="146" t="s">
        <v>124</v>
      </c>
      <c r="D15" s="146" t="s">
        <v>7</v>
      </c>
      <c r="E15" s="146" t="s">
        <v>0</v>
      </c>
      <c r="F15" s="146" t="s">
        <v>1</v>
      </c>
      <c r="G15" s="147" t="s">
        <v>8</v>
      </c>
    </row>
    <row r="16" spans="1:7" ht="16.5" customHeight="1" x14ac:dyDescent="0.2">
      <c r="A16" s="102" t="s">
        <v>179</v>
      </c>
      <c r="B16" s="103" t="s">
        <v>205</v>
      </c>
      <c r="C16" s="104">
        <v>1</v>
      </c>
      <c r="D16" s="104">
        <v>1</v>
      </c>
      <c r="E16" s="105">
        <v>8500</v>
      </c>
      <c r="F16" s="106" t="s">
        <v>296</v>
      </c>
      <c r="G16" s="107" t="s">
        <v>264</v>
      </c>
    </row>
    <row r="17" spans="1:7" x14ac:dyDescent="0.2">
      <c r="A17" s="123" t="s">
        <v>188</v>
      </c>
      <c r="B17" s="124"/>
      <c r="C17" s="112">
        <v>1</v>
      </c>
      <c r="D17" s="112">
        <v>1</v>
      </c>
      <c r="E17" s="125">
        <v>180000</v>
      </c>
      <c r="F17" s="110">
        <f t="shared" ref="F17" si="1">C17*D17*E17</f>
        <v>180000</v>
      </c>
      <c r="G17" s="107" t="s">
        <v>275</v>
      </c>
    </row>
    <row r="18" spans="1:7" ht="16.5" customHeight="1" x14ac:dyDescent="0.2">
      <c r="A18" s="108" t="s">
        <v>297</v>
      </c>
      <c r="B18" s="111"/>
      <c r="C18" s="112">
        <v>1</v>
      </c>
      <c r="D18" s="112">
        <v>25</v>
      </c>
      <c r="E18" s="110">
        <v>1500</v>
      </c>
      <c r="F18" s="110">
        <f t="shared" ref="F18:F23" si="2">C18*D18*E18</f>
        <v>37500</v>
      </c>
      <c r="G18" s="107" t="s">
        <v>298</v>
      </c>
    </row>
    <row r="19" spans="1:7" x14ac:dyDescent="0.2">
      <c r="A19" s="126" t="s">
        <v>273</v>
      </c>
      <c r="B19" s="127"/>
      <c r="C19" s="104">
        <v>1</v>
      </c>
      <c r="D19" s="128">
        <v>25</v>
      </c>
      <c r="E19" s="114">
        <v>3850</v>
      </c>
      <c r="F19" s="110">
        <f t="shared" si="2"/>
        <v>96250</v>
      </c>
      <c r="G19" s="130" t="s">
        <v>173</v>
      </c>
    </row>
    <row r="20" spans="1:7" ht="16.5" customHeight="1" x14ac:dyDescent="0.2">
      <c r="A20" s="108" t="s">
        <v>121</v>
      </c>
      <c r="B20" s="109" t="s">
        <v>206</v>
      </c>
      <c r="C20" s="104">
        <v>1</v>
      </c>
      <c r="D20" s="128">
        <v>25</v>
      </c>
      <c r="E20" s="110">
        <v>15000</v>
      </c>
      <c r="F20" s="110">
        <f t="shared" si="2"/>
        <v>375000</v>
      </c>
      <c r="G20" s="107" t="s">
        <v>114</v>
      </c>
    </row>
    <row r="21" spans="1:7" x14ac:dyDescent="0.2">
      <c r="A21" s="108" t="s">
        <v>271</v>
      </c>
      <c r="B21" s="111"/>
      <c r="C21" s="104">
        <v>1</v>
      </c>
      <c r="D21" s="128">
        <v>25</v>
      </c>
      <c r="E21" s="110">
        <v>1500</v>
      </c>
      <c r="F21" s="110">
        <f t="shared" si="2"/>
        <v>37500</v>
      </c>
      <c r="G21" s="107" t="s">
        <v>262</v>
      </c>
    </row>
    <row r="22" spans="1:7" ht="16.5" customHeight="1" x14ac:dyDescent="0.2">
      <c r="A22" s="108" t="s">
        <v>297</v>
      </c>
      <c r="B22" s="111"/>
      <c r="C22" s="104">
        <v>1</v>
      </c>
      <c r="D22" s="128">
        <v>25</v>
      </c>
      <c r="E22" s="110">
        <v>1500</v>
      </c>
      <c r="F22" s="110">
        <f t="shared" si="2"/>
        <v>37500</v>
      </c>
      <c r="G22" s="107" t="s">
        <v>298</v>
      </c>
    </row>
    <row r="23" spans="1:7" x14ac:dyDescent="0.2">
      <c r="A23" s="126" t="s">
        <v>273</v>
      </c>
      <c r="B23" s="127"/>
      <c r="C23" s="104">
        <v>1</v>
      </c>
      <c r="D23" s="128">
        <v>25</v>
      </c>
      <c r="E23" s="114">
        <v>3850</v>
      </c>
      <c r="F23" s="110">
        <f t="shared" si="2"/>
        <v>96250</v>
      </c>
      <c r="G23" s="130" t="s">
        <v>173</v>
      </c>
    </row>
    <row r="24" spans="1:7" x14ac:dyDescent="0.2">
      <c r="A24" s="113" t="s">
        <v>122</v>
      </c>
      <c r="B24" s="109" t="s">
        <v>207</v>
      </c>
      <c r="C24" s="104">
        <v>1</v>
      </c>
      <c r="D24" s="128">
        <v>25</v>
      </c>
      <c r="E24" s="114">
        <v>15000</v>
      </c>
      <c r="F24" s="106">
        <f t="shared" ref="F24:F27" si="3">C24*D24*E24</f>
        <v>375000</v>
      </c>
      <c r="G24" s="107" t="s">
        <v>265</v>
      </c>
    </row>
    <row r="25" spans="1:7" x14ac:dyDescent="0.2">
      <c r="A25" s="108" t="s">
        <v>271</v>
      </c>
      <c r="B25" s="111"/>
      <c r="C25" s="104">
        <v>1</v>
      </c>
      <c r="D25" s="128">
        <v>25</v>
      </c>
      <c r="E25" s="110">
        <v>1500</v>
      </c>
      <c r="F25" s="110">
        <f t="shared" si="3"/>
        <v>37500</v>
      </c>
      <c r="G25" s="107" t="s">
        <v>262</v>
      </c>
    </row>
    <row r="26" spans="1:7" x14ac:dyDescent="0.2">
      <c r="A26" s="115" t="s">
        <v>150</v>
      </c>
      <c r="B26" s="116"/>
      <c r="C26" s="117">
        <v>1</v>
      </c>
      <c r="D26" s="117">
        <v>1</v>
      </c>
      <c r="E26" s="118">
        <v>99000</v>
      </c>
      <c r="F26" s="118">
        <f t="shared" si="3"/>
        <v>99000</v>
      </c>
      <c r="G26" s="115" t="s">
        <v>263</v>
      </c>
    </row>
    <row r="27" spans="1:7" x14ac:dyDescent="0.2">
      <c r="A27" s="115" t="s">
        <v>151</v>
      </c>
      <c r="B27" s="116"/>
      <c r="C27" s="117">
        <v>1</v>
      </c>
      <c r="D27" s="117">
        <v>12</v>
      </c>
      <c r="E27" s="118">
        <v>113500</v>
      </c>
      <c r="F27" s="118">
        <f t="shared" si="3"/>
        <v>1362000</v>
      </c>
      <c r="G27" s="115" t="s">
        <v>237</v>
      </c>
    </row>
    <row r="28" spans="1:7" ht="16.5" customHeight="1" thickBot="1" x14ac:dyDescent="0.25">
      <c r="A28" s="2" t="s">
        <v>92</v>
      </c>
      <c r="B28" s="83"/>
      <c r="C28" s="34"/>
      <c r="D28" s="24"/>
      <c r="E28" s="7"/>
      <c r="F28" s="5">
        <f>SUM(F16:F27)</f>
        <v>2733500</v>
      </c>
      <c r="G28" s="33" t="s">
        <v>2</v>
      </c>
    </row>
    <row r="29" spans="1:7" ht="16.5" customHeight="1" x14ac:dyDescent="0.2">
      <c r="A29" s="144" t="s">
        <v>304</v>
      </c>
      <c r="B29" s="145"/>
      <c r="C29" s="146" t="s">
        <v>124</v>
      </c>
      <c r="D29" s="146" t="s">
        <v>7</v>
      </c>
      <c r="E29" s="146" t="s">
        <v>0</v>
      </c>
      <c r="F29" s="146" t="s">
        <v>1</v>
      </c>
      <c r="G29" s="147" t="s">
        <v>8</v>
      </c>
    </row>
    <row r="30" spans="1:7" ht="16.5" customHeight="1" x14ac:dyDescent="0.2">
      <c r="A30" s="102" t="s">
        <v>10</v>
      </c>
      <c r="B30" s="103"/>
      <c r="C30" s="104">
        <v>1</v>
      </c>
      <c r="D30" s="104">
        <v>25</v>
      </c>
      <c r="E30" s="105">
        <v>9500</v>
      </c>
      <c r="F30" s="106" t="s">
        <v>127</v>
      </c>
      <c r="G30" s="107" t="s">
        <v>264</v>
      </c>
    </row>
    <row r="31" spans="1:7" x14ac:dyDescent="0.2">
      <c r="A31" s="123" t="s">
        <v>188</v>
      </c>
      <c r="B31" s="124"/>
      <c r="C31" s="112">
        <v>1</v>
      </c>
      <c r="D31" s="112">
        <v>1</v>
      </c>
      <c r="E31" s="125">
        <v>180000</v>
      </c>
      <c r="F31" s="110">
        <f t="shared" ref="F31:F37" si="4">C31*D31*E31</f>
        <v>180000</v>
      </c>
      <c r="G31" s="107" t="s">
        <v>275</v>
      </c>
    </row>
    <row r="32" spans="1:7" ht="16.5" customHeight="1" x14ac:dyDescent="0.2">
      <c r="A32" s="108" t="s">
        <v>297</v>
      </c>
      <c r="B32" s="111"/>
      <c r="C32" s="112">
        <v>1</v>
      </c>
      <c r="D32" s="112">
        <v>25</v>
      </c>
      <c r="E32" s="110">
        <v>1500</v>
      </c>
      <c r="F32" s="110">
        <f t="shared" si="4"/>
        <v>37500</v>
      </c>
      <c r="G32" s="107" t="s">
        <v>298</v>
      </c>
    </row>
    <row r="33" spans="1:7" x14ac:dyDescent="0.2">
      <c r="A33" s="126" t="s">
        <v>273</v>
      </c>
      <c r="B33" s="127"/>
      <c r="C33" s="104">
        <v>1</v>
      </c>
      <c r="D33" s="128">
        <v>25</v>
      </c>
      <c r="E33" s="114">
        <v>3850</v>
      </c>
      <c r="F33" s="110">
        <f t="shared" si="4"/>
        <v>96250</v>
      </c>
      <c r="G33" s="130" t="s">
        <v>173</v>
      </c>
    </row>
    <row r="34" spans="1:7" ht="16.5" customHeight="1" x14ac:dyDescent="0.2">
      <c r="A34" s="108" t="s">
        <v>121</v>
      </c>
      <c r="B34" s="109"/>
      <c r="C34" s="104">
        <v>1</v>
      </c>
      <c r="D34" s="128">
        <v>25</v>
      </c>
      <c r="E34" s="110">
        <v>15000</v>
      </c>
      <c r="F34" s="110">
        <f t="shared" si="4"/>
        <v>375000</v>
      </c>
      <c r="G34" s="107" t="s">
        <v>114</v>
      </c>
    </row>
    <row r="35" spans="1:7" ht="16.5" customHeight="1" x14ac:dyDescent="0.2">
      <c r="A35" s="108" t="s">
        <v>297</v>
      </c>
      <c r="B35" s="111"/>
      <c r="C35" s="104">
        <v>1</v>
      </c>
      <c r="D35" s="128">
        <v>25</v>
      </c>
      <c r="E35" s="110">
        <v>1500</v>
      </c>
      <c r="F35" s="110">
        <f t="shared" si="4"/>
        <v>37500</v>
      </c>
      <c r="G35" s="107" t="s">
        <v>298</v>
      </c>
    </row>
    <row r="36" spans="1:7" x14ac:dyDescent="0.2">
      <c r="A36" s="126" t="s">
        <v>273</v>
      </c>
      <c r="B36" s="127"/>
      <c r="C36" s="104">
        <v>1</v>
      </c>
      <c r="D36" s="128">
        <v>25</v>
      </c>
      <c r="E36" s="114">
        <v>3850</v>
      </c>
      <c r="F36" s="110">
        <f t="shared" si="4"/>
        <v>96250</v>
      </c>
      <c r="G36" s="130" t="s">
        <v>173</v>
      </c>
    </row>
    <row r="37" spans="1:7" x14ac:dyDescent="0.2">
      <c r="A37" s="108" t="s">
        <v>271</v>
      </c>
      <c r="B37" s="111"/>
      <c r="C37" s="104">
        <v>1</v>
      </c>
      <c r="D37" s="128">
        <v>25</v>
      </c>
      <c r="E37" s="110">
        <v>1500</v>
      </c>
      <c r="F37" s="110">
        <f t="shared" si="4"/>
        <v>37500</v>
      </c>
      <c r="G37" s="107" t="s">
        <v>262</v>
      </c>
    </row>
    <row r="38" spans="1:7" x14ac:dyDescent="0.2">
      <c r="A38" s="148" t="s">
        <v>255</v>
      </c>
      <c r="B38" s="149" t="s">
        <v>258</v>
      </c>
      <c r="C38" s="150"/>
      <c r="D38" s="150"/>
      <c r="E38" s="151"/>
      <c r="F38" s="151"/>
      <c r="G38" s="148" t="s">
        <v>256</v>
      </c>
    </row>
    <row r="39" spans="1:7" x14ac:dyDescent="0.2">
      <c r="A39" s="115" t="s">
        <v>249</v>
      </c>
      <c r="B39" s="116" t="s">
        <v>253</v>
      </c>
      <c r="C39" s="117">
        <v>0</v>
      </c>
      <c r="D39" s="117">
        <v>0</v>
      </c>
      <c r="E39" s="118">
        <v>0</v>
      </c>
      <c r="F39" s="118">
        <f t="shared" ref="F39:F40" si="5">C39*D39*E39</f>
        <v>0</v>
      </c>
      <c r="G39" s="119" t="s">
        <v>251</v>
      </c>
    </row>
    <row r="40" spans="1:7" x14ac:dyDescent="0.2">
      <c r="A40" s="115" t="s">
        <v>245</v>
      </c>
      <c r="B40" s="116" t="s">
        <v>253</v>
      </c>
      <c r="C40" s="117">
        <v>0</v>
      </c>
      <c r="D40" s="117">
        <v>0</v>
      </c>
      <c r="E40" s="118">
        <v>0</v>
      </c>
      <c r="F40" s="118">
        <f t="shared" si="5"/>
        <v>0</v>
      </c>
      <c r="G40" s="119" t="s">
        <v>252</v>
      </c>
    </row>
    <row r="41" spans="1:7" x14ac:dyDescent="0.2">
      <c r="A41" s="115" t="s">
        <v>246</v>
      </c>
      <c r="B41" s="116" t="s">
        <v>254</v>
      </c>
      <c r="C41" s="117">
        <v>0</v>
      </c>
      <c r="D41" s="117">
        <v>0</v>
      </c>
      <c r="E41" s="118">
        <v>0</v>
      </c>
      <c r="F41" s="118">
        <f t="shared" ref="F41:F42" si="6">C41*D41*E41</f>
        <v>0</v>
      </c>
      <c r="G41" s="119" t="s">
        <v>250</v>
      </c>
    </row>
    <row r="42" spans="1:7" x14ac:dyDescent="0.2">
      <c r="A42" s="115" t="s">
        <v>247</v>
      </c>
      <c r="B42" s="116" t="s">
        <v>254</v>
      </c>
      <c r="C42" s="117">
        <v>0</v>
      </c>
      <c r="D42" s="117">
        <v>0</v>
      </c>
      <c r="E42" s="118">
        <v>0</v>
      </c>
      <c r="F42" s="118">
        <f t="shared" si="6"/>
        <v>0</v>
      </c>
      <c r="G42" s="115" t="s">
        <v>248</v>
      </c>
    </row>
    <row r="43" spans="1:7" ht="16.5" customHeight="1" thickBot="1" x14ac:dyDescent="0.25">
      <c r="A43" s="2" t="s">
        <v>92</v>
      </c>
      <c r="B43" s="83"/>
      <c r="C43" s="34"/>
      <c r="D43" s="24"/>
      <c r="E43" s="7"/>
      <c r="F43" s="5">
        <f>SUM(F30:F37)</f>
        <v>860000</v>
      </c>
      <c r="G43" s="33" t="s">
        <v>2</v>
      </c>
    </row>
    <row r="44" spans="1:7" ht="17" thickBot="1" x14ac:dyDescent="0.25">
      <c r="A44" s="37" t="s">
        <v>257</v>
      </c>
      <c r="B44" s="85"/>
      <c r="C44" s="38"/>
      <c r="D44" s="38"/>
      <c r="E44" s="39"/>
      <c r="F44" s="40">
        <f>F14+F28+F43</f>
        <v>5467000</v>
      </c>
      <c r="G44" s="6" t="s">
        <v>148</v>
      </c>
    </row>
    <row r="45" spans="1:7" x14ac:dyDescent="0.2">
      <c r="A45" s="3" t="s">
        <v>149</v>
      </c>
      <c r="B45" s="84"/>
      <c r="C45" s="32"/>
      <c r="D45" s="24"/>
      <c r="E45" s="7"/>
      <c r="F45" s="5">
        <f>F44*1.19-F44</f>
        <v>1038730</v>
      </c>
      <c r="G45" s="6"/>
    </row>
    <row r="46" spans="1:7" x14ac:dyDescent="0.2">
      <c r="A46" s="87" t="s">
        <v>291</v>
      </c>
      <c r="B46" s="88"/>
      <c r="C46" s="89"/>
      <c r="D46" s="89"/>
      <c r="E46" s="90"/>
      <c r="F46" s="91">
        <f>F44+F45</f>
        <v>6505730</v>
      </c>
      <c r="G46" s="6"/>
    </row>
    <row r="47" spans="1:7" x14ac:dyDescent="0.2">
      <c r="A47" s="3"/>
      <c r="B47" s="84"/>
      <c r="C47" s="32"/>
      <c r="D47" s="24"/>
      <c r="E47" s="7"/>
      <c r="F47" s="4"/>
      <c r="G47" s="6"/>
    </row>
    <row r="48" spans="1:7" x14ac:dyDescent="0.2">
      <c r="A48" s="195" t="s">
        <v>299</v>
      </c>
      <c r="B48" s="195"/>
      <c r="C48" s="195"/>
      <c r="D48" s="195"/>
      <c r="E48" s="196"/>
      <c r="F48" s="197"/>
      <c r="G48" s="198"/>
    </row>
    <row r="49" spans="1:7" ht="15" customHeight="1" x14ac:dyDescent="0.2">
      <c r="A49" s="140" t="s">
        <v>164</v>
      </c>
      <c r="B49" s="141"/>
      <c r="C49" s="112">
        <v>0</v>
      </c>
      <c r="D49" s="112">
        <v>0</v>
      </c>
      <c r="E49" s="110">
        <v>680000</v>
      </c>
      <c r="F49" s="122">
        <f t="shared" ref="F49" si="7">C49*D49*E49</f>
        <v>0</v>
      </c>
      <c r="G49" s="107" t="s">
        <v>300</v>
      </c>
    </row>
    <row r="50" spans="1:7" x14ac:dyDescent="0.2">
      <c r="A50" s="190" t="s">
        <v>301</v>
      </c>
      <c r="B50" s="191"/>
      <c r="C50" s="192"/>
      <c r="D50" s="192"/>
      <c r="E50" s="193">
        <v>80000</v>
      </c>
      <c r="F50" s="193"/>
      <c r="G50" s="194" t="s">
        <v>302</v>
      </c>
    </row>
    <row r="51" spans="1:7" x14ac:dyDescent="0.2">
      <c r="A51" s="107" t="s">
        <v>197</v>
      </c>
      <c r="B51" s="139"/>
      <c r="C51" s="112">
        <v>0</v>
      </c>
      <c r="D51" s="112">
        <v>0</v>
      </c>
      <c r="E51" s="118">
        <v>280000</v>
      </c>
      <c r="F51" s="110">
        <f t="shared" ref="F51" si="8">C51*D51*E51</f>
        <v>0</v>
      </c>
      <c r="G51" s="107" t="s">
        <v>303</v>
      </c>
    </row>
    <row r="52" spans="1:7" x14ac:dyDescent="0.2">
      <c r="A52" s="3"/>
      <c r="B52" s="84"/>
      <c r="C52" s="32"/>
      <c r="D52" s="24"/>
      <c r="E52" s="7"/>
      <c r="F52" s="4"/>
      <c r="G52" s="6"/>
    </row>
    <row r="53" spans="1:7" x14ac:dyDescent="0.2">
      <c r="A53" s="3"/>
      <c r="B53" s="84"/>
      <c r="C53" s="32"/>
      <c r="D53" s="24"/>
      <c r="E53" s="7"/>
      <c r="F53" s="4"/>
      <c r="G53" s="6"/>
    </row>
    <row r="54" spans="1:7" x14ac:dyDescent="0.2">
      <c r="A54" s="3"/>
      <c r="B54" s="84"/>
      <c r="C54" s="32"/>
      <c r="D54" s="24"/>
      <c r="E54" s="7"/>
      <c r="F54" s="4"/>
      <c r="G54" s="6"/>
    </row>
    <row r="55" spans="1:7" x14ac:dyDescent="0.2">
      <c r="A55" s="3"/>
      <c r="B55" s="84"/>
      <c r="C55" s="32"/>
      <c r="D55" s="24"/>
      <c r="E55" s="7"/>
      <c r="F55" s="4"/>
      <c r="G55" s="6"/>
    </row>
    <row r="56" spans="1:7" x14ac:dyDescent="0.2">
      <c r="A56" s="3"/>
      <c r="B56" s="84"/>
      <c r="C56" s="32"/>
      <c r="D56" s="24"/>
      <c r="E56" s="7"/>
      <c r="F56" s="4"/>
      <c r="G56" s="6"/>
    </row>
    <row r="57" spans="1:7" ht="19" x14ac:dyDescent="0.2">
      <c r="A57" s="93" t="s">
        <v>210</v>
      </c>
      <c r="B57"/>
      <c r="E57" s="78"/>
      <c r="F57" s="78"/>
      <c r="G57" s="78"/>
    </row>
    <row r="58" spans="1:7" ht="19" x14ac:dyDescent="0.2">
      <c r="A58" s="92" t="s">
        <v>211</v>
      </c>
      <c r="B58"/>
      <c r="E58" s="77"/>
      <c r="F58" s="77"/>
      <c r="G58" s="77"/>
    </row>
    <row r="59" spans="1:7" ht="17" x14ac:dyDescent="0.2">
      <c r="A59" s="78" t="s">
        <v>212</v>
      </c>
      <c r="B59"/>
    </row>
    <row r="60" spans="1:7" ht="17" x14ac:dyDescent="0.2">
      <c r="A60" s="78"/>
      <c r="B60"/>
    </row>
    <row r="61" spans="1:7" ht="19" x14ac:dyDescent="0.2">
      <c r="A61" s="93" t="s">
        <v>152</v>
      </c>
      <c r="B61"/>
    </row>
    <row r="62" spans="1:7" ht="17" x14ac:dyDescent="0.2">
      <c r="A62" s="78" t="s">
        <v>213</v>
      </c>
      <c r="B62"/>
    </row>
    <row r="63" spans="1:7" ht="17" x14ac:dyDescent="0.2">
      <c r="A63" s="78" t="s">
        <v>214</v>
      </c>
      <c r="B63"/>
    </row>
    <row r="64" spans="1:7" ht="17" x14ac:dyDescent="0.2">
      <c r="A64" s="78" t="s">
        <v>215</v>
      </c>
      <c r="B64"/>
    </row>
    <row r="65" spans="1:6" ht="17" x14ac:dyDescent="0.2">
      <c r="A65" s="76" t="s">
        <v>153</v>
      </c>
      <c r="B65"/>
    </row>
    <row r="66" spans="1:6" ht="17" x14ac:dyDescent="0.2">
      <c r="A66" s="78" t="s">
        <v>216</v>
      </c>
      <c r="B66"/>
    </row>
    <row r="67" spans="1:6" ht="17" x14ac:dyDescent="0.2">
      <c r="A67" s="78" t="s">
        <v>154</v>
      </c>
      <c r="B67"/>
    </row>
    <row r="68" spans="1:6" ht="17" x14ac:dyDescent="0.2">
      <c r="A68" s="76" t="s">
        <v>217</v>
      </c>
      <c r="B68"/>
    </row>
    <row r="69" spans="1:6" ht="17" x14ac:dyDescent="0.2">
      <c r="A69" s="78" t="s">
        <v>155</v>
      </c>
      <c r="B69"/>
    </row>
    <row r="70" spans="1:6" ht="17" x14ac:dyDescent="0.2">
      <c r="A70" s="78" t="s">
        <v>156</v>
      </c>
      <c r="B70"/>
    </row>
    <row r="71" spans="1:6" ht="17" x14ac:dyDescent="0.2">
      <c r="A71" s="78" t="s">
        <v>157</v>
      </c>
      <c r="B71"/>
    </row>
    <row r="72" spans="1:6" ht="17" x14ac:dyDescent="0.2">
      <c r="A72" s="78" t="s">
        <v>158</v>
      </c>
      <c r="B72"/>
    </row>
    <row r="73" spans="1:6" ht="17" x14ac:dyDescent="0.2">
      <c r="A73" s="78" t="s">
        <v>159</v>
      </c>
      <c r="B73"/>
    </row>
    <row r="74" spans="1:6" ht="17" x14ac:dyDescent="0.2">
      <c r="A74" s="78" t="s">
        <v>160</v>
      </c>
      <c r="B74"/>
    </row>
    <row r="75" spans="1:6" ht="17" x14ac:dyDescent="0.2">
      <c r="A75" s="78"/>
      <c r="B75"/>
    </row>
    <row r="76" spans="1:6" ht="17" x14ac:dyDescent="0.2">
      <c r="A76" s="120" t="s">
        <v>259</v>
      </c>
      <c r="B76"/>
    </row>
    <row r="77" spans="1:6" ht="17" x14ac:dyDescent="0.2">
      <c r="A77" s="78" t="s">
        <v>218</v>
      </c>
      <c r="B77" s="78" t="s">
        <v>219</v>
      </c>
      <c r="D77" s="78" t="s">
        <v>220</v>
      </c>
      <c r="F77" s="78" t="s">
        <v>221</v>
      </c>
    </row>
    <row r="78" spans="1:6" ht="17" x14ac:dyDescent="0.2">
      <c r="A78" s="78" t="s">
        <v>224</v>
      </c>
      <c r="B78" s="78" t="s">
        <v>225</v>
      </c>
      <c r="D78" s="78" t="s">
        <v>222</v>
      </c>
      <c r="F78" s="78" t="s">
        <v>223</v>
      </c>
    </row>
    <row r="79" spans="1:6" ht="17" x14ac:dyDescent="0.2">
      <c r="A79" s="78" t="s">
        <v>226</v>
      </c>
      <c r="B79" s="78" t="s">
        <v>227</v>
      </c>
      <c r="D79" s="78" t="s">
        <v>228</v>
      </c>
      <c r="F79" s="78" t="s">
        <v>229</v>
      </c>
    </row>
    <row r="80" spans="1:6" ht="17" x14ac:dyDescent="0.2">
      <c r="A80" s="78" t="s">
        <v>5</v>
      </c>
      <c r="B80" s="78" t="s">
        <v>231</v>
      </c>
      <c r="D80" s="94" t="s">
        <v>230</v>
      </c>
    </row>
    <row r="81" spans="1:7" ht="18" thickBot="1" x14ac:dyDescent="0.25">
      <c r="A81" s="78"/>
      <c r="B81"/>
    </row>
    <row r="82" spans="1:7" ht="16" customHeight="1" x14ac:dyDescent="0.2">
      <c r="A82" s="152" t="s">
        <v>123</v>
      </c>
      <c r="B82" s="153" t="s">
        <v>180</v>
      </c>
      <c r="C82" s="154" t="s">
        <v>89</v>
      </c>
      <c r="D82" s="154" t="s">
        <v>7</v>
      </c>
      <c r="E82" s="154" t="s">
        <v>6</v>
      </c>
      <c r="F82" s="154" t="s">
        <v>90</v>
      </c>
      <c r="G82" s="155" t="s">
        <v>8</v>
      </c>
    </row>
    <row r="83" spans="1:7" ht="16" customHeight="1" x14ac:dyDescent="0.2">
      <c r="A83" s="107" t="s">
        <v>209</v>
      </c>
      <c r="B83" s="121"/>
      <c r="C83" s="112">
        <v>0</v>
      </c>
      <c r="D83" s="112">
        <v>0</v>
      </c>
      <c r="E83" s="122">
        <v>200000</v>
      </c>
      <c r="F83" s="122">
        <f>C83*D83*E83</f>
        <v>0</v>
      </c>
      <c r="G83" s="107" t="s">
        <v>260</v>
      </c>
    </row>
    <row r="84" spans="1:7" x14ac:dyDescent="0.2">
      <c r="A84" s="123" t="s">
        <v>91</v>
      </c>
      <c r="B84" s="124"/>
      <c r="C84" s="112">
        <v>0</v>
      </c>
      <c r="D84" s="112">
        <v>0</v>
      </c>
      <c r="E84" s="110">
        <v>12000</v>
      </c>
      <c r="F84" s="110">
        <f t="shared" ref="F84:F97" si="9">C84*D84*E84</f>
        <v>0</v>
      </c>
      <c r="G84" s="107" t="s">
        <v>267</v>
      </c>
    </row>
    <row r="85" spans="1:7" x14ac:dyDescent="0.2">
      <c r="A85" s="123" t="s">
        <v>93</v>
      </c>
      <c r="B85" s="124"/>
      <c r="C85" s="112">
        <v>0</v>
      </c>
      <c r="D85" s="112">
        <v>0</v>
      </c>
      <c r="E85" s="110">
        <v>26000</v>
      </c>
      <c r="F85" s="110">
        <f t="shared" si="9"/>
        <v>0</v>
      </c>
      <c r="G85" s="107" t="s">
        <v>118</v>
      </c>
    </row>
    <row r="86" spans="1:7" x14ac:dyDescent="0.2">
      <c r="A86" s="123" t="s">
        <v>94</v>
      </c>
      <c r="B86" s="124"/>
      <c r="C86" s="112">
        <v>0</v>
      </c>
      <c r="D86" s="112">
        <v>0</v>
      </c>
      <c r="E86" s="110">
        <v>35000</v>
      </c>
      <c r="F86" s="110">
        <f t="shared" si="9"/>
        <v>0</v>
      </c>
      <c r="G86" s="107" t="s">
        <v>118</v>
      </c>
    </row>
    <row r="87" spans="1:7" x14ac:dyDescent="0.2">
      <c r="A87" s="123" t="s">
        <v>120</v>
      </c>
      <c r="B87" s="124"/>
      <c r="C87" s="112">
        <v>0</v>
      </c>
      <c r="D87" s="112">
        <v>0</v>
      </c>
      <c r="E87" s="110">
        <v>10000</v>
      </c>
      <c r="F87" s="110">
        <f t="shared" si="9"/>
        <v>0</v>
      </c>
      <c r="G87" s="107"/>
    </row>
    <row r="88" spans="1:7" x14ac:dyDescent="0.2">
      <c r="A88" s="123" t="s">
        <v>177</v>
      </c>
      <c r="B88" s="124"/>
      <c r="C88" s="112">
        <v>0</v>
      </c>
      <c r="D88" s="112">
        <v>0</v>
      </c>
      <c r="E88" s="110">
        <v>4500</v>
      </c>
      <c r="F88" s="110">
        <f t="shared" si="9"/>
        <v>0</v>
      </c>
      <c r="G88" s="107" t="s">
        <v>178</v>
      </c>
    </row>
    <row r="89" spans="1:7" x14ac:dyDescent="0.2">
      <c r="A89" s="123" t="s">
        <v>202</v>
      </c>
      <c r="B89" s="124"/>
      <c r="C89" s="112">
        <v>0</v>
      </c>
      <c r="D89" s="112">
        <v>0</v>
      </c>
      <c r="E89" s="110">
        <v>5000</v>
      </c>
      <c r="F89" s="110">
        <f t="shared" ref="F89:F90" si="10">C89*D89*E89</f>
        <v>0</v>
      </c>
      <c r="G89" s="107" t="s">
        <v>268</v>
      </c>
    </row>
    <row r="90" spans="1:7" x14ac:dyDescent="0.2">
      <c r="A90" s="123" t="s">
        <v>203</v>
      </c>
      <c r="B90" s="124"/>
      <c r="C90" s="112">
        <v>0</v>
      </c>
      <c r="D90" s="112">
        <v>0</v>
      </c>
      <c r="E90" s="110">
        <v>5000</v>
      </c>
      <c r="F90" s="110">
        <f t="shared" si="10"/>
        <v>0</v>
      </c>
      <c r="G90" s="107" t="s">
        <v>269</v>
      </c>
    </row>
    <row r="91" spans="1:7" x14ac:dyDescent="0.2">
      <c r="A91" s="123" t="s">
        <v>176</v>
      </c>
      <c r="B91" s="124"/>
      <c r="C91" s="112">
        <v>0</v>
      </c>
      <c r="D91" s="112">
        <v>0</v>
      </c>
      <c r="E91" s="110">
        <v>3000</v>
      </c>
      <c r="F91" s="110">
        <f t="shared" ref="F91" si="11">C91*D91*E91</f>
        <v>0</v>
      </c>
      <c r="G91" s="107" t="s">
        <v>270</v>
      </c>
    </row>
    <row r="92" spans="1:7" x14ac:dyDescent="0.2">
      <c r="A92" s="123" t="s">
        <v>119</v>
      </c>
      <c r="B92" s="124"/>
      <c r="C92" s="112">
        <v>0</v>
      </c>
      <c r="D92" s="112">
        <v>0</v>
      </c>
      <c r="E92" s="110">
        <v>16000</v>
      </c>
      <c r="F92" s="110">
        <f t="shared" si="9"/>
        <v>0</v>
      </c>
      <c r="G92" s="107" t="s">
        <v>145</v>
      </c>
    </row>
    <row r="93" spans="1:7" x14ac:dyDescent="0.2">
      <c r="A93" s="123" t="s">
        <v>11</v>
      </c>
      <c r="B93" s="124"/>
      <c r="C93" s="112">
        <v>0</v>
      </c>
      <c r="D93" s="112">
        <v>0</v>
      </c>
      <c r="E93" s="110">
        <v>7000</v>
      </c>
      <c r="F93" s="110">
        <f t="shared" si="9"/>
        <v>0</v>
      </c>
      <c r="G93" s="107" t="s">
        <v>182</v>
      </c>
    </row>
    <row r="94" spans="1:7" x14ac:dyDescent="0.2">
      <c r="A94" s="157" t="s">
        <v>271</v>
      </c>
      <c r="B94" s="158"/>
      <c r="C94" s="117">
        <v>0</v>
      </c>
      <c r="D94" s="117">
        <v>0</v>
      </c>
      <c r="E94" s="118">
        <v>1500</v>
      </c>
      <c r="F94" s="118">
        <f t="shared" si="9"/>
        <v>0</v>
      </c>
      <c r="G94" s="115" t="s">
        <v>262</v>
      </c>
    </row>
    <row r="95" spans="1:7" x14ac:dyDescent="0.2">
      <c r="A95" s="159" t="s">
        <v>183</v>
      </c>
      <c r="B95" s="160"/>
      <c r="C95" s="117">
        <v>0</v>
      </c>
      <c r="D95" s="117">
        <v>0</v>
      </c>
      <c r="E95" s="118">
        <v>3000</v>
      </c>
      <c r="F95" s="118">
        <f t="shared" si="9"/>
        <v>0</v>
      </c>
      <c r="G95" s="115"/>
    </row>
    <row r="96" spans="1:7" x14ac:dyDescent="0.2">
      <c r="A96" s="159" t="s">
        <v>272</v>
      </c>
      <c r="B96" s="160"/>
      <c r="C96" s="117">
        <v>0</v>
      </c>
      <c r="D96" s="117">
        <v>0</v>
      </c>
      <c r="E96" s="118">
        <v>1000</v>
      </c>
      <c r="F96" s="118">
        <f t="shared" ref="F96" si="12">C96*D96*E96</f>
        <v>0</v>
      </c>
      <c r="G96" s="115" t="s">
        <v>184</v>
      </c>
    </row>
    <row r="97" spans="1:7" x14ac:dyDescent="0.2">
      <c r="A97" s="159" t="s">
        <v>279</v>
      </c>
      <c r="B97" s="160"/>
      <c r="C97" s="117">
        <v>0</v>
      </c>
      <c r="D97" s="117">
        <v>0</v>
      </c>
      <c r="E97" s="118">
        <v>3000</v>
      </c>
      <c r="F97" s="118">
        <f t="shared" si="9"/>
        <v>0</v>
      </c>
      <c r="G97" s="115" t="s">
        <v>9</v>
      </c>
    </row>
    <row r="98" spans="1:7" x14ac:dyDescent="0.2">
      <c r="A98" s="159" t="s">
        <v>96</v>
      </c>
      <c r="B98" s="160"/>
      <c r="C98" s="117">
        <v>0</v>
      </c>
      <c r="D98" s="117">
        <v>0</v>
      </c>
      <c r="E98" s="161">
        <v>150000</v>
      </c>
      <c r="F98" s="118">
        <f t="shared" ref="F98:F105" si="13">C98*D98*E98</f>
        <v>0</v>
      </c>
      <c r="G98" s="115" t="s">
        <v>97</v>
      </c>
    </row>
    <row r="99" spans="1:7" x14ac:dyDescent="0.2">
      <c r="A99" s="123" t="s">
        <v>98</v>
      </c>
      <c r="B99" s="124"/>
      <c r="C99" s="112">
        <v>0</v>
      </c>
      <c r="D99" s="112">
        <v>0</v>
      </c>
      <c r="E99" s="125">
        <v>100000</v>
      </c>
      <c r="F99" s="110">
        <f t="shared" si="13"/>
        <v>0</v>
      </c>
      <c r="G99" s="107" t="s">
        <v>99</v>
      </c>
    </row>
    <row r="100" spans="1:7" x14ac:dyDescent="0.2">
      <c r="A100" s="126" t="s">
        <v>273</v>
      </c>
      <c r="B100" s="127"/>
      <c r="C100" s="104">
        <v>0</v>
      </c>
      <c r="D100" s="128">
        <v>0</v>
      </c>
      <c r="E100" s="114">
        <v>3850</v>
      </c>
      <c r="F100" s="129">
        <f>E100*D100*C100</f>
        <v>0</v>
      </c>
      <c r="G100" s="130" t="s">
        <v>173</v>
      </c>
    </row>
    <row r="101" spans="1:7" x14ac:dyDescent="0.2">
      <c r="A101" s="131" t="s">
        <v>115</v>
      </c>
      <c r="B101" s="132"/>
      <c r="C101" s="112">
        <v>0</v>
      </c>
      <c r="D101" s="112">
        <v>0</v>
      </c>
      <c r="E101" s="125">
        <v>4800</v>
      </c>
      <c r="F101" s="110">
        <f>C101*D101*E101</f>
        <v>0</v>
      </c>
      <c r="G101" s="123" t="s">
        <v>274</v>
      </c>
    </row>
    <row r="102" spans="1:7" x14ac:dyDescent="0.2">
      <c r="A102" s="131" t="s">
        <v>116</v>
      </c>
      <c r="B102" s="132"/>
      <c r="C102" s="112">
        <v>0</v>
      </c>
      <c r="D102" s="112">
        <v>0</v>
      </c>
      <c r="E102" s="125">
        <v>5500</v>
      </c>
      <c r="F102" s="110">
        <f>C102*D102*E102</f>
        <v>0</v>
      </c>
      <c r="G102" s="123" t="s">
        <v>175</v>
      </c>
    </row>
    <row r="103" spans="1:7" x14ac:dyDescent="0.2">
      <c r="A103" s="131" t="s">
        <v>117</v>
      </c>
      <c r="B103" s="132"/>
      <c r="C103" s="112">
        <v>0</v>
      </c>
      <c r="D103" s="112">
        <v>0</v>
      </c>
      <c r="E103" s="125">
        <v>7500</v>
      </c>
      <c r="F103" s="110">
        <f t="shared" si="13"/>
        <v>0</v>
      </c>
      <c r="G103" s="123" t="s">
        <v>174</v>
      </c>
    </row>
    <row r="104" spans="1:7" ht="15" customHeight="1" x14ac:dyDescent="0.2">
      <c r="A104" s="123" t="s">
        <v>201</v>
      </c>
      <c r="B104" s="124"/>
      <c r="C104" s="112">
        <v>0</v>
      </c>
      <c r="D104" s="112">
        <v>0</v>
      </c>
      <c r="E104" s="110">
        <v>8500</v>
      </c>
      <c r="F104" s="110">
        <f t="shared" si="13"/>
        <v>0</v>
      </c>
      <c r="G104" s="133" t="s">
        <v>282</v>
      </c>
    </row>
    <row r="105" spans="1:7" ht="15" customHeight="1" x14ac:dyDescent="0.2">
      <c r="A105" s="108" t="s">
        <v>185</v>
      </c>
      <c r="B105" s="111"/>
      <c r="C105" s="112">
        <v>0</v>
      </c>
      <c r="D105" s="112">
        <v>0</v>
      </c>
      <c r="E105" s="110">
        <v>13500</v>
      </c>
      <c r="F105" s="110">
        <f t="shared" si="13"/>
        <v>0</v>
      </c>
      <c r="G105" s="156" t="s">
        <v>146</v>
      </c>
    </row>
    <row r="106" spans="1:7" x14ac:dyDescent="0.2">
      <c r="A106" s="123" t="s">
        <v>95</v>
      </c>
      <c r="B106" s="124"/>
      <c r="C106" s="112">
        <v>0</v>
      </c>
      <c r="D106" s="112">
        <v>0</v>
      </c>
      <c r="E106" s="110">
        <v>2500</v>
      </c>
      <c r="F106" s="110">
        <f>C106*D106*E106</f>
        <v>0</v>
      </c>
      <c r="G106" s="107" t="s">
        <v>280</v>
      </c>
    </row>
    <row r="107" spans="1:7" x14ac:dyDescent="0.2">
      <c r="A107" s="123" t="s">
        <v>186</v>
      </c>
      <c r="B107" s="124"/>
      <c r="C107" s="112">
        <v>0</v>
      </c>
      <c r="D107" s="112">
        <v>0</v>
      </c>
      <c r="E107" s="125">
        <v>300000</v>
      </c>
      <c r="F107" s="110">
        <f>C107*D107*E107</f>
        <v>0</v>
      </c>
      <c r="G107" s="107" t="s">
        <v>275</v>
      </c>
    </row>
    <row r="108" spans="1:7" x14ac:dyDescent="0.2">
      <c r="A108" s="123" t="s">
        <v>187</v>
      </c>
      <c r="B108" s="124"/>
      <c r="C108" s="112">
        <v>0</v>
      </c>
      <c r="D108" s="112">
        <v>0</v>
      </c>
      <c r="E108" s="125">
        <v>250000</v>
      </c>
      <c r="F108" s="110">
        <f>C108*D108*E108</f>
        <v>0</v>
      </c>
      <c r="G108" s="107" t="s">
        <v>275</v>
      </c>
    </row>
    <row r="109" spans="1:7" x14ac:dyDescent="0.2">
      <c r="A109" s="123" t="s">
        <v>143</v>
      </c>
      <c r="B109" s="124"/>
      <c r="C109" s="112">
        <v>0</v>
      </c>
      <c r="D109" s="112">
        <v>0</v>
      </c>
      <c r="E109" s="125">
        <v>210000</v>
      </c>
      <c r="F109" s="110">
        <f t="shared" ref="F109:F125" si="14">C109*D109*E109</f>
        <v>0</v>
      </c>
      <c r="G109" s="107" t="s">
        <v>275</v>
      </c>
    </row>
    <row r="110" spans="1:7" x14ac:dyDescent="0.2">
      <c r="A110" s="123" t="s">
        <v>144</v>
      </c>
      <c r="B110" s="124"/>
      <c r="C110" s="112">
        <v>0</v>
      </c>
      <c r="D110" s="112">
        <v>0</v>
      </c>
      <c r="E110" s="125">
        <v>210000</v>
      </c>
      <c r="F110" s="110">
        <f t="shared" si="14"/>
        <v>0</v>
      </c>
      <c r="G110" s="107" t="s">
        <v>275</v>
      </c>
    </row>
    <row r="111" spans="1:7" x14ac:dyDescent="0.2">
      <c r="A111" s="123" t="s">
        <v>188</v>
      </c>
      <c r="B111" s="124"/>
      <c r="C111" s="112">
        <v>0</v>
      </c>
      <c r="D111" s="112">
        <v>0</v>
      </c>
      <c r="E111" s="125">
        <v>180000</v>
      </c>
      <c r="F111" s="110">
        <f t="shared" si="14"/>
        <v>0</v>
      </c>
      <c r="G111" s="107" t="s">
        <v>275</v>
      </c>
    </row>
    <row r="112" spans="1:7" x14ac:dyDescent="0.2">
      <c r="A112" s="123" t="s">
        <v>142</v>
      </c>
      <c r="B112" s="124"/>
      <c r="C112" s="112">
        <v>0</v>
      </c>
      <c r="D112" s="112">
        <v>0</v>
      </c>
      <c r="E112" s="125">
        <v>180000</v>
      </c>
      <c r="F112" s="110">
        <f t="shared" si="14"/>
        <v>0</v>
      </c>
      <c r="G112" s="107" t="s">
        <v>275</v>
      </c>
    </row>
    <row r="113" spans="1:7" x14ac:dyDescent="0.2">
      <c r="A113" s="123" t="s">
        <v>190</v>
      </c>
      <c r="B113" s="124"/>
      <c r="C113" s="112">
        <v>0</v>
      </c>
      <c r="D113" s="112">
        <v>0</v>
      </c>
      <c r="E113" s="118">
        <v>120000</v>
      </c>
      <c r="F113" s="110">
        <f t="shared" si="14"/>
        <v>0</v>
      </c>
      <c r="G113" s="107" t="s">
        <v>275</v>
      </c>
    </row>
    <row r="114" spans="1:7" x14ac:dyDescent="0.2">
      <c r="A114" s="123" t="s">
        <v>189</v>
      </c>
      <c r="B114" s="124"/>
      <c r="C114" s="112">
        <v>0</v>
      </c>
      <c r="D114" s="112">
        <v>0</v>
      </c>
      <c r="E114" s="118">
        <v>90000</v>
      </c>
      <c r="F114" s="110">
        <f t="shared" si="14"/>
        <v>0</v>
      </c>
      <c r="G114" s="107" t="s">
        <v>275</v>
      </c>
    </row>
    <row r="115" spans="1:7" x14ac:dyDescent="0.2">
      <c r="A115" s="123" t="s">
        <v>208</v>
      </c>
      <c r="B115" s="124"/>
      <c r="C115" s="112">
        <v>0</v>
      </c>
      <c r="D115" s="112">
        <v>0</v>
      </c>
      <c r="E115" s="118">
        <v>100000</v>
      </c>
      <c r="F115" s="110">
        <f t="shared" si="14"/>
        <v>0</v>
      </c>
      <c r="G115" s="107" t="s">
        <v>281</v>
      </c>
    </row>
    <row r="116" spans="1:7" x14ac:dyDescent="0.2">
      <c r="A116" s="123" t="s">
        <v>191</v>
      </c>
      <c r="B116" s="124"/>
      <c r="C116" s="112">
        <v>0</v>
      </c>
      <c r="D116" s="112">
        <v>0</v>
      </c>
      <c r="E116" s="118">
        <v>300000</v>
      </c>
      <c r="F116" s="110">
        <f t="shared" si="14"/>
        <v>0</v>
      </c>
      <c r="G116" s="107" t="s">
        <v>275</v>
      </c>
    </row>
    <row r="117" spans="1:7" x14ac:dyDescent="0.2">
      <c r="A117" s="134" t="s">
        <v>198</v>
      </c>
      <c r="B117" s="136"/>
      <c r="C117" s="112">
        <v>0</v>
      </c>
      <c r="D117" s="112">
        <v>0</v>
      </c>
      <c r="E117" s="162">
        <v>25000</v>
      </c>
      <c r="F117" s="138"/>
      <c r="G117" s="107" t="s">
        <v>199</v>
      </c>
    </row>
    <row r="118" spans="1:7" x14ac:dyDescent="0.2">
      <c r="A118" s="134" t="s">
        <v>276</v>
      </c>
      <c r="B118" s="136"/>
      <c r="C118" s="112">
        <v>0</v>
      </c>
      <c r="D118" s="112">
        <v>0</v>
      </c>
      <c r="E118" s="137">
        <v>15000</v>
      </c>
      <c r="F118" s="138"/>
      <c r="G118" s="107" t="s">
        <v>199</v>
      </c>
    </row>
    <row r="119" spans="1:7" x14ac:dyDescent="0.2">
      <c r="A119" s="134" t="s">
        <v>200</v>
      </c>
      <c r="B119" s="136"/>
      <c r="C119" s="112">
        <v>0</v>
      </c>
      <c r="D119" s="112">
        <v>0</v>
      </c>
      <c r="E119" s="137">
        <v>60000</v>
      </c>
      <c r="F119" s="138"/>
      <c r="G119" s="107"/>
    </row>
    <row r="120" spans="1:7" x14ac:dyDescent="0.2">
      <c r="A120" s="134" t="s">
        <v>147</v>
      </c>
      <c r="B120" s="135"/>
      <c r="C120" s="112">
        <v>0</v>
      </c>
      <c r="D120" s="112">
        <v>0</v>
      </c>
      <c r="E120" s="125">
        <v>150000</v>
      </c>
      <c r="F120" s="110">
        <f t="shared" si="14"/>
        <v>0</v>
      </c>
      <c r="G120" s="107" t="s">
        <v>277</v>
      </c>
    </row>
    <row r="121" spans="1:7" ht="15" customHeight="1" x14ac:dyDescent="0.2">
      <c r="A121" s="107" t="s">
        <v>192</v>
      </c>
      <c r="B121" s="139"/>
      <c r="C121" s="112">
        <v>0</v>
      </c>
      <c r="D121" s="112">
        <v>0</v>
      </c>
      <c r="E121" s="110">
        <v>100000</v>
      </c>
      <c r="F121" s="110">
        <f t="shared" si="14"/>
        <v>0</v>
      </c>
      <c r="G121" s="107" t="s">
        <v>261</v>
      </c>
    </row>
    <row r="122" spans="1:7" x14ac:dyDescent="0.2">
      <c r="A122" s="107" t="s">
        <v>193</v>
      </c>
      <c r="B122" s="139"/>
      <c r="C122" s="112">
        <v>0</v>
      </c>
      <c r="D122" s="112">
        <v>0</v>
      </c>
      <c r="E122" s="118">
        <v>150000</v>
      </c>
      <c r="F122" s="110">
        <f t="shared" si="14"/>
        <v>0</v>
      </c>
      <c r="G122" s="107" t="s">
        <v>194</v>
      </c>
    </row>
    <row r="123" spans="1:7" x14ac:dyDescent="0.2">
      <c r="A123" s="107" t="s">
        <v>195</v>
      </c>
      <c r="B123" s="139"/>
      <c r="C123" s="112">
        <v>0</v>
      </c>
      <c r="D123" s="112">
        <v>0</v>
      </c>
      <c r="E123" s="118">
        <v>380000</v>
      </c>
      <c r="F123" s="110">
        <f t="shared" si="14"/>
        <v>0</v>
      </c>
      <c r="G123" s="107" t="s">
        <v>196</v>
      </c>
    </row>
    <row r="124" spans="1:7" x14ac:dyDescent="0.2">
      <c r="A124" s="107" t="s">
        <v>197</v>
      </c>
      <c r="B124" s="139"/>
      <c r="C124" s="112">
        <v>0</v>
      </c>
      <c r="D124" s="112">
        <v>0</v>
      </c>
      <c r="E124" s="118">
        <v>280000</v>
      </c>
      <c r="F124" s="110">
        <f t="shared" si="14"/>
        <v>0</v>
      </c>
      <c r="G124" s="107" t="s">
        <v>194</v>
      </c>
    </row>
    <row r="125" spans="1:7" x14ac:dyDescent="0.2">
      <c r="A125" s="140" t="s">
        <v>162</v>
      </c>
      <c r="B125" s="141"/>
      <c r="C125" s="112">
        <v>0</v>
      </c>
      <c r="D125" s="112">
        <v>0</v>
      </c>
      <c r="E125" s="118">
        <v>650000</v>
      </c>
      <c r="F125" s="110">
        <f t="shared" si="14"/>
        <v>0</v>
      </c>
      <c r="G125" s="107" t="s">
        <v>168</v>
      </c>
    </row>
    <row r="126" spans="1:7" ht="15" customHeight="1" x14ac:dyDescent="0.2">
      <c r="A126" s="140" t="s">
        <v>161</v>
      </c>
      <c r="B126" s="141"/>
      <c r="C126" s="112">
        <v>0</v>
      </c>
      <c r="D126" s="112">
        <v>0</v>
      </c>
      <c r="E126" s="118">
        <v>450000</v>
      </c>
      <c r="F126" s="122">
        <f t="shared" ref="F126:F127" si="15">C126*D126*E126</f>
        <v>0</v>
      </c>
      <c r="G126" s="107" t="s">
        <v>172</v>
      </c>
    </row>
    <row r="127" spans="1:7" ht="15" customHeight="1" x14ac:dyDescent="0.2">
      <c r="A127" s="140" t="s">
        <v>163</v>
      </c>
      <c r="B127" s="141"/>
      <c r="C127" s="112">
        <v>0</v>
      </c>
      <c r="D127" s="112">
        <v>0</v>
      </c>
      <c r="E127" s="118">
        <v>80000</v>
      </c>
      <c r="F127" s="122">
        <f t="shared" si="15"/>
        <v>0</v>
      </c>
      <c r="G127" s="107"/>
    </row>
    <row r="128" spans="1:7" ht="15" customHeight="1" x14ac:dyDescent="0.2">
      <c r="A128" s="140" t="s">
        <v>167</v>
      </c>
      <c r="B128" s="141"/>
      <c r="C128" s="112">
        <v>0</v>
      </c>
      <c r="D128" s="112">
        <v>0</v>
      </c>
      <c r="E128" s="118">
        <v>300000</v>
      </c>
      <c r="F128" s="122">
        <f t="shared" ref="F128:F131" si="16">C128*D128*E128</f>
        <v>0</v>
      </c>
      <c r="G128" s="107" t="s">
        <v>171</v>
      </c>
    </row>
    <row r="129" spans="1:7" ht="15" customHeight="1" x14ac:dyDescent="0.2">
      <c r="A129" s="140" t="s">
        <v>164</v>
      </c>
      <c r="B129" s="141"/>
      <c r="C129" s="112">
        <v>0</v>
      </c>
      <c r="D129" s="112">
        <v>0</v>
      </c>
      <c r="E129" s="110">
        <v>680000</v>
      </c>
      <c r="F129" s="122">
        <f t="shared" si="16"/>
        <v>0</v>
      </c>
      <c r="G129" s="107" t="s">
        <v>169</v>
      </c>
    </row>
    <row r="130" spans="1:7" ht="15" customHeight="1" x14ac:dyDescent="0.2">
      <c r="A130" s="140" t="s">
        <v>164</v>
      </c>
      <c r="B130" s="141"/>
      <c r="C130" s="112">
        <v>0</v>
      </c>
      <c r="D130" s="112">
        <v>0</v>
      </c>
      <c r="E130" s="110">
        <v>580000</v>
      </c>
      <c r="F130" s="122">
        <f t="shared" si="16"/>
        <v>0</v>
      </c>
      <c r="G130" s="107" t="s">
        <v>170</v>
      </c>
    </row>
    <row r="131" spans="1:7" ht="15" customHeight="1" x14ac:dyDescent="0.2">
      <c r="A131" s="140" t="s">
        <v>166</v>
      </c>
      <c r="B131" s="141"/>
      <c r="C131" s="112">
        <v>0</v>
      </c>
      <c r="D131" s="112">
        <v>0</v>
      </c>
      <c r="E131" s="110">
        <v>580000</v>
      </c>
      <c r="F131" s="122">
        <f t="shared" si="16"/>
        <v>0</v>
      </c>
      <c r="G131" s="107" t="s">
        <v>165</v>
      </c>
    </row>
    <row r="132" spans="1:7" x14ac:dyDescent="0.2">
      <c r="A132" s="107" t="s">
        <v>204</v>
      </c>
      <c r="B132" s="139"/>
      <c r="C132" s="112">
        <v>0</v>
      </c>
      <c r="D132" s="112">
        <v>0</v>
      </c>
      <c r="E132" s="110">
        <v>180000</v>
      </c>
      <c r="F132" s="110">
        <f>C132*D132*E132</f>
        <v>0</v>
      </c>
      <c r="G132" s="107" t="s">
        <v>278</v>
      </c>
    </row>
    <row r="133" spans="1:7" x14ac:dyDescent="0.2">
      <c r="A133" s="115" t="s">
        <v>283</v>
      </c>
      <c r="B133" s="116"/>
      <c r="C133" s="117">
        <v>0</v>
      </c>
      <c r="D133" s="117">
        <v>0</v>
      </c>
      <c r="E133" s="118">
        <v>35000</v>
      </c>
      <c r="F133" s="118">
        <f t="shared" ref="F133" si="17">C133*D133*E133</f>
        <v>0</v>
      </c>
      <c r="G133" s="115" t="s">
        <v>289</v>
      </c>
    </row>
    <row r="134" spans="1:7" x14ac:dyDescent="0.2">
      <c r="A134" s="115" t="s">
        <v>284</v>
      </c>
      <c r="B134" s="116"/>
      <c r="C134" s="117">
        <v>0</v>
      </c>
      <c r="D134" s="117">
        <v>0</v>
      </c>
      <c r="E134" s="118">
        <v>55000</v>
      </c>
      <c r="F134" s="118">
        <f t="shared" ref="F134:F138" si="18">C134*D134*E134</f>
        <v>0</v>
      </c>
      <c r="G134" s="115" t="s">
        <v>289</v>
      </c>
    </row>
    <row r="135" spans="1:7" ht="17" customHeight="1" x14ac:dyDescent="0.2">
      <c r="A135" s="115" t="s">
        <v>285</v>
      </c>
      <c r="B135" s="116"/>
      <c r="C135" s="117">
        <v>0</v>
      </c>
      <c r="D135" s="117">
        <v>0</v>
      </c>
      <c r="E135" s="118">
        <v>35000</v>
      </c>
      <c r="F135" s="118">
        <f t="shared" si="18"/>
        <v>0</v>
      </c>
      <c r="G135" s="115" t="s">
        <v>266</v>
      </c>
    </row>
    <row r="136" spans="1:7" ht="17" customHeight="1" x14ac:dyDescent="0.2">
      <c r="A136" s="115" t="s">
        <v>288</v>
      </c>
      <c r="B136" s="116"/>
      <c r="C136" s="117">
        <v>0</v>
      </c>
      <c r="D136" s="117">
        <v>0</v>
      </c>
      <c r="E136" s="118">
        <v>55000</v>
      </c>
      <c r="F136" s="118">
        <f t="shared" si="18"/>
        <v>0</v>
      </c>
      <c r="G136" s="115" t="s">
        <v>290</v>
      </c>
    </row>
    <row r="137" spans="1:7" x14ac:dyDescent="0.2">
      <c r="A137" s="138" t="s">
        <v>286</v>
      </c>
      <c r="B137" s="136"/>
      <c r="C137" s="138"/>
      <c r="D137" s="138"/>
      <c r="E137" s="163">
        <v>120000</v>
      </c>
      <c r="F137" s="118">
        <f t="shared" si="18"/>
        <v>0</v>
      </c>
      <c r="G137" s="138"/>
    </row>
    <row r="138" spans="1:7" x14ac:dyDescent="0.2">
      <c r="A138" s="138" t="s">
        <v>287</v>
      </c>
      <c r="B138" s="136"/>
      <c r="C138" s="138"/>
      <c r="D138" s="138"/>
      <c r="E138" s="163">
        <v>200000</v>
      </c>
      <c r="F138" s="118">
        <f t="shared" si="18"/>
        <v>0</v>
      </c>
      <c r="G138" s="138"/>
    </row>
    <row r="139" spans="1:7" ht="17" customHeight="1" x14ac:dyDescent="0.2">
      <c r="A139" s="142"/>
      <c r="B139" s="143"/>
      <c r="C139" s="142"/>
      <c r="D139" s="142"/>
      <c r="E139" s="142"/>
      <c r="F139" s="142"/>
      <c r="G139" s="142"/>
    </row>
    <row r="140" spans="1:7" ht="17" customHeight="1" x14ac:dyDescent="0.2">
      <c r="A140" s="142"/>
      <c r="B140" s="143"/>
      <c r="C140" s="142"/>
      <c r="D140" s="142"/>
      <c r="E140" s="142"/>
      <c r="F140" s="142"/>
      <c r="G140" s="142"/>
    </row>
    <row r="141" spans="1:7" x14ac:dyDescent="0.2">
      <c r="A141" s="142"/>
      <c r="B141" s="143"/>
      <c r="C141" s="142"/>
      <c r="D141" s="142"/>
      <c r="E141" s="142"/>
      <c r="F141" s="142"/>
      <c r="G141" s="142"/>
    </row>
    <row r="142" spans="1:7" x14ac:dyDescent="0.2">
      <c r="A142" s="142"/>
      <c r="B142" s="143"/>
      <c r="C142" s="142"/>
      <c r="D142" s="142"/>
      <c r="E142" s="142"/>
      <c r="F142" s="142"/>
      <c r="G142" s="142"/>
    </row>
    <row r="158" spans="1:7" ht="17" x14ac:dyDescent="0.2">
      <c r="A158" s="23"/>
      <c r="B158" s="86"/>
      <c r="C158" s="6"/>
      <c r="D158" s="6"/>
      <c r="E158" s="6"/>
      <c r="F158" s="6"/>
      <c r="G158" s="6"/>
    </row>
  </sheetData>
  <mergeCells count="1">
    <mergeCell ref="A48:D48"/>
  </mergeCells>
  <phoneticPr fontId="8" type="noConversion"/>
  <hyperlinks>
    <hyperlink ref="D80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82"/>
      <c r="B1" s="182"/>
      <c r="C1" s="182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82"/>
      <c r="B2" s="182"/>
      <c r="C2" s="182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82"/>
      <c r="B3" s="182"/>
      <c r="C3" s="182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82"/>
      <c r="B4" s="182"/>
      <c r="C4" s="182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83" t="s">
        <v>130</v>
      </c>
      <c r="D6" s="177"/>
      <c r="E6" s="178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4" t="s">
        <v>131</v>
      </c>
      <c r="D7" s="165"/>
      <c r="E7" s="166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4" t="s">
        <v>131</v>
      </c>
      <c r="D8" s="165"/>
      <c r="E8" s="166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67" t="s">
        <v>109</v>
      </c>
      <c r="D9" s="168"/>
      <c r="E9" s="169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4" t="s">
        <v>131</v>
      </c>
      <c r="D10" s="165"/>
      <c r="E10" s="166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4" t="s">
        <v>131</v>
      </c>
      <c r="D11" s="165"/>
      <c r="E11" s="166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0" t="s">
        <v>110</v>
      </c>
      <c r="D12" s="171"/>
      <c r="E12" s="172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73" t="s">
        <v>129</v>
      </c>
      <c r="D13" s="174"/>
      <c r="E13" s="175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76" t="s">
        <v>133</v>
      </c>
      <c r="D15" s="177"/>
      <c r="E15" s="178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79" t="s">
        <v>107</v>
      </c>
      <c r="D16" s="180"/>
      <c r="E16" s="181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4" t="s">
        <v>131</v>
      </c>
      <c r="D17" s="165"/>
      <c r="E17" s="166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4" t="s">
        <v>131</v>
      </c>
      <c r="D18" s="165"/>
      <c r="E18" s="166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67" t="s">
        <v>109</v>
      </c>
      <c r="D19" s="168"/>
      <c r="E19" s="169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4" t="s">
        <v>131</v>
      </c>
      <c r="D20" s="165"/>
      <c r="E20" s="166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4" t="s">
        <v>131</v>
      </c>
      <c r="D21" s="165"/>
      <c r="E21" s="166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0" t="s">
        <v>110</v>
      </c>
      <c r="D22" s="171"/>
      <c r="E22" s="172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73" t="s">
        <v>129</v>
      </c>
      <c r="D23" s="174"/>
      <c r="E23" s="175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76" t="s">
        <v>134</v>
      </c>
      <c r="D25" s="177"/>
      <c r="E25" s="178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79" t="s">
        <v>107</v>
      </c>
      <c r="D26" s="180"/>
      <c r="E26" s="181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4" t="s">
        <v>131</v>
      </c>
      <c r="D27" s="165"/>
      <c r="E27" s="166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4" t="s">
        <v>131</v>
      </c>
      <c r="D28" s="165"/>
      <c r="E28" s="166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67" t="s">
        <v>109</v>
      </c>
      <c r="D29" s="168"/>
      <c r="E29" s="169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4" t="s">
        <v>131</v>
      </c>
      <c r="D30" s="165"/>
      <c r="E30" s="166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4" t="s">
        <v>131</v>
      </c>
      <c r="D31" s="165"/>
      <c r="E31" s="166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85"/>
      <c r="B32" s="185"/>
      <c r="C32" s="185"/>
      <c r="D32" s="185"/>
      <c r="E32" s="185"/>
      <c r="F32" s="185"/>
      <c r="G32" s="185"/>
      <c r="H32" s="185"/>
      <c r="I32" s="185"/>
      <c r="J32" s="55"/>
      <c r="K32" s="55"/>
      <c r="L32" s="55"/>
      <c r="M32" s="55"/>
      <c r="N32" s="55"/>
    </row>
    <row r="33" spans="1:14" s="56" customFormat="1" ht="15" customHeight="1" x14ac:dyDescent="0.2">
      <c r="A33" s="186" t="s">
        <v>135</v>
      </c>
      <c r="B33" s="186"/>
      <c r="C33" s="186"/>
      <c r="D33" s="186"/>
      <c r="E33" s="186"/>
      <c r="F33" s="186"/>
      <c r="G33" s="186"/>
      <c r="H33" s="186"/>
      <c r="I33" s="186"/>
      <c r="J33" s="55"/>
      <c r="K33" s="55"/>
      <c r="L33" s="55"/>
      <c r="M33" s="55"/>
      <c r="N33" s="55"/>
    </row>
    <row r="34" spans="1:14" s="56" customFormat="1" ht="15" customHeight="1" x14ac:dyDescent="0.2">
      <c r="A34" s="185"/>
      <c r="B34" s="185"/>
      <c r="C34" s="185"/>
      <c r="D34" s="185"/>
      <c r="E34" s="185"/>
      <c r="F34" s="185"/>
      <c r="G34" s="185"/>
      <c r="H34" s="185"/>
      <c r="I34" s="185"/>
      <c r="J34" s="55"/>
      <c r="K34" s="55"/>
      <c r="L34" s="55"/>
      <c r="M34" s="55"/>
      <c r="N34" s="55"/>
    </row>
    <row r="35" spans="1:14" s="56" customFormat="1" ht="15" customHeight="1" x14ac:dyDescent="0.2">
      <c r="A35" s="185"/>
      <c r="B35" s="185"/>
      <c r="C35" s="185"/>
      <c r="D35" s="185"/>
      <c r="E35" s="185"/>
      <c r="F35" s="185"/>
      <c r="G35" s="185"/>
      <c r="H35" s="185"/>
      <c r="I35" s="185"/>
      <c r="J35" s="55"/>
      <c r="K35" s="55"/>
      <c r="L35" s="55"/>
      <c r="M35" s="55"/>
      <c r="N35" s="55"/>
    </row>
    <row r="36" spans="1:14" s="56" customFormat="1" ht="15" customHeight="1" x14ac:dyDescent="0.2">
      <c r="A36" s="185"/>
      <c r="B36" s="185"/>
      <c r="C36" s="185"/>
      <c r="D36" s="185"/>
      <c r="E36" s="185"/>
      <c r="F36" s="185"/>
      <c r="G36" s="185"/>
      <c r="H36" s="185"/>
      <c r="I36" s="185"/>
      <c r="J36" s="55"/>
      <c r="K36" s="55"/>
      <c r="L36" s="55"/>
      <c r="M36" s="55"/>
      <c r="N36" s="55"/>
    </row>
    <row r="37" spans="1:14" s="56" customFormat="1" ht="15" customHeight="1" x14ac:dyDescent="0.2">
      <c r="A37" s="185"/>
      <c r="B37" s="185"/>
      <c r="C37" s="185"/>
      <c r="D37" s="185"/>
      <c r="E37" s="185"/>
      <c r="F37" s="185"/>
      <c r="G37" s="185"/>
      <c r="H37" s="185"/>
      <c r="I37" s="185"/>
      <c r="J37" s="55"/>
      <c r="K37" s="55"/>
      <c r="L37" s="55"/>
      <c r="M37" s="55"/>
      <c r="N37" s="55"/>
    </row>
    <row r="38" spans="1:14" s="56" customFormat="1" ht="15" customHeight="1" x14ac:dyDescent="0.2">
      <c r="A38" s="185"/>
      <c r="B38" s="185"/>
      <c r="C38" s="185"/>
      <c r="D38" s="185"/>
      <c r="E38" s="185"/>
      <c r="F38" s="185"/>
      <c r="G38" s="185"/>
      <c r="H38" s="185"/>
      <c r="I38" s="185"/>
      <c r="J38" s="55"/>
      <c r="K38" s="55"/>
      <c r="L38" s="55"/>
      <c r="M38" s="55"/>
      <c r="N38" s="55"/>
    </row>
    <row r="39" spans="1:14" s="56" customFormat="1" ht="15" customHeight="1" x14ac:dyDescent="0.2">
      <c r="A39" s="185"/>
      <c r="B39" s="185"/>
      <c r="C39" s="185"/>
      <c r="D39" s="185"/>
      <c r="E39" s="185"/>
      <c r="F39" s="185"/>
      <c r="G39" s="185"/>
      <c r="H39" s="185"/>
      <c r="I39" s="185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87" t="s">
        <v>111</v>
      </c>
      <c r="B44" s="187"/>
      <c r="C44" s="187"/>
      <c r="D44" s="187"/>
      <c r="E44" s="187"/>
      <c r="F44" s="187"/>
      <c r="G44" s="187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82"/>
      <c r="B45" s="182"/>
      <c r="C45" s="182"/>
      <c r="D45" s="182"/>
      <c r="E45" s="182"/>
      <c r="F45" s="182"/>
      <c r="G45" s="182"/>
      <c r="H45" s="36"/>
      <c r="I45" s="22"/>
      <c r="J45" s="22"/>
      <c r="K45" s="22"/>
      <c r="L45" s="22"/>
      <c r="M45" s="22"/>
      <c r="N45" s="22"/>
    </row>
    <row r="46" spans="1:14" x14ac:dyDescent="0.2">
      <c r="A46" s="184" t="s">
        <v>113</v>
      </c>
      <c r="B46" s="184"/>
      <c r="C46" s="184"/>
      <c r="D46" s="184"/>
      <c r="E46" s="184"/>
      <c r="F46" s="184"/>
      <c r="G46" s="184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7" t="s">
        <v>239</v>
      </c>
    </row>
    <row r="3" spans="1:1" ht="28" customHeight="1" thickBot="1" x14ac:dyDescent="0.25">
      <c r="A3" s="98" t="s">
        <v>240</v>
      </c>
    </row>
    <row r="4" spans="1:1" ht="17" x14ac:dyDescent="0.2">
      <c r="A4" s="99" t="s">
        <v>241</v>
      </c>
    </row>
    <row r="5" spans="1:1" ht="41" customHeight="1" x14ac:dyDescent="0.25">
      <c r="A5" s="100" t="s">
        <v>242</v>
      </c>
    </row>
    <row r="6" spans="1:1" ht="33" customHeight="1" thickBot="1" x14ac:dyDescent="0.25">
      <c r="A6" s="98" t="s">
        <v>244</v>
      </c>
    </row>
    <row r="7" spans="1:1" ht="29" customHeight="1" thickBot="1" x14ac:dyDescent="0.25">
      <c r="A7" s="10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2018-01-23T16:27:51Z</dcterms:modified>
</cp:coreProperties>
</file>