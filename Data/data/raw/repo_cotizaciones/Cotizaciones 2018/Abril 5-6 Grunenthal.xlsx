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"/>
    </mc:Choice>
  </mc:AlternateContent>
  <bookViews>
    <workbookView xWindow="0" yWindow="480" windowWidth="25600" windowHeight="1454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9" i="1" l="1"/>
  <c r="E10" i="1"/>
  <c r="F10" i="1"/>
  <c r="F11" i="1"/>
  <c r="F16" i="1"/>
  <c r="F18" i="1"/>
  <c r="F14" i="1"/>
  <c r="F15" i="1"/>
  <c r="F17" i="1"/>
  <c r="F19" i="1"/>
  <c r="F20" i="1"/>
  <c r="F21" i="1"/>
  <c r="F23" i="1"/>
  <c r="F24" i="1"/>
  <c r="F25" i="1"/>
  <c r="F27" i="1"/>
  <c r="F28" i="1"/>
  <c r="F29" i="1"/>
  <c r="F36" i="1"/>
  <c r="F32" i="1"/>
  <c r="F31" i="1"/>
  <c r="F30" i="5"/>
  <c r="E30" i="5"/>
  <c r="D30" i="5"/>
  <c r="C30" i="5"/>
  <c r="B30" i="5"/>
  <c r="P29" i="5"/>
  <c r="O29" i="5"/>
  <c r="N29" i="5"/>
  <c r="K29" i="5"/>
  <c r="J29" i="5"/>
  <c r="I29" i="5"/>
  <c r="Z23" i="5"/>
  <c r="F37" i="1"/>
  <c r="F38" i="1"/>
</calcChain>
</file>

<file path=xl/sharedStrings.xml><?xml version="1.0" encoding="utf-8"?>
<sst xmlns="http://schemas.openxmlformats.org/spreadsheetml/2006/main" count="401" uniqueCount="223">
  <si>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</si>
  <si>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</si>
  <si>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</si>
  <si>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</si>
  <si>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</si>
  <si>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</si>
  <si>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</si>
  <si>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</si>
  <si>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</si>
  <si>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</si>
  <si>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</si>
  <si>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</si>
  <si>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</si>
  <si>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</si>
  <si>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</si>
  <si>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</si>
  <si>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</si>
  <si>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</si>
  <si>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</si>
  <si>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</si>
  <si>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</si>
  <si>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</si>
  <si>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</si>
  <si>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</si>
  <si>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</si>
  <si>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</si>
  <si>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</si>
  <si>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</si>
  <si>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</si>
  <si>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</si>
  <si>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</si>
  <si>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</si>
  <si>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</si>
  <si>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</si>
  <si>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</si>
  <si>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</si>
  <si>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</si>
  <si>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</si>
  <si>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</si>
  <si>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</si>
  <si>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</si>
  <si>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</si>
  <si>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</si>
  <si>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</si>
  <si>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</si>
  <si>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</si>
  <si>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</si>
  <si>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</si>
  <si>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</si>
  <si>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</si>
  <si>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</si>
  <si>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</si>
  <si>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</si>
  <si>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</si>
  <si>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</si>
  <si>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</si>
  <si>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</si>
  <si>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</si>
  <si>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</si>
  <si>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</si>
  <si>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</si>
  <si>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</si>
  <si>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</si>
  <si>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</si>
  <si>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</si>
  <si>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</si>
  <si>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</si>
  <si>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</si>
  <si>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</si>
  <si>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</si>
  <si>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</si>
  <si>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</si>
  <si>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</si>
  <si>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</si>
  <si>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</si>
  <si>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</si>
  <si>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</si>
  <si>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</si>
  <si>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</si>
  <si>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</si>
  <si>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</si>
  <si>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</si>
  <si>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</si>
  <si>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</si>
  <si>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</si>
  <si>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</si>
  <si>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</si>
  <si>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</si>
  <si>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</si>
  <si>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</si>
  <si>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</si>
  <si>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</si>
  <si>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</si>
  <si>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</si>
  <si>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</si>
  <si>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</si>
  <si>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</si>
  <si>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</si>
  <si>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</si>
  <si>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</si>
  <si>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</si>
  <si>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</si>
  <si>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Almuerzos Buffet Parrilla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</si>
  <si>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</si>
  <si>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</si>
  <si>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</si>
  <si>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</si>
  <si>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</si>
  <si>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</si>
  <si>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</si>
  <si>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</si>
  <si>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</si>
  <si>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</si>
  <si>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</si>
  <si>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</si>
  <si>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</si>
  <si>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</si>
  <si>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</si>
  <si>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</si>
  <si>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</si>
  <si>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</si>
  <si>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</si>
  <si>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</si>
  <si>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single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</si>
  <si>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</si>
  <si>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</si>
  <si>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</si>
  <si>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</si>
  <si>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</si>
  <si>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</si>
  <si>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</si>
  <si>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</si>
  <si>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</si>
  <si>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Hora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</si>
  <si>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</si>
  <si>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</si>
  <si>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</si>
  <si>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</si>
  <si>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</si>
  <si>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</si>
  <si>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</si>
  <si>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</si>
  <si>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</si>
  <si>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</si>
  <si>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</si>
  <si>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</si>
  <si>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</si>
  <si>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</si>
  <si>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</si>
  <si>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</si>
  <si>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</si>
  <si>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</si>
  <si>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</si>
  <si>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</si>
  <si>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</si>
  <si>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</si>
  <si>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</si>
  <si>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2.-</t>
  </si>
  <si>
    <t>3.-</t>
  </si>
  <si>
    <t>4.-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</si>
  <si>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</si>
  <si>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</si>
  <si>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</si>
  <si>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</si>
  <si>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</si>
  <si>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</si>
  <si>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</si>
  <si>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</si>
  <si>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</si>
  <si>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</si>
  <si>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</si>
  <si>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</si>
  <si>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</si>
  <si>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</si>
  <si>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</si>
  <si>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</si>
  <si>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</si>
  <si>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</si>
  <si>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</si>
  <si>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</si>
  <si>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</si>
  <si>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</si>
  <si>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</si>
  <si>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</si>
  <si>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Bebida gaseosa  ó cerveza</t>
  </si>
  <si>
    <t>Total evento con IVA</t>
  </si>
  <si>
    <t>Alojamiento</t>
  </si>
  <si>
    <t>Alimentos Y bebidas</t>
  </si>
  <si>
    <t>Noches</t>
  </si>
  <si>
    <t>UDS</t>
  </si>
  <si>
    <t>en escuela, data, telón, papelografo, estación permanente de agua, café, te.</t>
  </si>
  <si>
    <t>dias</t>
  </si>
  <si>
    <t>uds</t>
  </si>
  <si>
    <t>1.- Salón en escuela  con mesas.</t>
  </si>
  <si>
    <t>72.124.600 - 0</t>
  </si>
  <si>
    <t>Federación Gremial Nacional de Transporte Escolar y Turismo de Chile Fentetuch.</t>
  </si>
  <si>
    <t>Direccion: Navidad 86, La Florida.</t>
  </si>
  <si>
    <t>Representante Legal:  Verónica Laura Contreras Altamirano</t>
  </si>
  <si>
    <t>Habitación doble hotel, valor por persona</t>
  </si>
  <si>
    <t>Salón para actividad nocturna</t>
  </si>
  <si>
    <t>Café, té, aguas de hierba, agua mineral,  Jugos</t>
  </si>
  <si>
    <t>Carmen Rodriguez D.</t>
  </si>
  <si>
    <t>9 74961403</t>
  </si>
  <si>
    <t>Fogata para la tarde</t>
  </si>
  <si>
    <t>Andres Galindo</t>
  </si>
  <si>
    <t>Grunenthal</t>
  </si>
  <si>
    <t>Piscola, roncola, aperol, Pisco Sour, mojito.</t>
  </si>
  <si>
    <t>Trago valor por persona</t>
  </si>
  <si>
    <t>Salón chinook por 4 horas para cena y fiesta en la noche</t>
  </si>
  <si>
    <t>Actividades extra de entretención</t>
  </si>
  <si>
    <t>Coffee Básico</t>
  </si>
  <si>
    <t>Salónes</t>
  </si>
  <si>
    <t>Café, té, agua, leche,jugo de pulpa, 2 facturitas ó 1 muffins y 2 tapaditos</t>
  </si>
  <si>
    <t>Salón chinook</t>
  </si>
  <si>
    <t xml:space="preserve"> 5-6 abril</t>
  </si>
  <si>
    <t>Montaje de buffet en chinook</t>
  </si>
  <si>
    <t>tragos para aperitivo campestre</t>
  </si>
  <si>
    <t>montaje de buffet en terraza del chinook</t>
  </si>
  <si>
    <t>Espumante, vino, cerveza</t>
  </si>
  <si>
    <t>2 Piernas de  cerdo y 2 corderos</t>
  </si>
  <si>
    <t xml:space="preserve"> con pancitos amasados pequeños y ciabatta y salsas.</t>
  </si>
  <si>
    <t xml:space="preserve"> cena buffet en terraza de chinook</t>
  </si>
  <si>
    <t xml:space="preserve">Cena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</si>
</sst>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h:mm:ss;@"/>
    <numFmt numFmtId="165" formatCode="&quot;$&quot;#,##0"/>
  </numFmts>
  <fonts count="2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5">
    <xf numFmtId="0" fontId="0" fillId="0" borderId="0" xfId="0"/>
    <xf numFmtId="0" fontId="3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8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6" fillId="4" borderId="12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3" xfId="0" applyFont="1" applyBorder="1" applyAlignment="1">
      <alignment horizontal="right"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8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8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8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18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7" xfId="0" applyNumberFormat="1" applyFont="1" applyBorder="1" applyAlignment="1">
      <alignment horizontal="right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116" applyFont="1" applyAlignment="1">
      <alignment vertical="center"/>
    </xf>
    <xf numFmtId="20" fontId="17" fillId="0" borderId="0" xfId="0" applyNumberFormat="1" applyFont="1"/>
    <xf numFmtId="0" fontId="17" fillId="0" borderId="0" xfId="0" applyFont="1"/>
    <xf numFmtId="0" fontId="13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6" fillId="9" borderId="11" xfId="0" applyFont="1" applyFill="1" applyBorder="1"/>
    <xf numFmtId="0" fontId="6" fillId="9" borderId="2" xfId="0" applyFont="1" applyFill="1" applyBorder="1" applyAlignment="1">
      <alignment horizontal="center"/>
    </xf>
    <xf numFmtId="6" fontId="6" fillId="9" borderId="2" xfId="0" applyNumberFormat="1" applyFont="1" applyFill="1" applyBorder="1"/>
    <xf numFmtId="6" fontId="6" fillId="9" borderId="2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 vertical="center"/>
    </xf>
    <xf numFmtId="164" fontId="6" fillId="9" borderId="2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/>
    </xf>
    <xf numFmtId="164" fontId="6" fillId="9" borderId="17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left" vertical="center"/>
    </xf>
    <xf numFmtId="6" fontId="6" fillId="9" borderId="2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/>
    </xf>
    <xf numFmtId="164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18" fillId="0" borderId="0" xfId="0" applyFont="1" applyAlignment="1">
      <alignment vertical="center"/>
    </xf>
    <xf numFmtId="0" fontId="6" fillId="9" borderId="11" xfId="0" applyFont="1" applyFill="1" applyBorder="1" applyAlignment="1">
      <alignment vertical="center"/>
    </xf>
    <xf numFmtId="6" fontId="6" fillId="3" borderId="19" xfId="0" applyNumberFormat="1" applyFont="1" applyFill="1" applyBorder="1" applyAlignment="1">
      <alignment horizontal="right"/>
    </xf>
    <xf numFmtId="0" fontId="6" fillId="9" borderId="20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center"/>
    </xf>
    <xf numFmtId="164" fontId="2" fillId="10" borderId="10" xfId="0" applyNumberFormat="1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4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Fill="1" applyAlignment="1">
      <alignment horizontal="left"/>
    </xf>
    <xf numFmtId="164" fontId="2" fillId="10" borderId="10" xfId="0" applyNumberFormat="1" applyFont="1" applyFill="1" applyBorder="1" applyAlignment="1">
      <alignment horizontal="left"/>
    </xf>
    <xf numFmtId="164" fontId="6" fillId="9" borderId="2" xfId="0" applyNumberFormat="1" applyFont="1" applyFill="1" applyBorder="1" applyAlignment="1">
      <alignment horizontal="left"/>
    </xf>
    <xf numFmtId="164" fontId="6" fillId="0" borderId="9" xfId="0" applyNumberFormat="1" applyFont="1" applyBorder="1" applyAlignment="1">
      <alignment horizontal="left"/>
    </xf>
    <xf numFmtId="164" fontId="6" fillId="0" borderId="14" xfId="0" applyNumberFormat="1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/>
    </xf>
    <xf numFmtId="164" fontId="6" fillId="0" borderId="4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vertical="center"/>
    </xf>
    <xf numFmtId="164" fontId="4" fillId="0" borderId="0" xfId="116" applyNumberFormat="1" applyAlignment="1">
      <alignment horizontal="left"/>
    </xf>
    <xf numFmtId="164" fontId="2" fillId="9" borderId="2" xfId="0" applyNumberFormat="1" applyFont="1" applyFill="1" applyBorder="1" applyAlignment="1">
      <alignment horizontal="left"/>
    </xf>
    <xf numFmtId="0" fontId="2" fillId="9" borderId="2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left"/>
    </xf>
    <xf numFmtId="165" fontId="6" fillId="9" borderId="2" xfId="0" applyNumberFormat="1" applyFont="1" applyFill="1" applyBorder="1" applyAlignment="1">
      <alignment horizontal="right"/>
    </xf>
    <xf numFmtId="165" fontId="6" fillId="9" borderId="2" xfId="0" applyNumberFormat="1" applyFont="1" applyFill="1" applyBorder="1" applyAlignment="1"/>
    <xf numFmtId="0" fontId="0" fillId="3" borderId="19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6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6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  <xf numFmtId="6" fontId="0" fillId="0" borderId="1" xfId="0" applyNumberFormat="1" applyBorder="1"/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cntram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68"/>
  <sheetViews>
    <sheetView tabSelected="1" topLeftCell="A2" workbookViewId="0">
      <selection activeCell="A15" sqref="A15"/>
    </sheetView>
  </sheetViews>
  <sheetFormatPr baseColWidth="10" defaultRowHeight="16" x14ac:dyDescent="0.2"/>
  <cols>
    <col min="1" max="1" width="33" customWidth="1"/>
    <col min="2" max="2" width="14.1640625" style="122" customWidth="1"/>
    <col min="3" max="3" width="6.5" customWidth="1"/>
    <col min="4" max="4" width="6.33203125" customWidth="1"/>
    <col min="5" max="5" width="13" customWidth="1"/>
    <col min="6" max="6" width="11.83203125" customWidth="1"/>
    <col min="7" max="7" width="81.5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121"/>
      <c r="C1" s="73" t="s">
        <v>115</v>
      </c>
    </row>
    <row r="2" spans="1:7" x14ac:dyDescent="0.2">
      <c r="G2" t="s">
        <v>156</v>
      </c>
    </row>
    <row r="3" spans="1:7" x14ac:dyDescent="0.2">
      <c r="A3" s="70" t="s">
        <v>116</v>
      </c>
      <c r="B3" s="122" t="s">
        <v>204</v>
      </c>
      <c r="E3" t="s">
        <v>3</v>
      </c>
      <c r="F3" s="34" t="s">
        <v>205</v>
      </c>
      <c r="G3" s="85" t="s">
        <v>193</v>
      </c>
    </row>
    <row r="4" spans="1:7" x14ac:dyDescent="0.2">
      <c r="A4" t="s">
        <v>117</v>
      </c>
      <c r="B4" s="132" t="s">
        <v>2</v>
      </c>
      <c r="C4" s="74"/>
      <c r="E4" t="s">
        <v>5</v>
      </c>
      <c r="F4">
        <v>988142305</v>
      </c>
      <c r="G4" s="86" t="s">
        <v>157</v>
      </c>
    </row>
    <row r="5" spans="1:7" x14ac:dyDescent="0.2">
      <c r="A5" t="s">
        <v>118</v>
      </c>
      <c r="B5" s="122" t="s">
        <v>214</v>
      </c>
      <c r="E5" t="s">
        <v>4</v>
      </c>
      <c r="F5" s="34">
        <v>100</v>
      </c>
      <c r="G5" s="86" t="s">
        <v>158</v>
      </c>
    </row>
    <row r="6" spans="1:7" x14ac:dyDescent="0.2">
      <c r="A6" s="72" t="s">
        <v>120</v>
      </c>
      <c r="B6" s="123" t="s">
        <v>201</v>
      </c>
      <c r="C6" s="71"/>
      <c r="D6" s="71"/>
      <c r="E6" s="71" t="s">
        <v>119</v>
      </c>
      <c r="F6" s="71" t="s">
        <v>202</v>
      </c>
      <c r="G6" s="86" t="s">
        <v>159</v>
      </c>
    </row>
    <row r="7" spans="1:7" ht="17" thickBot="1" x14ac:dyDescent="0.25">
      <c r="A7" s="71"/>
      <c r="B7" s="123"/>
      <c r="C7" s="71"/>
      <c r="D7" s="71"/>
      <c r="E7" s="71"/>
      <c r="F7" s="71"/>
      <c r="G7" s="86"/>
    </row>
    <row r="8" spans="1:7" ht="15.75" customHeight="1" x14ac:dyDescent="0.2">
      <c r="A8" s="113" t="s">
        <v>186</v>
      </c>
      <c r="B8" s="114" t="s">
        <v>133</v>
      </c>
      <c r="C8" s="115" t="s">
        <v>188</v>
      </c>
      <c r="D8" s="115" t="s">
        <v>189</v>
      </c>
      <c r="E8" s="115" t="s">
        <v>0</v>
      </c>
      <c r="F8" s="115" t="s">
        <v>1</v>
      </c>
      <c r="G8" s="116" t="s">
        <v>7</v>
      </c>
    </row>
    <row r="9" spans="1:7" x14ac:dyDescent="0.2">
      <c r="A9" s="104" t="s">
        <v>123</v>
      </c>
      <c r="B9" s="105"/>
      <c r="C9" s="106">
        <v>1</v>
      </c>
      <c r="D9" s="106">
        <v>30</v>
      </c>
      <c r="E9" s="107">
        <v>99000</v>
      </c>
      <c r="F9" s="107">
        <f t="shared" ref="F9:F10" si="0">C9*D9*E9</f>
        <v>2970000</v>
      </c>
      <c r="G9" s="104" t="s">
        <v>182</v>
      </c>
    </row>
    <row r="10" spans="1:7" x14ac:dyDescent="0.2">
      <c r="A10" s="104" t="s">
        <v>198</v>
      </c>
      <c r="B10" s="105"/>
      <c r="C10" s="106">
        <v>1</v>
      </c>
      <c r="D10" s="106">
        <v>35</v>
      </c>
      <c r="E10" s="107">
        <f>113500</f>
        <v>113500</v>
      </c>
      <c r="F10" s="107">
        <f t="shared" si="0"/>
        <v>3972500</v>
      </c>
      <c r="G10" s="104" t="s">
        <v>160</v>
      </c>
    </row>
    <row r="11" spans="1:7" ht="16.5" customHeight="1" thickBot="1" x14ac:dyDescent="0.25">
      <c r="A11" s="2" t="s">
        <v>86</v>
      </c>
      <c r="B11" s="126"/>
      <c r="C11" s="33"/>
      <c r="D11" s="23" t="s">
        <v>2</v>
      </c>
      <c r="E11" s="7"/>
      <c r="F11" s="5">
        <f>SUM(F9:F10)</f>
        <v>6942500</v>
      </c>
      <c r="G11" s="32" t="s">
        <v>2</v>
      </c>
    </row>
    <row r="12" spans="1:7" ht="16.5" customHeight="1" x14ac:dyDescent="0.2">
      <c r="A12" s="113" t="s">
        <v>187</v>
      </c>
      <c r="B12" s="124"/>
      <c r="C12" s="115" t="s">
        <v>103</v>
      </c>
      <c r="D12" s="115" t="s">
        <v>6</v>
      </c>
      <c r="E12" s="115" t="s">
        <v>0</v>
      </c>
      <c r="F12" s="115" t="s">
        <v>1</v>
      </c>
      <c r="G12" s="116" t="s">
        <v>7</v>
      </c>
    </row>
    <row r="13" spans="1:7" ht="16.5" customHeight="1" x14ac:dyDescent="0.2">
      <c r="A13" s="92" t="s">
        <v>8</v>
      </c>
      <c r="B13" s="125"/>
      <c r="C13" s="93">
        <v>1</v>
      </c>
      <c r="D13" s="93">
        <v>100</v>
      </c>
      <c r="E13" s="94">
        <v>9500</v>
      </c>
      <c r="F13" s="95" t="s">
        <v>104</v>
      </c>
      <c r="G13" s="96" t="s">
        <v>183</v>
      </c>
    </row>
    <row r="14" spans="1:7" ht="16.5" customHeight="1" x14ac:dyDescent="0.2">
      <c r="A14" s="97" t="s">
        <v>102</v>
      </c>
      <c r="B14" s="98"/>
      <c r="C14" s="93">
        <v>2</v>
      </c>
      <c r="D14" s="93">
        <v>100</v>
      </c>
      <c r="E14" s="99">
        <v>15000</v>
      </c>
      <c r="F14" s="99">
        <f>C14*D14*E14</f>
        <v>3000000</v>
      </c>
      <c r="G14" s="96" t="s">
        <v>101</v>
      </c>
    </row>
    <row r="15" spans="1:7" x14ac:dyDescent="0.2">
      <c r="A15" s="102" t="s">
        <v>222</v>
      </c>
      <c r="B15" s="98" t="s">
        <v>179</v>
      </c>
      <c r="C15" s="93">
        <v>1</v>
      </c>
      <c r="D15" s="93">
        <v>100</v>
      </c>
      <c r="E15" s="103">
        <v>15000</v>
      </c>
      <c r="F15" s="95">
        <f>C15*D15*E15</f>
        <v>1500000</v>
      </c>
      <c r="G15" s="96" t="s">
        <v>221</v>
      </c>
    </row>
    <row r="16" spans="1:7" x14ac:dyDescent="0.2">
      <c r="A16" s="102" t="s">
        <v>215</v>
      </c>
      <c r="B16" s="98"/>
      <c r="C16" s="93">
        <v>1</v>
      </c>
      <c r="D16" s="93">
        <v>1</v>
      </c>
      <c r="E16" s="103">
        <v>500000</v>
      </c>
      <c r="F16" s="95">
        <f t="shared" ref="F16:F18" si="1">C16*D16*E16</f>
        <v>500000</v>
      </c>
      <c r="G16" s="96" t="s">
        <v>217</v>
      </c>
    </row>
    <row r="17" spans="1:7" x14ac:dyDescent="0.2">
      <c r="A17" s="102" t="s">
        <v>219</v>
      </c>
      <c r="B17" s="98"/>
      <c r="C17" s="93">
        <v>4</v>
      </c>
      <c r="D17" s="93">
        <v>1</v>
      </c>
      <c r="E17" s="103">
        <v>150000</v>
      </c>
      <c r="F17" s="95">
        <f>C17*D17*E17</f>
        <v>600000</v>
      </c>
      <c r="G17" s="96" t="s">
        <v>220</v>
      </c>
    </row>
    <row r="18" spans="1:7" x14ac:dyDescent="0.2">
      <c r="A18" s="102" t="s">
        <v>218</v>
      </c>
      <c r="B18" s="98"/>
      <c r="C18" s="93">
        <v>150</v>
      </c>
      <c r="D18" s="93">
        <v>1</v>
      </c>
      <c r="E18" s="103">
        <v>3850</v>
      </c>
      <c r="F18" s="95">
        <f t="shared" si="1"/>
        <v>577500</v>
      </c>
      <c r="G18" s="96" t="s">
        <v>216</v>
      </c>
    </row>
    <row r="19" spans="1:7" x14ac:dyDescent="0.2">
      <c r="A19" s="97" t="s">
        <v>184</v>
      </c>
      <c r="B19" s="100"/>
      <c r="C19" s="101">
        <v>3</v>
      </c>
      <c r="D19" s="93">
        <v>100</v>
      </c>
      <c r="E19" s="99">
        <v>1500</v>
      </c>
      <c r="F19" s="99">
        <f t="shared" ref="F19" si="2">C19*D19*E19</f>
        <v>450000</v>
      </c>
      <c r="G19" s="96" t="s">
        <v>181</v>
      </c>
    </row>
    <row r="20" spans="1:7" x14ac:dyDescent="0.2">
      <c r="A20" s="110" t="s">
        <v>207</v>
      </c>
      <c r="B20" s="98"/>
      <c r="C20" s="93">
        <v>2</v>
      </c>
      <c r="D20" s="93">
        <v>100</v>
      </c>
      <c r="E20" s="103">
        <v>3850</v>
      </c>
      <c r="F20" s="111">
        <f>E20*D20*C20</f>
        <v>770000</v>
      </c>
      <c r="G20" s="112" t="s">
        <v>206</v>
      </c>
    </row>
    <row r="21" spans="1:7" ht="17" thickBot="1" x14ac:dyDescent="0.25">
      <c r="A21" s="2" t="s">
        <v>86</v>
      </c>
      <c r="B21" s="100"/>
      <c r="C21" s="101"/>
      <c r="D21" s="101"/>
      <c r="E21" s="99" t="s">
        <v>2</v>
      </c>
      <c r="F21" s="99">
        <f>SUM(F13:F20)</f>
        <v>7397500</v>
      </c>
      <c r="G21" s="96"/>
    </row>
    <row r="22" spans="1:7" x14ac:dyDescent="0.2">
      <c r="A22" s="113" t="s">
        <v>211</v>
      </c>
      <c r="B22" s="124"/>
      <c r="C22" s="115" t="s">
        <v>191</v>
      </c>
      <c r="D22" s="115" t="s">
        <v>192</v>
      </c>
      <c r="E22" s="115" t="s">
        <v>0</v>
      </c>
      <c r="F22" s="115" t="s">
        <v>1</v>
      </c>
      <c r="G22" s="116" t="s">
        <v>7</v>
      </c>
    </row>
    <row r="23" spans="1:7" x14ac:dyDescent="0.2">
      <c r="A23" s="92" t="s">
        <v>213</v>
      </c>
      <c r="B23" s="125"/>
      <c r="C23" s="93">
        <v>2</v>
      </c>
      <c r="D23" s="93">
        <v>1</v>
      </c>
      <c r="E23" s="94">
        <v>300000</v>
      </c>
      <c r="F23" s="164">
        <f>C23*D23*E23</f>
        <v>600000</v>
      </c>
      <c r="G23" s="96" t="s">
        <v>190</v>
      </c>
    </row>
    <row r="24" spans="1:7" x14ac:dyDescent="0.2">
      <c r="A24" s="110" t="s">
        <v>210</v>
      </c>
      <c r="B24" s="98"/>
      <c r="C24" s="93">
        <v>2</v>
      </c>
      <c r="D24" s="139">
        <v>100</v>
      </c>
      <c r="E24" s="103">
        <v>3950</v>
      </c>
      <c r="F24" s="111">
        <f>E24*D24*C24</f>
        <v>790000</v>
      </c>
      <c r="G24" s="112" t="s">
        <v>212</v>
      </c>
    </row>
    <row r="25" spans="1:7" ht="20" customHeight="1" thickBot="1" x14ac:dyDescent="0.25">
      <c r="A25" s="2" t="s">
        <v>86</v>
      </c>
      <c r="B25" s="100"/>
      <c r="C25" s="101"/>
      <c r="D25" s="101"/>
      <c r="E25" s="99"/>
      <c r="F25" s="99">
        <f>SUM(F23:F24)</f>
        <v>1390000</v>
      </c>
      <c r="G25" s="96" t="s">
        <v>2</v>
      </c>
    </row>
    <row r="26" spans="1:7" x14ac:dyDescent="0.2">
      <c r="A26" s="113" t="s">
        <v>209</v>
      </c>
      <c r="B26" s="124"/>
      <c r="C26" s="115" t="s">
        <v>191</v>
      </c>
      <c r="D26" s="115" t="s">
        <v>192</v>
      </c>
      <c r="E26" s="115" t="s">
        <v>0</v>
      </c>
      <c r="F26" s="115" t="s">
        <v>1</v>
      </c>
      <c r="G26" s="116" t="s">
        <v>7</v>
      </c>
    </row>
    <row r="27" spans="1:7" x14ac:dyDescent="0.2">
      <c r="A27" s="136" t="s">
        <v>203</v>
      </c>
      <c r="B27" s="133"/>
      <c r="C27" s="134">
        <v>1</v>
      </c>
      <c r="D27" s="134">
        <v>1</v>
      </c>
      <c r="E27" s="137">
        <v>100000</v>
      </c>
      <c r="F27" s="138">
        <f>C27*D27*E27</f>
        <v>100000</v>
      </c>
      <c r="G27" s="135"/>
    </row>
    <row r="28" spans="1:7" x14ac:dyDescent="0.2">
      <c r="A28" s="92" t="s">
        <v>199</v>
      </c>
      <c r="B28" s="125"/>
      <c r="C28" s="93">
        <v>1</v>
      </c>
      <c r="D28" s="93">
        <v>1</v>
      </c>
      <c r="E28" s="94">
        <v>300000</v>
      </c>
      <c r="F28" s="95">
        <f>C28*D28*E28</f>
        <v>300000</v>
      </c>
      <c r="G28" s="96" t="s">
        <v>208</v>
      </c>
    </row>
    <row r="29" spans="1:7" ht="20" customHeight="1" x14ac:dyDescent="0.2">
      <c r="A29" s="2" t="s">
        <v>86</v>
      </c>
      <c r="B29" s="100"/>
      <c r="C29" s="101"/>
      <c r="D29" s="101"/>
      <c r="E29" s="99"/>
      <c r="F29" s="99">
        <f>SUM(F27:F28)</f>
        <v>400000</v>
      </c>
      <c r="G29" s="96" t="s">
        <v>2</v>
      </c>
    </row>
    <row r="30" spans="1:7" x14ac:dyDescent="0.2">
      <c r="A30" s="117" t="s">
        <v>176</v>
      </c>
      <c r="B30" s="118" t="s">
        <v>179</v>
      </c>
      <c r="C30" s="119"/>
      <c r="D30" s="119"/>
      <c r="E30" s="120"/>
      <c r="F30" s="120"/>
      <c r="G30" s="117" t="s">
        <v>177</v>
      </c>
    </row>
    <row r="31" spans="1:7" x14ac:dyDescent="0.2">
      <c r="A31" s="104" t="s">
        <v>170</v>
      </c>
      <c r="B31" s="105" t="s">
        <v>174</v>
      </c>
      <c r="C31" s="106">
        <v>0</v>
      </c>
      <c r="D31" s="106">
        <v>0</v>
      </c>
      <c r="E31" s="107">
        <v>0</v>
      </c>
      <c r="F31" s="107">
        <f t="shared" ref="F31:F32" si="3">C31*D31*E31</f>
        <v>0</v>
      </c>
      <c r="G31" s="108" t="s">
        <v>172</v>
      </c>
    </row>
    <row r="32" spans="1:7" x14ac:dyDescent="0.2">
      <c r="A32" s="104" t="s">
        <v>167</v>
      </c>
      <c r="B32" s="105" t="s">
        <v>174</v>
      </c>
      <c r="C32" s="106">
        <v>0</v>
      </c>
      <c r="D32" s="106">
        <v>0</v>
      </c>
      <c r="E32" s="107">
        <v>0</v>
      </c>
      <c r="F32" s="107">
        <f t="shared" si="3"/>
        <v>0</v>
      </c>
      <c r="G32" s="108" t="s">
        <v>173</v>
      </c>
    </row>
    <row r="33" spans="1:7" x14ac:dyDescent="0.2">
      <c r="A33" s="104" t="s">
        <v>168</v>
      </c>
      <c r="B33" s="105" t="s">
        <v>175</v>
      </c>
      <c r="C33" s="106">
        <v>0</v>
      </c>
      <c r="D33" s="106">
        <v>0</v>
      </c>
      <c r="E33" s="107">
        <v>0</v>
      </c>
      <c r="F33" s="107"/>
      <c r="G33" s="108" t="s">
        <v>171</v>
      </c>
    </row>
    <row r="34" spans="1:7" x14ac:dyDescent="0.2">
      <c r="A34" s="104" t="s">
        <v>169</v>
      </c>
      <c r="B34" s="105" t="s">
        <v>175</v>
      </c>
      <c r="C34" s="106"/>
      <c r="D34" s="106"/>
      <c r="E34" s="107">
        <v>0</v>
      </c>
      <c r="F34" s="107"/>
      <c r="G34" s="104" t="s">
        <v>200</v>
      </c>
    </row>
    <row r="35" spans="1:7" ht="16.5" customHeight="1" thickBot="1" x14ac:dyDescent="0.25">
      <c r="A35" s="2" t="s">
        <v>86</v>
      </c>
      <c r="B35" s="126"/>
      <c r="C35" s="33"/>
      <c r="D35" s="23"/>
      <c r="E35" s="7"/>
      <c r="F35" s="5">
        <v>0</v>
      </c>
      <c r="G35" s="32" t="s">
        <v>2</v>
      </c>
    </row>
    <row r="36" spans="1:7" ht="17" thickBot="1" x14ac:dyDescent="0.25">
      <c r="A36" s="36" t="s">
        <v>178</v>
      </c>
      <c r="B36" s="127"/>
      <c r="C36" s="37"/>
      <c r="D36" s="37"/>
      <c r="E36" s="38"/>
      <c r="F36" s="39">
        <f>F11+F21+F25+F29</f>
        <v>16130000</v>
      </c>
      <c r="G36" s="6" t="s">
        <v>121</v>
      </c>
    </row>
    <row r="37" spans="1:7" x14ac:dyDescent="0.2">
      <c r="A37" s="3" t="s">
        <v>122</v>
      </c>
      <c r="B37" s="128"/>
      <c r="C37" s="31"/>
      <c r="D37" s="23"/>
      <c r="E37" s="7"/>
      <c r="F37" s="5">
        <f>F36*1.19-F36</f>
        <v>3064700</v>
      </c>
      <c r="G37" s="6"/>
    </row>
    <row r="38" spans="1:7" x14ac:dyDescent="0.2">
      <c r="A38" s="78" t="s">
        <v>185</v>
      </c>
      <c r="B38" s="129"/>
      <c r="C38" s="79"/>
      <c r="D38" s="79"/>
      <c r="E38" s="80"/>
      <c r="F38" s="81">
        <f>F36+F37</f>
        <v>19194700</v>
      </c>
      <c r="G38" s="6"/>
    </row>
    <row r="39" spans="1:7" x14ac:dyDescent="0.2">
      <c r="A39" s="3"/>
      <c r="B39" s="128"/>
      <c r="C39" s="31"/>
      <c r="D39" s="23"/>
      <c r="E39" s="7"/>
      <c r="F39" s="4"/>
      <c r="G39" s="6"/>
    </row>
    <row r="40" spans="1:7" ht="19" x14ac:dyDescent="0.2">
      <c r="A40" s="83" t="s">
        <v>134</v>
      </c>
      <c r="B40" s="130"/>
      <c r="E40" s="77"/>
      <c r="F40" s="77"/>
      <c r="G40" s="77"/>
    </row>
    <row r="41" spans="1:7" ht="19" x14ac:dyDescent="0.2">
      <c r="A41" s="82" t="s">
        <v>135</v>
      </c>
      <c r="B41" s="130"/>
      <c r="E41" s="76"/>
      <c r="F41" s="76"/>
      <c r="G41" s="76"/>
    </row>
    <row r="42" spans="1:7" ht="17" x14ac:dyDescent="0.2">
      <c r="A42" s="77" t="s">
        <v>136</v>
      </c>
      <c r="B42" s="130"/>
    </row>
    <row r="43" spans="1:7" ht="17" x14ac:dyDescent="0.2">
      <c r="A43" s="77"/>
      <c r="B43" s="130"/>
    </row>
    <row r="44" spans="1:7" ht="19" x14ac:dyDescent="0.2">
      <c r="A44" s="83" t="s">
        <v>124</v>
      </c>
      <c r="B44" s="130"/>
    </row>
    <row r="45" spans="1:7" ht="17" x14ac:dyDescent="0.2">
      <c r="A45" s="77" t="s">
        <v>137</v>
      </c>
      <c r="B45" s="130"/>
    </row>
    <row r="46" spans="1:7" ht="17" x14ac:dyDescent="0.2">
      <c r="A46" s="77" t="s">
        <v>138</v>
      </c>
      <c r="B46" s="130"/>
    </row>
    <row r="47" spans="1:7" ht="17" x14ac:dyDescent="0.2">
      <c r="A47" s="77" t="s">
        <v>139</v>
      </c>
      <c r="B47" s="130"/>
    </row>
    <row r="48" spans="1:7" ht="17" x14ac:dyDescent="0.2">
      <c r="A48" s="75" t="s">
        <v>125</v>
      </c>
      <c r="B48" s="130"/>
    </row>
    <row r="49" spans="1:6" ht="17" x14ac:dyDescent="0.2">
      <c r="A49" s="77" t="s">
        <v>140</v>
      </c>
      <c r="B49" s="130"/>
    </row>
    <row r="50" spans="1:6" ht="17" x14ac:dyDescent="0.2">
      <c r="A50" s="77" t="s">
        <v>126</v>
      </c>
      <c r="B50" s="130"/>
    </row>
    <row r="51" spans="1:6" ht="17" x14ac:dyDescent="0.2">
      <c r="A51" s="75" t="s">
        <v>141</v>
      </c>
      <c r="B51" s="130"/>
    </row>
    <row r="52" spans="1:6" ht="17" x14ac:dyDescent="0.2">
      <c r="A52" s="77" t="s">
        <v>127</v>
      </c>
      <c r="B52" s="130"/>
    </row>
    <row r="53" spans="1:6" ht="17" x14ac:dyDescent="0.2">
      <c r="A53" s="77" t="s">
        <v>128</v>
      </c>
      <c r="B53" s="130"/>
    </row>
    <row r="54" spans="1:6" ht="17" x14ac:dyDescent="0.2">
      <c r="A54" s="77" t="s">
        <v>129</v>
      </c>
      <c r="B54" s="130"/>
    </row>
    <row r="55" spans="1:6" ht="17" x14ac:dyDescent="0.2">
      <c r="A55" s="77" t="s">
        <v>130</v>
      </c>
      <c r="B55" s="130"/>
    </row>
    <row r="56" spans="1:6" ht="17" x14ac:dyDescent="0.2">
      <c r="A56" s="77" t="s">
        <v>131</v>
      </c>
      <c r="B56" s="130"/>
    </row>
    <row r="57" spans="1:6" ht="17" x14ac:dyDescent="0.2">
      <c r="A57" s="77" t="s">
        <v>132</v>
      </c>
      <c r="B57" s="130"/>
    </row>
    <row r="58" spans="1:6" ht="17" x14ac:dyDescent="0.2">
      <c r="A58" s="77"/>
      <c r="B58" s="130"/>
    </row>
    <row r="59" spans="1:6" ht="17" x14ac:dyDescent="0.2">
      <c r="A59" s="109" t="s">
        <v>180</v>
      </c>
      <c r="B59" s="130"/>
    </row>
    <row r="60" spans="1:6" ht="17" x14ac:dyDescent="0.2">
      <c r="A60" s="77" t="s">
        <v>142</v>
      </c>
      <c r="B60" s="131" t="s">
        <v>143</v>
      </c>
      <c r="D60" s="77" t="s">
        <v>144</v>
      </c>
      <c r="F60" s="77" t="s">
        <v>145</v>
      </c>
    </row>
    <row r="61" spans="1:6" ht="17" x14ac:dyDescent="0.2">
      <c r="A61" s="77" t="s">
        <v>148</v>
      </c>
      <c r="B61" s="131" t="s">
        <v>149</v>
      </c>
      <c r="D61" s="77" t="s">
        <v>146</v>
      </c>
      <c r="F61" s="77" t="s">
        <v>147</v>
      </c>
    </row>
    <row r="62" spans="1:6" ht="17" x14ac:dyDescent="0.2">
      <c r="A62" s="77" t="s">
        <v>150</v>
      </c>
      <c r="B62" s="131" t="s">
        <v>151</v>
      </c>
      <c r="D62" s="77" t="s">
        <v>152</v>
      </c>
      <c r="F62" s="77" t="s">
        <v>153</v>
      </c>
    </row>
    <row r="63" spans="1:6" ht="17" x14ac:dyDescent="0.2">
      <c r="A63" s="77" t="s">
        <v>5</v>
      </c>
      <c r="B63" s="131" t="s">
        <v>155</v>
      </c>
      <c r="D63" s="84" t="s">
        <v>154</v>
      </c>
    </row>
    <row r="64" spans="1:6" ht="17" x14ac:dyDescent="0.2">
      <c r="A64" s="77"/>
      <c r="B64" s="130"/>
    </row>
    <row r="65" spans="1:1" x14ac:dyDescent="0.2">
      <c r="A65" t="s">
        <v>194</v>
      </c>
    </row>
    <row r="66" spans="1:1" x14ac:dyDescent="0.2">
      <c r="A66" t="s">
        <v>195</v>
      </c>
    </row>
    <row r="67" spans="1:1" x14ac:dyDescent="0.2">
      <c r="A67" t="s">
        <v>196</v>
      </c>
    </row>
    <row r="68" spans="1:1" x14ac:dyDescent="0.2">
      <c r="A68" t="s">
        <v>197</v>
      </c>
    </row>
  </sheetData>
  <phoneticPr fontId="7" type="noConversion"/>
  <hyperlinks>
    <hyperlink ref="D63" r:id="rId1"/>
    <hyperlink ref="B4" r:id="rId2" display="cntram@gmail.com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B5" twoDigitTextYear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50"/>
      <c r="B1" s="150"/>
      <c r="C1" s="150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50"/>
      <c r="B2" s="150"/>
      <c r="C2" s="150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50"/>
      <c r="B3" s="150"/>
      <c r="C3" s="150"/>
      <c r="D3" s="24"/>
      <c r="E3" s="24" t="s">
        <v>113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50"/>
      <c r="B4" s="150"/>
      <c r="C4" s="150"/>
      <c r="D4" s="41"/>
      <c r="E4" s="41" t="s">
        <v>114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88</v>
      </c>
      <c r="B6" s="29" t="s">
        <v>89</v>
      </c>
      <c r="C6" s="151" t="s">
        <v>107</v>
      </c>
      <c r="D6" s="152"/>
      <c r="E6" s="153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41" t="s">
        <v>108</v>
      </c>
      <c r="D7" s="142"/>
      <c r="E7" s="143"/>
      <c r="F7" s="52"/>
      <c r="G7" s="52"/>
      <c r="H7" s="52"/>
      <c r="I7" s="53" t="s">
        <v>109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41" t="s">
        <v>108</v>
      </c>
      <c r="D8" s="142"/>
      <c r="E8" s="143"/>
      <c r="F8" s="52"/>
      <c r="G8" s="52"/>
      <c r="H8" s="52"/>
      <c r="I8" s="53" t="s">
        <v>109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44" t="s">
        <v>96</v>
      </c>
      <c r="D9" s="145"/>
      <c r="E9" s="146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41" t="s">
        <v>108</v>
      </c>
      <c r="D10" s="142"/>
      <c r="E10" s="143"/>
      <c r="F10" s="52"/>
      <c r="G10" s="52"/>
      <c r="H10" s="52"/>
      <c r="I10" s="53" t="s">
        <v>109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41" t="s">
        <v>108</v>
      </c>
      <c r="D11" s="142"/>
      <c r="E11" s="143"/>
      <c r="F11" s="52"/>
      <c r="G11" s="52"/>
      <c r="H11" s="52"/>
      <c r="I11" s="53" t="s">
        <v>109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54" t="s">
        <v>97</v>
      </c>
      <c r="D12" s="155"/>
      <c r="E12" s="156"/>
      <c r="F12" s="44"/>
      <c r="G12" s="44"/>
      <c r="H12" s="43"/>
      <c r="I12" s="27" t="s">
        <v>105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57" t="s">
        <v>106</v>
      </c>
      <c r="D13" s="158"/>
      <c r="E13" s="159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88</v>
      </c>
      <c r="B15" s="29" t="s">
        <v>89</v>
      </c>
      <c r="C15" s="160" t="s">
        <v>110</v>
      </c>
      <c r="D15" s="152"/>
      <c r="E15" s="153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61" t="s">
        <v>94</v>
      </c>
      <c r="D16" s="162"/>
      <c r="E16" s="163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41" t="s">
        <v>108</v>
      </c>
      <c r="D17" s="142"/>
      <c r="E17" s="143"/>
      <c r="F17" s="52"/>
      <c r="G17" s="52"/>
      <c r="H17" s="52"/>
      <c r="I17" s="53" t="s">
        <v>109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41" t="s">
        <v>108</v>
      </c>
      <c r="D18" s="142"/>
      <c r="E18" s="143"/>
      <c r="F18" s="52"/>
      <c r="G18" s="52"/>
      <c r="H18" s="52"/>
      <c r="I18" s="53" t="s">
        <v>109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44" t="s">
        <v>96</v>
      </c>
      <c r="D19" s="145"/>
      <c r="E19" s="146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41" t="s">
        <v>108</v>
      </c>
      <c r="D20" s="142"/>
      <c r="E20" s="143"/>
      <c r="F20" s="52"/>
      <c r="G20" s="52"/>
      <c r="H20" s="52"/>
      <c r="I20" s="53" t="s">
        <v>109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41" t="s">
        <v>108</v>
      </c>
      <c r="D21" s="142"/>
      <c r="E21" s="143"/>
      <c r="F21" s="52"/>
      <c r="G21" s="52"/>
      <c r="H21" s="52"/>
      <c r="I21" s="53" t="s">
        <v>109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54" t="s">
        <v>97</v>
      </c>
      <c r="D22" s="155"/>
      <c r="E22" s="156"/>
      <c r="F22" s="44"/>
      <c r="G22" s="44"/>
      <c r="H22" s="43"/>
      <c r="I22" s="27" t="s">
        <v>105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57" t="s">
        <v>106</v>
      </c>
      <c r="D23" s="158"/>
      <c r="E23" s="159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88</v>
      </c>
      <c r="B25" s="29" t="s">
        <v>89</v>
      </c>
      <c r="C25" s="160" t="s">
        <v>111</v>
      </c>
      <c r="D25" s="152"/>
      <c r="E25" s="153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61" t="s">
        <v>94</v>
      </c>
      <c r="D26" s="162"/>
      <c r="E26" s="163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41" t="s">
        <v>108</v>
      </c>
      <c r="D27" s="142"/>
      <c r="E27" s="143"/>
      <c r="F27" s="52"/>
      <c r="G27" s="52"/>
      <c r="H27" s="52"/>
      <c r="I27" s="53" t="s">
        <v>109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41" t="s">
        <v>108</v>
      </c>
      <c r="D28" s="142"/>
      <c r="E28" s="143"/>
      <c r="F28" s="52"/>
      <c r="G28" s="52"/>
      <c r="H28" s="52"/>
      <c r="I28" s="53" t="s">
        <v>109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44" t="s">
        <v>96</v>
      </c>
      <c r="D29" s="145"/>
      <c r="E29" s="146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41" t="s">
        <v>108</v>
      </c>
      <c r="D30" s="142"/>
      <c r="E30" s="143"/>
      <c r="F30" s="52"/>
      <c r="G30" s="52"/>
      <c r="H30" s="52"/>
      <c r="I30" s="53" t="s">
        <v>109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41" t="s">
        <v>108</v>
      </c>
      <c r="D31" s="142"/>
      <c r="E31" s="143"/>
      <c r="F31" s="52"/>
      <c r="G31" s="52"/>
      <c r="H31" s="52"/>
      <c r="I31" s="53" t="s">
        <v>109</v>
      </c>
      <c r="J31" s="22"/>
      <c r="K31" s="22"/>
      <c r="L31" s="22"/>
      <c r="M31" s="22"/>
      <c r="N31" s="22"/>
    </row>
    <row r="32" spans="1:14" s="55" customFormat="1" ht="15" customHeight="1" x14ac:dyDescent="0.2">
      <c r="A32" s="147"/>
      <c r="B32" s="147"/>
      <c r="C32" s="147"/>
      <c r="D32" s="147"/>
      <c r="E32" s="147"/>
      <c r="F32" s="147"/>
      <c r="G32" s="147"/>
      <c r="H32" s="147"/>
      <c r="I32" s="147"/>
      <c r="J32" s="54"/>
      <c r="K32" s="54"/>
      <c r="L32" s="54"/>
      <c r="M32" s="54"/>
      <c r="N32" s="54"/>
    </row>
    <row r="33" spans="1:14" s="55" customFormat="1" ht="15" customHeight="1" x14ac:dyDescent="0.2">
      <c r="A33" s="148" t="s">
        <v>112</v>
      </c>
      <c r="B33" s="148"/>
      <c r="C33" s="148"/>
      <c r="D33" s="148"/>
      <c r="E33" s="148"/>
      <c r="F33" s="148"/>
      <c r="G33" s="148"/>
      <c r="H33" s="148"/>
      <c r="I33" s="148"/>
      <c r="J33" s="54"/>
      <c r="K33" s="54"/>
      <c r="L33" s="54"/>
      <c r="M33" s="54"/>
      <c r="N33" s="54"/>
    </row>
    <row r="34" spans="1:14" s="55" customFormat="1" ht="15" customHeight="1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54"/>
      <c r="K34" s="54"/>
      <c r="L34" s="54"/>
      <c r="M34" s="54"/>
      <c r="N34" s="54"/>
    </row>
    <row r="35" spans="1:14" s="55" customFormat="1" ht="15" customHeight="1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54"/>
      <c r="K35" s="54"/>
      <c r="L35" s="54"/>
      <c r="M35" s="54"/>
      <c r="N35" s="54"/>
    </row>
    <row r="36" spans="1:14" s="55" customFormat="1" ht="15" customHeight="1" x14ac:dyDescent="0.2">
      <c r="A36" s="147"/>
      <c r="B36" s="147"/>
      <c r="C36" s="147"/>
      <c r="D36" s="147"/>
      <c r="E36" s="147"/>
      <c r="F36" s="147"/>
      <c r="G36" s="147"/>
      <c r="H36" s="147"/>
      <c r="I36" s="147"/>
      <c r="J36" s="54"/>
      <c r="K36" s="54"/>
      <c r="L36" s="54"/>
      <c r="M36" s="54"/>
      <c r="N36" s="54"/>
    </row>
    <row r="37" spans="1:14" s="55" customFormat="1" ht="15" customHeight="1" x14ac:dyDescent="0.2">
      <c r="A37" s="147"/>
      <c r="B37" s="147"/>
      <c r="C37" s="147"/>
      <c r="D37" s="147"/>
      <c r="E37" s="147"/>
      <c r="F37" s="147"/>
      <c r="G37" s="147"/>
      <c r="H37" s="147"/>
      <c r="I37" s="147"/>
      <c r="J37" s="54"/>
      <c r="K37" s="54"/>
      <c r="L37" s="54"/>
      <c r="M37" s="54"/>
      <c r="N37" s="54"/>
    </row>
    <row r="38" spans="1:14" s="55" customFormat="1" ht="15" customHeight="1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54"/>
      <c r="K38" s="54"/>
      <c r="L38" s="54"/>
      <c r="M38" s="54"/>
      <c r="N38" s="54"/>
    </row>
    <row r="39" spans="1:14" s="55" customFormat="1" ht="15" customHeight="1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49" t="s">
        <v>98</v>
      </c>
      <c r="B44" s="149"/>
      <c r="C44" s="149"/>
      <c r="D44" s="149"/>
      <c r="E44" s="149"/>
      <c r="F44" s="149"/>
      <c r="G44" s="149"/>
      <c r="H44" s="35"/>
      <c r="I44" s="30" t="s">
        <v>99</v>
      </c>
      <c r="J44" s="22"/>
      <c r="K44" s="22"/>
      <c r="L44" s="22"/>
      <c r="M44" s="22"/>
      <c r="N44" s="22"/>
    </row>
    <row r="45" spans="1:14" x14ac:dyDescent="0.2">
      <c r="A45" s="150"/>
      <c r="B45" s="150"/>
      <c r="C45" s="150"/>
      <c r="D45" s="150"/>
      <c r="E45" s="150"/>
      <c r="F45" s="150"/>
      <c r="G45" s="150"/>
      <c r="H45" s="35"/>
      <c r="I45" s="22"/>
      <c r="J45" s="22"/>
      <c r="K45" s="22"/>
      <c r="L45" s="22"/>
      <c r="M45" s="22"/>
      <c r="N45" s="22"/>
    </row>
    <row r="46" spans="1:14" x14ac:dyDescent="0.2">
      <c r="A46" s="140" t="s">
        <v>100</v>
      </c>
      <c r="B46" s="140"/>
      <c r="C46" s="140"/>
      <c r="D46" s="140"/>
      <c r="E46" s="140"/>
      <c r="F46" s="140"/>
      <c r="G46" s="140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9</v>
      </c>
      <c r="L1" s="19" t="s">
        <v>2</v>
      </c>
    </row>
    <row r="2" spans="1:26" x14ac:dyDescent="0.2">
      <c r="A2" t="s">
        <v>10</v>
      </c>
      <c r="J2" t="s">
        <v>11</v>
      </c>
      <c r="P2" t="s">
        <v>2</v>
      </c>
      <c r="U2" t="s">
        <v>12</v>
      </c>
    </row>
    <row r="3" spans="1:26" ht="58" x14ac:dyDescent="0.2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 x14ac:dyDescent="0.2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 x14ac:dyDescent="0.2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 x14ac:dyDescent="0.2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 x14ac:dyDescent="0.2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 x14ac:dyDescent="0.2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 x14ac:dyDescent="0.2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 x14ac:dyDescent="0.2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 x14ac:dyDescent="0.2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87" t="s">
        <v>161</v>
      </c>
    </row>
    <row r="3" spans="1:1" ht="28" customHeight="1" thickBot="1" x14ac:dyDescent="0.25">
      <c r="A3" s="88" t="s">
        <v>162</v>
      </c>
    </row>
    <row r="4" spans="1:1" ht="17" x14ac:dyDescent="0.2">
      <c r="A4" s="89" t="s">
        <v>163</v>
      </c>
    </row>
    <row r="5" spans="1:1" ht="41" customHeight="1" x14ac:dyDescent="0.25">
      <c r="A5" s="90" t="s">
        <v>164</v>
      </c>
    </row>
    <row r="6" spans="1:1" ht="33" customHeight="1" thickBot="1" x14ac:dyDescent="0.25">
      <c r="A6" s="88" t="s">
        <v>166</v>
      </c>
    </row>
    <row r="7" spans="1:1" ht="29" customHeight="1" thickBot="1" x14ac:dyDescent="0.25">
      <c r="A7" s="9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2018-03-20T14:47:44Z</dcterms:modified>
</cp:coreProperties>
</file>