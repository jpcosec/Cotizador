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408"/>
  <workbookPr/>
  <mc:AlternateContent xmlns:mc="http://schemas.openxmlformats.org/markup-compatibility/2006">
    <mc:Choice Requires="x15">
      <x15ac:absPath xmlns:x15ac="http://schemas.microsoft.com/office/spreadsheetml/2010/11/ac" url="/Users/carmen/Dropbox/"/>
    </mc:Choice>
  </mc:AlternateContent>
  <bookViews>
    <workbookView xWindow="880" yWindow="460" windowWidth="24720" windowHeight="14580"/>
  </bookViews>
  <sheets>
    <sheet name="Hoja1" sheetId="1" r:id="rId1"/>
    <sheet name="04-05 de Enero 2018" sheetId="2" r:id="rId2"/>
    <sheet name="11-12 de Enero 2018" sheetId="3" r:id="rId3"/>
    <sheet name="18-19 de Enero 2018" sheetId="4" r:id="rId4"/>
    <sheet name="23-24 de Enero 2018" sheetId="5" r:id="rId5"/>
    <sheet name="25-26 de Enero 2018" sheetId="6" r:id="rId6"/>
    <sheet name="2-3 Abril 2018" sheetId="7" r:id="rId7"/>
    <sheet name="5-6 Abril 2018" sheetId="8" r:id="rId8"/>
    <sheet name="5-6 Abril 2018(2)" sheetId="9" r:id="rId9"/>
    <sheet name="9-10 Abril 2018" sheetId="10" r:id="rId10"/>
    <sheet name="12-13 Abril 2018" sheetId="11" r:id="rId11"/>
    <sheet name="23-24 Abril 2018 " sheetId="12" r:id="rId12"/>
    <sheet name="26-27 Abril 2018" sheetId="13" r:id="rId13"/>
    <sheet name="5 de mayo 2018" sheetId="14" r:id="rId14"/>
    <sheet name="10 y 11 de mayo 2018" sheetId="15" r:id="rId15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6" i="1" l="1"/>
  <c r="H14" i="1"/>
  <c r="I14" i="1"/>
  <c r="H13" i="1"/>
  <c r="I13" i="1"/>
  <c r="G15" i="1"/>
  <c r="H15" i="1"/>
  <c r="I15" i="1"/>
  <c r="I16" i="1"/>
  <c r="H12" i="1"/>
  <c r="I12" i="1"/>
  <c r="H10" i="1"/>
  <c r="H9" i="1"/>
  <c r="H8" i="1"/>
  <c r="G7" i="1"/>
  <c r="H7" i="1"/>
  <c r="G6" i="1"/>
  <c r="H6" i="1"/>
  <c r="G5" i="1"/>
  <c r="H5" i="1"/>
  <c r="I5" i="1"/>
  <c r="G4" i="1"/>
  <c r="H4" i="1"/>
  <c r="I4" i="1"/>
  <c r="H11" i="1"/>
  <c r="G3" i="1"/>
  <c r="H3" i="1"/>
  <c r="I3" i="1"/>
  <c r="I11" i="1"/>
  <c r="I10" i="1"/>
  <c r="I9" i="1"/>
  <c r="I8" i="1"/>
  <c r="I7" i="1"/>
  <c r="I6" i="1"/>
  <c r="F31" i="5"/>
  <c r="F37" i="15"/>
  <c r="F45" i="15"/>
  <c r="F39" i="13"/>
  <c r="F46" i="13"/>
  <c r="F36" i="12"/>
  <c r="F41" i="12"/>
  <c r="F37" i="11"/>
  <c r="F41" i="11"/>
  <c r="F21" i="11"/>
  <c r="F22" i="11"/>
  <c r="F23" i="11"/>
  <c r="F29" i="11"/>
  <c r="F10" i="11"/>
  <c r="F11" i="11"/>
  <c r="F12" i="11"/>
  <c r="F13" i="11"/>
  <c r="F14" i="11"/>
  <c r="F15" i="11"/>
  <c r="F16" i="11"/>
  <c r="F17" i="11"/>
  <c r="F18" i="11"/>
  <c r="F30" i="11"/>
  <c r="F37" i="8"/>
  <c r="F41" i="8"/>
  <c r="F10" i="10"/>
  <c r="F11" i="10"/>
  <c r="F12" i="10"/>
  <c r="F13" i="10"/>
  <c r="F14" i="10"/>
  <c r="F15" i="10"/>
  <c r="F16" i="10"/>
  <c r="F17" i="10"/>
  <c r="F18" i="10"/>
  <c r="F21" i="10"/>
  <c r="F22" i="10"/>
  <c r="F23" i="10"/>
  <c r="F29" i="10"/>
  <c r="F30" i="10"/>
  <c r="F31" i="10"/>
  <c r="F32" i="10"/>
  <c r="F33" i="10"/>
  <c r="F34" i="10"/>
  <c r="F41" i="10"/>
  <c r="F37" i="9"/>
  <c r="F41" i="9"/>
  <c r="F37" i="7"/>
  <c r="F42" i="7"/>
  <c r="F126" i="15"/>
  <c r="F125" i="15"/>
  <c r="F124" i="15"/>
  <c r="F123" i="15"/>
  <c r="F122" i="15"/>
  <c r="F121" i="15"/>
  <c r="F120" i="15"/>
  <c r="F119" i="15"/>
  <c r="F118" i="15"/>
  <c r="F117" i="15"/>
  <c r="F116" i="15"/>
  <c r="F115" i="15"/>
  <c r="F114" i="15"/>
  <c r="F110" i="15"/>
  <c r="F109" i="15"/>
  <c r="F108" i="15"/>
  <c r="F107" i="15"/>
  <c r="F106" i="15"/>
  <c r="F105" i="15"/>
  <c r="F104" i="15"/>
  <c r="F103" i="15"/>
  <c r="F102" i="15"/>
  <c r="F101" i="15"/>
  <c r="F100" i="15"/>
  <c r="F99" i="15"/>
  <c r="F98" i="15"/>
  <c r="F97" i="15"/>
  <c r="F96" i="15"/>
  <c r="F95" i="15"/>
  <c r="F94" i="15"/>
  <c r="F93" i="15"/>
  <c r="F92" i="15"/>
  <c r="F91" i="15"/>
  <c r="F90" i="15"/>
  <c r="F89" i="15"/>
  <c r="F88" i="15"/>
  <c r="F87" i="15"/>
  <c r="F86" i="15"/>
  <c r="F85" i="15"/>
  <c r="F84" i="15"/>
  <c r="F83" i="15"/>
  <c r="F82" i="15"/>
  <c r="F81" i="15"/>
  <c r="F80" i="15"/>
  <c r="F79" i="15"/>
  <c r="F78" i="15"/>
  <c r="F77" i="15"/>
  <c r="F39" i="15"/>
  <c r="F21" i="15"/>
  <c r="F22" i="15"/>
  <c r="F23" i="15"/>
  <c r="F31" i="15"/>
  <c r="F17" i="15"/>
  <c r="F16" i="15"/>
  <c r="F15" i="15"/>
  <c r="F14" i="15"/>
  <c r="F11" i="15"/>
  <c r="F12" i="15"/>
  <c r="F13" i="15"/>
  <c r="F18" i="15"/>
  <c r="F32" i="15"/>
  <c r="F33" i="15"/>
  <c r="F34" i="15"/>
  <c r="F122" i="13"/>
  <c r="F121" i="13"/>
  <c r="F120" i="13"/>
  <c r="F119" i="13"/>
  <c r="F118" i="13"/>
  <c r="F117" i="13"/>
  <c r="F116" i="13"/>
  <c r="F115" i="13"/>
  <c r="F114" i="13"/>
  <c r="F113" i="13"/>
  <c r="F112" i="13"/>
  <c r="F111" i="13"/>
  <c r="F110" i="13"/>
  <c r="F106" i="13"/>
  <c r="F105" i="13"/>
  <c r="F104" i="13"/>
  <c r="F103" i="13"/>
  <c r="F102" i="13"/>
  <c r="F101" i="13"/>
  <c r="F100" i="13"/>
  <c r="F99" i="13"/>
  <c r="F98" i="13"/>
  <c r="F97" i="13"/>
  <c r="F96" i="13"/>
  <c r="F95" i="13"/>
  <c r="F94" i="13"/>
  <c r="F93" i="13"/>
  <c r="F92" i="13"/>
  <c r="F91" i="13"/>
  <c r="F90" i="13"/>
  <c r="F89" i="13"/>
  <c r="F88" i="13"/>
  <c r="F87" i="13"/>
  <c r="F86" i="13"/>
  <c r="F85" i="13"/>
  <c r="F84" i="13"/>
  <c r="F83" i="13"/>
  <c r="F82" i="13"/>
  <c r="F81" i="13"/>
  <c r="F80" i="13"/>
  <c r="F79" i="13"/>
  <c r="F78" i="13"/>
  <c r="F77" i="13"/>
  <c r="F76" i="13"/>
  <c r="F75" i="13"/>
  <c r="F74" i="13"/>
  <c r="F73" i="13"/>
  <c r="F40" i="13"/>
  <c r="F41" i="13"/>
  <c r="F23" i="13"/>
  <c r="F22" i="13"/>
  <c r="F21" i="13"/>
  <c r="F17" i="13"/>
  <c r="F16" i="13"/>
  <c r="F15" i="13"/>
  <c r="F14" i="13"/>
  <c r="F13" i="13"/>
  <c r="F12" i="13"/>
  <c r="F11" i="13"/>
  <c r="F121" i="12"/>
  <c r="F120" i="12"/>
  <c r="F119" i="12"/>
  <c r="F118" i="12"/>
  <c r="F117" i="12"/>
  <c r="F116" i="12"/>
  <c r="F115" i="12"/>
  <c r="F114" i="12"/>
  <c r="F113" i="12"/>
  <c r="F112" i="12"/>
  <c r="F111" i="12"/>
  <c r="F110" i="12"/>
  <c r="F109" i="12"/>
  <c r="F105" i="12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20" i="12"/>
  <c r="F21" i="12"/>
  <c r="F22" i="12"/>
  <c r="F28" i="12"/>
  <c r="F16" i="12"/>
  <c r="F15" i="12"/>
  <c r="F14" i="12"/>
  <c r="F13" i="12"/>
  <c r="F10" i="12"/>
  <c r="F11" i="12"/>
  <c r="F12" i="12"/>
  <c r="F17" i="12"/>
  <c r="F29" i="12"/>
  <c r="F31" i="13"/>
  <c r="F18" i="13"/>
  <c r="F32" i="13"/>
  <c r="F33" i="13"/>
  <c r="F34" i="13"/>
  <c r="F30" i="12"/>
  <c r="F31" i="12"/>
  <c r="F125" i="11"/>
  <c r="F124" i="11"/>
  <c r="F123" i="11"/>
  <c r="F122" i="11"/>
  <c r="F121" i="11"/>
  <c r="F120" i="11"/>
  <c r="F119" i="11"/>
  <c r="F118" i="11"/>
  <c r="F117" i="11"/>
  <c r="F116" i="11"/>
  <c r="F115" i="11"/>
  <c r="F114" i="11"/>
  <c r="F113" i="11"/>
  <c r="F109" i="11"/>
  <c r="F108" i="11"/>
  <c r="F107" i="11"/>
  <c r="F106" i="11"/>
  <c r="F105" i="11"/>
  <c r="F104" i="11"/>
  <c r="F103" i="11"/>
  <c r="F102" i="11"/>
  <c r="F101" i="11"/>
  <c r="F100" i="11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35" i="13"/>
  <c r="F36" i="13"/>
  <c r="F32" i="12"/>
  <c r="F33" i="12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31" i="11"/>
  <c r="F32" i="11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23" i="9"/>
  <c r="F22" i="9"/>
  <c r="F21" i="9"/>
  <c r="F29" i="9"/>
  <c r="F17" i="9"/>
  <c r="F16" i="9"/>
  <c r="F15" i="9"/>
  <c r="F14" i="9"/>
  <c r="F13" i="9"/>
  <c r="F12" i="9"/>
  <c r="F11" i="9"/>
  <c r="F10" i="9"/>
  <c r="F18" i="9"/>
  <c r="F30" i="9"/>
  <c r="F33" i="11"/>
  <c r="F34" i="11"/>
  <c r="F31" i="9"/>
  <c r="F32" i="9"/>
  <c r="F33" i="9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23" i="8"/>
  <c r="F22" i="8"/>
  <c r="F21" i="8"/>
  <c r="F17" i="8"/>
  <c r="F16" i="8"/>
  <c r="F15" i="8"/>
  <c r="F14" i="8"/>
  <c r="F13" i="8"/>
  <c r="F12" i="8"/>
  <c r="F11" i="8"/>
  <c r="F10" i="8"/>
  <c r="F18" i="8"/>
  <c r="F29" i="8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23" i="7"/>
  <c r="F22" i="7"/>
  <c r="F21" i="7"/>
  <c r="F29" i="7"/>
  <c r="F17" i="7"/>
  <c r="F16" i="7"/>
  <c r="F15" i="7"/>
  <c r="F14" i="7"/>
  <c r="F13" i="7"/>
  <c r="F12" i="7"/>
  <c r="F11" i="7"/>
  <c r="F10" i="7"/>
  <c r="F18" i="7"/>
  <c r="F30" i="7"/>
  <c r="F30" i="8"/>
  <c r="F31" i="8"/>
  <c r="F32" i="8"/>
  <c r="F31" i="7"/>
  <c r="F32" i="7"/>
  <c r="F32" i="5"/>
  <c r="F9" i="5"/>
  <c r="F10" i="5"/>
  <c r="F11" i="5"/>
  <c r="F12" i="5"/>
  <c r="F13" i="5"/>
  <c r="F14" i="5"/>
  <c r="F15" i="5"/>
  <c r="F16" i="5"/>
  <c r="F17" i="5"/>
  <c r="F20" i="5"/>
  <c r="F21" i="5"/>
  <c r="F22" i="5"/>
  <c r="F23" i="5"/>
  <c r="F24" i="5"/>
  <c r="F25" i="5"/>
  <c r="F26" i="5"/>
  <c r="F27" i="5"/>
  <c r="F34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42" i="4"/>
  <c r="F41" i="4"/>
  <c r="F9" i="4"/>
  <c r="F10" i="4"/>
  <c r="F11" i="4"/>
  <c r="F12" i="4"/>
  <c r="F13" i="4"/>
  <c r="F14" i="4"/>
  <c r="F15" i="4"/>
  <c r="F16" i="4"/>
  <c r="F24" i="4"/>
  <c r="F27" i="4"/>
  <c r="F28" i="4"/>
  <c r="F29" i="4"/>
  <c r="F35" i="4"/>
  <c r="F36" i="4"/>
  <c r="F37" i="4"/>
  <c r="F38" i="4"/>
  <c r="F39" i="4"/>
  <c r="F44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44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29" i="2"/>
  <c r="F28" i="2"/>
  <c r="F27" i="2"/>
  <c r="F35" i="2"/>
  <c r="F16" i="2"/>
  <c r="F15" i="2"/>
  <c r="F14" i="2"/>
  <c r="F13" i="2"/>
  <c r="F12" i="2"/>
  <c r="F11" i="2"/>
  <c r="F10" i="2"/>
  <c r="F9" i="2"/>
  <c r="F24" i="2"/>
  <c r="F36" i="2"/>
  <c r="F37" i="2"/>
  <c r="F38" i="2"/>
</calcChain>
</file>

<file path=xl/sharedStrings.xml><?xml version="1.0" encoding="utf-8"?>
<sst xmlns="http://schemas.openxmlformats.org/spreadsheetml/2006/main" count="2709" uniqueCount="256">
  <si>
    <t>4-5 enero</t>
  </si>
  <si>
    <t>OK 8-3-2018 SANTANDER</t>
  </si>
  <si>
    <t>Pago 6.6.2018</t>
  </si>
  <si>
    <t>11-12 enero</t>
  </si>
  <si>
    <t>OK 9-4-2018 SANTANDER</t>
  </si>
  <si>
    <t>18-19 enero</t>
  </si>
  <si>
    <t>23-24 enero</t>
  </si>
  <si>
    <t>500416/500417</t>
  </si>
  <si>
    <t>25-26 enero</t>
  </si>
  <si>
    <t>2-3 abril</t>
  </si>
  <si>
    <t>Pdte de pago</t>
  </si>
  <si>
    <t>5-6 abril</t>
  </si>
  <si>
    <t>9-10 Abril</t>
  </si>
  <si>
    <t>12-13 Abril</t>
  </si>
  <si>
    <t>23-24 Abril</t>
  </si>
  <si>
    <t>26-27 Abril</t>
  </si>
  <si>
    <t>535254-535291/535291</t>
  </si>
  <si>
    <t>Pdte de Facturacion</t>
  </si>
  <si>
    <t>10-11 Mayo</t>
  </si>
  <si>
    <t>Fecha Evento</t>
  </si>
  <si>
    <t xml:space="preserve">Valor Cotizado Programa </t>
  </si>
  <si>
    <t xml:space="preserve">Cantidad Pax </t>
  </si>
  <si>
    <t xml:space="preserve">Factura Proforma </t>
  </si>
  <si>
    <t xml:space="preserve">Factura U de Chile </t>
  </si>
  <si>
    <t xml:space="preserve">Pago Proforma </t>
  </si>
  <si>
    <t xml:space="preserve">Pago U de Chile </t>
  </si>
  <si>
    <t xml:space="preserve"> </t>
  </si>
  <si>
    <t>Cotización de servicios.</t>
  </si>
  <si>
    <t xml:space="preserve">      Detalles Importantes:</t>
  </si>
  <si>
    <t xml:space="preserve">                                                     Nombre: </t>
  </si>
  <si>
    <t>Marcela Soto</t>
  </si>
  <si>
    <t>Empresa:</t>
  </si>
  <si>
    <t>HCUCH</t>
  </si>
  <si>
    <t xml:space="preserve">      1.- se solicita la mañana del dia 4 el salón de la laguna en auditorio y llevar y traer a la gente en tractor son viejitos.</t>
  </si>
  <si>
    <t xml:space="preserve">                                                        E Mail</t>
  </si>
  <si>
    <t>Fono:</t>
  </si>
  <si>
    <t xml:space="preserve">      2.- En tarde el arcoiris  1 o 2 da lo mismo en U con Sillas.</t>
  </si>
  <si>
    <t xml:space="preserve">                                                        Fecha:</t>
  </si>
  <si>
    <t>04 y 05 de Enero</t>
  </si>
  <si>
    <t>Nº Pasajeros</t>
  </si>
  <si>
    <t xml:space="preserve">      3.-</t>
  </si>
  <si>
    <t xml:space="preserve">                                                        Atiende:</t>
  </si>
  <si>
    <t>Telefono</t>
  </si>
  <si>
    <t xml:space="preserve">      4.-</t>
  </si>
  <si>
    <t>Día 1</t>
  </si>
  <si>
    <t>Hora</t>
  </si>
  <si>
    <t>Uds</t>
  </si>
  <si>
    <t>Nº Pax</t>
  </si>
  <si>
    <t xml:space="preserve">Valor </t>
  </si>
  <si>
    <t>Total</t>
  </si>
  <si>
    <t>Detalle de servicios.</t>
  </si>
  <si>
    <t xml:space="preserve">Desayuno Buffet  </t>
  </si>
  <si>
    <t>Café, té, leche, yogurt, jamón, queso, huevos, mermeladas, mantequilla, panes, minipastelitos y cereales</t>
  </si>
  <si>
    <t>Salón de la laguna, llevar en tractor</t>
  </si>
  <si>
    <t>Equipado con data, telón papelógrafo, aire acondicionado y calefacción.</t>
  </si>
  <si>
    <t>Almuerzos Buffet Parrilla</t>
  </si>
  <si>
    <t>13:00-15:00</t>
  </si>
  <si>
    <t>Parrilla pollo, vacuno, cerdo, chorizo, prietas, acompañamientos, salad bar,  postres, líquidos en autoservicio</t>
  </si>
  <si>
    <t>Bebida gaseosa  ó cerveza</t>
  </si>
  <si>
    <t>Gaseosa ó mineral ó  jugo de botella ó cerveza Cristal o Escudo.</t>
  </si>
  <si>
    <t xml:space="preserve">Cena  Buffet </t>
  </si>
  <si>
    <t>20:00- 21:00</t>
  </si>
  <si>
    <t>Variados platos de carnes y acompañamientos, salad bar, postres, líquidos en autoservicio</t>
  </si>
  <si>
    <t>Habitación single hotel</t>
  </si>
  <si>
    <t>1 noche de alojamiento, 1 desayuno, valor por persona.</t>
  </si>
  <si>
    <t>Habitación doble hotel</t>
  </si>
  <si>
    <t>1 noche de alojamiento, 2 desayunos, valor por  2 personas.</t>
  </si>
  <si>
    <t>Incluido sin costo</t>
  </si>
  <si>
    <t>Confirmar</t>
  </si>
  <si>
    <t>Siempre que se usen en horarios establecidos y en forma no exclusiva, indicando hora de uso.</t>
  </si>
  <si>
    <t>Piscina temperada</t>
  </si>
  <si>
    <t>Horario</t>
  </si>
  <si>
    <t>sin costo</t>
  </si>
  <si>
    <t>Piscina temperada entre 10:00-14:00 y 15:00- 20:00(se exige uso de gorra), piscina exterior.</t>
  </si>
  <si>
    <t>Actividades Libres(indicar Horario)</t>
  </si>
  <si>
    <t>Canopy, kayak, Cabalgatas 30 min, pool, ping pong, taca, taca, entre 10:00-13:00; 15:00- 18:30.</t>
  </si>
  <si>
    <t>Pesca con Mosca</t>
  </si>
  <si>
    <t>Todo el dia</t>
  </si>
  <si>
    <t>Acceso a pescar con mosca, en lagunas o estero.</t>
  </si>
  <si>
    <t>Autoservicio de Liquidos</t>
  </si>
  <si>
    <t>Café, té, aguas de hierba, agua mineral, nestéa, Jugos</t>
  </si>
  <si>
    <t>Karaoke hasta 4 hora</t>
  </si>
  <si>
    <t>incluye salon, equipos, y persona a cargo</t>
  </si>
  <si>
    <t>trago de cortesía</t>
  </si>
  <si>
    <t>piscola, ó roncola, ó  pisco sour, ó cerveza, ó copa de vino.</t>
  </si>
  <si>
    <t>Total paquete.</t>
  </si>
  <si>
    <t>Día 2</t>
  </si>
  <si>
    <t>Desayuno Buffet</t>
  </si>
  <si>
    <t>Incluido</t>
  </si>
  <si>
    <t xml:space="preserve">Salón Arcoiris 1, hasta 80 pasajeros </t>
  </si>
  <si>
    <t>Equipado con data, telón papelógrafo, aire acondicionado y calefacción, 8 h Día o 4 h Noche</t>
  </si>
  <si>
    <t xml:space="preserve"> Confirmar</t>
  </si>
  <si>
    <t>Confirmar uso</t>
  </si>
  <si>
    <t>Total  Evento</t>
  </si>
  <si>
    <t>Valor no incluye propinas.</t>
  </si>
  <si>
    <t>IVA</t>
  </si>
  <si>
    <t>Total a Facturar</t>
  </si>
  <si>
    <t>Valor a Facturar con IVA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</si>
  <si>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</si>
  <si>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</si>
  <si>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</si>
  <si>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Formalización y forma de pago.</t>
  </si>
  <si>
    <t>Para formalizar reserva se requiere lo siguiente.</t>
  </si>
  <si>
    <t>Orden de compra indicando forma de pago.</t>
  </si>
  <si>
    <t>Abono de 50% del total del Evento.</t>
  </si>
  <si>
    <t>A) Pago Contado:</t>
  </si>
  <si>
    <t>50% anticipado al momento de reservar.</t>
  </si>
  <si>
    <t>50% saldo pagado contra factura el día del evento en el Lodge.</t>
  </si>
  <si>
    <t>B)  En caso de Solicitar Crédito a Aventuras Andinas Limitada.  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</si>
  <si>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</si>
  <si>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</si>
  <si>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</si>
  <si>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</si>
  <si>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</si>
  <si>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</si>
  <si>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</si>
  <si>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Cuenta  corriente:</t>
  </si>
  <si>
    <t>Nº620024-9.</t>
  </si>
  <si>
    <t>Banco </t>
  </si>
  <si>
    <t>Santander</t>
  </si>
  <si>
    <t>Rut: </t>
  </si>
  <si>
    <t>76.666.800-3</t>
  </si>
  <si>
    <t>Razón Social: </t>
  </si>
  <si>
    <t>Aventuras Andinas limitada.</t>
  </si>
  <si>
    <t>Giro: </t>
  </si>
  <si>
    <t>Turismo.-</t>
  </si>
  <si>
    <t>Dirección: </t>
  </si>
  <si>
    <t>Camino a la canabina s/n San Esteban.</t>
  </si>
  <si>
    <t>56 29539311</t>
  </si>
  <si>
    <t>Copiar abonos o transferencias a sf@sflodge.cl y correo de la vendedora.</t>
  </si>
  <si>
    <t>Otros no incuidos.</t>
  </si>
  <si>
    <t>Nº Uds</t>
  </si>
  <si>
    <t>Valor</t>
  </si>
  <si>
    <t xml:space="preserve">Total </t>
  </si>
  <si>
    <t>Coordinador de evento</t>
  </si>
  <si>
    <t>12 horas, persona a cargo de recibir al grupo y coordinar cada una de las actividades.</t>
  </si>
  <si>
    <t>Bar abierto 2 horas</t>
  </si>
  <si>
    <t>Bebidas y cervezas en vaso, un solo punto a definir entre piscina, bar, quincho o salón.</t>
  </si>
  <si>
    <t>Bar abierto 4 horas</t>
  </si>
  <si>
    <t>Bebidas, cervezas, espumante, vino, pisco Mistral, ron Pampero.</t>
  </si>
  <si>
    <t>Bar abierto full, 6 horas</t>
  </si>
  <si>
    <t>Hora adicional de bar abierto</t>
  </si>
  <si>
    <t>Consome  250cc</t>
  </si>
  <si>
    <t xml:space="preserve">Taza de consome de pollo de 250 cc </t>
  </si>
  <si>
    <t>Servicio en comedor exclusivo</t>
  </si>
  <si>
    <t>Valor adicional por persona  / por comida</t>
  </si>
  <si>
    <t>Cambio de hora Alimentacion</t>
  </si>
  <si>
    <t>Por hora extra garzones, bar, cocina, traslado de personal en otro horario, por + de 20 pasajeros</t>
  </si>
  <si>
    <t>Tapaditos( solicitar con anticipación)</t>
  </si>
  <si>
    <t xml:space="preserve">Sandwich de pan amasado con pollo palta o pollo pimiento 2 unidades </t>
  </si>
  <si>
    <t>Tabla para 4 personas</t>
  </si>
  <si>
    <t>8 empanaditas de queso, 8 de pino, 8 bruzquetas,150 grs. de frutos secos, 150 grs. de queso, galletas de coctail y pasta para untar.</t>
  </si>
  <si>
    <t>Descorche por persona</t>
  </si>
  <si>
    <t>Incluye Barman, hielo, cooler, copas y vasos, montaje de bar y derecho a traer bebidas y/o tragos, 4 horas.</t>
  </si>
  <si>
    <t>Pisco sour ó kir royal ó espumante</t>
  </si>
  <si>
    <t>Mix de Frutos secos</t>
  </si>
  <si>
    <t xml:space="preserve"> Guarnición de frutos secos, app 20gr</t>
  </si>
  <si>
    <t>Copa de vino varietal</t>
  </si>
  <si>
    <t>Copa de vino servida a la mesa por un garzón, dentro de los que haya disponibles.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</si>
  <si>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</si>
  <si>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</si>
  <si>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</si>
  <si>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</si>
  <si>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Coffee Básico</t>
  </si>
  <si>
    <t>Café, té, agua, jugo de pulpa, 2 facturitas ó 1 muffins y 2 tapaditos.</t>
  </si>
  <si>
    <t>Coffee Light</t>
  </si>
  <si>
    <t>Jugo de pulpa, agua, yogurt, 1 brocheta fruta, 1 barra de cereal</t>
  </si>
  <si>
    <t>Coffee Intermedio</t>
  </si>
  <si>
    <t>Café, té, agua, jugo de pulpa, 1 muffins, 2 facturitas, 1 fruta y 1  tapadito.</t>
  </si>
  <si>
    <t>Coffee Full</t>
  </si>
  <si>
    <t>Café, té, agua, jugo de pulpa, leche, 1 muffins, 2 facturitas, 2 tapaditos, 1 brocheta de fruta.</t>
  </si>
  <si>
    <t>Coctail Básico.</t>
  </si>
  <si>
    <t>1 aperitivo ó 1 bebida ó 1 cerveza, 2 empanaditas, 2 bruzquetas,  frutos secos o quesos.</t>
  </si>
  <si>
    <t>Coctail Intermedio.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</si>
  <si>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</si>
  <si>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Servicio en Salón. Valor por persona.</t>
  </si>
  <si>
    <t>1 agua mineral por persona, café, té, infusiones, 5 dulces por persona en pocillo, 3 galletas artesanales.</t>
  </si>
  <si>
    <t>Salón Chinook, hasta 400 pasajeros</t>
  </si>
  <si>
    <t>Salón Coho, hasta 180 pasajeros</t>
  </si>
  <si>
    <t>Salon Fario 1, hasta 120 pasajeros</t>
  </si>
  <si>
    <t>Salon fario 2, hasta 120 pasajeros</t>
  </si>
  <si>
    <t>Salón Arcoiris 1 hasta 80 pasajeros.</t>
  </si>
  <si>
    <t xml:space="preserve">Salón Arcoiris 2, hasta 80 pasajeros </t>
  </si>
  <si>
    <t>Salón Fontinalis hasta 35 pasajeros</t>
  </si>
  <si>
    <t>Salón laguna hasta 50 pasajeros</t>
  </si>
  <si>
    <t>Pergola uso exclusivo 8 horas</t>
  </si>
  <si>
    <t>Pérgola comedor principal o pérgola bar</t>
  </si>
  <si>
    <t xml:space="preserve">Quincho,  hasta 100 pax </t>
  </si>
  <si>
    <t>Micrófono Inalámbrico solapa.</t>
  </si>
  <si>
    <t>Micrófono disponible y conectado</t>
  </si>
  <si>
    <t>Micrófono normal adicional</t>
  </si>
  <si>
    <t>Data adicional</t>
  </si>
  <si>
    <t>Amplificación Full c/operador, 8 horas</t>
  </si>
  <si>
    <t>8 h Día o 4 h Noche</t>
  </si>
  <si>
    <t>Punto de amplificación exterior estática</t>
  </si>
  <si>
    <t>Amplificación y 1 micrófono inalambrico, 4 horas.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</si>
  <si>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</si>
  <si>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</si>
  <si>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</si>
  <si>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</si>
  <si>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</si>
  <si>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Vg Karaoke y animador 4 horas en la noche</t>
  </si>
  <si>
    <t>DJ que se encarga de la música, animador para fiesta</t>
  </si>
  <si>
    <t>DJ y Animador 4 horas en la noche</t>
  </si>
  <si>
    <t>VG que se encarga de la música, animador para fiesta equipos.</t>
  </si>
  <si>
    <t xml:space="preserve">Hora adicional de DJ o VG karaoke en la noche </t>
  </si>
  <si>
    <t>Iluminación y humo, audio</t>
  </si>
  <si>
    <t>Equipos de fiesta robotizado, fiesta top.</t>
  </si>
  <si>
    <t>David Azan</t>
  </si>
  <si>
    <t>Incluye salon, amplificación e iluminación con Karaoke en vivo</t>
  </si>
  <si>
    <t>Incluye salon, amplificación e iluminación Concierto.</t>
  </si>
  <si>
    <t>Enzo Massardo</t>
  </si>
  <si>
    <t>Incluye salon, amplificación e iluminación.</t>
  </si>
  <si>
    <t>Masajista exclusiva,  hasta 1 a 8 horas</t>
  </si>
  <si>
    <t xml:space="preserve">Realiza hasta 10 pasajes de relajación de 1/2 hora + salón y aceites, hay que considerar entre masaje 15 minutos app. </t>
  </si>
  <si>
    <t>horarios entre las 10:00 y 14:00 y 15:00 a 19:00, adjuntar ficha de horarios de masajes.</t>
  </si>
  <si>
    <t xml:space="preserve">PROFORMA </t>
  </si>
  <si>
    <t xml:space="preserve">U DE CHILE </t>
  </si>
  <si>
    <t xml:space="preserve">Saldo Pendiente </t>
  </si>
  <si>
    <t>18 y 19 de Enero.</t>
  </si>
  <si>
    <t>23 y 24 de Enero.</t>
  </si>
  <si>
    <t xml:space="preserve">                                                        Nombre: </t>
  </si>
  <si>
    <t xml:space="preserve">      1.-</t>
  </si>
  <si>
    <t xml:space="preserve">      2.-</t>
  </si>
  <si>
    <t>2-3 Abril</t>
  </si>
  <si>
    <t xml:space="preserve">                                                 Valor por pasajero</t>
  </si>
  <si>
    <t>08:30-11:00</t>
  </si>
  <si>
    <t>Total evento</t>
  </si>
  <si>
    <t>Menos descuento  por fidelizacion</t>
  </si>
  <si>
    <t>Valor menos descuento</t>
  </si>
  <si>
    <t xml:space="preserve">Valor final pasajero </t>
  </si>
  <si>
    <t>IVA incluido.</t>
  </si>
  <si>
    <t>5-6 Abril</t>
  </si>
  <si>
    <t>HCUCH - Pabellones</t>
  </si>
  <si>
    <t>9-10 abril</t>
  </si>
  <si>
    <t>12-13 abril</t>
  </si>
  <si>
    <t>23 y 24 abril</t>
  </si>
  <si>
    <t>26 y 27 abril</t>
  </si>
  <si>
    <t>Valor evento</t>
  </si>
  <si>
    <t>Valor pactado anterior $95.000</t>
  </si>
  <si>
    <t>por persona.</t>
  </si>
  <si>
    <r>
      <rPr>
        <u/>
        <sz val="14"/>
        <color rgb="FF000000"/>
        <rFont val="Calibri"/>
        <family val="2"/>
      </rPr>
      <t>Diferencial a facturar a</t>
    </r>
    <r>
      <rPr>
        <b/>
        <u/>
        <sz val="14"/>
        <color rgb="FF000000"/>
        <rFont val="Calibri"/>
        <family val="2"/>
      </rPr>
      <t xml:space="preserve"> HCUCH</t>
    </r>
  </si>
  <si>
    <t>10 - 11 mayo</t>
  </si>
  <si>
    <t>Valor final pasajero pactado con Marcela</t>
  </si>
  <si>
    <t>Valor a facurar a Otic</t>
  </si>
  <si>
    <t>+</t>
  </si>
  <si>
    <t>Pdte de Pago</t>
  </si>
  <si>
    <t>Inscritos</t>
  </si>
  <si>
    <t>Valor participante pactado</t>
  </si>
  <si>
    <t>Diferencia</t>
  </si>
  <si>
    <t xml:space="preserve">Valor real </t>
  </si>
  <si>
    <t xml:space="preserve">Certificado </t>
  </si>
  <si>
    <t>decia cotizacion 95000</t>
  </si>
  <si>
    <t>decia cotizacion 95,000</t>
  </si>
  <si>
    <t>cotizacion decia 152,000</t>
  </si>
  <si>
    <t>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</si>
</sst>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;[Red]&quot;$&quot;\-#,##0"/>
    <numFmt numFmtId="42" formatCode="_ &quot;$&quot;* #,##0_ ;_ &quot;$&quot;* \-#,##0_ ;_ &quot;$&quot;* &quot;-&quot;_ ;_ @_ "/>
    <numFmt numFmtId="164" formatCode="_-&quot;$&quot;\ * #,##0_-;\-&quot;$&quot;\ * #,##0_-;_-&quot;$&quot;\ * &quot;-&quot;_-;_-@_-"/>
    <numFmt numFmtId="165" formatCode="_-* #,##0.00_-;\-* #,##0.00_-;_-* &quot;-&quot;??_-;_-@_-"/>
    <numFmt numFmtId="166" formatCode="_-* #,##0_-;\-* #,##0_-;_-* &quot;-&quot;??_-;_-@_-"/>
    <numFmt numFmtId="167" formatCode="h:mm:ss;@"/>
    <numFmt numFmtId="168" formatCode="&quot;$&quot;#,##0;[Red]\-&quot;$&quot;#,##0"/>
    <numFmt numFmtId="169" formatCode="&quot;$&quot;#,##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1E497D"/>
      <name val="Arial"/>
      <family val="2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3"/>
      <color rgb="FF000000"/>
      <name val="Calibri"/>
      <family val="2"/>
    </font>
    <font>
      <b/>
      <u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3"/>
      <color rgb="FF000000"/>
      <name val="Calibri"/>
      <family val="2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  <font>
      <sz val="13"/>
      <color rgb="FF000000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Calibri"/>
      <family val="2"/>
    </font>
    <font>
      <u/>
      <sz val="14"/>
      <color rgb="FF000000"/>
      <name val="Calibri"/>
      <family val="2"/>
    </font>
    <font>
      <sz val="10"/>
      <name val="Arial"/>
      <family val="2"/>
    </font>
    <font>
      <b/>
      <sz val="11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rgb="FF000000"/>
      </left>
      <right/>
      <top style="thick">
        <color rgb="FF000000"/>
      </top>
      <bottom style="thin">
        <color auto="1"/>
      </bottom>
      <diagonal/>
    </border>
    <border>
      <left/>
      <right/>
      <top style="thick">
        <color rgb="FF000000"/>
      </top>
      <bottom style="thin">
        <color auto="1"/>
      </bottom>
      <diagonal/>
    </border>
    <border>
      <left/>
      <right style="thin">
        <color auto="1"/>
      </right>
      <top style="thick">
        <color rgb="FF000000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70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3" fontId="3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right" wrapText="1"/>
    </xf>
    <xf numFmtId="16" fontId="3" fillId="0" borderId="1" xfId="0" applyNumberFormat="1" applyFont="1" applyBorder="1" applyAlignment="1">
      <alignment horizontal="right" wrapText="1"/>
    </xf>
    <xf numFmtId="166" fontId="3" fillId="0" borderId="1" xfId="1" applyNumberFormat="1" applyFont="1" applyBorder="1" applyAlignment="1">
      <alignment horizontal="right" wrapText="1"/>
    </xf>
    <xf numFmtId="166" fontId="3" fillId="0" borderId="1" xfId="1" applyNumberFormat="1" applyFont="1" applyBorder="1" applyAlignment="1">
      <alignment wrapText="1"/>
    </xf>
    <xf numFmtId="166" fontId="0" fillId="0" borderId="0" xfId="1" applyNumberFormat="1" applyFont="1"/>
    <xf numFmtId="3" fontId="3" fillId="0" borderId="3" xfId="0" applyNumberFormat="1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5" fillId="0" borderId="0" xfId="0" applyFont="1" applyAlignment="1">
      <alignment horizontal="right"/>
    </xf>
    <xf numFmtId="167" fontId="5" fillId="0" borderId="0" xfId="0" applyNumberFormat="1" applyFont="1" applyAlignment="1">
      <alignment horizontal="right"/>
    </xf>
    <xf numFmtId="0" fontId="6" fillId="0" borderId="0" xfId="0" applyFont="1"/>
    <xf numFmtId="167" fontId="0" fillId="0" borderId="0" xfId="0" applyNumberForma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20" fontId="7" fillId="0" borderId="0" xfId="0" applyNumberFormat="1" applyFont="1"/>
    <xf numFmtId="0" fontId="8" fillId="0" borderId="0" xfId="3"/>
    <xf numFmtId="0" fontId="7" fillId="0" borderId="0" xfId="0" applyFont="1"/>
    <xf numFmtId="0" fontId="9" fillId="0" borderId="0" xfId="0" applyFont="1" applyFill="1" applyAlignment="1">
      <alignment horizontal="left"/>
    </xf>
    <xf numFmtId="167" fontId="9" fillId="0" borderId="0" xfId="0" applyNumberFormat="1" applyFont="1" applyFill="1" applyAlignment="1">
      <alignment horizontal="right"/>
    </xf>
    <xf numFmtId="0" fontId="9" fillId="0" borderId="0" xfId="0" applyFont="1" applyFill="1"/>
    <xf numFmtId="167" fontId="9" fillId="0" borderId="0" xfId="0" applyNumberFormat="1" applyFont="1" applyFill="1"/>
    <xf numFmtId="0" fontId="10" fillId="2" borderId="4" xfId="0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1" fillId="3" borderId="7" xfId="0" applyFont="1" applyFill="1" applyBorder="1"/>
    <xf numFmtId="167" fontId="11" fillId="3" borderId="8" xfId="0" applyNumberFormat="1" applyFont="1" applyFill="1" applyBorder="1"/>
    <xf numFmtId="0" fontId="11" fillId="3" borderId="8" xfId="0" applyFont="1" applyFill="1" applyBorder="1" applyAlignment="1">
      <alignment horizontal="center"/>
    </xf>
    <xf numFmtId="6" fontId="11" fillId="3" borderId="8" xfId="0" applyNumberFormat="1" applyFont="1" applyFill="1" applyBorder="1"/>
    <xf numFmtId="6" fontId="11" fillId="3" borderId="8" xfId="0" applyNumberFormat="1" applyFont="1" applyFill="1" applyBorder="1" applyAlignment="1">
      <alignment horizontal="right"/>
    </xf>
    <xf numFmtId="0" fontId="11" fillId="3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 vertical="center"/>
    </xf>
    <xf numFmtId="167" fontId="11" fillId="3" borderId="2" xfId="0" applyNumberFormat="1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center"/>
    </xf>
    <xf numFmtId="6" fontId="11" fillId="3" borderId="2" xfId="0" applyNumberFormat="1" applyFont="1" applyFill="1" applyBorder="1" applyAlignment="1">
      <alignment horizontal="right" vertical="center"/>
    </xf>
    <xf numFmtId="6" fontId="11" fillId="3" borderId="2" xfId="0" applyNumberFormat="1" applyFont="1" applyFill="1" applyBorder="1" applyAlignment="1">
      <alignment horizontal="right"/>
    </xf>
    <xf numFmtId="0" fontId="11" fillId="3" borderId="9" xfId="0" applyFont="1" applyFill="1" applyBorder="1" applyAlignment="1">
      <alignment horizontal="left" vertical="center"/>
    </xf>
    <xf numFmtId="167" fontId="11" fillId="3" borderId="8" xfId="0" applyNumberFormat="1" applyFont="1" applyFill="1" applyBorder="1" applyAlignment="1">
      <alignment horizontal="left" vertical="center"/>
    </xf>
    <xf numFmtId="167" fontId="11" fillId="3" borderId="10" xfId="0" applyNumberFormat="1" applyFont="1" applyFill="1" applyBorder="1" applyAlignment="1">
      <alignment horizontal="left" vertical="center"/>
    </xf>
    <xf numFmtId="0" fontId="11" fillId="3" borderId="7" xfId="0" applyFont="1" applyFill="1" applyBorder="1" applyAlignment="1">
      <alignment horizontal="left" vertical="center"/>
    </xf>
    <xf numFmtId="6" fontId="11" fillId="3" borderId="8" xfId="0" applyNumberFormat="1" applyFont="1" applyFill="1" applyBorder="1" applyAlignment="1">
      <alignment horizontal="right" vertical="center"/>
    </xf>
    <xf numFmtId="0" fontId="12" fillId="3" borderId="2" xfId="0" applyFont="1" applyFill="1" applyBorder="1" applyAlignment="1">
      <alignment horizontal="left"/>
    </xf>
    <xf numFmtId="167" fontId="12" fillId="3" borderId="2" xfId="0" applyNumberFormat="1" applyFont="1" applyFill="1" applyBorder="1" applyAlignment="1">
      <alignment horizontal="left"/>
    </xf>
    <xf numFmtId="0" fontId="12" fillId="3" borderId="2" xfId="0" applyFont="1" applyFill="1" applyBorder="1" applyAlignment="1">
      <alignment horizontal="center"/>
    </xf>
    <xf numFmtId="6" fontId="12" fillId="3" borderId="2" xfId="0" applyNumberFormat="1" applyFont="1" applyFill="1" applyBorder="1" applyAlignment="1">
      <alignment horizontal="right"/>
    </xf>
    <xf numFmtId="0" fontId="13" fillId="2" borderId="2" xfId="0" applyFont="1" applyFill="1" applyBorder="1" applyAlignment="1">
      <alignment horizontal="left"/>
    </xf>
    <xf numFmtId="167" fontId="9" fillId="4" borderId="0" xfId="0" applyNumberFormat="1" applyFont="1" applyFill="1" applyAlignment="1">
      <alignment horizontal="center"/>
    </xf>
    <xf numFmtId="0" fontId="13" fillId="2" borderId="11" xfId="0" applyFont="1" applyFill="1" applyBorder="1" applyAlignment="1"/>
    <xf numFmtId="0" fontId="13" fillId="2" borderId="12" xfId="0" applyFont="1" applyFill="1" applyBorder="1" applyAlignment="1"/>
    <xf numFmtId="6" fontId="12" fillId="3" borderId="2" xfId="0" applyNumberFormat="1" applyFont="1" applyFill="1" applyBorder="1" applyAlignment="1">
      <alignment horizontal="center"/>
    </xf>
    <xf numFmtId="0" fontId="0" fillId="5" borderId="2" xfId="0" applyFont="1" applyFill="1" applyBorder="1"/>
    <xf numFmtId="0" fontId="11" fillId="0" borderId="13" xfId="0" applyFont="1" applyBorder="1" applyAlignment="1">
      <alignment horizontal="right"/>
    </xf>
    <xf numFmtId="167" fontId="11" fillId="0" borderId="13" xfId="0" applyNumberFormat="1" applyFont="1" applyBorder="1" applyAlignment="1">
      <alignment horizontal="right"/>
    </xf>
    <xf numFmtId="0" fontId="11" fillId="0" borderId="13" xfId="0" applyFont="1" applyBorder="1" applyAlignment="1">
      <alignment horizontal="center"/>
    </xf>
    <xf numFmtId="0" fontId="11" fillId="0" borderId="0" xfId="0" applyFont="1" applyAlignment="1">
      <alignment horizontal="center"/>
    </xf>
    <xf numFmtId="6" fontId="11" fillId="0" borderId="0" xfId="0" applyNumberFormat="1" applyFont="1" applyAlignment="1">
      <alignment horizontal="right"/>
    </xf>
    <xf numFmtId="6" fontId="11" fillId="0" borderId="14" xfId="0" applyNumberFormat="1" applyFont="1" applyBorder="1" applyAlignment="1">
      <alignment horizontal="right"/>
    </xf>
    <xf numFmtId="0" fontId="14" fillId="0" borderId="0" xfId="0" applyFont="1"/>
    <xf numFmtId="0" fontId="9" fillId="2" borderId="2" xfId="0" applyFont="1" applyFill="1" applyBorder="1" applyAlignment="1">
      <alignment horizontal="left"/>
    </xf>
    <xf numFmtId="167" fontId="9" fillId="2" borderId="2" xfId="0" applyNumberFormat="1" applyFont="1" applyFill="1" applyBorder="1" applyAlignment="1">
      <alignment horizontal="left"/>
    </xf>
    <xf numFmtId="0" fontId="9" fillId="2" borderId="2" xfId="0" applyFont="1" applyFill="1" applyBorder="1" applyAlignment="1">
      <alignment horizontal="center"/>
    </xf>
    <xf numFmtId="6" fontId="9" fillId="2" borderId="2" xfId="0" applyNumberFormat="1" applyFont="1" applyFill="1" applyBorder="1" applyAlignment="1">
      <alignment horizontal="right"/>
    </xf>
    <xf numFmtId="0" fontId="11" fillId="0" borderId="15" xfId="0" applyFont="1" applyBorder="1" applyAlignment="1">
      <alignment horizontal="right" vertical="center"/>
    </xf>
    <xf numFmtId="167" fontId="11" fillId="0" borderId="16" xfId="0" applyNumberFormat="1" applyFont="1" applyBorder="1" applyAlignment="1">
      <alignment horizontal="right" vertical="center"/>
    </xf>
    <xf numFmtId="0" fontId="11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right"/>
    </xf>
    <xf numFmtId="6" fontId="11" fillId="0" borderId="17" xfId="0" applyNumberFormat="1" applyFont="1" applyBorder="1" applyAlignment="1">
      <alignment horizontal="right"/>
    </xf>
    <xf numFmtId="0" fontId="11" fillId="0" borderId="0" xfId="0" applyFont="1"/>
    <xf numFmtId="0" fontId="11" fillId="0" borderId="0" xfId="0" applyFont="1" applyBorder="1" applyAlignment="1">
      <alignment horizontal="right"/>
    </xf>
    <xf numFmtId="167" fontId="11" fillId="0" borderId="0" xfId="0" applyNumberFormat="1" applyFont="1" applyBorder="1" applyAlignment="1">
      <alignment horizontal="right"/>
    </xf>
    <xf numFmtId="0" fontId="11" fillId="0" borderId="0" xfId="0" applyFont="1" applyBorder="1" applyAlignment="1">
      <alignment horizontal="center"/>
    </xf>
    <xf numFmtId="0" fontId="11" fillId="0" borderId="12" xfId="0" applyFont="1" applyBorder="1" applyAlignment="1">
      <alignment horizontal="right"/>
    </xf>
    <xf numFmtId="167" fontId="11" fillId="0" borderId="11" xfId="0" applyNumberFormat="1" applyFont="1" applyBorder="1" applyAlignment="1">
      <alignment horizontal="right"/>
    </xf>
    <xf numFmtId="0" fontId="11" fillId="0" borderId="11" xfId="0" applyFont="1" applyBorder="1" applyAlignment="1">
      <alignment horizontal="center"/>
    </xf>
    <xf numFmtId="6" fontId="11" fillId="0" borderId="11" xfId="0" applyNumberFormat="1" applyFont="1" applyBorder="1" applyAlignment="1">
      <alignment horizontal="right"/>
    </xf>
    <xf numFmtId="6" fontId="11" fillId="0" borderId="10" xfId="0" applyNumberFormat="1" applyFont="1" applyBorder="1" applyAlignment="1">
      <alignment horizontal="right"/>
    </xf>
    <xf numFmtId="0" fontId="11" fillId="6" borderId="0" xfId="0" applyFont="1" applyFill="1" applyBorder="1" applyAlignment="1">
      <alignment horizontal="right"/>
    </xf>
    <xf numFmtId="167" fontId="11" fillId="6" borderId="0" xfId="0" applyNumberFormat="1" applyFont="1" applyFill="1" applyBorder="1" applyAlignment="1">
      <alignment horizontal="right"/>
    </xf>
    <xf numFmtId="0" fontId="11" fillId="6" borderId="0" xfId="0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6" fontId="11" fillId="6" borderId="0" xfId="0" applyNumberFormat="1" applyFont="1" applyFill="1" applyAlignment="1">
      <alignment horizontal="right"/>
    </xf>
    <xf numFmtId="6" fontId="11" fillId="6" borderId="0" xfId="0" applyNumberFormat="1" applyFont="1" applyFill="1" applyBorder="1" applyAlignment="1">
      <alignment horizontal="right"/>
    </xf>
    <xf numFmtId="0" fontId="11" fillId="5" borderId="0" xfId="0" applyFont="1" applyFill="1" applyBorder="1" applyAlignment="1">
      <alignment horizontal="left"/>
    </xf>
    <xf numFmtId="167" fontId="11" fillId="5" borderId="0" xfId="0" applyNumberFormat="1" applyFont="1" applyFill="1" applyBorder="1" applyAlignment="1">
      <alignment horizontal="right"/>
    </xf>
    <xf numFmtId="0" fontId="11" fillId="5" borderId="0" xfId="0" applyFont="1" applyFill="1" applyBorder="1" applyAlignment="1">
      <alignment horizontal="center"/>
    </xf>
    <xf numFmtId="0" fontId="11" fillId="5" borderId="0" xfId="0" applyFont="1" applyFill="1" applyAlignment="1">
      <alignment horizontal="center"/>
    </xf>
    <xf numFmtId="6" fontId="11" fillId="5" borderId="0" xfId="0" applyNumberFormat="1" applyFont="1" applyFill="1" applyAlignment="1">
      <alignment horizontal="right"/>
    </xf>
    <xf numFmtId="6" fontId="15" fillId="5" borderId="0" xfId="0" applyNumberFormat="1" applyFont="1" applyFill="1" applyAlignment="1">
      <alignment vertical="center"/>
    </xf>
    <xf numFmtId="0" fontId="15" fillId="5" borderId="0" xfId="0" applyFont="1" applyFill="1" applyAlignment="1">
      <alignment vertical="center"/>
    </xf>
    <xf numFmtId="0" fontId="0" fillId="5" borderId="0" xfId="0" applyFill="1"/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8" fontId="0" fillId="0" borderId="0" xfId="0" applyNumberFormat="1"/>
    <xf numFmtId="0" fontId="17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4" fillId="0" borderId="0" xfId="3" applyFont="1" applyAlignment="1">
      <alignment vertical="center"/>
    </xf>
    <xf numFmtId="0" fontId="10" fillId="2" borderId="18" xfId="0" applyFont="1" applyFill="1" applyBorder="1" applyAlignment="1">
      <alignment horizontal="center"/>
    </xf>
    <xf numFmtId="167" fontId="10" fillId="2" borderId="19" xfId="0" applyNumberFormat="1" applyFont="1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0" fontId="10" fillId="2" borderId="20" xfId="0" applyFont="1" applyFill="1" applyBorder="1" applyAlignment="1">
      <alignment horizontal="center"/>
    </xf>
    <xf numFmtId="167" fontId="11" fillId="3" borderId="2" xfId="0" applyNumberFormat="1" applyFont="1" applyFill="1" applyBorder="1" applyAlignment="1">
      <alignment horizontal="center"/>
    </xf>
    <xf numFmtId="169" fontId="11" fillId="3" borderId="2" xfId="0" applyNumberFormat="1" applyFont="1" applyFill="1" applyBorder="1" applyAlignment="1">
      <alignment horizontal="right"/>
    </xf>
    <xf numFmtId="0" fontId="12" fillId="3" borderId="9" xfId="0" applyFont="1" applyFill="1" applyBorder="1" applyAlignment="1">
      <alignment horizontal="left" vertical="center"/>
    </xf>
    <xf numFmtId="167" fontId="12" fillId="3" borderId="10" xfId="0" applyNumberFormat="1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167" fontId="12" fillId="3" borderId="2" xfId="0" applyNumberFormat="1" applyFont="1" applyFill="1" applyBorder="1" applyAlignment="1">
      <alignment horizontal="left" vertical="center"/>
    </xf>
    <xf numFmtId="6" fontId="12" fillId="3" borderId="2" xfId="0" applyNumberFormat="1" applyFont="1" applyFill="1" applyBorder="1" applyAlignment="1">
      <alignment horizontal="right" vertical="center"/>
    </xf>
    <xf numFmtId="0" fontId="11" fillId="3" borderId="7" xfId="0" applyFont="1" applyFill="1" applyBorder="1" applyAlignment="1">
      <alignment vertical="center"/>
    </xf>
    <xf numFmtId="167" fontId="11" fillId="3" borderId="8" xfId="0" applyNumberFormat="1" applyFont="1" applyFill="1" applyBorder="1" applyAlignment="1">
      <alignment vertical="center"/>
    </xf>
    <xf numFmtId="0" fontId="0" fillId="5" borderId="21" xfId="0" applyFont="1" applyFill="1" applyBorder="1" applyAlignment="1">
      <alignment horizontal="center"/>
    </xf>
    <xf numFmtId="6" fontId="11" fillId="5" borderId="21" xfId="0" applyNumberFormat="1" applyFont="1" applyFill="1" applyBorder="1" applyAlignment="1">
      <alignment horizontal="right"/>
    </xf>
    <xf numFmtId="0" fontId="11" fillId="3" borderId="22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vertical="center"/>
    </xf>
    <xf numFmtId="167" fontId="11" fillId="3" borderId="2" xfId="0" applyNumberFormat="1" applyFont="1" applyFill="1" applyBorder="1" applyAlignment="1">
      <alignment vertical="center"/>
    </xf>
    <xf numFmtId="0" fontId="11" fillId="3" borderId="2" xfId="0" applyFont="1" applyFill="1" applyBorder="1" applyAlignment="1">
      <alignment horizontal="left" wrapText="1"/>
    </xf>
    <xf numFmtId="0" fontId="14" fillId="3" borderId="22" xfId="0" applyFont="1" applyFill="1" applyBorder="1" applyAlignment="1">
      <alignment horizontal="left" wrapText="1"/>
    </xf>
    <xf numFmtId="0" fontId="11" fillId="3" borderId="2" xfId="0" applyFont="1" applyFill="1" applyBorder="1" applyAlignment="1">
      <alignment horizontal="justify" vertical="center"/>
    </xf>
    <xf numFmtId="167" fontId="0" fillId="5" borderId="2" xfId="0" applyNumberFormat="1" applyFill="1" applyBorder="1"/>
    <xf numFmtId="42" fontId="12" fillId="3" borderId="2" xfId="2" applyNumberFormat="1" applyFont="1" applyFill="1" applyBorder="1" applyAlignment="1">
      <alignment horizontal="right" vertical="center"/>
    </xf>
    <xf numFmtId="0" fontId="0" fillId="5" borderId="2" xfId="0" applyFill="1" applyBorder="1"/>
    <xf numFmtId="42" fontId="11" fillId="3" borderId="2" xfId="2" applyNumberFormat="1" applyFont="1" applyFill="1" applyBorder="1" applyAlignment="1">
      <alignment horizontal="right" vertical="center"/>
    </xf>
    <xf numFmtId="167" fontId="11" fillId="3" borderId="2" xfId="0" applyNumberFormat="1" applyFont="1" applyFill="1" applyBorder="1" applyAlignment="1">
      <alignment horizontal="justify" vertical="center"/>
    </xf>
    <xf numFmtId="167" fontId="11" fillId="3" borderId="2" xfId="0" applyNumberFormat="1" applyFont="1" applyFill="1" applyBorder="1" applyAlignment="1">
      <alignment horizontal="left"/>
    </xf>
    <xf numFmtId="0" fontId="11" fillId="3" borderId="2" xfId="0" applyFont="1" applyFill="1" applyBorder="1"/>
    <xf numFmtId="167" fontId="11" fillId="3" borderId="2" xfId="0" applyNumberFormat="1" applyFont="1" applyFill="1" applyBorder="1"/>
    <xf numFmtId="167" fontId="0" fillId="5" borderId="0" xfId="0" applyNumberFormat="1" applyFill="1"/>
    <xf numFmtId="0" fontId="11" fillId="3" borderId="23" xfId="0" applyFont="1" applyFill="1" applyBorder="1" applyAlignment="1">
      <alignment horizontal="left"/>
    </xf>
    <xf numFmtId="0" fontId="21" fillId="7" borderId="0" xfId="0" applyFont="1" applyFill="1" applyAlignment="1">
      <alignment vertical="center"/>
    </xf>
    <xf numFmtId="167" fontId="21" fillId="7" borderId="0" xfId="0" applyNumberFormat="1" applyFont="1" applyFill="1" applyAlignment="1">
      <alignment vertical="center"/>
    </xf>
    <xf numFmtId="6" fontId="10" fillId="6" borderId="0" xfId="0" applyNumberFormat="1" applyFont="1" applyFill="1" applyAlignment="1">
      <alignment horizontal="right"/>
    </xf>
    <xf numFmtId="6" fontId="18" fillId="6" borderId="0" xfId="0" applyNumberFormat="1" applyFont="1" applyFill="1" applyAlignment="1">
      <alignment vertical="center"/>
    </xf>
    <xf numFmtId="3" fontId="22" fillId="6" borderId="3" xfId="0" applyNumberFormat="1" applyFont="1" applyFill="1" applyBorder="1" applyAlignment="1">
      <alignment horizontal="right" wrapText="1"/>
    </xf>
    <xf numFmtId="6" fontId="23" fillId="6" borderId="0" xfId="0" applyNumberFormat="1" applyFont="1" applyFill="1" applyAlignment="1">
      <alignment vertical="center"/>
    </xf>
    <xf numFmtId="0" fontId="11" fillId="5" borderId="0" xfId="0" applyFont="1" applyFill="1" applyBorder="1" applyAlignment="1">
      <alignment horizontal="right"/>
    </xf>
    <xf numFmtId="6" fontId="11" fillId="5" borderId="0" xfId="0" applyNumberFormat="1" applyFont="1" applyFill="1" applyBorder="1" applyAlignment="1">
      <alignment horizontal="right"/>
    </xf>
    <xf numFmtId="0" fontId="11" fillId="5" borderId="0" xfId="0" applyFont="1" applyFill="1"/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Font="1" applyFill="1"/>
    <xf numFmtId="167" fontId="9" fillId="0" borderId="0" xfId="0" applyNumberFormat="1" applyFont="1" applyFill="1" applyAlignment="1">
      <alignment horizontal="left"/>
    </xf>
    <xf numFmtId="0" fontId="9" fillId="0" borderId="0" xfId="0" applyFont="1" applyFill="1" applyAlignment="1">
      <alignment horizontal="right"/>
    </xf>
    <xf numFmtId="0" fontId="9" fillId="0" borderId="0" xfId="0" applyFont="1" applyFill="1" applyAlignment="1"/>
    <xf numFmtId="0" fontId="11" fillId="0" borderId="12" xfId="0" applyFont="1" applyBorder="1" applyAlignment="1">
      <alignment horizontal="left"/>
    </xf>
    <xf numFmtId="0" fontId="14" fillId="5" borderId="12" xfId="0" applyFont="1" applyFill="1" applyBorder="1" applyAlignment="1">
      <alignment horizontal="right"/>
    </xf>
    <xf numFmtId="9" fontId="14" fillId="5" borderId="11" xfId="0" applyNumberFormat="1" applyFont="1" applyFill="1" applyBorder="1" applyAlignment="1">
      <alignment horizontal="right"/>
    </xf>
    <xf numFmtId="0" fontId="14" fillId="5" borderId="11" xfId="0" applyFont="1" applyFill="1" applyBorder="1" applyAlignment="1">
      <alignment horizontal="center"/>
    </xf>
    <xf numFmtId="6" fontId="14" fillId="5" borderId="11" xfId="0" applyNumberFormat="1" applyFont="1" applyFill="1" applyBorder="1" applyAlignment="1">
      <alignment horizontal="right"/>
    </xf>
    <xf numFmtId="6" fontId="14" fillId="5" borderId="10" xfId="0" applyNumberFormat="1" applyFont="1" applyFill="1" applyBorder="1" applyAlignment="1">
      <alignment horizontal="right"/>
    </xf>
    <xf numFmtId="0" fontId="0" fillId="0" borderId="12" xfId="0" applyBorder="1"/>
    <xf numFmtId="167" fontId="0" fillId="0" borderId="11" xfId="0" applyNumberFormat="1" applyBorder="1"/>
    <xf numFmtId="0" fontId="0" fillId="0" borderId="11" xfId="0" applyBorder="1"/>
    <xf numFmtId="6" fontId="0" fillId="0" borderId="10" xfId="0" applyNumberFormat="1" applyBorder="1"/>
    <xf numFmtId="0" fontId="10" fillId="6" borderId="12" xfId="0" applyFont="1" applyFill="1" applyBorder="1" applyAlignment="1">
      <alignment horizontal="left"/>
    </xf>
    <xf numFmtId="167" fontId="10" fillId="6" borderId="11" xfId="0" applyNumberFormat="1" applyFont="1" applyFill="1" applyBorder="1" applyAlignment="1">
      <alignment horizontal="right"/>
    </xf>
    <xf numFmtId="0" fontId="10" fillId="6" borderId="11" xfId="0" applyFont="1" applyFill="1" applyBorder="1" applyAlignment="1">
      <alignment horizontal="center"/>
    </xf>
    <xf numFmtId="6" fontId="10" fillId="6" borderId="11" xfId="0" applyNumberFormat="1" applyFont="1" applyFill="1" applyBorder="1" applyAlignment="1">
      <alignment horizontal="right"/>
    </xf>
    <xf numFmtId="6" fontId="10" fillId="6" borderId="10" xfId="0" applyNumberFormat="1" applyFont="1" applyFill="1" applyBorder="1" applyAlignment="1">
      <alignment horizontal="right"/>
    </xf>
    <xf numFmtId="6" fontId="15" fillId="0" borderId="0" xfId="0" applyNumberFormat="1" applyFont="1" applyAlignment="1">
      <alignment vertical="center"/>
    </xf>
    <xf numFmtId="0" fontId="17" fillId="0" borderId="0" xfId="0" applyFont="1" applyAlignment="1">
      <alignment horizontal="right" vertical="center"/>
    </xf>
    <xf numFmtId="6" fontId="18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/>
    </xf>
    <xf numFmtId="0" fontId="16" fillId="6" borderId="0" xfId="0" applyFont="1" applyFill="1" applyAlignment="1">
      <alignment vertical="center"/>
    </xf>
    <xf numFmtId="0" fontId="0" fillId="6" borderId="0" xfId="0" applyFill="1"/>
    <xf numFmtId="0" fontId="15" fillId="6" borderId="0" xfId="0" applyFont="1" applyFill="1" applyAlignment="1">
      <alignment vertical="center"/>
    </xf>
    <xf numFmtId="0" fontId="5" fillId="5" borderId="0" xfId="0" applyFont="1" applyFill="1" applyBorder="1" applyAlignment="1">
      <alignment horizontal="right"/>
    </xf>
    <xf numFmtId="167" fontId="5" fillId="5" borderId="0" xfId="0" applyNumberFormat="1" applyFont="1" applyFill="1" applyBorder="1" applyAlignment="1">
      <alignment horizontal="right"/>
    </xf>
    <xf numFmtId="0" fontId="6" fillId="5" borderId="0" xfId="0" applyFont="1" applyFill="1" applyBorder="1"/>
    <xf numFmtId="0" fontId="0" fillId="5" borderId="0" xfId="0" applyFill="1" applyBorder="1"/>
    <xf numFmtId="167" fontId="0" fillId="5" borderId="0" xfId="0" applyNumberFormat="1" applyFill="1" applyBorder="1"/>
    <xf numFmtId="0" fontId="0" fillId="5" borderId="0" xfId="0" applyFill="1" applyBorder="1" applyAlignment="1">
      <alignment horizontal="center"/>
    </xf>
    <xf numFmtId="167" fontId="0" fillId="5" borderId="0" xfId="0" applyNumberFormat="1" applyFill="1" applyBorder="1" applyAlignment="1">
      <alignment horizontal="left"/>
    </xf>
    <xf numFmtId="0" fontId="0" fillId="5" borderId="0" xfId="0" applyFill="1" applyBorder="1" applyAlignment="1">
      <alignment horizontal="left"/>
    </xf>
    <xf numFmtId="0" fontId="0" fillId="5" borderId="0" xfId="0" applyFill="1" applyBorder="1" applyAlignment="1">
      <alignment horizontal="right"/>
    </xf>
    <xf numFmtId="20" fontId="7" fillId="5" borderId="0" xfId="0" applyNumberFormat="1" applyFont="1" applyFill="1" applyBorder="1"/>
    <xf numFmtId="0" fontId="8" fillId="5" borderId="0" xfId="3" applyFill="1" applyBorder="1"/>
    <xf numFmtId="0" fontId="7" fillId="5" borderId="0" xfId="0" applyFont="1" applyFill="1" applyBorder="1"/>
    <xf numFmtId="0" fontId="0" fillId="5" borderId="0" xfId="0" applyFont="1" applyFill="1" applyBorder="1" applyAlignment="1">
      <alignment horizontal="left"/>
    </xf>
    <xf numFmtId="0" fontId="0" fillId="5" borderId="0" xfId="0" applyFont="1" applyFill="1" applyBorder="1"/>
    <xf numFmtId="167" fontId="9" fillId="5" borderId="0" xfId="0" applyNumberFormat="1" applyFont="1" applyFill="1" applyBorder="1" applyAlignment="1">
      <alignment horizontal="left"/>
    </xf>
    <xf numFmtId="0" fontId="9" fillId="5" borderId="0" xfId="0" applyFont="1" applyFill="1" applyBorder="1"/>
    <xf numFmtId="0" fontId="9" fillId="5" borderId="0" xfId="0" applyFont="1" applyFill="1" applyBorder="1" applyAlignment="1">
      <alignment horizontal="right"/>
    </xf>
    <xf numFmtId="0" fontId="9" fillId="5" borderId="0" xfId="0" applyFont="1" applyFill="1" applyBorder="1" applyAlignment="1"/>
    <xf numFmtId="0" fontId="10" fillId="3" borderId="0" xfId="0" applyFont="1" applyFill="1" applyBorder="1" applyAlignment="1">
      <alignment horizontal="center"/>
    </xf>
    <xf numFmtId="167" fontId="10" fillId="3" borderId="0" xfId="0" applyNumberFormat="1" applyFont="1" applyFill="1" applyBorder="1" applyAlignment="1">
      <alignment horizontal="center"/>
    </xf>
    <xf numFmtId="0" fontId="11" fillId="3" borderId="0" xfId="0" applyFont="1" applyFill="1" applyBorder="1"/>
    <xf numFmtId="167" fontId="11" fillId="3" borderId="0" xfId="0" applyNumberFormat="1" applyFont="1" applyFill="1" applyBorder="1"/>
    <xf numFmtId="0" fontId="11" fillId="3" borderId="0" xfId="0" applyFont="1" applyFill="1" applyBorder="1" applyAlignment="1">
      <alignment horizontal="center"/>
    </xf>
    <xf numFmtId="6" fontId="11" fillId="3" borderId="0" xfId="0" applyNumberFormat="1" applyFont="1" applyFill="1" applyBorder="1"/>
    <xf numFmtId="6" fontId="11" fillId="3" borderId="0" xfId="0" applyNumberFormat="1" applyFont="1" applyFill="1" applyBorder="1" applyAlignment="1">
      <alignment horizontal="right"/>
    </xf>
    <xf numFmtId="0" fontId="11" fillId="3" borderId="0" xfId="0" applyFont="1" applyFill="1" applyBorder="1" applyAlignment="1">
      <alignment horizontal="left"/>
    </xf>
    <xf numFmtId="0" fontId="11" fillId="3" borderId="0" xfId="0" applyFont="1" applyFill="1" applyBorder="1" applyAlignment="1">
      <alignment horizontal="left" vertical="center"/>
    </xf>
    <xf numFmtId="167" fontId="11" fillId="3" borderId="0" xfId="0" applyNumberFormat="1" applyFont="1" applyFill="1" applyBorder="1" applyAlignment="1">
      <alignment horizontal="left" vertical="center"/>
    </xf>
    <xf numFmtId="6" fontId="11" fillId="3" borderId="0" xfId="0" applyNumberFormat="1" applyFont="1" applyFill="1" applyBorder="1" applyAlignment="1">
      <alignment horizontal="right" vertical="center"/>
    </xf>
    <xf numFmtId="0" fontId="12" fillId="3" borderId="0" xfId="0" applyFont="1" applyFill="1" applyBorder="1" applyAlignment="1">
      <alignment horizontal="left"/>
    </xf>
    <xf numFmtId="167" fontId="12" fillId="3" borderId="0" xfId="0" applyNumberFormat="1" applyFont="1" applyFill="1" applyBorder="1" applyAlignment="1">
      <alignment horizontal="left"/>
    </xf>
    <xf numFmtId="0" fontId="12" fillId="3" borderId="0" xfId="0" applyFont="1" applyFill="1" applyBorder="1" applyAlignment="1">
      <alignment horizontal="center"/>
    </xf>
    <xf numFmtId="6" fontId="12" fillId="3" borderId="0" xfId="0" applyNumberFormat="1" applyFont="1" applyFill="1" applyBorder="1" applyAlignment="1">
      <alignment horizontal="right"/>
    </xf>
    <xf numFmtId="0" fontId="14" fillId="5" borderId="0" xfId="0" applyFont="1" applyFill="1" applyBorder="1"/>
    <xf numFmtId="0" fontId="9" fillId="3" borderId="0" xfId="0" applyFont="1" applyFill="1" applyBorder="1" applyAlignment="1">
      <alignment horizontal="left"/>
    </xf>
    <xf numFmtId="167" fontId="9" fillId="3" borderId="0" xfId="0" applyNumberFormat="1" applyFont="1" applyFill="1" applyBorder="1" applyAlignment="1">
      <alignment horizontal="left"/>
    </xf>
    <xf numFmtId="0" fontId="9" fillId="3" borderId="0" xfId="0" applyFont="1" applyFill="1" applyBorder="1" applyAlignment="1">
      <alignment horizontal="center"/>
    </xf>
    <xf numFmtId="6" fontId="9" fillId="3" borderId="0" xfId="0" applyNumberFormat="1" applyFont="1" applyFill="1" applyBorder="1" applyAlignment="1">
      <alignment horizontal="right"/>
    </xf>
    <xf numFmtId="6" fontId="12" fillId="3" borderId="0" xfId="0" applyNumberFormat="1" applyFont="1" applyFill="1" applyBorder="1" applyAlignment="1">
      <alignment horizontal="center"/>
    </xf>
    <xf numFmtId="0" fontId="11" fillId="5" borderId="0" xfId="0" applyFont="1" applyFill="1" applyBorder="1" applyAlignment="1">
      <alignment horizontal="right" vertical="center"/>
    </xf>
    <xf numFmtId="167" fontId="11" fillId="5" borderId="0" xfId="0" applyNumberFormat="1" applyFont="1" applyFill="1" applyBorder="1" applyAlignment="1">
      <alignment horizontal="right" vertical="center"/>
    </xf>
    <xf numFmtId="0" fontId="11" fillId="5" borderId="0" xfId="0" applyFont="1" applyFill="1" applyBorder="1"/>
    <xf numFmtId="0" fontId="10" fillId="5" borderId="0" xfId="0" applyFont="1" applyFill="1" applyBorder="1" applyAlignment="1">
      <alignment horizontal="left"/>
    </xf>
    <xf numFmtId="167" fontId="10" fillId="5" borderId="0" xfId="0" applyNumberFormat="1" applyFont="1" applyFill="1" applyBorder="1" applyAlignment="1">
      <alignment horizontal="right"/>
    </xf>
    <xf numFmtId="0" fontId="10" fillId="5" borderId="0" xfId="0" applyFont="1" applyFill="1" applyBorder="1" applyAlignment="1">
      <alignment horizontal="center"/>
    </xf>
    <xf numFmtId="6" fontId="10" fillId="5" borderId="0" xfId="0" applyNumberFormat="1" applyFont="1" applyFill="1" applyBorder="1" applyAlignment="1">
      <alignment horizontal="right"/>
    </xf>
    <xf numFmtId="0" fontId="16" fillId="5" borderId="0" xfId="0" applyFont="1" applyFill="1" applyBorder="1" applyAlignment="1">
      <alignment vertical="center"/>
    </xf>
    <xf numFmtId="0" fontId="15" fillId="5" borderId="0" xfId="0" applyFont="1" applyFill="1" applyBorder="1" applyAlignment="1">
      <alignment vertical="center"/>
    </xf>
    <xf numFmtId="6" fontId="15" fillId="5" borderId="0" xfId="0" applyNumberFormat="1" applyFont="1" applyFill="1" applyBorder="1" applyAlignment="1">
      <alignment vertical="center"/>
    </xf>
    <xf numFmtId="0" fontId="17" fillId="5" borderId="0" xfId="0" applyFont="1" applyFill="1" applyBorder="1" applyAlignment="1">
      <alignment horizontal="left" vertical="center"/>
    </xf>
    <xf numFmtId="6" fontId="18" fillId="5" borderId="0" xfId="0" applyNumberFormat="1" applyFont="1" applyFill="1" applyBorder="1" applyAlignment="1">
      <alignment vertical="center"/>
    </xf>
    <xf numFmtId="0" fontId="17" fillId="5" borderId="0" xfId="0" applyFont="1" applyFill="1" applyBorder="1" applyAlignment="1">
      <alignment vertical="center"/>
    </xf>
    <xf numFmtId="0" fontId="15" fillId="5" borderId="0" xfId="0" applyFont="1" applyFill="1" applyBorder="1" applyAlignment="1">
      <alignment vertical="center" wrapText="1"/>
    </xf>
    <xf numFmtId="0" fontId="18" fillId="5" borderId="0" xfId="0" applyFont="1" applyFill="1" applyBorder="1" applyAlignment="1">
      <alignment vertical="center"/>
    </xf>
    <xf numFmtId="0" fontId="19" fillId="5" borderId="0" xfId="0" applyFont="1" applyFill="1" applyBorder="1" applyAlignment="1">
      <alignment vertical="center"/>
    </xf>
    <xf numFmtId="0" fontId="14" fillId="5" borderId="0" xfId="3" applyFont="1" applyFill="1" applyBorder="1" applyAlignment="1">
      <alignment vertical="center"/>
    </xf>
    <xf numFmtId="167" fontId="11" fillId="3" borderId="0" xfId="0" applyNumberFormat="1" applyFont="1" applyFill="1" applyBorder="1" applyAlignment="1">
      <alignment horizontal="center"/>
    </xf>
    <xf numFmtId="169" fontId="11" fillId="3" borderId="0" xfId="0" applyNumberFormat="1" applyFont="1" applyFill="1" applyBorder="1" applyAlignment="1">
      <alignment horizontal="right"/>
    </xf>
    <xf numFmtId="0" fontId="12" fillId="3" borderId="0" xfId="0" applyFont="1" applyFill="1" applyBorder="1" applyAlignment="1">
      <alignment horizontal="left" vertical="center"/>
    </xf>
    <xf numFmtId="167" fontId="12" fillId="3" borderId="0" xfId="0" applyNumberFormat="1" applyFont="1" applyFill="1" applyBorder="1" applyAlignment="1">
      <alignment horizontal="left" vertical="center"/>
    </xf>
    <xf numFmtId="6" fontId="12" fillId="3" borderId="0" xfId="0" applyNumberFormat="1" applyFont="1" applyFill="1" applyBorder="1" applyAlignment="1">
      <alignment horizontal="right" vertical="center"/>
    </xf>
    <xf numFmtId="0" fontId="11" fillId="3" borderId="0" xfId="0" applyFont="1" applyFill="1" applyBorder="1" applyAlignment="1">
      <alignment vertical="center"/>
    </xf>
    <xf numFmtId="167" fontId="11" fillId="3" borderId="0" xfId="0" applyNumberFormat="1" applyFont="1" applyFill="1" applyBorder="1" applyAlignment="1">
      <alignment vertical="center"/>
    </xf>
    <xf numFmtId="0" fontId="0" fillId="5" borderId="0" xfId="0" applyFont="1" applyFill="1" applyBorder="1" applyAlignment="1">
      <alignment horizontal="center"/>
    </xf>
    <xf numFmtId="0" fontId="11" fillId="3" borderId="0" xfId="0" applyFont="1" applyFill="1" applyBorder="1" applyAlignment="1">
      <alignment horizontal="left" wrapText="1"/>
    </xf>
    <xf numFmtId="0" fontId="14" fillId="3" borderId="0" xfId="0" applyFont="1" applyFill="1" applyBorder="1" applyAlignment="1">
      <alignment horizontal="left" wrapText="1"/>
    </xf>
    <xf numFmtId="0" fontId="11" fillId="3" borderId="0" xfId="0" applyFont="1" applyFill="1" applyBorder="1" applyAlignment="1">
      <alignment horizontal="justify" vertical="center"/>
    </xf>
    <xf numFmtId="42" fontId="12" fillId="3" borderId="0" xfId="2" applyNumberFormat="1" applyFont="1" applyFill="1" applyBorder="1" applyAlignment="1">
      <alignment horizontal="right" vertical="center"/>
    </xf>
    <xf numFmtId="42" fontId="11" fillId="3" borderId="0" xfId="2" applyNumberFormat="1" applyFont="1" applyFill="1" applyBorder="1" applyAlignment="1">
      <alignment horizontal="right" vertical="center"/>
    </xf>
    <xf numFmtId="167" fontId="11" fillId="3" borderId="0" xfId="0" applyNumberFormat="1" applyFont="1" applyFill="1" applyBorder="1" applyAlignment="1">
      <alignment horizontal="justify" vertical="center"/>
    </xf>
    <xf numFmtId="167" fontId="11" fillId="3" borderId="0" xfId="0" applyNumberFormat="1" applyFont="1" applyFill="1" applyBorder="1" applyAlignment="1">
      <alignment horizontal="left"/>
    </xf>
    <xf numFmtId="0" fontId="21" fillId="3" borderId="0" xfId="0" applyFont="1" applyFill="1" applyBorder="1" applyAlignment="1">
      <alignment vertical="center"/>
    </xf>
    <xf numFmtId="167" fontId="21" fillId="3" borderId="0" xfId="0" applyNumberFormat="1" applyFont="1" applyFill="1" applyBorder="1" applyAlignment="1">
      <alignment vertical="center"/>
    </xf>
    <xf numFmtId="0" fontId="25" fillId="0" borderId="1" xfId="0" applyFont="1" applyBorder="1" applyAlignment="1">
      <alignment wrapText="1"/>
    </xf>
    <xf numFmtId="0" fontId="3" fillId="8" borderId="3" xfId="0" applyFont="1" applyFill="1" applyBorder="1" applyAlignment="1">
      <alignment wrapText="1"/>
    </xf>
    <xf numFmtId="166" fontId="3" fillId="8" borderId="3" xfId="1" applyNumberFormat="1" applyFont="1" applyFill="1" applyBorder="1" applyAlignment="1">
      <alignment horizontal="right" wrapText="1"/>
    </xf>
    <xf numFmtId="0" fontId="3" fillId="8" borderId="3" xfId="0" applyFont="1" applyFill="1" applyBorder="1" applyAlignment="1">
      <alignment horizontal="right" wrapText="1"/>
    </xf>
    <xf numFmtId="3" fontId="3" fillId="8" borderId="3" xfId="0" applyNumberFormat="1" applyFont="1" applyFill="1" applyBorder="1" applyAlignment="1">
      <alignment horizontal="right" wrapText="1"/>
    </xf>
    <xf numFmtId="0" fontId="3" fillId="8" borderId="1" xfId="0" applyFont="1" applyFill="1" applyBorder="1" applyAlignment="1">
      <alignment wrapText="1"/>
    </xf>
    <xf numFmtId="166" fontId="3" fillId="8" borderId="1" xfId="1" applyNumberFormat="1" applyFont="1" applyFill="1" applyBorder="1" applyAlignment="1">
      <alignment horizontal="right" wrapText="1"/>
    </xf>
    <xf numFmtId="0" fontId="3" fillId="8" borderId="1" xfId="0" applyFont="1" applyFill="1" applyBorder="1" applyAlignment="1">
      <alignment horizontal="right" wrapText="1"/>
    </xf>
    <xf numFmtId="3" fontId="3" fillId="8" borderId="1" xfId="0" applyNumberFormat="1" applyFont="1" applyFill="1" applyBorder="1" applyAlignment="1">
      <alignment horizontal="right" wrapText="1"/>
    </xf>
    <xf numFmtId="169" fontId="0" fillId="0" borderId="0" xfId="0" applyNumberFormat="1"/>
    <xf numFmtId="0" fontId="2" fillId="0" borderId="24" xfId="0" applyFont="1" applyBorder="1" applyAlignment="1">
      <alignment wrapText="1"/>
    </xf>
    <xf numFmtId="0" fontId="2" fillId="0" borderId="25" xfId="0" applyFont="1" applyBorder="1" applyAlignment="1">
      <alignment wrapText="1"/>
    </xf>
    <xf numFmtId="0" fontId="2" fillId="0" borderId="26" xfId="0" applyFont="1" applyBorder="1" applyAlignment="1">
      <alignment wrapText="1"/>
    </xf>
    <xf numFmtId="169" fontId="26" fillId="5" borderId="2" xfId="0" applyNumberFormat="1" applyFont="1" applyFill="1" applyBorder="1" applyAlignment="1">
      <alignment horizontal="center"/>
    </xf>
    <xf numFmtId="169" fontId="0" fillId="5" borderId="2" xfId="0" applyNumberFormat="1" applyFill="1" applyBorder="1"/>
    <xf numFmtId="0" fontId="26" fillId="9" borderId="2" xfId="0" applyFont="1" applyFill="1" applyBorder="1" applyAlignment="1">
      <alignment horizontal="center"/>
    </xf>
    <xf numFmtId="0" fontId="0" fillId="9" borderId="2" xfId="0" applyFill="1" applyBorder="1"/>
    <xf numFmtId="3" fontId="0" fillId="0" borderId="0" xfId="0" applyNumberFormat="1"/>
    <xf numFmtId="0" fontId="2" fillId="0" borderId="27" xfId="0" applyFont="1" applyBorder="1" applyAlignment="1">
      <alignment wrapText="1"/>
    </xf>
    <xf numFmtId="3" fontId="3" fillId="8" borderId="0" xfId="0" applyNumberFormat="1" applyFont="1" applyFill="1" applyBorder="1" applyAlignment="1">
      <alignment horizontal="right" wrapText="1"/>
    </xf>
    <xf numFmtId="0" fontId="3" fillId="8" borderId="0" xfId="0" applyFont="1" applyFill="1" applyBorder="1" applyAlignment="1">
      <alignment wrapText="1"/>
    </xf>
    <xf numFmtId="169" fontId="26" fillId="5" borderId="0" xfId="0" applyNumberFormat="1" applyFont="1" applyFill="1" applyBorder="1" applyAlignment="1">
      <alignment horizontal="center"/>
    </xf>
    <xf numFmtId="167" fontId="0" fillId="0" borderId="0" xfId="0" applyNumberFormat="1" applyFont="1" applyFill="1" applyAlignment="1">
      <alignment horizontal="left"/>
    </xf>
    <xf numFmtId="0" fontId="9" fillId="0" borderId="0" xfId="0" applyFont="1" applyFill="1" applyAlignment="1">
      <alignment horizontal="center"/>
    </xf>
    <xf numFmtId="167" fontId="0" fillId="5" borderId="0" xfId="0" applyNumberFormat="1" applyFont="1" applyFill="1" applyBorder="1" applyAlignment="1">
      <alignment horizontal="left"/>
    </xf>
    <xf numFmtId="0" fontId="9" fillId="5" borderId="0" xfId="0" applyFont="1" applyFill="1" applyBorder="1" applyAlignment="1">
      <alignment horizontal="center"/>
    </xf>
  </cellXfs>
  <cellStyles count="4">
    <cellStyle name="Hipervínculo" xfId="3" builtinId="8"/>
    <cellStyle name="Millares" xfId="1" builtinId="3"/>
    <cellStyle name="Moneda [0]" xfId="2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Relationship Id="rId1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762000</xdr:colOff>
      <xdr:row>5</xdr:row>
      <xdr:rowOff>144916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419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762000</xdr:colOff>
      <xdr:row>5</xdr:row>
      <xdr:rowOff>144916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419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762000</xdr:colOff>
      <xdr:row>5</xdr:row>
      <xdr:rowOff>144916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419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762000</xdr:colOff>
      <xdr:row>5</xdr:row>
      <xdr:rowOff>144916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419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762000</xdr:colOff>
      <xdr:row>5</xdr:row>
      <xdr:rowOff>144916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4191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762000</xdr:colOff>
      <xdr:row>5</xdr:row>
      <xdr:rowOff>144916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4191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762000</xdr:colOff>
      <xdr:row>5</xdr:row>
      <xdr:rowOff>144916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4191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762000</xdr:colOff>
      <xdr:row>5</xdr:row>
      <xdr:rowOff>144916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4191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762000</xdr:colOff>
      <xdr:row>5</xdr:row>
      <xdr:rowOff>144916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4191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762000</xdr:colOff>
      <xdr:row>5</xdr:row>
      <xdr:rowOff>144916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4191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762000</xdr:colOff>
      <xdr:row>5</xdr:row>
      <xdr:rowOff>144916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419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2.bin"/><Relationship Id="rId3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8"/>
  <sheetViews>
    <sheetView tabSelected="1" workbookViewId="0">
      <selection activeCell="M8" sqref="M8"/>
    </sheetView>
  </sheetViews>
  <sheetFormatPr baseColWidth="10" defaultRowHeight="15" x14ac:dyDescent="0.2"/>
  <cols>
    <col min="1" max="1" width="10.6640625" bestFit="1" customWidth="1"/>
    <col min="2" max="2" width="14.5" style="8" customWidth="1"/>
    <col min="3" max="3" width="9" customWidth="1"/>
    <col min="4" max="4" width="10.6640625" hidden="1" customWidth="1"/>
    <col min="5" max="5" width="9.5" bestFit="1" customWidth="1"/>
    <col min="6" max="6" width="12.5" bestFit="1" customWidth="1"/>
    <col min="7" max="7" width="14" customWidth="1"/>
    <col min="8" max="8" width="12.5" customWidth="1"/>
    <col min="9" max="9" width="11.1640625" customWidth="1"/>
    <col min="10" max="10" width="9.6640625" customWidth="1"/>
    <col min="11" max="11" width="10.83203125" customWidth="1"/>
    <col min="12" max="12" width="23" customWidth="1"/>
    <col min="13" max="13" width="16.33203125" customWidth="1"/>
    <col min="14" max="14" width="12.5" customWidth="1"/>
    <col min="15" max="15" width="21.6640625" style="253" bestFit="1" customWidth="1"/>
    <col min="16" max="16" width="11" customWidth="1"/>
    <col min="17" max="17" width="14.1640625" style="253" customWidth="1"/>
  </cols>
  <sheetData>
    <row r="1" spans="1:15" ht="16" thickTop="1" x14ac:dyDescent="0.2">
      <c r="A1" s="254">
        <v>2018</v>
      </c>
      <c r="B1" s="255"/>
      <c r="C1" s="255"/>
      <c r="D1" s="255"/>
      <c r="E1" s="255"/>
      <c r="F1" s="255"/>
      <c r="G1" s="262"/>
      <c r="I1" s="257"/>
      <c r="J1" s="265"/>
      <c r="L1" s="255"/>
      <c r="M1" s="255"/>
      <c r="N1" s="256"/>
    </row>
    <row r="2" spans="1:15" ht="44" customHeight="1" x14ac:dyDescent="0.2">
      <c r="A2" s="10" t="s">
        <v>19</v>
      </c>
      <c r="B2" s="10" t="s">
        <v>20</v>
      </c>
      <c r="C2" s="10" t="s">
        <v>21</v>
      </c>
      <c r="D2" s="10"/>
      <c r="E2" s="10" t="s">
        <v>22</v>
      </c>
      <c r="F2" s="10" t="s">
        <v>23</v>
      </c>
      <c r="G2" s="10" t="s">
        <v>248</v>
      </c>
      <c r="H2" s="257" t="s">
        <v>250</v>
      </c>
      <c r="I2" s="257" t="s">
        <v>249</v>
      </c>
      <c r="J2" s="257"/>
      <c r="K2" s="259" t="s">
        <v>247</v>
      </c>
      <c r="L2" s="10" t="s">
        <v>24</v>
      </c>
      <c r="M2" s="10" t="s">
        <v>25</v>
      </c>
      <c r="N2" t="s">
        <v>251</v>
      </c>
    </row>
    <row r="3" spans="1:15" ht="16" thickBot="1" x14ac:dyDescent="0.25">
      <c r="A3" s="245" t="s">
        <v>0</v>
      </c>
      <c r="B3" s="246">
        <v>5320000</v>
      </c>
      <c r="C3" s="247">
        <v>28</v>
      </c>
      <c r="D3" s="245"/>
      <c r="E3" s="248">
        <v>3092614</v>
      </c>
      <c r="F3" s="248">
        <v>403385</v>
      </c>
      <c r="G3" s="263">
        <f>127000*1.19</f>
        <v>151130</v>
      </c>
      <c r="H3" s="258">
        <f t="shared" ref="H3:H15" si="0">K3*G3</f>
        <v>3475990</v>
      </c>
      <c r="I3" s="258">
        <f>H3-E3-F3</f>
        <v>-20009</v>
      </c>
      <c r="J3" s="258"/>
      <c r="K3" s="260">
        <v>23</v>
      </c>
      <c r="L3" s="245" t="s">
        <v>1</v>
      </c>
      <c r="M3" s="245" t="s">
        <v>2</v>
      </c>
      <c r="N3">
        <v>23</v>
      </c>
      <c r="O3" s="253" t="s">
        <v>254</v>
      </c>
    </row>
    <row r="4" spans="1:15" ht="16" thickBot="1" x14ac:dyDescent="0.25">
      <c r="A4" s="249" t="s">
        <v>3</v>
      </c>
      <c r="B4" s="250">
        <v>5299000</v>
      </c>
      <c r="C4" s="251">
        <v>30</v>
      </c>
      <c r="D4" s="252">
        <v>499417</v>
      </c>
      <c r="E4" s="252">
        <v>2660000</v>
      </c>
      <c r="F4" s="252">
        <v>288000</v>
      </c>
      <c r="G4" s="263">
        <f t="shared" ref="G4:G7" si="1">127000*1.19</f>
        <v>151130</v>
      </c>
      <c r="H4" s="258">
        <f t="shared" si="0"/>
        <v>2871470</v>
      </c>
      <c r="I4" s="258">
        <f>H4-E4-F4</f>
        <v>-76530</v>
      </c>
      <c r="J4" s="258"/>
      <c r="K4" s="260">
        <v>19</v>
      </c>
      <c r="L4" s="249" t="s">
        <v>4</v>
      </c>
      <c r="M4" s="249" t="s">
        <v>2</v>
      </c>
      <c r="N4">
        <v>19</v>
      </c>
    </row>
    <row r="5" spans="1:15" ht="16" thickBot="1" x14ac:dyDescent="0.25">
      <c r="A5" s="249" t="s">
        <v>5</v>
      </c>
      <c r="B5" s="250">
        <v>5299000</v>
      </c>
      <c r="C5" s="251">
        <v>35</v>
      </c>
      <c r="D5" s="252">
        <v>500099</v>
      </c>
      <c r="E5" s="252">
        <v>3648003</v>
      </c>
      <c r="F5" s="252">
        <v>304003</v>
      </c>
      <c r="G5" s="263">
        <f t="shared" si="1"/>
        <v>151130</v>
      </c>
      <c r="H5" s="258">
        <f t="shared" si="0"/>
        <v>4080510</v>
      </c>
      <c r="I5" s="258">
        <f>H5-E5-F5</f>
        <v>128504</v>
      </c>
      <c r="J5" s="258"/>
      <c r="K5" s="260">
        <v>27</v>
      </c>
      <c r="L5" s="249" t="s">
        <v>4</v>
      </c>
      <c r="M5" s="249" t="s">
        <v>2</v>
      </c>
      <c r="N5">
        <v>26</v>
      </c>
    </row>
    <row r="6" spans="1:15" ht="28" thickBot="1" x14ac:dyDescent="0.25">
      <c r="A6" s="249" t="s">
        <v>6</v>
      </c>
      <c r="B6" s="250">
        <v>2725200</v>
      </c>
      <c r="C6" s="249">
        <v>18</v>
      </c>
      <c r="D6" s="249" t="s">
        <v>7</v>
      </c>
      <c r="E6" s="252">
        <v>1900025</v>
      </c>
      <c r="F6" s="252">
        <v>380004</v>
      </c>
      <c r="G6" s="263">
        <f t="shared" si="1"/>
        <v>151130</v>
      </c>
      <c r="H6" s="258">
        <f t="shared" si="0"/>
        <v>2266950</v>
      </c>
      <c r="I6" s="258">
        <f>H6-E6-F6</f>
        <v>-13079</v>
      </c>
      <c r="J6" s="258"/>
      <c r="K6" s="260">
        <v>15</v>
      </c>
      <c r="L6" s="249" t="s">
        <v>4</v>
      </c>
      <c r="M6" s="249" t="s">
        <v>2</v>
      </c>
      <c r="N6">
        <v>15</v>
      </c>
    </row>
    <row r="7" spans="1:15" ht="16" thickBot="1" x14ac:dyDescent="0.25">
      <c r="A7" s="249" t="s">
        <v>8</v>
      </c>
      <c r="B7" s="250">
        <v>3482200</v>
      </c>
      <c r="C7" s="251">
        <v>18</v>
      </c>
      <c r="D7" s="252">
        <v>500697</v>
      </c>
      <c r="E7" s="252">
        <v>2584001</v>
      </c>
      <c r="F7" s="249"/>
      <c r="G7" s="263">
        <f t="shared" si="1"/>
        <v>151130</v>
      </c>
      <c r="H7" s="258">
        <f t="shared" si="0"/>
        <v>3022600</v>
      </c>
      <c r="I7" s="258">
        <f>H7-E7-F7</f>
        <v>438599</v>
      </c>
      <c r="J7" s="258"/>
      <c r="K7" s="260">
        <v>20</v>
      </c>
      <c r="L7" s="249" t="s">
        <v>4</v>
      </c>
      <c r="M7" s="249"/>
      <c r="N7">
        <v>15</v>
      </c>
    </row>
    <row r="8" spans="1:15" ht="16" thickBot="1" x14ac:dyDescent="0.25">
      <c r="A8" s="1" t="s">
        <v>9</v>
      </c>
      <c r="B8" s="6">
        <v>3780000</v>
      </c>
      <c r="C8" s="2">
        <v>28</v>
      </c>
      <c r="D8" s="1"/>
      <c r="E8" s="3">
        <v>2720264</v>
      </c>
      <c r="F8" s="3">
        <v>924736</v>
      </c>
      <c r="G8" s="264">
        <v>135000</v>
      </c>
      <c r="H8" s="258">
        <f t="shared" si="0"/>
        <v>3780000</v>
      </c>
      <c r="I8" s="258">
        <f t="shared" ref="I8" si="2">H8-E8-F8</f>
        <v>135000</v>
      </c>
      <c r="J8" s="258"/>
      <c r="K8" s="260">
        <v>28</v>
      </c>
      <c r="L8" s="1" t="s">
        <v>255</v>
      </c>
      <c r="M8" s="1" t="s">
        <v>10</v>
      </c>
      <c r="N8">
        <v>28</v>
      </c>
    </row>
    <row r="9" spans="1:15" ht="16" thickBot="1" x14ac:dyDescent="0.25">
      <c r="A9" s="1" t="s">
        <v>11</v>
      </c>
      <c r="B9" s="7">
        <v>2295000</v>
      </c>
      <c r="C9" s="2">
        <v>17</v>
      </c>
      <c r="D9" s="4">
        <v>518131</v>
      </c>
      <c r="E9" s="3">
        <v>2092593</v>
      </c>
      <c r="F9" s="3">
        <v>67503</v>
      </c>
      <c r="G9" s="264">
        <v>135000</v>
      </c>
      <c r="H9" s="258">
        <f t="shared" si="0"/>
        <v>2295000</v>
      </c>
      <c r="I9" s="258">
        <f>H9-E9-F9</f>
        <v>134904</v>
      </c>
      <c r="J9" s="258"/>
      <c r="K9" s="260">
        <v>17</v>
      </c>
      <c r="L9" s="1" t="s">
        <v>255</v>
      </c>
      <c r="M9" s="1" t="s">
        <v>10</v>
      </c>
      <c r="N9">
        <v>16</v>
      </c>
    </row>
    <row r="10" spans="1:15" ht="16" thickBot="1" x14ac:dyDescent="0.25">
      <c r="A10" s="1" t="s">
        <v>11</v>
      </c>
      <c r="B10" s="6">
        <v>3915000</v>
      </c>
      <c r="C10" s="2">
        <v>29</v>
      </c>
      <c r="D10" s="1"/>
      <c r="E10" s="3">
        <v>2430000</v>
      </c>
      <c r="F10" s="3">
        <v>810000</v>
      </c>
      <c r="G10" s="264">
        <v>135000</v>
      </c>
      <c r="H10" s="258">
        <f t="shared" si="0"/>
        <v>3915000</v>
      </c>
      <c r="I10" s="258">
        <f>H10-E10-F10</f>
        <v>675000</v>
      </c>
      <c r="J10" s="258"/>
      <c r="K10" s="260">
        <v>29</v>
      </c>
      <c r="L10" s="1" t="s">
        <v>255</v>
      </c>
      <c r="M10" s="1" t="s">
        <v>10</v>
      </c>
      <c r="N10">
        <v>24</v>
      </c>
    </row>
    <row r="11" spans="1:15" ht="16" thickBot="1" x14ac:dyDescent="0.25">
      <c r="A11" s="1" t="s">
        <v>12</v>
      </c>
      <c r="B11" s="6">
        <v>2690000</v>
      </c>
      <c r="C11" s="2">
        <v>28</v>
      </c>
      <c r="D11" s="1"/>
      <c r="E11" s="3">
        <v>2672995</v>
      </c>
      <c r="F11" s="3">
        <v>1107011</v>
      </c>
      <c r="G11" s="264">
        <v>135000</v>
      </c>
      <c r="H11" s="258">
        <f t="shared" si="0"/>
        <v>3780000</v>
      </c>
      <c r="I11" s="258">
        <f>H11-E11-F11</f>
        <v>-6</v>
      </c>
      <c r="J11" s="258"/>
      <c r="K11" s="260">
        <v>28</v>
      </c>
      <c r="L11" s="1" t="s">
        <v>255</v>
      </c>
      <c r="M11" s="1" t="s">
        <v>10</v>
      </c>
      <c r="N11">
        <v>28</v>
      </c>
      <c r="O11" s="253" t="s">
        <v>26</v>
      </c>
    </row>
    <row r="12" spans="1:15" ht="16" thickBot="1" x14ac:dyDescent="0.25">
      <c r="A12" s="1" t="s">
        <v>13</v>
      </c>
      <c r="B12" s="6">
        <v>4050000</v>
      </c>
      <c r="C12" s="2">
        <v>30</v>
      </c>
      <c r="D12" s="3">
        <v>520044</v>
      </c>
      <c r="E12" s="3">
        <v>1819250</v>
      </c>
      <c r="F12" s="3">
        <v>935750</v>
      </c>
      <c r="G12" s="264">
        <v>95000</v>
      </c>
      <c r="H12" s="258">
        <f t="shared" si="0"/>
        <v>2850000</v>
      </c>
      <c r="I12" s="258">
        <f>H12-E12-F12</f>
        <v>95000</v>
      </c>
      <c r="J12" s="258"/>
      <c r="K12" s="260">
        <v>30</v>
      </c>
      <c r="L12" s="1" t="s">
        <v>255</v>
      </c>
      <c r="M12" s="1" t="s">
        <v>10</v>
      </c>
      <c r="N12">
        <v>29</v>
      </c>
    </row>
    <row r="13" spans="1:15" ht="30" customHeight="1" thickBot="1" x14ac:dyDescent="0.25">
      <c r="A13" s="1" t="s">
        <v>14</v>
      </c>
      <c r="B13" s="6">
        <v>2674000</v>
      </c>
      <c r="C13" s="2">
        <v>28</v>
      </c>
      <c r="D13" s="1"/>
      <c r="E13" s="3">
        <v>1786000</v>
      </c>
      <c r="F13" s="3">
        <v>874000</v>
      </c>
      <c r="G13" s="264">
        <v>95000</v>
      </c>
      <c r="H13" s="258">
        <f t="shared" si="0"/>
        <v>2660000</v>
      </c>
      <c r="I13" s="258">
        <f t="shared" ref="I13:I16" si="3">H13-E13-F13</f>
        <v>0</v>
      </c>
      <c r="J13" s="258"/>
      <c r="K13" s="260">
        <v>28</v>
      </c>
      <c r="L13" s="1" t="s">
        <v>255</v>
      </c>
      <c r="M13" s="1" t="s">
        <v>10</v>
      </c>
      <c r="N13">
        <v>28</v>
      </c>
    </row>
    <row r="14" spans="1:15" ht="41" thickBot="1" x14ac:dyDescent="0.25">
      <c r="A14" s="1" t="s">
        <v>15</v>
      </c>
      <c r="B14" s="6">
        <v>4050000</v>
      </c>
      <c r="C14" s="2">
        <v>30</v>
      </c>
      <c r="D14" s="1" t="s">
        <v>16</v>
      </c>
      <c r="E14" s="3">
        <v>2056750</v>
      </c>
      <c r="F14" s="3">
        <v>793250</v>
      </c>
      <c r="G14" s="264">
        <v>135000</v>
      </c>
      <c r="H14" s="258">
        <f t="shared" si="0"/>
        <v>4050000</v>
      </c>
      <c r="I14" s="258">
        <f>H14-E14-F14</f>
        <v>1200000</v>
      </c>
      <c r="J14" s="258"/>
      <c r="K14" s="260">
        <v>30</v>
      </c>
      <c r="L14" s="1" t="s">
        <v>10</v>
      </c>
      <c r="M14" s="1" t="s">
        <v>10</v>
      </c>
      <c r="N14">
        <v>29</v>
      </c>
      <c r="O14" s="253" t="s">
        <v>252</v>
      </c>
    </row>
    <row r="15" spans="1:15" ht="28" thickBot="1" x14ac:dyDescent="0.25">
      <c r="A15" s="5">
        <v>43225</v>
      </c>
      <c r="B15" s="6">
        <v>640000</v>
      </c>
      <c r="C15" s="2">
        <v>16</v>
      </c>
      <c r="D15" s="1" t="s">
        <v>17</v>
      </c>
      <c r="E15" s="3">
        <v>370000</v>
      </c>
      <c r="F15" s="3">
        <v>270000</v>
      </c>
      <c r="G15" s="264">
        <f>(E15+F15)/K15</f>
        <v>40000</v>
      </c>
      <c r="H15" s="258">
        <f t="shared" si="0"/>
        <v>640000</v>
      </c>
      <c r="I15" s="258">
        <f t="shared" si="3"/>
        <v>0</v>
      </c>
      <c r="J15" s="258"/>
      <c r="K15" s="260">
        <v>16</v>
      </c>
      <c r="L15" s="244" t="s">
        <v>246</v>
      </c>
      <c r="M15" s="244" t="s">
        <v>246</v>
      </c>
      <c r="N15">
        <v>16</v>
      </c>
    </row>
    <row r="16" spans="1:15" ht="28" thickBot="1" x14ac:dyDescent="0.25">
      <c r="A16" s="1" t="s">
        <v>18</v>
      </c>
      <c r="B16" s="6">
        <v>3105000</v>
      </c>
      <c r="C16" s="2">
        <v>23</v>
      </c>
      <c r="D16" s="1" t="s">
        <v>17</v>
      </c>
      <c r="E16" s="3">
        <v>1520000</v>
      </c>
      <c r="F16" s="3">
        <v>570000</v>
      </c>
      <c r="G16" s="264">
        <v>135000</v>
      </c>
      <c r="H16" s="258">
        <f>K16*G16</f>
        <v>3105000</v>
      </c>
      <c r="I16" s="258">
        <f t="shared" si="3"/>
        <v>1015000</v>
      </c>
      <c r="J16" s="258"/>
      <c r="K16" s="260">
        <v>23</v>
      </c>
      <c r="L16" s="244" t="s">
        <v>246</v>
      </c>
      <c r="M16" s="244" t="s">
        <v>246</v>
      </c>
      <c r="N16">
        <v>22</v>
      </c>
      <c r="O16" s="253" t="s">
        <v>253</v>
      </c>
    </row>
    <row r="17" spans="3:11" x14ac:dyDescent="0.2">
      <c r="H17" t="s">
        <v>26</v>
      </c>
    </row>
    <row r="18" spans="3:11" x14ac:dyDescent="0.2">
      <c r="C18" s="261" t="s">
        <v>26</v>
      </c>
      <c r="K18" t="s">
        <v>26</v>
      </c>
    </row>
  </sheetData>
  <pageMargins left="0.70866141732283472" right="0.70866141732283472" top="0.74803149606299213" bottom="0.74803149606299213" header="0.31496062992125984" footer="0.31496062992125984"/>
  <pageSetup scale="73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"/>
  <sheetViews>
    <sheetView topLeftCell="A16" workbookViewId="0">
      <selection activeCell="F44" sqref="F44"/>
    </sheetView>
  </sheetViews>
  <sheetFormatPr baseColWidth="10" defaultRowHeight="15" x14ac:dyDescent="0.2"/>
  <cols>
    <col min="1" max="1" width="40" customWidth="1"/>
    <col min="2" max="2" width="12.5" style="14" customWidth="1"/>
    <col min="3" max="4" width="7.33203125" customWidth="1"/>
    <col min="5" max="5" width="13" bestFit="1" customWidth="1"/>
    <col min="6" max="6" width="40" bestFit="1" customWidth="1"/>
    <col min="7" max="7" width="125.5" bestFit="1" customWidth="1"/>
    <col min="8" max="8" width="13" bestFit="1" customWidth="1"/>
    <col min="9" max="9" width="114.1640625" customWidth="1"/>
  </cols>
  <sheetData>
    <row r="1" spans="1:7" ht="64" customHeight="1" x14ac:dyDescent="0.3">
      <c r="A1" s="11" t="s">
        <v>26</v>
      </c>
      <c r="B1" s="12"/>
      <c r="C1" s="13" t="s">
        <v>27</v>
      </c>
    </row>
    <row r="2" spans="1:7" x14ac:dyDescent="0.2">
      <c r="G2" t="s">
        <v>28</v>
      </c>
    </row>
    <row r="3" spans="1:7" ht="16" x14ac:dyDescent="0.2">
      <c r="A3" s="15" t="s">
        <v>29</v>
      </c>
      <c r="B3" s="16" t="s">
        <v>30</v>
      </c>
      <c r="E3" t="s">
        <v>31</v>
      </c>
      <c r="F3" s="17" t="s">
        <v>32</v>
      </c>
      <c r="G3" s="18" t="s">
        <v>33</v>
      </c>
    </row>
    <row r="4" spans="1:7" ht="16" x14ac:dyDescent="0.2">
      <c r="A4" t="s">
        <v>34</v>
      </c>
      <c r="C4" s="19"/>
      <c r="E4" t="s">
        <v>35</v>
      </c>
      <c r="F4">
        <v>90827788</v>
      </c>
      <c r="G4" s="20" t="s">
        <v>36</v>
      </c>
    </row>
    <row r="5" spans="1:7" ht="16" x14ac:dyDescent="0.2">
      <c r="A5" t="s">
        <v>37</v>
      </c>
      <c r="B5" s="14" t="s">
        <v>38</v>
      </c>
      <c r="E5" t="s">
        <v>39</v>
      </c>
      <c r="F5" s="17">
        <v>28</v>
      </c>
      <c r="G5" s="20" t="s">
        <v>40</v>
      </c>
    </row>
    <row r="6" spans="1:7" ht="16" x14ac:dyDescent="0.2">
      <c r="A6" s="21" t="s">
        <v>41</v>
      </c>
      <c r="B6" s="22"/>
      <c r="C6" s="23"/>
      <c r="D6" s="23"/>
      <c r="E6" s="23" t="s">
        <v>42</v>
      </c>
      <c r="F6" s="23">
        <v>74961403</v>
      </c>
      <c r="G6" s="20" t="s">
        <v>43</v>
      </c>
    </row>
    <row r="7" spans="1:7" ht="17" thickBot="1" x14ac:dyDescent="0.25">
      <c r="A7" s="23"/>
      <c r="B7" s="24"/>
      <c r="C7" s="23"/>
      <c r="D7" s="23"/>
      <c r="E7" s="23"/>
      <c r="F7" s="23"/>
      <c r="G7" s="20"/>
    </row>
    <row r="8" spans="1:7" ht="15.75" customHeight="1" x14ac:dyDescent="0.2">
      <c r="A8" s="25" t="s">
        <v>44</v>
      </c>
      <c r="B8" s="26" t="s">
        <v>45</v>
      </c>
      <c r="C8" s="27" t="s">
        <v>46</v>
      </c>
      <c r="D8" s="27" t="s">
        <v>47</v>
      </c>
      <c r="E8" s="27" t="s">
        <v>48</v>
      </c>
      <c r="F8" s="27" t="s">
        <v>49</v>
      </c>
      <c r="G8" s="28" t="s">
        <v>50</v>
      </c>
    </row>
    <row r="9" spans="1:7" ht="16.5" customHeight="1" x14ac:dyDescent="0.2">
      <c r="A9" s="29" t="s">
        <v>51</v>
      </c>
      <c r="B9" s="30">
        <v>0.41666666666666669</v>
      </c>
      <c r="C9" s="31">
        <v>1</v>
      </c>
      <c r="D9" s="31">
        <v>28</v>
      </c>
      <c r="E9" s="32">
        <v>9500</v>
      </c>
      <c r="F9" s="33">
        <f>C9*D9*E9</f>
        <v>266000</v>
      </c>
      <c r="G9" s="34" t="s">
        <v>52</v>
      </c>
    </row>
    <row r="10" spans="1:7" ht="16" x14ac:dyDescent="0.2">
      <c r="A10" s="35" t="s">
        <v>53</v>
      </c>
      <c r="B10" s="36">
        <v>0.45833333333333331</v>
      </c>
      <c r="C10" s="37">
        <v>1</v>
      </c>
      <c r="D10" s="37">
        <v>1</v>
      </c>
      <c r="E10" s="38">
        <v>180000</v>
      </c>
      <c r="F10" s="39">
        <f t="shared" ref="F10:F15" si="0">C10*D10*E10</f>
        <v>180000</v>
      </c>
      <c r="G10" s="34" t="s">
        <v>54</v>
      </c>
    </row>
    <row r="11" spans="1:7" ht="16.5" customHeight="1" x14ac:dyDescent="0.2">
      <c r="A11" s="40" t="s">
        <v>55</v>
      </c>
      <c r="B11" s="41" t="s">
        <v>56</v>
      </c>
      <c r="C11" s="31">
        <v>1</v>
      </c>
      <c r="D11" s="31">
        <v>28</v>
      </c>
      <c r="E11" s="39">
        <v>15000</v>
      </c>
      <c r="F11" s="39">
        <f t="shared" si="0"/>
        <v>420000</v>
      </c>
      <c r="G11" s="34" t="s">
        <v>57</v>
      </c>
    </row>
    <row r="12" spans="1:7" ht="16" x14ac:dyDescent="0.2">
      <c r="A12" s="40" t="s">
        <v>58</v>
      </c>
      <c r="B12" s="42"/>
      <c r="C12" s="37">
        <v>1</v>
      </c>
      <c r="D12" s="37">
        <v>28</v>
      </c>
      <c r="E12" s="39">
        <v>1500</v>
      </c>
      <c r="F12" s="39">
        <f t="shared" si="0"/>
        <v>42000</v>
      </c>
      <c r="G12" s="34" t="s">
        <v>59</v>
      </c>
    </row>
    <row r="13" spans="1:7" ht="16" x14ac:dyDescent="0.2">
      <c r="A13" s="43" t="s">
        <v>60</v>
      </c>
      <c r="B13" s="41" t="s">
        <v>61</v>
      </c>
      <c r="C13" s="31">
        <v>1</v>
      </c>
      <c r="D13" s="31">
        <v>28</v>
      </c>
      <c r="E13" s="44">
        <v>15000</v>
      </c>
      <c r="F13" s="33">
        <f t="shared" si="0"/>
        <v>420000</v>
      </c>
      <c r="G13" s="34" t="s">
        <v>62</v>
      </c>
    </row>
    <row r="14" spans="1:7" ht="16" x14ac:dyDescent="0.2">
      <c r="A14" s="40" t="s">
        <v>58</v>
      </c>
      <c r="B14" s="42"/>
      <c r="C14" s="37">
        <v>1</v>
      </c>
      <c r="D14" s="37">
        <v>28</v>
      </c>
      <c r="E14" s="39">
        <v>1500</v>
      </c>
      <c r="F14" s="39">
        <f t="shared" si="0"/>
        <v>42000</v>
      </c>
      <c r="G14" s="34" t="s">
        <v>59</v>
      </c>
    </row>
    <row r="15" spans="1:7" ht="16" x14ac:dyDescent="0.2">
      <c r="A15" s="45" t="s">
        <v>63</v>
      </c>
      <c r="B15" s="46"/>
      <c r="C15" s="47">
        <v>1</v>
      </c>
      <c r="D15" s="47">
        <v>2</v>
      </c>
      <c r="E15" s="48">
        <v>99000</v>
      </c>
      <c r="F15" s="48">
        <f t="shared" si="0"/>
        <v>198000</v>
      </c>
      <c r="G15" s="45" t="s">
        <v>64</v>
      </c>
    </row>
    <row r="16" spans="1:7" ht="16" x14ac:dyDescent="0.2">
      <c r="A16" s="45" t="s">
        <v>65</v>
      </c>
      <c r="B16" s="46"/>
      <c r="C16" s="47">
        <v>1</v>
      </c>
      <c r="D16" s="47">
        <v>13</v>
      </c>
      <c r="E16" s="48">
        <v>113500</v>
      </c>
      <c r="F16" s="48">
        <f>C16*D16*E16</f>
        <v>1475500</v>
      </c>
      <c r="G16" s="45" t="s">
        <v>66</v>
      </c>
    </row>
    <row r="17" spans="1:7" ht="16" x14ac:dyDescent="0.2">
      <c r="A17" s="49" t="s">
        <v>67</v>
      </c>
      <c r="B17" s="50" t="s">
        <v>68</v>
      </c>
      <c r="C17" s="51"/>
      <c r="D17" s="51"/>
      <c r="E17" s="51"/>
      <c r="F17" s="51"/>
      <c r="G17" s="52" t="s">
        <v>69</v>
      </c>
    </row>
    <row r="18" spans="1:7" ht="16" x14ac:dyDescent="0.2">
      <c r="A18" s="45" t="s">
        <v>70</v>
      </c>
      <c r="B18" s="46" t="s">
        <v>71</v>
      </c>
      <c r="C18" s="47">
        <v>1</v>
      </c>
      <c r="D18" s="47">
        <v>28</v>
      </c>
      <c r="E18" s="48">
        <v>0</v>
      </c>
      <c r="F18" s="53" t="s">
        <v>72</v>
      </c>
      <c r="G18" s="54" t="s">
        <v>73</v>
      </c>
    </row>
    <row r="19" spans="1:7" ht="16" x14ac:dyDescent="0.2">
      <c r="A19" s="45" t="s">
        <v>74</v>
      </c>
      <c r="B19" s="46" t="s">
        <v>71</v>
      </c>
      <c r="C19" s="47">
        <v>1</v>
      </c>
      <c r="D19" s="47">
        <v>28</v>
      </c>
      <c r="E19" s="48">
        <v>0</v>
      </c>
      <c r="F19" s="53" t="s">
        <v>72</v>
      </c>
      <c r="G19" s="54" t="s">
        <v>75</v>
      </c>
    </row>
    <row r="20" spans="1:7" ht="16" x14ac:dyDescent="0.2">
      <c r="A20" s="45" t="s">
        <v>76</v>
      </c>
      <c r="B20" s="46" t="s">
        <v>77</v>
      </c>
      <c r="C20" s="47">
        <v>1</v>
      </c>
      <c r="D20" s="47">
        <v>28</v>
      </c>
      <c r="E20" s="48">
        <v>0</v>
      </c>
      <c r="F20" s="53" t="s">
        <v>72</v>
      </c>
      <c r="G20" s="54" t="s">
        <v>78</v>
      </c>
    </row>
    <row r="21" spans="1:7" ht="16" x14ac:dyDescent="0.2">
      <c r="A21" s="45" t="s">
        <v>79</v>
      </c>
      <c r="B21" s="46" t="s">
        <v>77</v>
      </c>
      <c r="C21" s="47">
        <v>1</v>
      </c>
      <c r="D21" s="47">
        <v>28</v>
      </c>
      <c r="E21" s="48">
        <v>0</v>
      </c>
      <c r="F21" s="53" t="s">
        <v>72</v>
      </c>
      <c r="G21" s="45" t="s">
        <v>80</v>
      </c>
    </row>
    <row r="22" spans="1:7" ht="16" x14ac:dyDescent="0.2">
      <c r="A22" s="45" t="s">
        <v>81</v>
      </c>
      <c r="B22" s="46"/>
      <c r="C22" s="47">
        <v>1</v>
      </c>
      <c r="D22" s="47">
        <v>1</v>
      </c>
      <c r="E22" s="48">
        <v>280000</v>
      </c>
      <c r="F22" s="53" t="s">
        <v>72</v>
      </c>
      <c r="G22" s="45" t="s">
        <v>82</v>
      </c>
    </row>
    <row r="23" spans="1:7" ht="16" x14ac:dyDescent="0.2">
      <c r="A23" s="45" t="s">
        <v>83</v>
      </c>
      <c r="B23" s="46"/>
      <c r="C23" s="47">
        <v>1</v>
      </c>
      <c r="D23" s="47">
        <v>28</v>
      </c>
      <c r="E23" s="48"/>
      <c r="F23" s="53" t="s">
        <v>72</v>
      </c>
      <c r="G23" s="45" t="s">
        <v>84</v>
      </c>
    </row>
    <row r="24" spans="1:7" ht="16.5" customHeight="1" thickBot="1" x14ac:dyDescent="0.25">
      <c r="A24" s="55" t="s">
        <v>85</v>
      </c>
      <c r="B24" s="56"/>
      <c r="C24" s="57"/>
      <c r="D24" s="58"/>
      <c r="E24" s="59"/>
      <c r="F24" s="60">
        <f>SUM(F9:F21)</f>
        <v>3043500</v>
      </c>
      <c r="G24" s="61" t="s">
        <v>26</v>
      </c>
    </row>
    <row r="25" spans="1:7" ht="16.5" customHeight="1" x14ac:dyDescent="0.2">
      <c r="A25" s="25" t="s">
        <v>86</v>
      </c>
      <c r="B25" s="26"/>
      <c r="C25" s="27" t="s">
        <v>46</v>
      </c>
      <c r="D25" s="27" t="s">
        <v>47</v>
      </c>
      <c r="E25" s="27" t="s">
        <v>48</v>
      </c>
      <c r="F25" s="27" t="s">
        <v>49</v>
      </c>
      <c r="G25" s="28" t="s">
        <v>50</v>
      </c>
    </row>
    <row r="26" spans="1:7" ht="16.5" customHeight="1" x14ac:dyDescent="0.2">
      <c r="A26" s="29" t="s">
        <v>87</v>
      </c>
      <c r="B26" s="30"/>
      <c r="C26" s="31">
        <v>1</v>
      </c>
      <c r="D26" s="31">
        <v>28</v>
      </c>
      <c r="E26" s="32">
        <v>9500</v>
      </c>
      <c r="F26" s="33" t="s">
        <v>88</v>
      </c>
      <c r="G26" s="34" t="s">
        <v>52</v>
      </c>
    </row>
    <row r="27" spans="1:7" ht="16" x14ac:dyDescent="0.2">
      <c r="A27" s="35" t="s">
        <v>89</v>
      </c>
      <c r="B27" s="36"/>
      <c r="C27" s="37">
        <v>1</v>
      </c>
      <c r="D27" s="37">
        <v>1</v>
      </c>
      <c r="E27" s="38">
        <v>180000</v>
      </c>
      <c r="F27" s="39">
        <f t="shared" ref="F27" si="1">C27*D27*E27</f>
        <v>180000</v>
      </c>
      <c r="G27" s="34" t="s">
        <v>90</v>
      </c>
    </row>
    <row r="28" spans="1:7" ht="16.5" customHeight="1" x14ac:dyDescent="0.2">
      <c r="A28" s="40" t="s">
        <v>55</v>
      </c>
      <c r="B28" s="41"/>
      <c r="C28" s="31">
        <v>1</v>
      </c>
      <c r="D28" s="31">
        <v>28</v>
      </c>
      <c r="E28" s="39">
        <v>15000</v>
      </c>
      <c r="F28" s="39">
        <f>C28*D28*E28</f>
        <v>420000</v>
      </c>
      <c r="G28" s="34" t="s">
        <v>57</v>
      </c>
    </row>
    <row r="29" spans="1:7" ht="16" x14ac:dyDescent="0.2">
      <c r="A29" s="40" t="s">
        <v>58</v>
      </c>
      <c r="B29" s="42"/>
      <c r="C29" s="37">
        <v>1</v>
      </c>
      <c r="D29" s="37">
        <v>28</v>
      </c>
      <c r="E29" s="39">
        <v>1500</v>
      </c>
      <c r="F29" s="39">
        <f t="shared" ref="F29" si="2">C29*D29*E29</f>
        <v>42000</v>
      </c>
      <c r="G29" s="34" t="s">
        <v>59</v>
      </c>
    </row>
    <row r="30" spans="1:7" ht="16" x14ac:dyDescent="0.2">
      <c r="A30" s="62" t="s">
        <v>67</v>
      </c>
      <c r="B30" s="63" t="s">
        <v>91</v>
      </c>
      <c r="C30" s="64"/>
      <c r="D30" s="64"/>
      <c r="E30" s="65"/>
      <c r="F30" s="65"/>
      <c r="G30" s="62" t="s">
        <v>69</v>
      </c>
    </row>
    <row r="31" spans="1:7" ht="16" x14ac:dyDescent="0.2">
      <c r="A31" s="45" t="s">
        <v>70</v>
      </c>
      <c r="B31" s="46" t="s">
        <v>92</v>
      </c>
      <c r="C31" s="47">
        <v>1</v>
      </c>
      <c r="D31" s="47">
        <v>28</v>
      </c>
      <c r="E31" s="48">
        <v>0</v>
      </c>
      <c r="F31" s="53" t="s">
        <v>72</v>
      </c>
      <c r="G31" s="54" t="s">
        <v>73</v>
      </c>
    </row>
    <row r="32" spans="1:7" ht="16" x14ac:dyDescent="0.2">
      <c r="A32" s="45" t="s">
        <v>74</v>
      </c>
      <c r="B32" s="46" t="s">
        <v>92</v>
      </c>
      <c r="C32" s="47">
        <v>1</v>
      </c>
      <c r="D32" s="47">
        <v>28</v>
      </c>
      <c r="E32" s="48">
        <v>0</v>
      </c>
      <c r="F32" s="53" t="s">
        <v>72</v>
      </c>
      <c r="G32" s="54" t="s">
        <v>75</v>
      </c>
    </row>
    <row r="33" spans="1:7" ht="16" x14ac:dyDescent="0.2">
      <c r="A33" s="45" t="s">
        <v>76</v>
      </c>
      <c r="B33" s="46" t="s">
        <v>77</v>
      </c>
      <c r="C33" s="47">
        <v>1</v>
      </c>
      <c r="D33" s="47">
        <v>28</v>
      </c>
      <c r="E33" s="48">
        <v>0</v>
      </c>
      <c r="F33" s="53" t="s">
        <v>72</v>
      </c>
      <c r="G33" s="54" t="s">
        <v>78</v>
      </c>
    </row>
    <row r="34" spans="1:7" ht="16" x14ac:dyDescent="0.2">
      <c r="A34" s="45" t="s">
        <v>79</v>
      </c>
      <c r="B34" s="46" t="s">
        <v>77</v>
      </c>
      <c r="C34" s="47">
        <v>1</v>
      </c>
      <c r="D34" s="47">
        <v>28</v>
      </c>
      <c r="E34" s="48">
        <v>0</v>
      </c>
      <c r="F34" s="53" t="s">
        <v>72</v>
      </c>
      <c r="G34" s="45" t="s">
        <v>80</v>
      </c>
    </row>
    <row r="35" spans="1:7" ht="16.5" customHeight="1" thickBot="1" x14ac:dyDescent="0.25">
      <c r="A35" s="55" t="s">
        <v>85</v>
      </c>
      <c r="B35" s="56"/>
      <c r="C35" s="57"/>
      <c r="D35" s="58"/>
      <c r="E35" s="59"/>
      <c r="F35" s="60">
        <f>SUM(F26:F34)</f>
        <v>642000</v>
      </c>
      <c r="G35" s="61" t="s">
        <v>26</v>
      </c>
    </row>
    <row r="36" spans="1:7" ht="17" thickBot="1" x14ac:dyDescent="0.25">
      <c r="A36" s="66" t="s">
        <v>93</v>
      </c>
      <c r="B36" s="67"/>
      <c r="C36" s="68"/>
      <c r="D36" s="68"/>
      <c r="E36" s="69"/>
      <c r="F36" s="70">
        <f>F24+F35</f>
        <v>3685500</v>
      </c>
      <c r="G36" s="71" t="s">
        <v>94</v>
      </c>
    </row>
    <row r="37" spans="1:7" ht="16" x14ac:dyDescent="0.2">
      <c r="A37" s="72" t="s">
        <v>95</v>
      </c>
      <c r="B37" s="73"/>
      <c r="C37" s="74"/>
      <c r="D37" s="58"/>
      <c r="E37" s="59"/>
      <c r="F37" s="60">
        <f>F36*1.19-F36</f>
        <v>700245</v>
      </c>
      <c r="G37" s="71"/>
    </row>
    <row r="38" spans="1:7" ht="16" x14ac:dyDescent="0.2">
      <c r="A38" s="75" t="s">
        <v>96</v>
      </c>
      <c r="B38" s="76"/>
      <c r="C38" s="77"/>
      <c r="D38" s="77"/>
      <c r="E38" s="78"/>
      <c r="F38" s="79">
        <f>F36+F37</f>
        <v>4385745</v>
      </c>
      <c r="G38" s="71"/>
    </row>
    <row r="39" spans="1:7" ht="16" x14ac:dyDescent="0.2">
      <c r="A39" s="80" t="s">
        <v>97</v>
      </c>
      <c r="B39" s="81"/>
      <c r="C39" s="82"/>
      <c r="D39" s="83"/>
      <c r="E39" s="84" t="s">
        <v>26</v>
      </c>
      <c r="F39" s="85">
        <v>5320000</v>
      </c>
      <c r="G39" s="71"/>
    </row>
    <row r="40" spans="1:7" s="93" customFormat="1" ht="17" x14ac:dyDescent="0.2">
      <c r="A40" s="86" t="s">
        <v>26</v>
      </c>
      <c r="B40" s="87"/>
      <c r="C40" s="88"/>
      <c r="D40" s="89"/>
      <c r="E40" s="90"/>
      <c r="F40" s="91" t="s">
        <v>26</v>
      </c>
      <c r="G40" s="92" t="s">
        <v>26</v>
      </c>
    </row>
    <row r="41" spans="1:7" s="93" customFormat="1" ht="17" thickBot="1" x14ac:dyDescent="0.25">
      <c r="A41" s="86"/>
      <c r="B41" s="87"/>
      <c r="C41" s="88"/>
      <c r="D41" s="89"/>
      <c r="E41" s="135" t="s">
        <v>216</v>
      </c>
      <c r="F41" s="137">
        <v>3092614</v>
      </c>
      <c r="G41" s="9"/>
    </row>
    <row r="42" spans="1:7" s="93" customFormat="1" ht="17" x14ac:dyDescent="0.2">
      <c r="A42" s="86"/>
      <c r="B42" s="87"/>
      <c r="C42" s="88"/>
      <c r="D42" s="89"/>
      <c r="E42" s="135" t="s">
        <v>217</v>
      </c>
      <c r="F42" s="138">
        <v>403385</v>
      </c>
      <c r="G42" s="92"/>
    </row>
    <row r="43" spans="1:7" s="93" customFormat="1" ht="17" x14ac:dyDescent="0.2">
      <c r="A43" s="86"/>
      <c r="B43" s="87"/>
      <c r="C43" s="88"/>
      <c r="D43" s="89"/>
      <c r="E43" s="90"/>
      <c r="F43" s="91"/>
      <c r="G43" s="92"/>
    </row>
    <row r="44" spans="1:7" s="93" customFormat="1" ht="17" x14ac:dyDescent="0.2">
      <c r="A44" s="86"/>
      <c r="B44" s="87"/>
      <c r="C44" s="88"/>
      <c r="D44" s="89"/>
      <c r="E44" s="90" t="s">
        <v>218</v>
      </c>
      <c r="F44" s="91">
        <f>+F41+F42-F39</f>
        <v>-1824001</v>
      </c>
      <c r="G44" s="92"/>
    </row>
    <row r="45" spans="1:7" s="93" customFormat="1" ht="17" x14ac:dyDescent="0.2">
      <c r="A45" s="86"/>
      <c r="B45" s="87"/>
      <c r="C45" s="88"/>
      <c r="D45" s="89"/>
      <c r="E45" s="90"/>
      <c r="F45" s="91"/>
      <c r="G45" s="92"/>
    </row>
    <row r="46" spans="1:7" s="93" customFormat="1" ht="17" x14ac:dyDescent="0.2">
      <c r="A46" s="86"/>
      <c r="B46" s="87"/>
      <c r="C46" s="88"/>
      <c r="D46" s="89"/>
      <c r="E46" s="90"/>
      <c r="F46" s="91"/>
      <c r="G46" s="92"/>
    </row>
    <row r="47" spans="1:7" s="93" customFormat="1" ht="17" x14ac:dyDescent="0.2">
      <c r="A47" s="86"/>
      <c r="B47" s="87"/>
      <c r="C47" s="88"/>
      <c r="D47" s="89"/>
      <c r="E47" s="90"/>
      <c r="F47" s="91"/>
      <c r="G47" s="92"/>
    </row>
    <row r="48" spans="1:7" s="93" customFormat="1" ht="17" x14ac:dyDescent="0.2">
      <c r="A48" s="86"/>
      <c r="B48" s="87"/>
      <c r="C48" s="88"/>
      <c r="D48" s="89"/>
      <c r="E48" s="90"/>
      <c r="F48" s="91"/>
      <c r="G48" s="92"/>
    </row>
    <row r="49" spans="1:7" s="93" customFormat="1" ht="17" x14ac:dyDescent="0.2">
      <c r="A49" s="86"/>
      <c r="B49" s="87"/>
      <c r="C49" s="88"/>
      <c r="D49" s="89"/>
      <c r="E49" s="90"/>
      <c r="F49" s="91"/>
      <c r="G49" s="92"/>
    </row>
    <row r="50" spans="1:7" ht="19" x14ac:dyDescent="0.2">
      <c r="A50" s="94" t="s">
        <v>98</v>
      </c>
      <c r="B50"/>
      <c r="E50" s="95"/>
      <c r="F50" s="96" t="s">
        <v>26</v>
      </c>
    </row>
    <row r="51" spans="1:7" ht="19" x14ac:dyDescent="0.2">
      <c r="A51" s="97" t="s">
        <v>99</v>
      </c>
      <c r="B51"/>
      <c r="E51" s="98"/>
      <c r="F51" s="98"/>
      <c r="G51" s="98"/>
    </row>
    <row r="52" spans="1:7" ht="17" x14ac:dyDescent="0.2">
      <c r="A52" s="95" t="s">
        <v>100</v>
      </c>
      <c r="B52"/>
    </row>
    <row r="53" spans="1:7" ht="17" x14ac:dyDescent="0.2">
      <c r="A53" s="95"/>
      <c r="B53"/>
    </row>
    <row r="54" spans="1:7" ht="19" x14ac:dyDescent="0.2">
      <c r="A54" s="94" t="s">
        <v>101</v>
      </c>
      <c r="B54"/>
    </row>
    <row r="55" spans="1:7" ht="17" x14ac:dyDescent="0.2">
      <c r="A55" s="95" t="s">
        <v>102</v>
      </c>
      <c r="B55"/>
    </row>
    <row r="56" spans="1:7" ht="17" x14ac:dyDescent="0.2">
      <c r="A56" s="95" t="s">
        <v>103</v>
      </c>
      <c r="B56"/>
    </row>
    <row r="57" spans="1:7" ht="17" x14ac:dyDescent="0.2">
      <c r="A57" s="95" t="s">
        <v>104</v>
      </c>
      <c r="B57"/>
    </row>
    <row r="58" spans="1:7" ht="17" x14ac:dyDescent="0.2">
      <c r="A58" s="99" t="s">
        <v>105</v>
      </c>
      <c r="B58"/>
    </row>
    <row r="59" spans="1:7" ht="17" x14ac:dyDescent="0.2">
      <c r="A59" s="95" t="s">
        <v>106</v>
      </c>
      <c r="B59"/>
    </row>
    <row r="60" spans="1:7" ht="17" x14ac:dyDescent="0.2">
      <c r="A60" s="95" t="s">
        <v>107</v>
      </c>
      <c r="B60"/>
    </row>
    <row r="61" spans="1:7" ht="17" x14ac:dyDescent="0.2">
      <c r="A61" s="99" t="s">
        <v>108</v>
      </c>
      <c r="B61"/>
    </row>
    <row r="62" spans="1:7" ht="17" x14ac:dyDescent="0.2">
      <c r="A62" s="95" t="s">
        <v>109</v>
      </c>
      <c r="B62"/>
    </row>
    <row r="63" spans="1:7" ht="17" x14ac:dyDescent="0.2">
      <c r="A63" s="95" t="s">
        <v>110</v>
      </c>
      <c r="B63"/>
    </row>
    <row r="64" spans="1:7" ht="17" x14ac:dyDescent="0.2">
      <c r="A64" s="95" t="s">
        <v>111</v>
      </c>
      <c r="B64"/>
    </row>
    <row r="65" spans="1:7" ht="17" x14ac:dyDescent="0.2">
      <c r="A65" s="95" t="s">
        <v>112</v>
      </c>
      <c r="B65"/>
    </row>
    <row r="66" spans="1:7" ht="17" x14ac:dyDescent="0.2">
      <c r="A66" s="95" t="s">
        <v>113</v>
      </c>
      <c r="B66"/>
    </row>
    <row r="67" spans="1:7" ht="17" x14ac:dyDescent="0.2">
      <c r="A67" s="95" t="s">
        <v>114</v>
      </c>
      <c r="B67"/>
    </row>
    <row r="68" spans="1:7" ht="17" x14ac:dyDescent="0.2">
      <c r="A68" s="95"/>
      <c r="B68"/>
    </row>
    <row r="69" spans="1:7" ht="17" x14ac:dyDescent="0.2">
      <c r="A69" s="100" t="s">
        <v>115</v>
      </c>
      <c r="B69"/>
    </row>
    <row r="70" spans="1:7" ht="17" x14ac:dyDescent="0.2">
      <c r="A70" s="95" t="s">
        <v>116</v>
      </c>
      <c r="B70" s="95" t="s">
        <v>117</v>
      </c>
      <c r="D70" s="95" t="s">
        <v>118</v>
      </c>
      <c r="F70" s="95" t="s">
        <v>119</v>
      </c>
    </row>
    <row r="71" spans="1:7" ht="17" x14ac:dyDescent="0.2">
      <c r="A71" s="95" t="s">
        <v>120</v>
      </c>
      <c r="B71" s="95" t="s">
        <v>121</v>
      </c>
      <c r="D71" s="95" t="s">
        <v>122</v>
      </c>
      <c r="F71" s="95" t="s">
        <v>123</v>
      </c>
    </row>
    <row r="72" spans="1:7" ht="17" x14ac:dyDescent="0.2">
      <c r="A72" s="95" t="s">
        <v>124</v>
      </c>
      <c r="B72" s="95" t="s">
        <v>125</v>
      </c>
      <c r="D72" s="95" t="s">
        <v>126</v>
      </c>
      <c r="F72" s="95" t="s">
        <v>127</v>
      </c>
    </row>
    <row r="73" spans="1:7" ht="17" x14ac:dyDescent="0.2">
      <c r="A73" s="95" t="s">
        <v>35</v>
      </c>
      <c r="B73" s="95" t="s">
        <v>128</v>
      </c>
      <c r="D73" s="101" t="s">
        <v>129</v>
      </c>
    </row>
    <row r="74" spans="1:7" ht="18" thickBot="1" x14ac:dyDescent="0.25">
      <c r="A74" s="95"/>
      <c r="B74"/>
    </row>
    <row r="75" spans="1:7" ht="16" customHeight="1" x14ac:dyDescent="0.2">
      <c r="A75" s="102" t="s">
        <v>130</v>
      </c>
      <c r="B75" s="103" t="s">
        <v>45</v>
      </c>
      <c r="C75" s="104" t="s">
        <v>131</v>
      </c>
      <c r="D75" s="104" t="s">
        <v>47</v>
      </c>
      <c r="E75" s="104" t="s">
        <v>132</v>
      </c>
      <c r="F75" s="104" t="s">
        <v>133</v>
      </c>
      <c r="G75" s="105" t="s">
        <v>50</v>
      </c>
    </row>
    <row r="76" spans="1:7" ht="16" customHeight="1" x14ac:dyDescent="0.2">
      <c r="A76" s="34" t="s">
        <v>134</v>
      </c>
      <c r="B76" s="106"/>
      <c r="C76" s="37">
        <v>0</v>
      </c>
      <c r="D76" s="37">
        <v>0</v>
      </c>
      <c r="E76" s="107">
        <v>200000</v>
      </c>
      <c r="F76" s="107">
        <f>C76*D76*E76</f>
        <v>0</v>
      </c>
      <c r="G76" s="34" t="s">
        <v>135</v>
      </c>
    </row>
    <row r="77" spans="1:7" ht="16" x14ac:dyDescent="0.2">
      <c r="A77" s="35" t="s">
        <v>136</v>
      </c>
      <c r="B77" s="36"/>
      <c r="C77" s="37">
        <v>0</v>
      </c>
      <c r="D77" s="37">
        <v>0</v>
      </c>
      <c r="E77" s="39">
        <v>12000</v>
      </c>
      <c r="F77" s="39">
        <f t="shared" ref="F77:F98" si="3">C77*D77*E77</f>
        <v>0</v>
      </c>
      <c r="G77" s="34" t="s">
        <v>137</v>
      </c>
    </row>
    <row r="78" spans="1:7" ht="16" x14ac:dyDescent="0.2">
      <c r="A78" s="35" t="s">
        <v>138</v>
      </c>
      <c r="B78" s="36"/>
      <c r="C78" s="37">
        <v>0</v>
      </c>
      <c r="D78" s="37">
        <v>0</v>
      </c>
      <c r="E78" s="39">
        <v>26000</v>
      </c>
      <c r="F78" s="39">
        <f t="shared" si="3"/>
        <v>0</v>
      </c>
      <c r="G78" s="34" t="s">
        <v>139</v>
      </c>
    </row>
    <row r="79" spans="1:7" ht="16" x14ac:dyDescent="0.2">
      <c r="A79" s="35" t="s">
        <v>140</v>
      </c>
      <c r="B79" s="36"/>
      <c r="C79" s="37">
        <v>0</v>
      </c>
      <c r="D79" s="37">
        <v>0</v>
      </c>
      <c r="E79" s="39">
        <v>35000</v>
      </c>
      <c r="F79" s="39">
        <f t="shared" si="3"/>
        <v>0</v>
      </c>
      <c r="G79" s="34" t="s">
        <v>139</v>
      </c>
    </row>
    <row r="80" spans="1:7" ht="16" x14ac:dyDescent="0.2">
      <c r="A80" s="35" t="s">
        <v>141</v>
      </c>
      <c r="B80" s="36"/>
      <c r="C80" s="37">
        <v>0</v>
      </c>
      <c r="D80" s="37">
        <v>0</v>
      </c>
      <c r="E80" s="39">
        <v>10000</v>
      </c>
      <c r="F80" s="39">
        <f t="shared" si="3"/>
        <v>0</v>
      </c>
      <c r="G80" s="34"/>
    </row>
    <row r="81" spans="1:7" ht="16" x14ac:dyDescent="0.2">
      <c r="A81" s="35" t="s">
        <v>142</v>
      </c>
      <c r="B81" s="36"/>
      <c r="C81" s="37">
        <v>0</v>
      </c>
      <c r="D81" s="37">
        <v>0</v>
      </c>
      <c r="E81" s="39">
        <v>4500</v>
      </c>
      <c r="F81" s="39">
        <f t="shared" si="3"/>
        <v>0</v>
      </c>
      <c r="G81" s="34" t="s">
        <v>143</v>
      </c>
    </row>
    <row r="82" spans="1:7" ht="16" x14ac:dyDescent="0.2">
      <c r="A82" s="35" t="s">
        <v>144</v>
      </c>
      <c r="B82" s="36"/>
      <c r="C82" s="37">
        <v>0</v>
      </c>
      <c r="D82" s="37">
        <v>0</v>
      </c>
      <c r="E82" s="39">
        <v>5000</v>
      </c>
      <c r="F82" s="39">
        <f t="shared" si="3"/>
        <v>0</v>
      </c>
      <c r="G82" s="34" t="s">
        <v>145</v>
      </c>
    </row>
    <row r="83" spans="1:7" ht="16" x14ac:dyDescent="0.2">
      <c r="A83" s="35" t="s">
        <v>146</v>
      </c>
      <c r="B83" s="36"/>
      <c r="C83" s="37">
        <v>0</v>
      </c>
      <c r="D83" s="37">
        <v>0</v>
      </c>
      <c r="E83" s="39">
        <v>5000</v>
      </c>
      <c r="F83" s="39">
        <f t="shared" si="3"/>
        <v>0</v>
      </c>
      <c r="G83" s="34" t="s">
        <v>147</v>
      </c>
    </row>
    <row r="84" spans="1:7" ht="16" x14ac:dyDescent="0.2">
      <c r="A84" s="35" t="s">
        <v>148</v>
      </c>
      <c r="B84" s="36"/>
      <c r="C84" s="37">
        <v>0</v>
      </c>
      <c r="D84" s="37">
        <v>0</v>
      </c>
      <c r="E84" s="39">
        <v>3000</v>
      </c>
      <c r="F84" s="39">
        <f t="shared" si="3"/>
        <v>0</v>
      </c>
      <c r="G84" s="34" t="s">
        <v>149</v>
      </c>
    </row>
    <row r="85" spans="1:7" ht="16" x14ac:dyDescent="0.2">
      <c r="A85" s="35" t="s">
        <v>150</v>
      </c>
      <c r="B85" s="36"/>
      <c r="C85" s="37">
        <v>0</v>
      </c>
      <c r="D85" s="37">
        <v>0</v>
      </c>
      <c r="E85" s="39">
        <v>16000</v>
      </c>
      <c r="F85" s="39">
        <f t="shared" si="3"/>
        <v>0</v>
      </c>
      <c r="G85" s="34" t="s">
        <v>151</v>
      </c>
    </row>
    <row r="86" spans="1:7" ht="16" x14ac:dyDescent="0.2">
      <c r="A86" s="35" t="s">
        <v>152</v>
      </c>
      <c r="B86" s="36"/>
      <c r="C86" s="37">
        <v>0</v>
      </c>
      <c r="D86" s="37">
        <v>0</v>
      </c>
      <c r="E86" s="39">
        <v>7000</v>
      </c>
      <c r="F86" s="39">
        <f t="shared" si="3"/>
        <v>0</v>
      </c>
      <c r="G86" s="34" t="s">
        <v>153</v>
      </c>
    </row>
    <row r="87" spans="1:7" ht="16" x14ac:dyDescent="0.2">
      <c r="A87" s="108" t="s">
        <v>58</v>
      </c>
      <c r="B87" s="109"/>
      <c r="C87" s="47">
        <v>0</v>
      </c>
      <c r="D87" s="47">
        <v>0</v>
      </c>
      <c r="E87" s="48">
        <v>1500</v>
      </c>
      <c r="F87" s="48">
        <f t="shared" si="3"/>
        <v>0</v>
      </c>
      <c r="G87" s="45" t="s">
        <v>59</v>
      </c>
    </row>
    <row r="88" spans="1:7" ht="16" x14ac:dyDescent="0.2">
      <c r="A88" s="110" t="s">
        <v>154</v>
      </c>
      <c r="B88" s="111"/>
      <c r="C88" s="47">
        <v>0</v>
      </c>
      <c r="D88" s="47">
        <v>0</v>
      </c>
      <c r="E88" s="48">
        <v>3000</v>
      </c>
      <c r="F88" s="48">
        <f t="shared" si="3"/>
        <v>0</v>
      </c>
      <c r="G88" s="45"/>
    </row>
    <row r="89" spans="1:7" ht="16" x14ac:dyDescent="0.2">
      <c r="A89" s="110" t="s">
        <v>155</v>
      </c>
      <c r="B89" s="111"/>
      <c r="C89" s="47">
        <v>0</v>
      </c>
      <c r="D89" s="47">
        <v>0</v>
      </c>
      <c r="E89" s="48">
        <v>1000</v>
      </c>
      <c r="F89" s="48">
        <f t="shared" si="3"/>
        <v>0</v>
      </c>
      <c r="G89" s="45" t="s">
        <v>156</v>
      </c>
    </row>
    <row r="90" spans="1:7" ht="16" x14ac:dyDescent="0.2">
      <c r="A90" s="110" t="s">
        <v>157</v>
      </c>
      <c r="B90" s="111"/>
      <c r="C90" s="47">
        <v>0</v>
      </c>
      <c r="D90" s="47">
        <v>0</v>
      </c>
      <c r="E90" s="48">
        <v>3000</v>
      </c>
      <c r="F90" s="48">
        <f t="shared" si="3"/>
        <v>0</v>
      </c>
      <c r="G90" s="45" t="s">
        <v>158</v>
      </c>
    </row>
    <row r="91" spans="1:7" ht="16" x14ac:dyDescent="0.2">
      <c r="A91" s="110" t="s">
        <v>159</v>
      </c>
      <c r="B91" s="111"/>
      <c r="C91" s="47">
        <v>0</v>
      </c>
      <c r="D91" s="47">
        <v>0</v>
      </c>
      <c r="E91" s="112">
        <v>150000</v>
      </c>
      <c r="F91" s="48">
        <f t="shared" si="3"/>
        <v>0</v>
      </c>
      <c r="G91" s="45" t="s">
        <v>160</v>
      </c>
    </row>
    <row r="92" spans="1:7" ht="16" x14ac:dyDescent="0.2">
      <c r="A92" s="35" t="s">
        <v>161</v>
      </c>
      <c r="B92" s="36"/>
      <c r="C92" s="37">
        <v>0</v>
      </c>
      <c r="D92" s="37">
        <v>0</v>
      </c>
      <c r="E92" s="38">
        <v>100000</v>
      </c>
      <c r="F92" s="39">
        <f t="shared" si="3"/>
        <v>0</v>
      </c>
      <c r="G92" s="34" t="s">
        <v>162</v>
      </c>
    </row>
    <row r="93" spans="1:7" ht="16" x14ac:dyDescent="0.2">
      <c r="A93" s="113" t="s">
        <v>163</v>
      </c>
      <c r="B93" s="114"/>
      <c r="C93" s="31">
        <v>0</v>
      </c>
      <c r="D93" s="115">
        <v>0</v>
      </c>
      <c r="E93" s="44">
        <v>3850</v>
      </c>
      <c r="F93" s="116">
        <f>E93*D93*C93</f>
        <v>0</v>
      </c>
      <c r="G93" s="117" t="s">
        <v>164</v>
      </c>
    </row>
    <row r="94" spans="1:7" ht="16" x14ac:dyDescent="0.2">
      <c r="A94" s="118" t="s">
        <v>165</v>
      </c>
      <c r="B94" s="119"/>
      <c r="C94" s="37">
        <v>0</v>
      </c>
      <c r="D94" s="37">
        <v>0</v>
      </c>
      <c r="E94" s="38">
        <v>4800</v>
      </c>
      <c r="F94" s="39">
        <f>C94*D94*E94</f>
        <v>0</v>
      </c>
      <c r="G94" s="35" t="s">
        <v>166</v>
      </c>
    </row>
    <row r="95" spans="1:7" ht="16" x14ac:dyDescent="0.2">
      <c r="A95" s="118" t="s">
        <v>167</v>
      </c>
      <c r="B95" s="119"/>
      <c r="C95" s="37">
        <v>0</v>
      </c>
      <c r="D95" s="37">
        <v>0</v>
      </c>
      <c r="E95" s="38">
        <v>5500</v>
      </c>
      <c r="F95" s="39">
        <f>C95*D95*E95</f>
        <v>0</v>
      </c>
      <c r="G95" s="35" t="s">
        <v>168</v>
      </c>
    </row>
    <row r="96" spans="1:7" ht="16" x14ac:dyDescent="0.2">
      <c r="A96" s="118" t="s">
        <v>169</v>
      </c>
      <c r="B96" s="119"/>
      <c r="C96" s="37">
        <v>0</v>
      </c>
      <c r="D96" s="37">
        <v>0</v>
      </c>
      <c r="E96" s="38">
        <v>7500</v>
      </c>
      <c r="F96" s="39">
        <f t="shared" si="3"/>
        <v>0</v>
      </c>
      <c r="G96" s="35" t="s">
        <v>170</v>
      </c>
    </row>
    <row r="97" spans="1:7" ht="15" customHeight="1" x14ac:dyDescent="0.2">
      <c r="A97" s="35" t="s">
        <v>171</v>
      </c>
      <c r="B97" s="36"/>
      <c r="C97" s="37">
        <v>0</v>
      </c>
      <c r="D97" s="37">
        <v>0</v>
      </c>
      <c r="E97" s="39">
        <v>8500</v>
      </c>
      <c r="F97" s="39">
        <f t="shared" si="3"/>
        <v>0</v>
      </c>
      <c r="G97" s="120" t="s">
        <v>172</v>
      </c>
    </row>
    <row r="98" spans="1:7" ht="15" customHeight="1" x14ac:dyDescent="0.2">
      <c r="A98" s="40" t="s">
        <v>173</v>
      </c>
      <c r="B98" s="42"/>
      <c r="C98" s="37">
        <v>0</v>
      </c>
      <c r="D98" s="37">
        <v>0</v>
      </c>
      <c r="E98" s="39">
        <v>13500</v>
      </c>
      <c r="F98" s="39">
        <f t="shared" si="3"/>
        <v>0</v>
      </c>
      <c r="G98" s="121" t="s">
        <v>174</v>
      </c>
    </row>
    <row r="99" spans="1:7" ht="16" x14ac:dyDescent="0.2">
      <c r="A99" s="35" t="s">
        <v>175</v>
      </c>
      <c r="B99" s="36"/>
      <c r="C99" s="37">
        <v>0</v>
      </c>
      <c r="D99" s="37">
        <v>0</v>
      </c>
      <c r="E99" s="39">
        <v>2500</v>
      </c>
      <c r="F99" s="39">
        <f>C99*D99*E99</f>
        <v>0</v>
      </c>
      <c r="G99" s="34" t="s">
        <v>176</v>
      </c>
    </row>
    <row r="100" spans="1:7" ht="16" x14ac:dyDescent="0.2">
      <c r="A100" s="35" t="s">
        <v>177</v>
      </c>
      <c r="B100" s="36"/>
      <c r="C100" s="37">
        <v>0</v>
      </c>
      <c r="D100" s="37">
        <v>0</v>
      </c>
      <c r="E100" s="38">
        <v>300000</v>
      </c>
      <c r="F100" s="39">
        <f>C100*D100*E100</f>
        <v>0</v>
      </c>
      <c r="G100" s="34" t="s">
        <v>90</v>
      </c>
    </row>
    <row r="101" spans="1:7" ht="16" x14ac:dyDescent="0.2">
      <c r="A101" s="35" t="s">
        <v>178</v>
      </c>
      <c r="B101" s="36"/>
      <c r="C101" s="37">
        <v>0</v>
      </c>
      <c r="D101" s="37">
        <v>0</v>
      </c>
      <c r="E101" s="38">
        <v>250000</v>
      </c>
      <c r="F101" s="39">
        <f>C101*D101*E101</f>
        <v>0</v>
      </c>
      <c r="G101" s="34" t="s">
        <v>90</v>
      </c>
    </row>
    <row r="102" spans="1:7" ht="16" x14ac:dyDescent="0.2">
      <c r="A102" s="35" t="s">
        <v>179</v>
      </c>
      <c r="B102" s="36"/>
      <c r="C102" s="37">
        <v>0</v>
      </c>
      <c r="D102" s="37">
        <v>0</v>
      </c>
      <c r="E102" s="38">
        <v>210000</v>
      </c>
      <c r="F102" s="39">
        <f t="shared" ref="F102:F124" si="4">C102*D102*E102</f>
        <v>0</v>
      </c>
      <c r="G102" s="34" t="s">
        <v>90</v>
      </c>
    </row>
    <row r="103" spans="1:7" ht="16" x14ac:dyDescent="0.2">
      <c r="A103" s="35" t="s">
        <v>180</v>
      </c>
      <c r="B103" s="36"/>
      <c r="C103" s="37">
        <v>0</v>
      </c>
      <c r="D103" s="37">
        <v>0</v>
      </c>
      <c r="E103" s="38">
        <v>210000</v>
      </c>
      <c r="F103" s="39">
        <f t="shared" si="4"/>
        <v>0</v>
      </c>
      <c r="G103" s="34" t="s">
        <v>90</v>
      </c>
    </row>
    <row r="104" spans="1:7" ht="16" x14ac:dyDescent="0.2">
      <c r="A104" s="35" t="s">
        <v>181</v>
      </c>
      <c r="B104" s="36"/>
      <c r="C104" s="37">
        <v>0</v>
      </c>
      <c r="D104" s="37">
        <v>0</v>
      </c>
      <c r="E104" s="38">
        <v>180000</v>
      </c>
      <c r="F104" s="39">
        <f t="shared" si="4"/>
        <v>0</v>
      </c>
      <c r="G104" s="34" t="s">
        <v>90</v>
      </c>
    </row>
    <row r="105" spans="1:7" ht="16" x14ac:dyDescent="0.2">
      <c r="A105" s="35" t="s">
        <v>182</v>
      </c>
      <c r="B105" s="36"/>
      <c r="C105" s="37">
        <v>0</v>
      </c>
      <c r="D105" s="37">
        <v>0</v>
      </c>
      <c r="E105" s="38">
        <v>180000</v>
      </c>
      <c r="F105" s="39">
        <f t="shared" si="4"/>
        <v>0</v>
      </c>
      <c r="G105" s="34" t="s">
        <v>90</v>
      </c>
    </row>
    <row r="106" spans="1:7" ht="16" x14ac:dyDescent="0.2">
      <c r="A106" s="35" t="s">
        <v>183</v>
      </c>
      <c r="B106" s="36"/>
      <c r="C106" s="37">
        <v>0</v>
      </c>
      <c r="D106" s="37">
        <v>0</v>
      </c>
      <c r="E106" s="48">
        <v>120000</v>
      </c>
      <c r="F106" s="39">
        <f t="shared" si="4"/>
        <v>0</v>
      </c>
      <c r="G106" s="34" t="s">
        <v>90</v>
      </c>
    </row>
    <row r="107" spans="1:7" ht="16" x14ac:dyDescent="0.2">
      <c r="A107" s="35" t="s">
        <v>184</v>
      </c>
      <c r="B107" s="36"/>
      <c r="C107" s="37">
        <v>0</v>
      </c>
      <c r="D107" s="37">
        <v>0</v>
      </c>
      <c r="E107" s="48">
        <v>90000</v>
      </c>
      <c r="F107" s="39">
        <f t="shared" si="4"/>
        <v>0</v>
      </c>
      <c r="G107" s="34" t="s">
        <v>90</v>
      </c>
    </row>
    <row r="108" spans="1:7" ht="16" x14ac:dyDescent="0.2">
      <c r="A108" s="35" t="s">
        <v>185</v>
      </c>
      <c r="B108" s="36"/>
      <c r="C108" s="37">
        <v>0</v>
      </c>
      <c r="D108" s="37">
        <v>0</v>
      </c>
      <c r="E108" s="48">
        <v>100000</v>
      </c>
      <c r="F108" s="39">
        <f t="shared" si="4"/>
        <v>0</v>
      </c>
      <c r="G108" s="34" t="s">
        <v>186</v>
      </c>
    </row>
    <row r="109" spans="1:7" ht="16" x14ac:dyDescent="0.2">
      <c r="A109" s="35" t="s">
        <v>187</v>
      </c>
      <c r="B109" s="36"/>
      <c r="C109" s="37">
        <v>0</v>
      </c>
      <c r="D109" s="37">
        <v>0</v>
      </c>
      <c r="E109" s="48">
        <v>300000</v>
      </c>
      <c r="F109" s="39">
        <f t="shared" si="4"/>
        <v>0</v>
      </c>
      <c r="G109" s="34" t="s">
        <v>90</v>
      </c>
    </row>
    <row r="110" spans="1:7" ht="16" x14ac:dyDescent="0.2">
      <c r="A110" s="122" t="s">
        <v>188</v>
      </c>
      <c r="B110" s="123"/>
      <c r="C110" s="37">
        <v>0</v>
      </c>
      <c r="D110" s="37">
        <v>0</v>
      </c>
      <c r="E110" s="124">
        <v>25000</v>
      </c>
      <c r="F110" s="125"/>
      <c r="G110" s="34" t="s">
        <v>189</v>
      </c>
    </row>
    <row r="111" spans="1:7" ht="16" x14ac:dyDescent="0.2">
      <c r="A111" s="122" t="s">
        <v>190</v>
      </c>
      <c r="B111" s="123"/>
      <c r="C111" s="37">
        <v>0</v>
      </c>
      <c r="D111" s="37">
        <v>0</v>
      </c>
      <c r="E111" s="126">
        <v>15000</v>
      </c>
      <c r="F111" s="125"/>
      <c r="G111" s="34" t="s">
        <v>189</v>
      </c>
    </row>
    <row r="112" spans="1:7" ht="16" x14ac:dyDescent="0.2">
      <c r="A112" s="122" t="s">
        <v>191</v>
      </c>
      <c r="B112" s="123"/>
      <c r="C112" s="37">
        <v>0</v>
      </c>
      <c r="D112" s="37">
        <v>0</v>
      </c>
      <c r="E112" s="126">
        <v>60000</v>
      </c>
      <c r="F112" s="125"/>
      <c r="G112" s="34"/>
    </row>
    <row r="113" spans="1:7" ht="16" x14ac:dyDescent="0.2">
      <c r="A113" s="122" t="s">
        <v>192</v>
      </c>
      <c r="B113" s="127"/>
      <c r="C113" s="37">
        <v>0</v>
      </c>
      <c r="D113" s="37">
        <v>0</v>
      </c>
      <c r="E113" s="38">
        <v>150000</v>
      </c>
      <c r="F113" s="39">
        <f t="shared" si="4"/>
        <v>0</v>
      </c>
      <c r="G113" s="34" t="s">
        <v>193</v>
      </c>
    </row>
    <row r="114" spans="1:7" ht="16" x14ac:dyDescent="0.2">
      <c r="A114" s="34" t="s">
        <v>194</v>
      </c>
      <c r="B114" s="128"/>
      <c r="C114" s="37">
        <v>0</v>
      </c>
      <c r="D114" s="37">
        <v>0</v>
      </c>
      <c r="E114" s="39">
        <v>100000</v>
      </c>
      <c r="F114" s="39">
        <f t="shared" si="4"/>
        <v>0</v>
      </c>
      <c r="G114" s="34" t="s">
        <v>195</v>
      </c>
    </row>
    <row r="115" spans="1:7" ht="16" x14ac:dyDescent="0.2">
      <c r="A115" s="34" t="s">
        <v>196</v>
      </c>
      <c r="B115" s="128"/>
      <c r="C115" s="37">
        <v>0</v>
      </c>
      <c r="D115" s="37">
        <v>0</v>
      </c>
      <c r="E115" s="48">
        <v>150000</v>
      </c>
      <c r="F115" s="39">
        <f t="shared" si="4"/>
        <v>0</v>
      </c>
      <c r="G115" s="34" t="s">
        <v>197</v>
      </c>
    </row>
    <row r="116" spans="1:7" ht="16" x14ac:dyDescent="0.2">
      <c r="A116" s="34" t="s">
        <v>198</v>
      </c>
      <c r="B116" s="128"/>
      <c r="C116" s="37">
        <v>0</v>
      </c>
      <c r="D116" s="37">
        <v>0</v>
      </c>
      <c r="E116" s="48">
        <v>380000</v>
      </c>
      <c r="F116" s="39">
        <f t="shared" si="4"/>
        <v>0</v>
      </c>
      <c r="G116" s="34" t="s">
        <v>199</v>
      </c>
    </row>
    <row r="117" spans="1:7" ht="16" x14ac:dyDescent="0.2">
      <c r="A117" s="34" t="s">
        <v>200</v>
      </c>
      <c r="B117" s="128"/>
      <c r="C117" s="37">
        <v>0</v>
      </c>
      <c r="D117" s="37">
        <v>0</v>
      </c>
      <c r="E117" s="48">
        <v>280000</v>
      </c>
      <c r="F117" s="39">
        <f t="shared" si="4"/>
        <v>0</v>
      </c>
      <c r="G117" s="34" t="s">
        <v>197</v>
      </c>
    </row>
    <row r="118" spans="1:7" ht="16" x14ac:dyDescent="0.2">
      <c r="A118" s="129" t="s">
        <v>201</v>
      </c>
      <c r="B118" s="130"/>
      <c r="C118" s="37">
        <v>0</v>
      </c>
      <c r="D118" s="37">
        <v>0</v>
      </c>
      <c r="E118" s="48">
        <v>650000</v>
      </c>
      <c r="F118" s="39">
        <f t="shared" si="4"/>
        <v>0</v>
      </c>
      <c r="G118" s="34" t="s">
        <v>202</v>
      </c>
    </row>
    <row r="119" spans="1:7" ht="15" customHeight="1" x14ac:dyDescent="0.2">
      <c r="A119" s="129" t="s">
        <v>203</v>
      </c>
      <c r="B119" s="130"/>
      <c r="C119" s="37">
        <v>0</v>
      </c>
      <c r="D119" s="37">
        <v>0</v>
      </c>
      <c r="E119" s="48">
        <v>450000</v>
      </c>
      <c r="F119" s="107">
        <f t="shared" si="4"/>
        <v>0</v>
      </c>
      <c r="G119" s="34" t="s">
        <v>204</v>
      </c>
    </row>
    <row r="120" spans="1:7" ht="15" customHeight="1" x14ac:dyDescent="0.2">
      <c r="A120" s="129" t="s">
        <v>205</v>
      </c>
      <c r="B120" s="130"/>
      <c r="C120" s="37">
        <v>0</v>
      </c>
      <c r="D120" s="37">
        <v>0</v>
      </c>
      <c r="E120" s="48">
        <v>80000</v>
      </c>
      <c r="F120" s="107">
        <f t="shared" si="4"/>
        <v>0</v>
      </c>
      <c r="G120" s="34"/>
    </row>
    <row r="121" spans="1:7" ht="15" customHeight="1" x14ac:dyDescent="0.2">
      <c r="A121" s="129" t="s">
        <v>206</v>
      </c>
      <c r="B121" s="130"/>
      <c r="C121" s="37">
        <v>0</v>
      </c>
      <c r="D121" s="37">
        <v>0</v>
      </c>
      <c r="E121" s="48">
        <v>300000</v>
      </c>
      <c r="F121" s="107">
        <f t="shared" si="4"/>
        <v>0</v>
      </c>
      <c r="G121" s="34" t="s">
        <v>207</v>
      </c>
    </row>
    <row r="122" spans="1:7" ht="15" customHeight="1" x14ac:dyDescent="0.2">
      <c r="A122" s="129" t="s">
        <v>208</v>
      </c>
      <c r="B122" s="130"/>
      <c r="C122" s="37">
        <v>0</v>
      </c>
      <c r="D122" s="37">
        <v>0</v>
      </c>
      <c r="E122" s="39">
        <v>680000</v>
      </c>
      <c r="F122" s="107">
        <f t="shared" si="4"/>
        <v>0</v>
      </c>
      <c r="G122" s="34" t="s">
        <v>209</v>
      </c>
    </row>
    <row r="123" spans="1:7" ht="15" customHeight="1" x14ac:dyDescent="0.2">
      <c r="A123" s="129" t="s">
        <v>208</v>
      </c>
      <c r="B123" s="130"/>
      <c r="C123" s="37">
        <v>0</v>
      </c>
      <c r="D123" s="37">
        <v>0</v>
      </c>
      <c r="E123" s="39">
        <v>580000</v>
      </c>
      <c r="F123" s="107">
        <f t="shared" si="4"/>
        <v>0</v>
      </c>
      <c r="G123" s="34" t="s">
        <v>210</v>
      </c>
    </row>
    <row r="124" spans="1:7" ht="15" customHeight="1" x14ac:dyDescent="0.2">
      <c r="A124" s="129" t="s">
        <v>211</v>
      </c>
      <c r="B124" s="130"/>
      <c r="C124" s="37">
        <v>0</v>
      </c>
      <c r="D124" s="37">
        <v>0</v>
      </c>
      <c r="E124" s="39">
        <v>580000</v>
      </c>
      <c r="F124" s="107">
        <f t="shared" si="4"/>
        <v>0</v>
      </c>
      <c r="G124" s="34" t="s">
        <v>212</v>
      </c>
    </row>
    <row r="125" spans="1:7" ht="16" x14ac:dyDescent="0.2">
      <c r="A125" s="34" t="s">
        <v>213</v>
      </c>
      <c r="B125" s="128"/>
      <c r="C125" s="37">
        <v>0</v>
      </c>
      <c r="D125" s="37">
        <v>0</v>
      </c>
      <c r="E125" s="39">
        <v>180000</v>
      </c>
      <c r="F125" s="39">
        <f>C125*D125*E125</f>
        <v>0</v>
      </c>
      <c r="G125" s="34" t="s">
        <v>214</v>
      </c>
    </row>
    <row r="126" spans="1:7" ht="16" x14ac:dyDescent="0.2">
      <c r="A126" s="93"/>
      <c r="B126" s="131"/>
      <c r="C126" s="93"/>
      <c r="D126" s="93"/>
      <c r="E126" s="93"/>
      <c r="F126" s="93"/>
      <c r="G126" s="132" t="s">
        <v>215</v>
      </c>
    </row>
    <row r="127" spans="1:7" x14ac:dyDescent="0.2">
      <c r="A127" s="93"/>
      <c r="B127" s="131"/>
      <c r="C127" s="93"/>
      <c r="D127" s="93"/>
      <c r="E127" s="93" t="s">
        <v>26</v>
      </c>
      <c r="F127" s="93" t="s">
        <v>26</v>
      </c>
      <c r="G127" s="93"/>
    </row>
    <row r="128" spans="1:7" ht="17" customHeight="1" x14ac:dyDescent="0.2">
      <c r="A128" s="93"/>
      <c r="B128" s="131"/>
      <c r="C128" s="93"/>
      <c r="D128" s="93"/>
      <c r="E128" s="93" t="s">
        <v>26</v>
      </c>
      <c r="F128" s="93"/>
      <c r="G128" s="93"/>
    </row>
    <row r="129" spans="1:7" ht="17" customHeight="1" x14ac:dyDescent="0.2">
      <c r="A129" s="93"/>
      <c r="B129" s="131"/>
      <c r="C129" s="93"/>
      <c r="D129" s="93"/>
      <c r="E129" s="93"/>
      <c r="F129" s="93"/>
      <c r="G129" s="93"/>
    </row>
    <row r="130" spans="1:7" x14ac:dyDescent="0.2">
      <c r="A130" s="93"/>
      <c r="B130" s="131"/>
      <c r="C130" s="93"/>
      <c r="D130" s="93"/>
      <c r="E130" s="93"/>
      <c r="F130" s="93"/>
      <c r="G130" s="93"/>
    </row>
    <row r="131" spans="1:7" x14ac:dyDescent="0.2">
      <c r="A131" s="93"/>
      <c r="B131" s="131"/>
      <c r="C131" s="93"/>
      <c r="D131" s="93"/>
      <c r="E131" s="93"/>
      <c r="F131" s="93"/>
      <c r="G131" s="93"/>
    </row>
    <row r="132" spans="1:7" ht="17" customHeight="1" x14ac:dyDescent="0.2">
      <c r="A132" s="93"/>
      <c r="B132" s="131"/>
      <c r="C132" s="93"/>
      <c r="D132" s="93"/>
      <c r="E132" s="93"/>
      <c r="F132" s="93"/>
      <c r="G132" s="93"/>
    </row>
    <row r="133" spans="1:7" ht="17" customHeight="1" x14ac:dyDescent="0.2">
      <c r="A133" s="93"/>
      <c r="B133" s="131"/>
      <c r="C133" s="93"/>
      <c r="D133" s="93"/>
      <c r="E133" s="93"/>
      <c r="F133" s="93"/>
      <c r="G133" s="93"/>
    </row>
    <row r="134" spans="1:7" x14ac:dyDescent="0.2">
      <c r="A134" s="93"/>
      <c r="B134" s="131"/>
      <c r="C134" s="93"/>
      <c r="D134" s="93"/>
      <c r="E134" s="93"/>
      <c r="F134" s="93"/>
      <c r="G134" s="93"/>
    </row>
    <row r="135" spans="1:7" x14ac:dyDescent="0.2">
      <c r="A135" s="93"/>
      <c r="B135" s="131"/>
      <c r="C135" s="93"/>
      <c r="D135" s="93"/>
      <c r="E135" s="93"/>
      <c r="F135" s="93"/>
      <c r="G135" s="93"/>
    </row>
    <row r="151" spans="1:7" ht="17" x14ac:dyDescent="0.2">
      <c r="A151" s="133"/>
      <c r="B151" s="134"/>
      <c r="C151" s="71"/>
      <c r="D151" s="71"/>
      <c r="E151" s="71"/>
      <c r="F151" s="71"/>
      <c r="G151" s="71"/>
    </row>
  </sheetData>
  <hyperlinks>
    <hyperlink ref="D73" r:id="rId1"/>
  </hyperlinks>
  <pageMargins left="0.7" right="0.7" top="0.75" bottom="0.75" header="0.3" footer="0.3"/>
  <pageSetup orientation="portrait" horizontalDpi="0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"/>
  <sheetViews>
    <sheetView workbookViewId="0">
      <selection activeCell="I34" sqref="I34"/>
    </sheetView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2"/>
  <sheetViews>
    <sheetView topLeftCell="A31" workbookViewId="0">
      <selection activeCell="G45" sqref="G45"/>
    </sheetView>
  </sheetViews>
  <sheetFormatPr baseColWidth="10" defaultRowHeight="15" x14ac:dyDescent="0.2"/>
  <cols>
    <col min="1" max="1" width="40" customWidth="1"/>
    <col min="2" max="2" width="12.5" style="14" customWidth="1"/>
    <col min="3" max="4" width="7.33203125" customWidth="1"/>
    <col min="5" max="5" width="11.5" customWidth="1"/>
    <col min="6" max="6" width="14.5" customWidth="1"/>
    <col min="7" max="7" width="125.5" bestFit="1" customWidth="1"/>
    <col min="8" max="8" width="13" bestFit="1" customWidth="1"/>
    <col min="9" max="9" width="114.1640625" customWidth="1"/>
  </cols>
  <sheetData>
    <row r="1" spans="1:7" ht="64" customHeight="1" x14ac:dyDescent="0.3">
      <c r="A1" s="11" t="s">
        <v>26</v>
      </c>
      <c r="B1" s="12"/>
      <c r="C1" s="13" t="s">
        <v>27</v>
      </c>
    </row>
    <row r="2" spans="1:7" x14ac:dyDescent="0.2">
      <c r="G2" t="s">
        <v>28</v>
      </c>
    </row>
    <row r="3" spans="1:7" ht="16" x14ac:dyDescent="0.2">
      <c r="A3" s="15" t="s">
        <v>29</v>
      </c>
      <c r="B3" s="16" t="s">
        <v>30</v>
      </c>
      <c r="E3" t="s">
        <v>31</v>
      </c>
      <c r="F3" s="17" t="s">
        <v>32</v>
      </c>
      <c r="G3" s="18" t="s">
        <v>33</v>
      </c>
    </row>
    <row r="4" spans="1:7" ht="16" x14ac:dyDescent="0.2">
      <c r="A4" t="s">
        <v>34</v>
      </c>
      <c r="C4" s="19"/>
      <c r="E4" t="s">
        <v>35</v>
      </c>
      <c r="F4">
        <v>90827788</v>
      </c>
      <c r="G4" s="20" t="s">
        <v>36</v>
      </c>
    </row>
    <row r="5" spans="1:7" ht="16" x14ac:dyDescent="0.2">
      <c r="A5" t="s">
        <v>37</v>
      </c>
      <c r="B5" s="14" t="s">
        <v>219</v>
      </c>
      <c r="E5" t="s">
        <v>39</v>
      </c>
      <c r="F5" s="17">
        <v>35</v>
      </c>
      <c r="G5" s="20" t="s">
        <v>40</v>
      </c>
    </row>
    <row r="6" spans="1:7" ht="16" x14ac:dyDescent="0.2">
      <c r="A6" s="21" t="s">
        <v>41</v>
      </c>
      <c r="B6" s="22"/>
      <c r="C6" s="23"/>
      <c r="D6" s="23"/>
      <c r="E6" s="23" t="s">
        <v>42</v>
      </c>
      <c r="F6" s="23">
        <v>74961403</v>
      </c>
      <c r="G6" s="20" t="s">
        <v>43</v>
      </c>
    </row>
    <row r="7" spans="1:7" ht="17" thickBot="1" x14ac:dyDescent="0.25">
      <c r="A7" s="23"/>
      <c r="B7" s="24"/>
      <c r="C7" s="23"/>
      <c r="D7" s="23"/>
      <c r="E7" s="23"/>
      <c r="F7" s="23"/>
      <c r="G7" s="20"/>
    </row>
    <row r="8" spans="1:7" ht="15.75" customHeight="1" x14ac:dyDescent="0.2">
      <c r="A8" s="25" t="s">
        <v>44</v>
      </c>
      <c r="B8" s="26" t="s">
        <v>45</v>
      </c>
      <c r="C8" s="27" t="s">
        <v>46</v>
      </c>
      <c r="D8" s="27" t="s">
        <v>47</v>
      </c>
      <c r="E8" s="27" t="s">
        <v>48</v>
      </c>
      <c r="F8" s="27" t="s">
        <v>49</v>
      </c>
      <c r="G8" s="28" t="s">
        <v>50</v>
      </c>
    </row>
    <row r="9" spans="1:7" ht="16.5" customHeight="1" x14ac:dyDescent="0.2">
      <c r="A9" s="29" t="s">
        <v>51</v>
      </c>
      <c r="B9" s="30">
        <v>0.41666666666666669</v>
      </c>
      <c r="C9" s="31">
        <v>1</v>
      </c>
      <c r="D9" s="31">
        <v>35</v>
      </c>
      <c r="E9" s="32">
        <v>9500</v>
      </c>
      <c r="F9" s="33">
        <f>C9*D9*E9</f>
        <v>332500</v>
      </c>
      <c r="G9" s="34" t="s">
        <v>52</v>
      </c>
    </row>
    <row r="10" spans="1:7" ht="16" x14ac:dyDescent="0.2">
      <c r="A10" s="35" t="s">
        <v>53</v>
      </c>
      <c r="B10" s="36">
        <v>0.45833333333333331</v>
      </c>
      <c r="C10" s="37">
        <v>1</v>
      </c>
      <c r="D10" s="37">
        <v>1</v>
      </c>
      <c r="E10" s="38">
        <v>180000</v>
      </c>
      <c r="F10" s="39">
        <f t="shared" ref="F10:F15" si="0">C10*D10*E10</f>
        <v>180000</v>
      </c>
      <c r="G10" s="34" t="s">
        <v>54</v>
      </c>
    </row>
    <row r="11" spans="1:7" ht="16.5" customHeight="1" x14ac:dyDescent="0.2">
      <c r="A11" s="40" t="s">
        <v>55</v>
      </c>
      <c r="B11" s="41" t="s">
        <v>56</v>
      </c>
      <c r="C11" s="31">
        <v>1</v>
      </c>
      <c r="D11" s="31">
        <v>35</v>
      </c>
      <c r="E11" s="39">
        <v>15000</v>
      </c>
      <c r="F11" s="39">
        <f t="shared" si="0"/>
        <v>525000</v>
      </c>
      <c r="G11" s="34" t="s">
        <v>57</v>
      </c>
    </row>
    <row r="12" spans="1:7" ht="16" x14ac:dyDescent="0.2">
      <c r="A12" s="40" t="s">
        <v>58</v>
      </c>
      <c r="B12" s="42"/>
      <c r="C12" s="37">
        <v>1</v>
      </c>
      <c r="D12" s="37">
        <v>35</v>
      </c>
      <c r="E12" s="39">
        <v>1500</v>
      </c>
      <c r="F12" s="39">
        <f t="shared" si="0"/>
        <v>52500</v>
      </c>
      <c r="G12" s="34" t="s">
        <v>59</v>
      </c>
    </row>
    <row r="13" spans="1:7" ht="16" x14ac:dyDescent="0.2">
      <c r="A13" s="43" t="s">
        <v>60</v>
      </c>
      <c r="B13" s="41" t="s">
        <v>61</v>
      </c>
      <c r="C13" s="31">
        <v>1</v>
      </c>
      <c r="D13" s="31">
        <v>35</v>
      </c>
      <c r="E13" s="44">
        <v>15000</v>
      </c>
      <c r="F13" s="33">
        <f t="shared" si="0"/>
        <v>525000</v>
      </c>
      <c r="G13" s="34" t="s">
        <v>62</v>
      </c>
    </row>
    <row r="14" spans="1:7" ht="16" x14ac:dyDescent="0.2">
      <c r="A14" s="40" t="s">
        <v>58</v>
      </c>
      <c r="B14" s="42"/>
      <c r="C14" s="37">
        <v>1</v>
      </c>
      <c r="D14" s="37">
        <v>35</v>
      </c>
      <c r="E14" s="39">
        <v>1500</v>
      </c>
      <c r="F14" s="39">
        <f t="shared" si="0"/>
        <v>52500</v>
      </c>
      <c r="G14" s="34" t="s">
        <v>59</v>
      </c>
    </row>
    <row r="15" spans="1:7" ht="16" x14ac:dyDescent="0.2">
      <c r="A15" s="45" t="s">
        <v>63</v>
      </c>
      <c r="B15" s="46"/>
      <c r="C15" s="47">
        <v>1</v>
      </c>
      <c r="D15" s="47">
        <v>1</v>
      </c>
      <c r="E15" s="48">
        <v>99000</v>
      </c>
      <c r="F15" s="48">
        <f t="shared" si="0"/>
        <v>99000</v>
      </c>
      <c r="G15" s="45" t="s">
        <v>64</v>
      </c>
    </row>
    <row r="16" spans="1:7" ht="16" x14ac:dyDescent="0.2">
      <c r="A16" s="45" t="s">
        <v>65</v>
      </c>
      <c r="B16" s="46"/>
      <c r="C16" s="47">
        <v>1</v>
      </c>
      <c r="D16" s="47">
        <v>17</v>
      </c>
      <c r="E16" s="48">
        <v>113500</v>
      </c>
      <c r="F16" s="48">
        <f>C16*D16*E16</f>
        <v>1929500</v>
      </c>
      <c r="G16" s="45" t="s">
        <v>66</v>
      </c>
    </row>
    <row r="17" spans="1:7" ht="16" x14ac:dyDescent="0.2">
      <c r="A17" s="49" t="s">
        <v>67</v>
      </c>
      <c r="B17" s="50" t="s">
        <v>68</v>
      </c>
      <c r="C17" s="51"/>
      <c r="D17" s="51"/>
      <c r="E17" s="51"/>
      <c r="F17" s="51"/>
      <c r="G17" s="52" t="s">
        <v>69</v>
      </c>
    </row>
    <row r="18" spans="1:7" ht="16" x14ac:dyDescent="0.2">
      <c r="A18" s="45" t="s">
        <v>70</v>
      </c>
      <c r="B18" s="46" t="s">
        <v>71</v>
      </c>
      <c r="C18" s="47">
        <v>1</v>
      </c>
      <c r="D18" s="47">
        <v>35</v>
      </c>
      <c r="E18" s="48">
        <v>0</v>
      </c>
      <c r="F18" s="53" t="s">
        <v>72</v>
      </c>
      <c r="G18" s="54" t="s">
        <v>73</v>
      </c>
    </row>
    <row r="19" spans="1:7" ht="16" x14ac:dyDescent="0.2">
      <c r="A19" s="45" t="s">
        <v>74</v>
      </c>
      <c r="B19" s="46" t="s">
        <v>71</v>
      </c>
      <c r="C19" s="47">
        <v>1</v>
      </c>
      <c r="D19" s="47">
        <v>35</v>
      </c>
      <c r="E19" s="48">
        <v>0</v>
      </c>
      <c r="F19" s="53" t="s">
        <v>72</v>
      </c>
      <c r="G19" s="54" t="s">
        <v>75</v>
      </c>
    </row>
    <row r="20" spans="1:7" ht="16" x14ac:dyDescent="0.2">
      <c r="A20" s="45" t="s">
        <v>76</v>
      </c>
      <c r="B20" s="46" t="s">
        <v>77</v>
      </c>
      <c r="C20" s="47">
        <v>1</v>
      </c>
      <c r="D20" s="47">
        <v>35</v>
      </c>
      <c r="E20" s="48">
        <v>0</v>
      </c>
      <c r="F20" s="53" t="s">
        <v>72</v>
      </c>
      <c r="G20" s="54" t="s">
        <v>78</v>
      </c>
    </row>
    <row r="21" spans="1:7" ht="16" x14ac:dyDescent="0.2">
      <c r="A21" s="45" t="s">
        <v>79</v>
      </c>
      <c r="B21" s="46" t="s">
        <v>77</v>
      </c>
      <c r="C21" s="47">
        <v>1</v>
      </c>
      <c r="D21" s="47">
        <v>35</v>
      </c>
      <c r="E21" s="48">
        <v>0</v>
      </c>
      <c r="F21" s="53" t="s">
        <v>72</v>
      </c>
      <c r="G21" s="45" t="s">
        <v>80</v>
      </c>
    </row>
    <row r="22" spans="1:7" ht="16" x14ac:dyDescent="0.2">
      <c r="A22" s="45" t="s">
        <v>81</v>
      </c>
      <c r="B22" s="46"/>
      <c r="C22" s="47">
        <v>1</v>
      </c>
      <c r="D22" s="47">
        <v>1</v>
      </c>
      <c r="E22" s="48">
        <v>280000</v>
      </c>
      <c r="F22" s="53" t="s">
        <v>72</v>
      </c>
      <c r="G22" s="45" t="s">
        <v>82</v>
      </c>
    </row>
    <row r="23" spans="1:7" ht="16" x14ac:dyDescent="0.2">
      <c r="A23" s="45" t="s">
        <v>83</v>
      </c>
      <c r="B23" s="46"/>
      <c r="C23" s="47">
        <v>1</v>
      </c>
      <c r="D23" s="47">
        <v>35</v>
      </c>
      <c r="E23" s="48"/>
      <c r="F23" s="53" t="s">
        <v>72</v>
      </c>
      <c r="G23" s="45" t="s">
        <v>84</v>
      </c>
    </row>
    <row r="24" spans="1:7" ht="16.5" customHeight="1" thickBot="1" x14ac:dyDescent="0.25">
      <c r="A24" s="55" t="s">
        <v>85</v>
      </c>
      <c r="B24" s="56"/>
      <c r="C24" s="57"/>
      <c r="D24" s="58"/>
      <c r="E24" s="59"/>
      <c r="F24" s="60">
        <f>SUM(F9:F21)</f>
        <v>3696000</v>
      </c>
      <c r="G24" s="61" t="s">
        <v>26</v>
      </c>
    </row>
    <row r="25" spans="1:7" ht="16.5" customHeight="1" x14ac:dyDescent="0.2">
      <c r="A25" s="25" t="s">
        <v>86</v>
      </c>
      <c r="B25" s="26"/>
      <c r="C25" s="27" t="s">
        <v>46</v>
      </c>
      <c r="D25" s="27" t="s">
        <v>47</v>
      </c>
      <c r="E25" s="27" t="s">
        <v>48</v>
      </c>
      <c r="F25" s="27" t="s">
        <v>49</v>
      </c>
      <c r="G25" s="28" t="s">
        <v>50</v>
      </c>
    </row>
    <row r="26" spans="1:7" ht="16.5" customHeight="1" x14ac:dyDescent="0.2">
      <c r="A26" s="29" t="s">
        <v>87</v>
      </c>
      <c r="B26" s="30"/>
      <c r="C26" s="31">
        <v>1</v>
      </c>
      <c r="D26" s="31">
        <v>35</v>
      </c>
      <c r="E26" s="32">
        <v>9500</v>
      </c>
      <c r="F26" s="33" t="s">
        <v>88</v>
      </c>
      <c r="G26" s="34" t="s">
        <v>52</v>
      </c>
    </row>
    <row r="27" spans="1:7" ht="16" x14ac:dyDescent="0.2">
      <c r="A27" s="35" t="s">
        <v>89</v>
      </c>
      <c r="B27" s="36"/>
      <c r="C27" s="37">
        <v>1</v>
      </c>
      <c r="D27" s="37">
        <v>1</v>
      </c>
      <c r="E27" s="38">
        <v>180000</v>
      </c>
      <c r="F27" s="39">
        <f t="shared" ref="F27" si="1">C27*D27*E27</f>
        <v>180000</v>
      </c>
      <c r="G27" s="34" t="s">
        <v>90</v>
      </c>
    </row>
    <row r="28" spans="1:7" ht="16.5" customHeight="1" x14ac:dyDescent="0.2">
      <c r="A28" s="40" t="s">
        <v>55</v>
      </c>
      <c r="B28" s="41"/>
      <c r="C28" s="31">
        <v>1</v>
      </c>
      <c r="D28" s="31">
        <v>35</v>
      </c>
      <c r="E28" s="39">
        <v>15000</v>
      </c>
      <c r="F28" s="39">
        <f>C28*D28*E28</f>
        <v>525000</v>
      </c>
      <c r="G28" s="34" t="s">
        <v>57</v>
      </c>
    </row>
    <row r="29" spans="1:7" ht="16" x14ac:dyDescent="0.2">
      <c r="A29" s="40" t="s">
        <v>58</v>
      </c>
      <c r="B29" s="42"/>
      <c r="C29" s="37">
        <v>1</v>
      </c>
      <c r="D29" s="37">
        <v>35</v>
      </c>
      <c r="E29" s="39">
        <v>1500</v>
      </c>
      <c r="F29" s="39">
        <f t="shared" ref="F29" si="2">C29*D29*E29</f>
        <v>52500</v>
      </c>
      <c r="G29" s="34" t="s">
        <v>59</v>
      </c>
    </row>
    <row r="30" spans="1:7" ht="16" x14ac:dyDescent="0.2">
      <c r="A30" s="62" t="s">
        <v>67</v>
      </c>
      <c r="B30" s="63" t="s">
        <v>91</v>
      </c>
      <c r="C30" s="64"/>
      <c r="D30" s="64"/>
      <c r="E30" s="65"/>
      <c r="F30" s="65"/>
      <c r="G30" s="62" t="s">
        <v>69</v>
      </c>
    </row>
    <row r="31" spans="1:7" ht="16" x14ac:dyDescent="0.2">
      <c r="A31" s="45" t="s">
        <v>70</v>
      </c>
      <c r="B31" s="46" t="s">
        <v>92</v>
      </c>
      <c r="C31" s="47">
        <v>1</v>
      </c>
      <c r="D31" s="47">
        <v>35</v>
      </c>
      <c r="E31" s="48">
        <v>0</v>
      </c>
      <c r="F31" s="53" t="s">
        <v>72</v>
      </c>
      <c r="G31" s="54" t="s">
        <v>73</v>
      </c>
    </row>
    <row r="32" spans="1:7" ht="16" x14ac:dyDescent="0.2">
      <c r="A32" s="45" t="s">
        <v>74</v>
      </c>
      <c r="B32" s="46" t="s">
        <v>92</v>
      </c>
      <c r="C32" s="47">
        <v>1</v>
      </c>
      <c r="D32" s="47">
        <v>35</v>
      </c>
      <c r="E32" s="48">
        <v>0</v>
      </c>
      <c r="F32" s="53" t="s">
        <v>72</v>
      </c>
      <c r="G32" s="54" t="s">
        <v>75</v>
      </c>
    </row>
    <row r="33" spans="1:7" ht="16" x14ac:dyDescent="0.2">
      <c r="A33" s="45" t="s">
        <v>76</v>
      </c>
      <c r="B33" s="46" t="s">
        <v>77</v>
      </c>
      <c r="C33" s="47">
        <v>1</v>
      </c>
      <c r="D33" s="47">
        <v>35</v>
      </c>
      <c r="E33" s="48">
        <v>0</v>
      </c>
      <c r="F33" s="53" t="s">
        <v>72</v>
      </c>
      <c r="G33" s="54" t="s">
        <v>78</v>
      </c>
    </row>
    <row r="34" spans="1:7" ht="16" x14ac:dyDescent="0.2">
      <c r="A34" s="45" t="s">
        <v>79</v>
      </c>
      <c r="B34" s="46" t="s">
        <v>77</v>
      </c>
      <c r="C34" s="47">
        <v>1</v>
      </c>
      <c r="D34" s="47">
        <v>35</v>
      </c>
      <c r="E34" s="48">
        <v>0</v>
      </c>
      <c r="F34" s="53" t="s">
        <v>72</v>
      </c>
      <c r="G34" s="45" t="s">
        <v>80</v>
      </c>
    </row>
    <row r="35" spans="1:7" ht="16.5" customHeight="1" thickBot="1" x14ac:dyDescent="0.25">
      <c r="A35" s="55" t="s">
        <v>85</v>
      </c>
      <c r="B35" s="56"/>
      <c r="C35" s="57"/>
      <c r="D35" s="58"/>
      <c r="E35" s="59"/>
      <c r="F35" s="60">
        <f>SUM(F26:F34)</f>
        <v>757500</v>
      </c>
      <c r="G35" s="61" t="s">
        <v>26</v>
      </c>
    </row>
    <row r="36" spans="1:7" ht="17" thickBot="1" x14ac:dyDescent="0.25">
      <c r="A36" s="66" t="s">
        <v>93</v>
      </c>
      <c r="B36" s="67"/>
      <c r="C36" s="68"/>
      <c r="D36" s="68"/>
      <c r="E36" s="69"/>
      <c r="F36" s="70">
        <f>F24+F35</f>
        <v>4453500</v>
      </c>
      <c r="G36" s="71" t="s">
        <v>94</v>
      </c>
    </row>
    <row r="37" spans="1:7" ht="16" x14ac:dyDescent="0.2">
      <c r="A37" s="72" t="s">
        <v>95</v>
      </c>
      <c r="B37" s="73"/>
      <c r="C37" s="74"/>
      <c r="D37" s="58"/>
      <c r="E37" s="59"/>
      <c r="F37" s="60">
        <f>F36*1.19-F36</f>
        <v>846165</v>
      </c>
      <c r="G37" s="71"/>
    </row>
    <row r="38" spans="1:7" ht="16" x14ac:dyDescent="0.2">
      <c r="A38" s="75" t="s">
        <v>96</v>
      </c>
      <c r="B38" s="76"/>
      <c r="C38" s="77"/>
      <c r="D38" s="77"/>
      <c r="E38" s="78"/>
      <c r="F38" s="79">
        <f>F36+F37</f>
        <v>5299665</v>
      </c>
      <c r="G38" s="71"/>
    </row>
    <row r="39" spans="1:7" ht="16" x14ac:dyDescent="0.2">
      <c r="A39" s="80" t="s">
        <v>97</v>
      </c>
      <c r="B39" s="81"/>
      <c r="C39" s="82"/>
      <c r="D39" s="83"/>
      <c r="E39" s="84" t="s">
        <v>26</v>
      </c>
      <c r="F39" s="85">
        <f>F38</f>
        <v>5299665</v>
      </c>
      <c r="G39" s="71"/>
    </row>
    <row r="40" spans="1:7" s="93" customFormat="1" ht="17" x14ac:dyDescent="0.2">
      <c r="A40" s="86" t="s">
        <v>26</v>
      </c>
      <c r="B40" s="87"/>
      <c r="C40" s="88"/>
      <c r="D40" s="89"/>
      <c r="E40" s="90"/>
      <c r="F40" s="91" t="s">
        <v>26</v>
      </c>
      <c r="G40" s="92" t="s">
        <v>26</v>
      </c>
    </row>
    <row r="41" spans="1:7" s="93" customFormat="1" ht="18" thickBot="1" x14ac:dyDescent="0.25">
      <c r="A41" s="86"/>
      <c r="B41" s="87"/>
      <c r="C41" s="88"/>
      <c r="D41" s="89"/>
      <c r="E41" s="135" t="s">
        <v>216</v>
      </c>
      <c r="F41" s="137">
        <f>+Hoja1!E5</f>
        <v>3648003</v>
      </c>
      <c r="G41" s="92"/>
    </row>
    <row r="42" spans="1:7" s="93" customFormat="1" ht="17" x14ac:dyDescent="0.2">
      <c r="A42" s="86"/>
      <c r="B42" s="87"/>
      <c r="C42" s="88"/>
      <c r="D42" s="89"/>
      <c r="E42" s="135" t="s">
        <v>217</v>
      </c>
      <c r="F42" s="138">
        <f>+Hoja1!F4</f>
        <v>288000</v>
      </c>
      <c r="G42" s="92"/>
    </row>
    <row r="43" spans="1:7" s="93" customFormat="1" ht="17" x14ac:dyDescent="0.2">
      <c r="A43" s="86"/>
      <c r="B43" s="87"/>
      <c r="C43" s="88"/>
      <c r="D43" s="89"/>
      <c r="E43" s="90"/>
      <c r="F43" s="91"/>
      <c r="G43" s="92"/>
    </row>
    <row r="44" spans="1:7" s="93" customFormat="1" ht="17" x14ac:dyDescent="0.2">
      <c r="A44" s="86"/>
      <c r="B44" s="87"/>
      <c r="C44" s="88"/>
      <c r="D44" s="89"/>
      <c r="E44" s="90" t="s">
        <v>218</v>
      </c>
      <c r="F44" s="91">
        <f>+F41+F42-F39</f>
        <v>-1363662</v>
      </c>
      <c r="G44" s="92"/>
    </row>
    <row r="45" spans="1:7" s="93" customFormat="1" ht="17" x14ac:dyDescent="0.2">
      <c r="A45" s="86"/>
      <c r="B45" s="87"/>
      <c r="C45" s="88"/>
      <c r="D45" s="89"/>
      <c r="E45" s="90"/>
      <c r="F45" s="91"/>
      <c r="G45" s="92"/>
    </row>
    <row r="46" spans="1:7" s="93" customFormat="1" ht="17" x14ac:dyDescent="0.2">
      <c r="A46" s="86"/>
      <c r="B46" s="87"/>
      <c r="C46" s="88"/>
      <c r="D46" s="89"/>
      <c r="E46" s="90"/>
      <c r="F46" s="91"/>
      <c r="G46" s="92"/>
    </row>
    <row r="47" spans="1:7" s="93" customFormat="1" ht="17" x14ac:dyDescent="0.2">
      <c r="A47" s="86"/>
      <c r="B47" s="87"/>
      <c r="C47" s="88"/>
      <c r="D47" s="89"/>
      <c r="E47" s="90"/>
      <c r="F47" s="91"/>
      <c r="G47" s="92"/>
    </row>
    <row r="48" spans="1:7" s="93" customFormat="1" ht="17" x14ac:dyDescent="0.2">
      <c r="A48" s="86"/>
      <c r="B48" s="87"/>
      <c r="C48" s="88"/>
      <c r="D48" s="89"/>
      <c r="E48" s="90"/>
      <c r="F48" s="91"/>
      <c r="G48" s="92"/>
    </row>
    <row r="49" spans="1:7" s="93" customFormat="1" ht="17" x14ac:dyDescent="0.2">
      <c r="A49" s="86"/>
      <c r="B49" s="87"/>
      <c r="C49" s="88"/>
      <c r="D49" s="89"/>
      <c r="E49" s="90"/>
      <c r="F49" s="91"/>
      <c r="G49" s="92"/>
    </row>
    <row r="50" spans="1:7" s="93" customFormat="1" ht="17" x14ac:dyDescent="0.2">
      <c r="A50" s="86"/>
      <c r="B50" s="87"/>
      <c r="C50" s="88"/>
      <c r="D50" s="89"/>
      <c r="E50" s="90"/>
      <c r="F50" s="91"/>
      <c r="G50" s="92"/>
    </row>
    <row r="51" spans="1:7" s="93" customFormat="1" ht="17" x14ac:dyDescent="0.2">
      <c r="A51" s="86"/>
      <c r="B51" s="87"/>
      <c r="C51" s="88"/>
      <c r="D51" s="89"/>
      <c r="E51" s="90"/>
      <c r="F51" s="91"/>
      <c r="G51" s="92"/>
    </row>
    <row r="52" spans="1:7" s="93" customFormat="1" ht="17" x14ac:dyDescent="0.2">
      <c r="A52" s="86"/>
      <c r="B52" s="87"/>
      <c r="C52" s="88"/>
      <c r="D52" s="89"/>
      <c r="E52" s="90"/>
      <c r="F52" s="91"/>
      <c r="G52" s="92"/>
    </row>
    <row r="53" spans="1:7" s="93" customFormat="1" ht="17" x14ac:dyDescent="0.2">
      <c r="A53" s="86"/>
      <c r="B53" s="87"/>
      <c r="C53" s="88"/>
      <c r="D53" s="89"/>
      <c r="E53" s="90"/>
      <c r="F53" s="91"/>
      <c r="G53" s="92"/>
    </row>
    <row r="54" spans="1:7" s="93" customFormat="1" ht="17" x14ac:dyDescent="0.2">
      <c r="A54" s="86"/>
      <c r="B54" s="87"/>
      <c r="C54" s="88"/>
      <c r="D54" s="89"/>
      <c r="E54" s="90"/>
      <c r="F54" s="91"/>
      <c r="G54" s="92"/>
    </row>
    <row r="55" spans="1:7" s="93" customFormat="1" ht="17" x14ac:dyDescent="0.2">
      <c r="A55" s="86"/>
      <c r="B55" s="87"/>
      <c r="C55" s="88"/>
      <c r="D55" s="89"/>
      <c r="E55" s="90"/>
      <c r="F55" s="91"/>
      <c r="G55" s="92"/>
    </row>
    <row r="56" spans="1:7" s="93" customFormat="1" ht="17" x14ac:dyDescent="0.2">
      <c r="A56" s="86"/>
      <c r="B56" s="87"/>
      <c r="C56" s="88"/>
      <c r="D56" s="89"/>
      <c r="E56" s="90"/>
      <c r="F56" s="91"/>
      <c r="G56" s="92"/>
    </row>
    <row r="57" spans="1:7" s="93" customFormat="1" ht="17" x14ac:dyDescent="0.2">
      <c r="A57" s="86"/>
      <c r="B57" s="87"/>
      <c r="C57" s="88"/>
      <c r="D57" s="89"/>
      <c r="E57" s="90"/>
      <c r="F57" s="91"/>
      <c r="G57" s="92"/>
    </row>
    <row r="58" spans="1:7" s="93" customFormat="1" ht="17" x14ac:dyDescent="0.2">
      <c r="A58" s="86"/>
      <c r="B58" s="87"/>
      <c r="C58" s="88"/>
      <c r="D58" s="89"/>
      <c r="E58" s="90"/>
      <c r="F58" s="91"/>
      <c r="G58" s="92"/>
    </row>
    <row r="59" spans="1:7" s="93" customFormat="1" ht="17" x14ac:dyDescent="0.2">
      <c r="A59" s="86"/>
      <c r="B59" s="87"/>
      <c r="C59" s="88"/>
      <c r="D59" s="89"/>
      <c r="E59" s="90"/>
      <c r="F59" s="91"/>
      <c r="G59" s="92"/>
    </row>
    <row r="60" spans="1:7" s="93" customFormat="1" ht="17" x14ac:dyDescent="0.2">
      <c r="A60" s="86"/>
      <c r="B60" s="87"/>
      <c r="C60" s="88"/>
      <c r="D60" s="89"/>
      <c r="E60" s="90"/>
      <c r="F60" s="91"/>
      <c r="G60" s="92"/>
    </row>
    <row r="61" spans="1:7" ht="19" x14ac:dyDescent="0.2">
      <c r="A61" s="94" t="s">
        <v>98</v>
      </c>
      <c r="B61"/>
      <c r="E61" s="95"/>
      <c r="F61" s="96" t="s">
        <v>26</v>
      </c>
    </row>
    <row r="62" spans="1:7" ht="19" x14ac:dyDescent="0.2">
      <c r="A62" s="97" t="s">
        <v>99</v>
      </c>
      <c r="B62"/>
      <c r="E62" s="98"/>
      <c r="F62" s="98"/>
      <c r="G62" s="98"/>
    </row>
    <row r="63" spans="1:7" ht="17" x14ac:dyDescent="0.2">
      <c r="A63" s="95" t="s">
        <v>100</v>
      </c>
      <c r="B63"/>
    </row>
    <row r="64" spans="1:7" ht="17" x14ac:dyDescent="0.2">
      <c r="A64" s="95"/>
      <c r="B64"/>
    </row>
    <row r="65" spans="1:2" ht="19" x14ac:dyDescent="0.2">
      <c r="A65" s="94" t="s">
        <v>101</v>
      </c>
      <c r="B65"/>
    </row>
    <row r="66" spans="1:2" ht="17" x14ac:dyDescent="0.2">
      <c r="A66" s="95" t="s">
        <v>102</v>
      </c>
      <c r="B66"/>
    </row>
    <row r="67" spans="1:2" ht="17" x14ac:dyDescent="0.2">
      <c r="A67" s="95" t="s">
        <v>103</v>
      </c>
      <c r="B67"/>
    </row>
    <row r="68" spans="1:2" ht="17" x14ac:dyDescent="0.2">
      <c r="A68" s="95" t="s">
        <v>104</v>
      </c>
      <c r="B68"/>
    </row>
    <row r="69" spans="1:2" ht="17" x14ac:dyDescent="0.2">
      <c r="A69" s="99" t="s">
        <v>105</v>
      </c>
      <c r="B69"/>
    </row>
    <row r="70" spans="1:2" ht="17" x14ac:dyDescent="0.2">
      <c r="A70" s="95" t="s">
        <v>106</v>
      </c>
      <c r="B70"/>
    </row>
    <row r="71" spans="1:2" ht="17" x14ac:dyDescent="0.2">
      <c r="A71" s="95" t="s">
        <v>107</v>
      </c>
      <c r="B71"/>
    </row>
    <row r="72" spans="1:2" ht="17" x14ac:dyDescent="0.2">
      <c r="A72" s="99" t="s">
        <v>108</v>
      </c>
      <c r="B72"/>
    </row>
    <row r="73" spans="1:2" ht="17" x14ac:dyDescent="0.2">
      <c r="A73" s="95" t="s">
        <v>109</v>
      </c>
      <c r="B73"/>
    </row>
    <row r="74" spans="1:2" ht="17" x14ac:dyDescent="0.2">
      <c r="A74" s="95" t="s">
        <v>110</v>
      </c>
      <c r="B74"/>
    </row>
    <row r="75" spans="1:2" ht="17" x14ac:dyDescent="0.2">
      <c r="A75" s="95" t="s">
        <v>111</v>
      </c>
      <c r="B75"/>
    </row>
    <row r="76" spans="1:2" ht="17" x14ac:dyDescent="0.2">
      <c r="A76" s="95" t="s">
        <v>112</v>
      </c>
      <c r="B76"/>
    </row>
    <row r="77" spans="1:2" ht="17" x14ac:dyDescent="0.2">
      <c r="A77" s="95" t="s">
        <v>113</v>
      </c>
      <c r="B77"/>
    </row>
    <row r="78" spans="1:2" ht="17" x14ac:dyDescent="0.2">
      <c r="A78" s="95" t="s">
        <v>114</v>
      </c>
      <c r="B78"/>
    </row>
    <row r="79" spans="1:2" ht="17" x14ac:dyDescent="0.2">
      <c r="A79" s="95"/>
      <c r="B79"/>
    </row>
    <row r="80" spans="1:2" ht="17" x14ac:dyDescent="0.2">
      <c r="A80" s="100" t="s">
        <v>115</v>
      </c>
      <c r="B80"/>
    </row>
    <row r="81" spans="1:7" ht="17" x14ac:dyDescent="0.2">
      <c r="A81" s="95" t="s">
        <v>116</v>
      </c>
      <c r="B81" s="95" t="s">
        <v>117</v>
      </c>
      <c r="D81" s="95" t="s">
        <v>118</v>
      </c>
      <c r="F81" s="95" t="s">
        <v>119</v>
      </c>
    </row>
    <row r="82" spans="1:7" ht="17" x14ac:dyDescent="0.2">
      <c r="A82" s="95" t="s">
        <v>120</v>
      </c>
      <c r="B82" s="95" t="s">
        <v>121</v>
      </c>
      <c r="D82" s="95" t="s">
        <v>122</v>
      </c>
      <c r="F82" s="95" t="s">
        <v>123</v>
      </c>
    </row>
    <row r="83" spans="1:7" ht="17" x14ac:dyDescent="0.2">
      <c r="A83" s="95" t="s">
        <v>124</v>
      </c>
      <c r="B83" s="95" t="s">
        <v>125</v>
      </c>
      <c r="D83" s="95" t="s">
        <v>126</v>
      </c>
      <c r="F83" s="95" t="s">
        <v>127</v>
      </c>
    </row>
    <row r="84" spans="1:7" ht="17" x14ac:dyDescent="0.2">
      <c r="A84" s="95" t="s">
        <v>35</v>
      </c>
      <c r="B84" s="95" t="s">
        <v>128</v>
      </c>
      <c r="D84" s="101" t="s">
        <v>129</v>
      </c>
    </row>
    <row r="85" spans="1:7" ht="18" thickBot="1" x14ac:dyDescent="0.25">
      <c r="A85" s="95"/>
      <c r="B85"/>
    </row>
    <row r="86" spans="1:7" ht="16" customHeight="1" x14ac:dyDescent="0.2">
      <c r="A86" s="102" t="s">
        <v>130</v>
      </c>
      <c r="B86" s="103" t="s">
        <v>45</v>
      </c>
      <c r="C86" s="104" t="s">
        <v>131</v>
      </c>
      <c r="D86" s="104" t="s">
        <v>47</v>
      </c>
      <c r="E86" s="104" t="s">
        <v>132</v>
      </c>
      <c r="F86" s="104" t="s">
        <v>133</v>
      </c>
      <c r="G86" s="105" t="s">
        <v>50</v>
      </c>
    </row>
    <row r="87" spans="1:7" ht="16" customHeight="1" x14ac:dyDescent="0.2">
      <c r="A87" s="34" t="s">
        <v>134</v>
      </c>
      <c r="B87" s="106"/>
      <c r="C87" s="37">
        <v>0</v>
      </c>
      <c r="D87" s="37">
        <v>0</v>
      </c>
      <c r="E87" s="107">
        <v>200000</v>
      </c>
      <c r="F87" s="107">
        <f>C87*D87*E87</f>
        <v>0</v>
      </c>
      <c r="G87" s="34" t="s">
        <v>135</v>
      </c>
    </row>
    <row r="88" spans="1:7" ht="16" x14ac:dyDescent="0.2">
      <c r="A88" s="35" t="s">
        <v>136</v>
      </c>
      <c r="B88" s="36"/>
      <c r="C88" s="37">
        <v>0</v>
      </c>
      <c r="D88" s="37">
        <v>0</v>
      </c>
      <c r="E88" s="39">
        <v>12000</v>
      </c>
      <c r="F88" s="39">
        <f t="shared" ref="F88:F109" si="3">C88*D88*E88</f>
        <v>0</v>
      </c>
      <c r="G88" s="34" t="s">
        <v>137</v>
      </c>
    </row>
    <row r="89" spans="1:7" ht="16" x14ac:dyDescent="0.2">
      <c r="A89" s="35" t="s">
        <v>138</v>
      </c>
      <c r="B89" s="36"/>
      <c r="C89" s="37">
        <v>0</v>
      </c>
      <c r="D89" s="37">
        <v>0</v>
      </c>
      <c r="E89" s="39">
        <v>26000</v>
      </c>
      <c r="F89" s="39">
        <f t="shared" si="3"/>
        <v>0</v>
      </c>
      <c r="G89" s="34" t="s">
        <v>139</v>
      </c>
    </row>
    <row r="90" spans="1:7" ht="16" x14ac:dyDescent="0.2">
      <c r="A90" s="35" t="s">
        <v>140</v>
      </c>
      <c r="B90" s="36"/>
      <c r="C90" s="37">
        <v>0</v>
      </c>
      <c r="D90" s="37">
        <v>0</v>
      </c>
      <c r="E90" s="39">
        <v>35000</v>
      </c>
      <c r="F90" s="39">
        <f t="shared" si="3"/>
        <v>0</v>
      </c>
      <c r="G90" s="34" t="s">
        <v>139</v>
      </c>
    </row>
    <row r="91" spans="1:7" ht="16" x14ac:dyDescent="0.2">
      <c r="A91" s="35" t="s">
        <v>141</v>
      </c>
      <c r="B91" s="36"/>
      <c r="C91" s="37">
        <v>0</v>
      </c>
      <c r="D91" s="37">
        <v>0</v>
      </c>
      <c r="E91" s="39">
        <v>10000</v>
      </c>
      <c r="F91" s="39">
        <f t="shared" si="3"/>
        <v>0</v>
      </c>
      <c r="G91" s="34"/>
    </row>
    <row r="92" spans="1:7" ht="16" x14ac:dyDescent="0.2">
      <c r="A92" s="35" t="s">
        <v>142</v>
      </c>
      <c r="B92" s="36"/>
      <c r="C92" s="37">
        <v>0</v>
      </c>
      <c r="D92" s="37">
        <v>0</v>
      </c>
      <c r="E92" s="39">
        <v>4500</v>
      </c>
      <c r="F92" s="39">
        <f t="shared" si="3"/>
        <v>0</v>
      </c>
      <c r="G92" s="34" t="s">
        <v>143</v>
      </c>
    </row>
    <row r="93" spans="1:7" ht="16" x14ac:dyDescent="0.2">
      <c r="A93" s="35" t="s">
        <v>144</v>
      </c>
      <c r="B93" s="36"/>
      <c r="C93" s="37">
        <v>0</v>
      </c>
      <c r="D93" s="37">
        <v>0</v>
      </c>
      <c r="E93" s="39">
        <v>5000</v>
      </c>
      <c r="F93" s="39">
        <f t="shared" si="3"/>
        <v>0</v>
      </c>
      <c r="G93" s="34" t="s">
        <v>145</v>
      </c>
    </row>
    <row r="94" spans="1:7" ht="16" x14ac:dyDescent="0.2">
      <c r="A94" s="35" t="s">
        <v>146</v>
      </c>
      <c r="B94" s="36"/>
      <c r="C94" s="37">
        <v>0</v>
      </c>
      <c r="D94" s="37">
        <v>0</v>
      </c>
      <c r="E94" s="39">
        <v>5000</v>
      </c>
      <c r="F94" s="39">
        <f t="shared" si="3"/>
        <v>0</v>
      </c>
      <c r="G94" s="34" t="s">
        <v>147</v>
      </c>
    </row>
    <row r="95" spans="1:7" ht="16" x14ac:dyDescent="0.2">
      <c r="A95" s="35" t="s">
        <v>148</v>
      </c>
      <c r="B95" s="36"/>
      <c r="C95" s="37">
        <v>0</v>
      </c>
      <c r="D95" s="37">
        <v>0</v>
      </c>
      <c r="E95" s="39">
        <v>3000</v>
      </c>
      <c r="F95" s="39">
        <f t="shared" si="3"/>
        <v>0</v>
      </c>
      <c r="G95" s="34" t="s">
        <v>149</v>
      </c>
    </row>
    <row r="96" spans="1:7" ht="16" x14ac:dyDescent="0.2">
      <c r="A96" s="35" t="s">
        <v>150</v>
      </c>
      <c r="B96" s="36"/>
      <c r="C96" s="37">
        <v>0</v>
      </c>
      <c r="D96" s="37">
        <v>0</v>
      </c>
      <c r="E96" s="39">
        <v>16000</v>
      </c>
      <c r="F96" s="39">
        <f t="shared" si="3"/>
        <v>0</v>
      </c>
      <c r="G96" s="34" t="s">
        <v>151</v>
      </c>
    </row>
    <row r="97" spans="1:7" ht="16" x14ac:dyDescent="0.2">
      <c r="A97" s="35" t="s">
        <v>152</v>
      </c>
      <c r="B97" s="36"/>
      <c r="C97" s="37">
        <v>0</v>
      </c>
      <c r="D97" s="37">
        <v>0</v>
      </c>
      <c r="E97" s="39">
        <v>7000</v>
      </c>
      <c r="F97" s="39">
        <f t="shared" si="3"/>
        <v>0</v>
      </c>
      <c r="G97" s="34" t="s">
        <v>153</v>
      </c>
    </row>
    <row r="98" spans="1:7" ht="16" x14ac:dyDescent="0.2">
      <c r="A98" s="108" t="s">
        <v>58</v>
      </c>
      <c r="B98" s="109"/>
      <c r="C98" s="47">
        <v>0</v>
      </c>
      <c r="D98" s="47">
        <v>0</v>
      </c>
      <c r="E98" s="48">
        <v>1500</v>
      </c>
      <c r="F98" s="48">
        <f t="shared" si="3"/>
        <v>0</v>
      </c>
      <c r="G98" s="45" t="s">
        <v>59</v>
      </c>
    </row>
    <row r="99" spans="1:7" ht="16" x14ac:dyDescent="0.2">
      <c r="A99" s="110" t="s">
        <v>154</v>
      </c>
      <c r="B99" s="111"/>
      <c r="C99" s="47">
        <v>0</v>
      </c>
      <c r="D99" s="47">
        <v>0</v>
      </c>
      <c r="E99" s="48">
        <v>3000</v>
      </c>
      <c r="F99" s="48">
        <f t="shared" si="3"/>
        <v>0</v>
      </c>
      <c r="G99" s="45"/>
    </row>
    <row r="100" spans="1:7" ht="16" x14ac:dyDescent="0.2">
      <c r="A100" s="110" t="s">
        <v>155</v>
      </c>
      <c r="B100" s="111"/>
      <c r="C100" s="47">
        <v>0</v>
      </c>
      <c r="D100" s="47">
        <v>0</v>
      </c>
      <c r="E100" s="48">
        <v>1000</v>
      </c>
      <c r="F100" s="48">
        <f t="shared" si="3"/>
        <v>0</v>
      </c>
      <c r="G100" s="45" t="s">
        <v>156</v>
      </c>
    </row>
    <row r="101" spans="1:7" ht="16" x14ac:dyDescent="0.2">
      <c r="A101" s="110" t="s">
        <v>157</v>
      </c>
      <c r="B101" s="111"/>
      <c r="C101" s="47">
        <v>0</v>
      </c>
      <c r="D101" s="47">
        <v>0</v>
      </c>
      <c r="E101" s="48">
        <v>3000</v>
      </c>
      <c r="F101" s="48">
        <f t="shared" si="3"/>
        <v>0</v>
      </c>
      <c r="G101" s="45" t="s">
        <v>158</v>
      </c>
    </row>
    <row r="102" spans="1:7" ht="16" x14ac:dyDescent="0.2">
      <c r="A102" s="110" t="s">
        <v>159</v>
      </c>
      <c r="B102" s="111"/>
      <c r="C102" s="47">
        <v>0</v>
      </c>
      <c r="D102" s="47">
        <v>0</v>
      </c>
      <c r="E102" s="112">
        <v>150000</v>
      </c>
      <c r="F102" s="48">
        <f t="shared" si="3"/>
        <v>0</v>
      </c>
      <c r="G102" s="45" t="s">
        <v>160</v>
      </c>
    </row>
    <row r="103" spans="1:7" ht="16" x14ac:dyDescent="0.2">
      <c r="A103" s="35" t="s">
        <v>161</v>
      </c>
      <c r="B103" s="36"/>
      <c r="C103" s="37">
        <v>0</v>
      </c>
      <c r="D103" s="37">
        <v>0</v>
      </c>
      <c r="E103" s="38">
        <v>100000</v>
      </c>
      <c r="F103" s="39">
        <f t="shared" si="3"/>
        <v>0</v>
      </c>
      <c r="G103" s="34" t="s">
        <v>162</v>
      </c>
    </row>
    <row r="104" spans="1:7" ht="16" x14ac:dyDescent="0.2">
      <c r="A104" s="113" t="s">
        <v>163</v>
      </c>
      <c r="B104" s="114"/>
      <c r="C104" s="31">
        <v>0</v>
      </c>
      <c r="D104" s="115">
        <v>0</v>
      </c>
      <c r="E104" s="44">
        <v>3850</v>
      </c>
      <c r="F104" s="116">
        <f>E104*D104*C104</f>
        <v>0</v>
      </c>
      <c r="G104" s="117" t="s">
        <v>164</v>
      </c>
    </row>
    <row r="105" spans="1:7" ht="16" x14ac:dyDescent="0.2">
      <c r="A105" s="118" t="s">
        <v>165</v>
      </c>
      <c r="B105" s="119"/>
      <c r="C105" s="37">
        <v>0</v>
      </c>
      <c r="D105" s="37">
        <v>0</v>
      </c>
      <c r="E105" s="38">
        <v>4800</v>
      </c>
      <c r="F105" s="39">
        <f>C105*D105*E105</f>
        <v>0</v>
      </c>
      <c r="G105" s="35" t="s">
        <v>166</v>
      </c>
    </row>
    <row r="106" spans="1:7" ht="16" x14ac:dyDescent="0.2">
      <c r="A106" s="118" t="s">
        <v>167</v>
      </c>
      <c r="B106" s="119"/>
      <c r="C106" s="37">
        <v>0</v>
      </c>
      <c r="D106" s="37">
        <v>0</v>
      </c>
      <c r="E106" s="38">
        <v>5500</v>
      </c>
      <c r="F106" s="39">
        <f>C106*D106*E106</f>
        <v>0</v>
      </c>
      <c r="G106" s="35" t="s">
        <v>168</v>
      </c>
    </row>
    <row r="107" spans="1:7" ht="16" x14ac:dyDescent="0.2">
      <c r="A107" s="118" t="s">
        <v>169</v>
      </c>
      <c r="B107" s="119"/>
      <c r="C107" s="37">
        <v>0</v>
      </c>
      <c r="D107" s="37">
        <v>0</v>
      </c>
      <c r="E107" s="38">
        <v>7500</v>
      </c>
      <c r="F107" s="39">
        <f t="shared" si="3"/>
        <v>0</v>
      </c>
      <c r="G107" s="35" t="s">
        <v>170</v>
      </c>
    </row>
    <row r="108" spans="1:7" ht="15" customHeight="1" x14ac:dyDescent="0.2">
      <c r="A108" s="35" t="s">
        <v>171</v>
      </c>
      <c r="B108" s="36"/>
      <c r="C108" s="37">
        <v>0</v>
      </c>
      <c r="D108" s="37">
        <v>0</v>
      </c>
      <c r="E108" s="39">
        <v>8500</v>
      </c>
      <c r="F108" s="39">
        <f t="shared" si="3"/>
        <v>0</v>
      </c>
      <c r="G108" s="120" t="s">
        <v>172</v>
      </c>
    </row>
    <row r="109" spans="1:7" ht="15" customHeight="1" x14ac:dyDescent="0.2">
      <c r="A109" s="40" t="s">
        <v>173</v>
      </c>
      <c r="B109" s="42"/>
      <c r="C109" s="37">
        <v>0</v>
      </c>
      <c r="D109" s="37">
        <v>0</v>
      </c>
      <c r="E109" s="39">
        <v>13500</v>
      </c>
      <c r="F109" s="39">
        <f t="shared" si="3"/>
        <v>0</v>
      </c>
      <c r="G109" s="121" t="s">
        <v>174</v>
      </c>
    </row>
    <row r="110" spans="1:7" ht="16" x14ac:dyDescent="0.2">
      <c r="A110" s="35" t="s">
        <v>175</v>
      </c>
      <c r="B110" s="36"/>
      <c r="C110" s="37">
        <v>0</v>
      </c>
      <c r="D110" s="37">
        <v>0</v>
      </c>
      <c r="E110" s="39">
        <v>2500</v>
      </c>
      <c r="F110" s="39">
        <f>C110*D110*E110</f>
        <v>0</v>
      </c>
      <c r="G110" s="34" t="s">
        <v>176</v>
      </c>
    </row>
    <row r="111" spans="1:7" ht="16" x14ac:dyDescent="0.2">
      <c r="A111" s="35" t="s">
        <v>177</v>
      </c>
      <c r="B111" s="36"/>
      <c r="C111" s="37">
        <v>0</v>
      </c>
      <c r="D111" s="37">
        <v>0</v>
      </c>
      <c r="E111" s="38">
        <v>300000</v>
      </c>
      <c r="F111" s="39">
        <f>C111*D111*E111</f>
        <v>0</v>
      </c>
      <c r="G111" s="34" t="s">
        <v>90</v>
      </c>
    </row>
    <row r="112" spans="1:7" ht="16" x14ac:dyDescent="0.2">
      <c r="A112" s="35" t="s">
        <v>178</v>
      </c>
      <c r="B112" s="36"/>
      <c r="C112" s="37">
        <v>0</v>
      </c>
      <c r="D112" s="37">
        <v>0</v>
      </c>
      <c r="E112" s="38">
        <v>250000</v>
      </c>
      <c r="F112" s="39">
        <f>C112*D112*E112</f>
        <v>0</v>
      </c>
      <c r="G112" s="34" t="s">
        <v>90</v>
      </c>
    </row>
    <row r="113" spans="1:7" ht="16" x14ac:dyDescent="0.2">
      <c r="A113" s="35" t="s">
        <v>179</v>
      </c>
      <c r="B113" s="36"/>
      <c r="C113" s="37">
        <v>0</v>
      </c>
      <c r="D113" s="37">
        <v>0</v>
      </c>
      <c r="E113" s="38">
        <v>210000</v>
      </c>
      <c r="F113" s="39">
        <f t="shared" ref="F113:F135" si="4">C113*D113*E113</f>
        <v>0</v>
      </c>
      <c r="G113" s="34" t="s">
        <v>90</v>
      </c>
    </row>
    <row r="114" spans="1:7" ht="16" x14ac:dyDescent="0.2">
      <c r="A114" s="35" t="s">
        <v>180</v>
      </c>
      <c r="B114" s="36"/>
      <c r="C114" s="37">
        <v>0</v>
      </c>
      <c r="D114" s="37">
        <v>0</v>
      </c>
      <c r="E114" s="38">
        <v>210000</v>
      </c>
      <c r="F114" s="39">
        <f t="shared" si="4"/>
        <v>0</v>
      </c>
      <c r="G114" s="34" t="s">
        <v>90</v>
      </c>
    </row>
    <row r="115" spans="1:7" ht="16" x14ac:dyDescent="0.2">
      <c r="A115" s="35" t="s">
        <v>181</v>
      </c>
      <c r="B115" s="36"/>
      <c r="C115" s="37">
        <v>0</v>
      </c>
      <c r="D115" s="37">
        <v>0</v>
      </c>
      <c r="E115" s="38">
        <v>180000</v>
      </c>
      <c r="F115" s="39">
        <f t="shared" si="4"/>
        <v>0</v>
      </c>
      <c r="G115" s="34" t="s">
        <v>90</v>
      </c>
    </row>
    <row r="116" spans="1:7" ht="16" x14ac:dyDescent="0.2">
      <c r="A116" s="35" t="s">
        <v>182</v>
      </c>
      <c r="B116" s="36"/>
      <c r="C116" s="37">
        <v>0</v>
      </c>
      <c r="D116" s="37">
        <v>0</v>
      </c>
      <c r="E116" s="38">
        <v>180000</v>
      </c>
      <c r="F116" s="39">
        <f t="shared" si="4"/>
        <v>0</v>
      </c>
      <c r="G116" s="34" t="s">
        <v>90</v>
      </c>
    </row>
    <row r="117" spans="1:7" ht="16" x14ac:dyDescent="0.2">
      <c r="A117" s="35" t="s">
        <v>183</v>
      </c>
      <c r="B117" s="36"/>
      <c r="C117" s="37">
        <v>0</v>
      </c>
      <c r="D117" s="37">
        <v>0</v>
      </c>
      <c r="E117" s="48">
        <v>120000</v>
      </c>
      <c r="F117" s="39">
        <f t="shared" si="4"/>
        <v>0</v>
      </c>
      <c r="G117" s="34" t="s">
        <v>90</v>
      </c>
    </row>
    <row r="118" spans="1:7" ht="16" x14ac:dyDescent="0.2">
      <c r="A118" s="35" t="s">
        <v>184</v>
      </c>
      <c r="B118" s="36"/>
      <c r="C118" s="37">
        <v>0</v>
      </c>
      <c r="D118" s="37">
        <v>0</v>
      </c>
      <c r="E118" s="48">
        <v>90000</v>
      </c>
      <c r="F118" s="39">
        <f t="shared" si="4"/>
        <v>0</v>
      </c>
      <c r="G118" s="34" t="s">
        <v>90</v>
      </c>
    </row>
    <row r="119" spans="1:7" ht="16" x14ac:dyDescent="0.2">
      <c r="A119" s="35" t="s">
        <v>185</v>
      </c>
      <c r="B119" s="36"/>
      <c r="C119" s="37">
        <v>0</v>
      </c>
      <c r="D119" s="37">
        <v>0</v>
      </c>
      <c r="E119" s="48">
        <v>100000</v>
      </c>
      <c r="F119" s="39">
        <f t="shared" si="4"/>
        <v>0</v>
      </c>
      <c r="G119" s="34" t="s">
        <v>186</v>
      </c>
    </row>
    <row r="120" spans="1:7" ht="16" x14ac:dyDescent="0.2">
      <c r="A120" s="35" t="s">
        <v>187</v>
      </c>
      <c r="B120" s="36"/>
      <c r="C120" s="37">
        <v>0</v>
      </c>
      <c r="D120" s="37">
        <v>0</v>
      </c>
      <c r="E120" s="48">
        <v>300000</v>
      </c>
      <c r="F120" s="39">
        <f t="shared" si="4"/>
        <v>0</v>
      </c>
      <c r="G120" s="34" t="s">
        <v>90</v>
      </c>
    </row>
    <row r="121" spans="1:7" ht="16" x14ac:dyDescent="0.2">
      <c r="A121" s="122" t="s">
        <v>188</v>
      </c>
      <c r="B121" s="123"/>
      <c r="C121" s="37">
        <v>0</v>
      </c>
      <c r="D121" s="37">
        <v>0</v>
      </c>
      <c r="E121" s="124">
        <v>25000</v>
      </c>
      <c r="F121" s="125"/>
      <c r="G121" s="34" t="s">
        <v>189</v>
      </c>
    </row>
    <row r="122" spans="1:7" ht="16" x14ac:dyDescent="0.2">
      <c r="A122" s="122" t="s">
        <v>190</v>
      </c>
      <c r="B122" s="123"/>
      <c r="C122" s="37">
        <v>0</v>
      </c>
      <c r="D122" s="37">
        <v>0</v>
      </c>
      <c r="E122" s="126">
        <v>15000</v>
      </c>
      <c r="F122" s="125"/>
      <c r="G122" s="34" t="s">
        <v>189</v>
      </c>
    </row>
    <row r="123" spans="1:7" ht="16" x14ac:dyDescent="0.2">
      <c r="A123" s="122" t="s">
        <v>191</v>
      </c>
      <c r="B123" s="123"/>
      <c r="C123" s="37">
        <v>0</v>
      </c>
      <c r="D123" s="37">
        <v>0</v>
      </c>
      <c r="E123" s="126">
        <v>60000</v>
      </c>
      <c r="F123" s="125"/>
      <c r="G123" s="34"/>
    </row>
    <row r="124" spans="1:7" ht="16" x14ac:dyDescent="0.2">
      <c r="A124" s="122" t="s">
        <v>192</v>
      </c>
      <c r="B124" s="127"/>
      <c r="C124" s="37">
        <v>0</v>
      </c>
      <c r="D124" s="37">
        <v>0</v>
      </c>
      <c r="E124" s="38">
        <v>150000</v>
      </c>
      <c r="F124" s="39">
        <f t="shared" si="4"/>
        <v>0</v>
      </c>
      <c r="G124" s="34" t="s">
        <v>193</v>
      </c>
    </row>
    <row r="125" spans="1:7" ht="16" x14ac:dyDescent="0.2">
      <c r="A125" s="34" t="s">
        <v>194</v>
      </c>
      <c r="B125" s="128"/>
      <c r="C125" s="37">
        <v>0</v>
      </c>
      <c r="D125" s="37">
        <v>0</v>
      </c>
      <c r="E125" s="39">
        <v>100000</v>
      </c>
      <c r="F125" s="39">
        <f t="shared" si="4"/>
        <v>0</v>
      </c>
      <c r="G125" s="34" t="s">
        <v>195</v>
      </c>
    </row>
    <row r="126" spans="1:7" ht="16" x14ac:dyDescent="0.2">
      <c r="A126" s="34" t="s">
        <v>196</v>
      </c>
      <c r="B126" s="128"/>
      <c r="C126" s="37">
        <v>0</v>
      </c>
      <c r="D126" s="37">
        <v>0</v>
      </c>
      <c r="E126" s="48">
        <v>150000</v>
      </c>
      <c r="F126" s="39">
        <f t="shared" si="4"/>
        <v>0</v>
      </c>
      <c r="G126" s="34" t="s">
        <v>197</v>
      </c>
    </row>
    <row r="127" spans="1:7" ht="16" x14ac:dyDescent="0.2">
      <c r="A127" s="34" t="s">
        <v>198</v>
      </c>
      <c r="B127" s="128"/>
      <c r="C127" s="37">
        <v>0</v>
      </c>
      <c r="D127" s="37">
        <v>0</v>
      </c>
      <c r="E127" s="48">
        <v>380000</v>
      </c>
      <c r="F127" s="39">
        <f t="shared" si="4"/>
        <v>0</v>
      </c>
      <c r="G127" s="34" t="s">
        <v>199</v>
      </c>
    </row>
    <row r="128" spans="1:7" ht="16" x14ac:dyDescent="0.2">
      <c r="A128" s="34" t="s">
        <v>200</v>
      </c>
      <c r="B128" s="128"/>
      <c r="C128" s="37">
        <v>0</v>
      </c>
      <c r="D128" s="37">
        <v>0</v>
      </c>
      <c r="E128" s="48">
        <v>280000</v>
      </c>
      <c r="F128" s="39">
        <f t="shared" si="4"/>
        <v>0</v>
      </c>
      <c r="G128" s="34" t="s">
        <v>197</v>
      </c>
    </row>
    <row r="129" spans="1:7" ht="16" x14ac:dyDescent="0.2">
      <c r="A129" s="129" t="s">
        <v>201</v>
      </c>
      <c r="B129" s="130"/>
      <c r="C129" s="37">
        <v>0</v>
      </c>
      <c r="D129" s="37">
        <v>0</v>
      </c>
      <c r="E129" s="48">
        <v>650000</v>
      </c>
      <c r="F129" s="39">
        <f t="shared" si="4"/>
        <v>0</v>
      </c>
      <c r="G129" s="34" t="s">
        <v>202</v>
      </c>
    </row>
    <row r="130" spans="1:7" ht="15" customHeight="1" x14ac:dyDescent="0.2">
      <c r="A130" s="129" t="s">
        <v>203</v>
      </c>
      <c r="B130" s="130"/>
      <c r="C130" s="37">
        <v>0</v>
      </c>
      <c r="D130" s="37">
        <v>0</v>
      </c>
      <c r="E130" s="48">
        <v>450000</v>
      </c>
      <c r="F130" s="107">
        <f t="shared" si="4"/>
        <v>0</v>
      </c>
      <c r="G130" s="34" t="s">
        <v>204</v>
      </c>
    </row>
    <row r="131" spans="1:7" ht="15" customHeight="1" x14ac:dyDescent="0.2">
      <c r="A131" s="129" t="s">
        <v>205</v>
      </c>
      <c r="B131" s="130"/>
      <c r="C131" s="37">
        <v>0</v>
      </c>
      <c r="D131" s="37">
        <v>0</v>
      </c>
      <c r="E131" s="48">
        <v>80000</v>
      </c>
      <c r="F131" s="107">
        <f t="shared" si="4"/>
        <v>0</v>
      </c>
      <c r="G131" s="34"/>
    </row>
    <row r="132" spans="1:7" ht="15" customHeight="1" x14ac:dyDescent="0.2">
      <c r="A132" s="129" t="s">
        <v>206</v>
      </c>
      <c r="B132" s="130"/>
      <c r="C132" s="37">
        <v>0</v>
      </c>
      <c r="D132" s="37">
        <v>0</v>
      </c>
      <c r="E132" s="48">
        <v>300000</v>
      </c>
      <c r="F132" s="107">
        <f t="shared" si="4"/>
        <v>0</v>
      </c>
      <c r="G132" s="34" t="s">
        <v>207</v>
      </c>
    </row>
    <row r="133" spans="1:7" ht="15" customHeight="1" x14ac:dyDescent="0.2">
      <c r="A133" s="129" t="s">
        <v>208</v>
      </c>
      <c r="B133" s="130"/>
      <c r="C133" s="37">
        <v>0</v>
      </c>
      <c r="D133" s="37">
        <v>0</v>
      </c>
      <c r="E133" s="39">
        <v>680000</v>
      </c>
      <c r="F133" s="107">
        <f t="shared" si="4"/>
        <v>0</v>
      </c>
      <c r="G133" s="34" t="s">
        <v>209</v>
      </c>
    </row>
    <row r="134" spans="1:7" ht="15" customHeight="1" x14ac:dyDescent="0.2">
      <c r="A134" s="129" t="s">
        <v>208</v>
      </c>
      <c r="B134" s="130"/>
      <c r="C134" s="37">
        <v>0</v>
      </c>
      <c r="D134" s="37">
        <v>0</v>
      </c>
      <c r="E134" s="39">
        <v>580000</v>
      </c>
      <c r="F134" s="107">
        <f t="shared" si="4"/>
        <v>0</v>
      </c>
      <c r="G134" s="34" t="s">
        <v>210</v>
      </c>
    </row>
    <row r="135" spans="1:7" ht="15" customHeight="1" x14ac:dyDescent="0.2">
      <c r="A135" s="129" t="s">
        <v>211</v>
      </c>
      <c r="B135" s="130"/>
      <c r="C135" s="37">
        <v>0</v>
      </c>
      <c r="D135" s="37">
        <v>0</v>
      </c>
      <c r="E135" s="39">
        <v>580000</v>
      </c>
      <c r="F135" s="107">
        <f t="shared" si="4"/>
        <v>0</v>
      </c>
      <c r="G135" s="34" t="s">
        <v>212</v>
      </c>
    </row>
    <row r="136" spans="1:7" ht="16" x14ac:dyDescent="0.2">
      <c r="A136" s="34" t="s">
        <v>213</v>
      </c>
      <c r="B136" s="128"/>
      <c r="C136" s="37">
        <v>0</v>
      </c>
      <c r="D136" s="37">
        <v>0</v>
      </c>
      <c r="E136" s="39">
        <v>180000</v>
      </c>
      <c r="F136" s="39">
        <f>C136*D136*E136</f>
        <v>0</v>
      </c>
      <c r="G136" s="34" t="s">
        <v>214</v>
      </c>
    </row>
    <row r="137" spans="1:7" ht="16" x14ac:dyDescent="0.2">
      <c r="A137" s="93"/>
      <c r="B137" s="131"/>
      <c r="C137" s="93"/>
      <c r="D137" s="93"/>
      <c r="E137" s="93"/>
      <c r="F137" s="93"/>
      <c r="G137" s="132" t="s">
        <v>215</v>
      </c>
    </row>
    <row r="138" spans="1:7" x14ac:dyDescent="0.2">
      <c r="A138" s="93"/>
      <c r="B138" s="131"/>
      <c r="C138" s="93"/>
      <c r="D138" s="93"/>
      <c r="E138" s="93" t="s">
        <v>26</v>
      </c>
      <c r="F138" s="93" t="s">
        <v>26</v>
      </c>
      <c r="G138" s="93"/>
    </row>
    <row r="139" spans="1:7" ht="17" customHeight="1" x14ac:dyDescent="0.2">
      <c r="A139" s="93"/>
      <c r="B139" s="131"/>
      <c r="C139" s="93"/>
      <c r="D139" s="93"/>
      <c r="E139" s="93" t="s">
        <v>26</v>
      </c>
      <c r="F139" s="93"/>
      <c r="G139" s="93"/>
    </row>
    <row r="140" spans="1:7" ht="17" customHeight="1" x14ac:dyDescent="0.2">
      <c r="A140" s="93"/>
      <c r="B140" s="131"/>
      <c r="C140" s="93"/>
      <c r="D140" s="93"/>
      <c r="E140" s="93"/>
      <c r="F140" s="93"/>
      <c r="G140" s="93"/>
    </row>
    <row r="141" spans="1:7" x14ac:dyDescent="0.2">
      <c r="A141" s="93"/>
      <c r="B141" s="131"/>
      <c r="C141" s="93"/>
      <c r="D141" s="93"/>
      <c r="E141" s="93"/>
      <c r="F141" s="93"/>
      <c r="G141" s="93"/>
    </row>
    <row r="142" spans="1:7" x14ac:dyDescent="0.2">
      <c r="A142" s="93"/>
      <c r="B142" s="131"/>
      <c r="C142" s="93"/>
      <c r="D142" s="93"/>
      <c r="E142" s="93"/>
      <c r="F142" s="93"/>
      <c r="G142" s="93"/>
    </row>
    <row r="143" spans="1:7" ht="17" customHeight="1" x14ac:dyDescent="0.2">
      <c r="A143" s="93"/>
      <c r="B143" s="131"/>
      <c r="C143" s="93"/>
      <c r="D143" s="93"/>
      <c r="E143" s="93"/>
      <c r="F143" s="93"/>
      <c r="G143" s="93"/>
    </row>
    <row r="144" spans="1:7" ht="17" customHeight="1" x14ac:dyDescent="0.2">
      <c r="A144" s="93"/>
      <c r="B144" s="131"/>
      <c r="C144" s="93"/>
      <c r="D144" s="93"/>
      <c r="E144" s="93"/>
      <c r="F144" s="93"/>
      <c r="G144" s="93"/>
    </row>
    <row r="145" spans="1:7" x14ac:dyDescent="0.2">
      <c r="A145" s="93"/>
      <c r="B145" s="131"/>
      <c r="C145" s="93"/>
      <c r="D145" s="93"/>
      <c r="E145" s="93"/>
      <c r="F145" s="93"/>
      <c r="G145" s="93"/>
    </row>
    <row r="146" spans="1:7" x14ac:dyDescent="0.2">
      <c r="A146" s="93"/>
      <c r="B146" s="131"/>
      <c r="C146" s="93"/>
      <c r="D146" s="93"/>
      <c r="E146" s="93"/>
      <c r="F146" s="93"/>
      <c r="G146" s="93"/>
    </row>
    <row r="162" spans="1:7" ht="17" x14ac:dyDescent="0.2">
      <c r="A162" s="133"/>
      <c r="B162" s="134"/>
      <c r="C162" s="71"/>
      <c r="D162" s="71"/>
      <c r="E162" s="71"/>
      <c r="F162" s="71"/>
      <c r="G162" s="71"/>
    </row>
  </sheetData>
  <hyperlinks>
    <hyperlink ref="D84" r:id="rId1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"/>
  <sheetViews>
    <sheetView workbookViewId="0">
      <selection activeCell="C34" sqref="C34"/>
    </sheetView>
  </sheetViews>
  <sheetFormatPr baseColWidth="10" defaultRowHeight="15" x14ac:dyDescent="0.2"/>
  <cols>
    <col min="1" max="1" width="40" customWidth="1"/>
    <col min="2" max="2" width="12.5" style="14" customWidth="1"/>
    <col min="3" max="4" width="7.33203125" customWidth="1"/>
    <col min="5" max="5" width="11.5" customWidth="1"/>
    <col min="6" max="6" width="14.5" customWidth="1"/>
    <col min="7" max="7" width="125.5" bestFit="1" customWidth="1"/>
    <col min="8" max="8" width="13" bestFit="1" customWidth="1"/>
    <col min="9" max="9" width="114.1640625" customWidth="1"/>
  </cols>
  <sheetData>
    <row r="1" spans="1:7" ht="64" customHeight="1" x14ac:dyDescent="0.3">
      <c r="A1" s="11" t="s">
        <v>26</v>
      </c>
      <c r="B1" s="12"/>
      <c r="C1" s="13" t="s">
        <v>27</v>
      </c>
    </row>
    <row r="2" spans="1:7" x14ac:dyDescent="0.2">
      <c r="G2" t="s">
        <v>28</v>
      </c>
    </row>
    <row r="3" spans="1:7" ht="16" x14ac:dyDescent="0.2">
      <c r="A3" s="15" t="s">
        <v>29</v>
      </c>
      <c r="B3" s="16" t="s">
        <v>30</v>
      </c>
      <c r="E3" t="s">
        <v>31</v>
      </c>
      <c r="F3" s="17" t="s">
        <v>32</v>
      </c>
      <c r="G3" s="18" t="s">
        <v>33</v>
      </c>
    </row>
    <row r="4" spans="1:7" ht="16" x14ac:dyDescent="0.2">
      <c r="A4" t="s">
        <v>34</v>
      </c>
      <c r="C4" s="19"/>
      <c r="E4" t="s">
        <v>35</v>
      </c>
      <c r="F4">
        <v>90827788</v>
      </c>
      <c r="G4" s="20" t="s">
        <v>36</v>
      </c>
    </row>
    <row r="5" spans="1:7" ht="16" x14ac:dyDescent="0.2">
      <c r="A5" t="s">
        <v>37</v>
      </c>
      <c r="B5" s="14" t="s">
        <v>220</v>
      </c>
      <c r="E5" t="s">
        <v>39</v>
      </c>
      <c r="F5" s="17">
        <v>20</v>
      </c>
      <c r="G5" s="20" t="s">
        <v>40</v>
      </c>
    </row>
    <row r="6" spans="1:7" ht="16" x14ac:dyDescent="0.2">
      <c r="A6" s="21" t="s">
        <v>41</v>
      </c>
      <c r="B6" s="22"/>
      <c r="C6" s="23"/>
      <c r="D6" s="23"/>
      <c r="E6" s="23" t="s">
        <v>42</v>
      </c>
      <c r="F6" s="23">
        <v>74961403</v>
      </c>
      <c r="G6" s="20" t="s">
        <v>43</v>
      </c>
    </row>
    <row r="7" spans="1:7" ht="17" thickBot="1" x14ac:dyDescent="0.25">
      <c r="A7" s="23"/>
      <c r="B7" s="24"/>
      <c r="C7" s="23"/>
      <c r="D7" s="23"/>
      <c r="E7" s="23"/>
      <c r="F7" s="23"/>
      <c r="G7" s="20"/>
    </row>
    <row r="8" spans="1:7" ht="15.75" customHeight="1" x14ac:dyDescent="0.2">
      <c r="A8" s="25" t="s">
        <v>44</v>
      </c>
      <c r="B8" s="26" t="s">
        <v>45</v>
      </c>
      <c r="C8" s="27" t="s">
        <v>46</v>
      </c>
      <c r="D8" s="27" t="s">
        <v>47</v>
      </c>
      <c r="E8" s="27" t="s">
        <v>48</v>
      </c>
      <c r="F8" s="27" t="s">
        <v>49</v>
      </c>
      <c r="G8" s="28" t="s">
        <v>50</v>
      </c>
    </row>
    <row r="9" spans="1:7" ht="16.5" customHeight="1" x14ac:dyDescent="0.2">
      <c r="A9" s="29" t="s">
        <v>51</v>
      </c>
      <c r="B9" s="30">
        <v>0.41666666666666669</v>
      </c>
      <c r="C9" s="31">
        <v>1</v>
      </c>
      <c r="D9" s="31">
        <v>18</v>
      </c>
      <c r="E9" s="32">
        <v>9500</v>
      </c>
      <c r="F9" s="33">
        <f>C9*D9*E9</f>
        <v>171000</v>
      </c>
      <c r="G9" s="34" t="s">
        <v>52</v>
      </c>
    </row>
    <row r="10" spans="1:7" ht="16" x14ac:dyDescent="0.2">
      <c r="A10" s="35" t="s">
        <v>53</v>
      </c>
      <c r="B10" s="36">
        <v>0.45833333333333331</v>
      </c>
      <c r="C10" s="37">
        <v>1</v>
      </c>
      <c r="D10" s="37">
        <v>1</v>
      </c>
      <c r="E10" s="38">
        <v>180000</v>
      </c>
      <c r="F10" s="39">
        <f t="shared" ref="F10:F15" si="0">C10*D10*E10</f>
        <v>180000</v>
      </c>
      <c r="G10" s="34" t="s">
        <v>54</v>
      </c>
    </row>
    <row r="11" spans="1:7" ht="16.5" customHeight="1" x14ac:dyDescent="0.2">
      <c r="A11" s="40" t="s">
        <v>55</v>
      </c>
      <c r="B11" s="41" t="s">
        <v>56</v>
      </c>
      <c r="C11" s="31">
        <v>1</v>
      </c>
      <c r="D11" s="31">
        <v>18</v>
      </c>
      <c r="E11" s="39">
        <v>15000</v>
      </c>
      <c r="F11" s="39">
        <f t="shared" si="0"/>
        <v>270000</v>
      </c>
      <c r="G11" s="34" t="s">
        <v>57</v>
      </c>
    </row>
    <row r="12" spans="1:7" ht="16" x14ac:dyDescent="0.2">
      <c r="A12" s="40" t="s">
        <v>58</v>
      </c>
      <c r="B12" s="42"/>
      <c r="C12" s="37">
        <v>1</v>
      </c>
      <c r="D12" s="31">
        <v>18</v>
      </c>
      <c r="E12" s="39">
        <v>1500</v>
      </c>
      <c r="F12" s="39">
        <f t="shared" si="0"/>
        <v>27000</v>
      </c>
      <c r="G12" s="34" t="s">
        <v>59</v>
      </c>
    </row>
    <row r="13" spans="1:7" ht="16" x14ac:dyDescent="0.2">
      <c r="A13" s="43" t="s">
        <v>60</v>
      </c>
      <c r="B13" s="41" t="s">
        <v>61</v>
      </c>
      <c r="C13" s="31">
        <v>1</v>
      </c>
      <c r="D13" s="31">
        <v>18</v>
      </c>
      <c r="E13" s="44">
        <v>15000</v>
      </c>
      <c r="F13" s="33">
        <f t="shared" si="0"/>
        <v>270000</v>
      </c>
      <c r="G13" s="34" t="s">
        <v>62</v>
      </c>
    </row>
    <row r="14" spans="1:7" ht="16" x14ac:dyDescent="0.2">
      <c r="A14" s="40" t="s">
        <v>58</v>
      </c>
      <c r="B14" s="42"/>
      <c r="C14" s="37">
        <v>1</v>
      </c>
      <c r="D14" s="37">
        <v>18</v>
      </c>
      <c r="E14" s="39">
        <v>1500</v>
      </c>
      <c r="F14" s="39">
        <f t="shared" si="0"/>
        <v>27000</v>
      </c>
      <c r="G14" s="34" t="s">
        <v>59</v>
      </c>
    </row>
    <row r="15" spans="1:7" ht="16" x14ac:dyDescent="0.2">
      <c r="A15" s="45" t="s">
        <v>63</v>
      </c>
      <c r="B15" s="46"/>
      <c r="C15" s="47">
        <v>1</v>
      </c>
      <c r="D15" s="47">
        <v>1</v>
      </c>
      <c r="E15" s="48">
        <v>99000</v>
      </c>
      <c r="F15" s="48">
        <f t="shared" si="0"/>
        <v>99000</v>
      </c>
      <c r="G15" s="45" t="s">
        <v>64</v>
      </c>
    </row>
    <row r="16" spans="1:7" ht="16" x14ac:dyDescent="0.2">
      <c r="A16" s="45" t="s">
        <v>65</v>
      </c>
      <c r="B16" s="46"/>
      <c r="C16" s="47">
        <v>1</v>
      </c>
      <c r="D16" s="47">
        <v>7</v>
      </c>
      <c r="E16" s="48">
        <v>113500</v>
      </c>
      <c r="F16" s="48">
        <f>C16*D16*E16</f>
        <v>794500</v>
      </c>
      <c r="G16" s="45" t="s">
        <v>66</v>
      </c>
    </row>
    <row r="17" spans="1:7" ht="16.5" customHeight="1" thickBot="1" x14ac:dyDescent="0.25">
      <c r="A17" s="55" t="s">
        <v>85</v>
      </c>
      <c r="B17" s="56"/>
      <c r="C17" s="57"/>
      <c r="D17" s="58"/>
      <c r="E17" s="59"/>
      <c r="F17" s="60">
        <f>SUM(F9:F16)</f>
        <v>1838500</v>
      </c>
      <c r="G17" s="61" t="s">
        <v>26</v>
      </c>
    </row>
    <row r="18" spans="1:7" ht="16.5" customHeight="1" x14ac:dyDescent="0.2">
      <c r="A18" s="25" t="s">
        <v>86</v>
      </c>
      <c r="B18" s="26"/>
      <c r="C18" s="27" t="s">
        <v>46</v>
      </c>
      <c r="D18" s="27" t="s">
        <v>47</v>
      </c>
      <c r="E18" s="27" t="s">
        <v>48</v>
      </c>
      <c r="F18" s="27" t="s">
        <v>49</v>
      </c>
      <c r="G18" s="28" t="s">
        <v>50</v>
      </c>
    </row>
    <row r="19" spans="1:7" ht="16.5" customHeight="1" x14ac:dyDescent="0.2">
      <c r="A19" s="29" t="s">
        <v>87</v>
      </c>
      <c r="B19" s="30"/>
      <c r="C19" s="31">
        <v>1</v>
      </c>
      <c r="D19" s="31">
        <v>35</v>
      </c>
      <c r="E19" s="32">
        <v>9500</v>
      </c>
      <c r="F19" s="33" t="s">
        <v>88</v>
      </c>
      <c r="G19" s="34" t="s">
        <v>52</v>
      </c>
    </row>
    <row r="20" spans="1:7" ht="16" x14ac:dyDescent="0.2">
      <c r="A20" s="35" t="s">
        <v>89</v>
      </c>
      <c r="B20" s="36"/>
      <c r="C20" s="37">
        <v>1</v>
      </c>
      <c r="D20" s="37">
        <v>1</v>
      </c>
      <c r="E20" s="38">
        <v>180000</v>
      </c>
      <c r="F20" s="39">
        <f t="shared" ref="F20" si="1">C20*D20*E20</f>
        <v>180000</v>
      </c>
      <c r="G20" s="34" t="s">
        <v>90</v>
      </c>
    </row>
    <row r="21" spans="1:7" ht="16.5" customHeight="1" x14ac:dyDescent="0.2">
      <c r="A21" s="40" t="s">
        <v>55</v>
      </c>
      <c r="B21" s="41"/>
      <c r="C21" s="31">
        <v>1</v>
      </c>
      <c r="D21" s="31">
        <v>18</v>
      </c>
      <c r="E21" s="39">
        <v>15000</v>
      </c>
      <c r="F21" s="39">
        <f>C21*D21*E21</f>
        <v>270000</v>
      </c>
      <c r="G21" s="34" t="s">
        <v>57</v>
      </c>
    </row>
    <row r="22" spans="1:7" ht="16" x14ac:dyDescent="0.2">
      <c r="A22" s="40" t="s">
        <v>58</v>
      </c>
      <c r="B22" s="42"/>
      <c r="C22" s="37">
        <v>1</v>
      </c>
      <c r="D22" s="37">
        <v>18</v>
      </c>
      <c r="E22" s="39">
        <v>1500</v>
      </c>
      <c r="F22" s="39">
        <f t="shared" ref="F22" si="2">C22*D22*E22</f>
        <v>27000</v>
      </c>
      <c r="G22" s="34" t="s">
        <v>59</v>
      </c>
    </row>
    <row r="23" spans="1:7" ht="16.5" customHeight="1" thickBot="1" x14ac:dyDescent="0.25">
      <c r="A23" s="55" t="s">
        <v>85</v>
      </c>
      <c r="B23" s="56"/>
      <c r="C23" s="57"/>
      <c r="D23" s="58"/>
      <c r="E23" s="59"/>
      <c r="F23" s="60">
        <f>SUM(F19:F22)</f>
        <v>477000</v>
      </c>
      <c r="G23" s="61" t="s">
        <v>26</v>
      </c>
    </row>
    <row r="24" spans="1:7" ht="17" thickBot="1" x14ac:dyDescent="0.25">
      <c r="A24" s="66" t="s">
        <v>93</v>
      </c>
      <c r="B24" s="67"/>
      <c r="C24" s="68"/>
      <c r="D24" s="68"/>
      <c r="E24" s="69"/>
      <c r="F24" s="70">
        <f>F17+F23</f>
        <v>2315500</v>
      </c>
      <c r="G24" s="71" t="s">
        <v>94</v>
      </c>
    </row>
    <row r="25" spans="1:7" ht="16" x14ac:dyDescent="0.2">
      <c r="A25" s="72" t="s">
        <v>95</v>
      </c>
      <c r="B25" s="73"/>
      <c r="C25" s="74"/>
      <c r="D25" s="58"/>
      <c r="E25" s="59"/>
      <c r="F25" s="60">
        <f>F24*1.19-F24</f>
        <v>439945</v>
      </c>
      <c r="G25" s="71"/>
    </row>
    <row r="26" spans="1:7" ht="16" x14ac:dyDescent="0.2">
      <c r="A26" s="75" t="s">
        <v>96</v>
      </c>
      <c r="B26" s="76"/>
      <c r="C26" s="77"/>
      <c r="D26" s="77"/>
      <c r="E26" s="78"/>
      <c r="F26" s="79">
        <f>F24+F25</f>
        <v>2755445</v>
      </c>
      <c r="G26" s="71"/>
    </row>
    <row r="27" spans="1:7" ht="16" x14ac:dyDescent="0.2">
      <c r="A27" s="80" t="s">
        <v>97</v>
      </c>
      <c r="B27" s="81"/>
      <c r="C27" s="82"/>
      <c r="D27" s="83"/>
      <c r="E27" s="84" t="s">
        <v>26</v>
      </c>
      <c r="F27" s="85">
        <f>F26</f>
        <v>2755445</v>
      </c>
      <c r="G27" s="71"/>
    </row>
    <row r="28" spans="1:7" s="93" customFormat="1" ht="16" x14ac:dyDescent="0.2">
      <c r="A28" s="139"/>
      <c r="B28" s="87"/>
      <c r="C28" s="88"/>
      <c r="D28" s="89"/>
      <c r="E28" s="90"/>
      <c r="F28" s="140"/>
      <c r="G28" s="141"/>
    </row>
    <row r="29" spans="1:7" s="93" customFormat="1" ht="16" x14ac:dyDescent="0.2">
      <c r="A29" s="139"/>
      <c r="B29" s="87"/>
      <c r="C29" s="88"/>
      <c r="D29" s="89"/>
      <c r="E29" s="90"/>
      <c r="F29" s="140"/>
      <c r="G29" s="141"/>
    </row>
    <row r="30" spans="1:7" s="93" customFormat="1" ht="16" x14ac:dyDescent="0.2">
      <c r="A30" s="139"/>
      <c r="B30" s="87"/>
      <c r="C30" s="88"/>
      <c r="D30" s="89"/>
      <c r="E30" s="90"/>
      <c r="F30" s="140"/>
      <c r="G30" s="141"/>
    </row>
    <row r="31" spans="1:7" s="93" customFormat="1" ht="17" thickBot="1" x14ac:dyDescent="0.25">
      <c r="A31" s="139"/>
      <c r="B31" s="87"/>
      <c r="C31" s="88"/>
      <c r="D31" s="89"/>
      <c r="E31" s="135" t="s">
        <v>216</v>
      </c>
      <c r="F31" s="137">
        <f>+Hoja1!E6</f>
        <v>1900025</v>
      </c>
      <c r="G31" s="141"/>
    </row>
    <row r="32" spans="1:7" s="93" customFormat="1" ht="16" x14ac:dyDescent="0.2">
      <c r="A32" s="139"/>
      <c r="B32" s="87"/>
      <c r="C32" s="88"/>
      <c r="D32" s="89"/>
      <c r="E32" s="135" t="s">
        <v>217</v>
      </c>
      <c r="F32" s="138">
        <f>+Hoja1!F6</f>
        <v>380004</v>
      </c>
      <c r="G32" s="141"/>
    </row>
    <row r="33" spans="1:7" s="93" customFormat="1" ht="17" x14ac:dyDescent="0.2">
      <c r="A33" s="139"/>
      <c r="B33" s="87"/>
      <c r="C33" s="88"/>
      <c r="D33" s="89"/>
      <c r="E33" s="90"/>
      <c r="F33" s="91"/>
      <c r="G33" s="141"/>
    </row>
    <row r="34" spans="1:7" s="93" customFormat="1" ht="17" x14ac:dyDescent="0.2">
      <c r="A34" s="139"/>
      <c r="B34" s="87"/>
      <c r="C34" s="88"/>
      <c r="D34" s="89"/>
      <c r="E34" s="90" t="s">
        <v>218</v>
      </c>
      <c r="F34" s="91">
        <f>+F27-F31-F32</f>
        <v>475416</v>
      </c>
      <c r="G34" s="141"/>
    </row>
    <row r="35" spans="1:7" s="93" customFormat="1" ht="17" x14ac:dyDescent="0.2">
      <c r="A35" s="139"/>
      <c r="B35" s="87"/>
      <c r="C35" s="88"/>
      <c r="D35" s="89"/>
      <c r="E35" s="90"/>
      <c r="F35" s="91"/>
      <c r="G35" s="141"/>
    </row>
    <row r="36" spans="1:7" s="93" customFormat="1" ht="17" x14ac:dyDescent="0.2">
      <c r="A36" s="139"/>
      <c r="B36" s="87"/>
      <c r="C36" s="88"/>
      <c r="D36" s="89"/>
      <c r="E36" s="90"/>
      <c r="F36" s="91"/>
      <c r="G36" s="141"/>
    </row>
    <row r="37" spans="1:7" s="93" customFormat="1" ht="16" x14ac:dyDescent="0.2">
      <c r="A37" s="139"/>
      <c r="B37" s="87"/>
      <c r="C37" s="88"/>
      <c r="D37" s="89"/>
      <c r="E37" s="90"/>
      <c r="F37" s="140"/>
      <c r="G37" s="141"/>
    </row>
    <row r="38" spans="1:7" s="93" customFormat="1" ht="16" x14ac:dyDescent="0.2">
      <c r="A38" s="139"/>
      <c r="B38" s="87"/>
      <c r="C38" s="88"/>
      <c r="D38" s="89"/>
      <c r="E38" s="90"/>
      <c r="F38" s="140"/>
      <c r="G38" s="141"/>
    </row>
    <row r="39" spans="1:7" s="93" customFormat="1" ht="24" customHeight="1" x14ac:dyDescent="0.2">
      <c r="A39" s="86" t="s">
        <v>26</v>
      </c>
      <c r="B39" s="87"/>
      <c r="C39" s="88"/>
      <c r="D39" s="89"/>
      <c r="E39" s="90"/>
      <c r="F39" s="91" t="s">
        <v>26</v>
      </c>
      <c r="G39" s="92" t="s">
        <v>26</v>
      </c>
    </row>
    <row r="40" spans="1:7" ht="19" x14ac:dyDescent="0.2">
      <c r="A40" s="94" t="s">
        <v>98</v>
      </c>
      <c r="B40"/>
      <c r="E40" s="95"/>
      <c r="F40" s="96" t="s">
        <v>26</v>
      </c>
    </row>
    <row r="41" spans="1:7" ht="19" x14ac:dyDescent="0.2">
      <c r="A41" s="97" t="s">
        <v>99</v>
      </c>
      <c r="B41"/>
      <c r="E41" s="98"/>
      <c r="F41" s="98"/>
      <c r="G41" s="98"/>
    </row>
    <row r="42" spans="1:7" ht="17" x14ac:dyDescent="0.2">
      <c r="A42" s="95" t="s">
        <v>100</v>
      </c>
      <c r="B42"/>
    </row>
    <row r="43" spans="1:7" ht="17" x14ac:dyDescent="0.2">
      <c r="A43" s="95"/>
      <c r="B43"/>
    </row>
    <row r="44" spans="1:7" ht="19" x14ac:dyDescent="0.2">
      <c r="A44" s="94" t="s">
        <v>101</v>
      </c>
      <c r="B44"/>
    </row>
    <row r="45" spans="1:7" ht="17" x14ac:dyDescent="0.2">
      <c r="A45" s="95" t="s">
        <v>102</v>
      </c>
      <c r="B45"/>
    </row>
    <row r="46" spans="1:7" ht="17" x14ac:dyDescent="0.2">
      <c r="A46" s="95" t="s">
        <v>103</v>
      </c>
      <c r="B46"/>
    </row>
    <row r="47" spans="1:7" ht="17" x14ac:dyDescent="0.2">
      <c r="A47" s="95" t="s">
        <v>104</v>
      </c>
      <c r="B47"/>
    </row>
    <row r="48" spans="1:7" ht="17" x14ac:dyDescent="0.2">
      <c r="A48" s="99" t="s">
        <v>105</v>
      </c>
      <c r="B48"/>
    </row>
    <row r="49" spans="1:6" ht="17" x14ac:dyDescent="0.2">
      <c r="A49" s="95" t="s">
        <v>106</v>
      </c>
      <c r="B49"/>
    </row>
    <row r="50" spans="1:6" ht="17" x14ac:dyDescent="0.2">
      <c r="A50" s="95" t="s">
        <v>107</v>
      </c>
      <c r="B50"/>
    </row>
    <row r="51" spans="1:6" ht="17" x14ac:dyDescent="0.2">
      <c r="A51" s="99" t="s">
        <v>108</v>
      </c>
      <c r="B51"/>
    </row>
    <row r="52" spans="1:6" ht="17" x14ac:dyDescent="0.2">
      <c r="A52" s="95" t="s">
        <v>109</v>
      </c>
      <c r="B52"/>
    </row>
    <row r="53" spans="1:6" ht="17" x14ac:dyDescent="0.2">
      <c r="A53" s="95" t="s">
        <v>110</v>
      </c>
      <c r="B53"/>
    </row>
    <row r="54" spans="1:6" ht="17" x14ac:dyDescent="0.2">
      <c r="A54" s="95" t="s">
        <v>111</v>
      </c>
      <c r="B54"/>
    </row>
    <row r="55" spans="1:6" ht="17" x14ac:dyDescent="0.2">
      <c r="A55" s="95" t="s">
        <v>112</v>
      </c>
      <c r="B55"/>
    </row>
    <row r="56" spans="1:6" ht="17" x14ac:dyDescent="0.2">
      <c r="A56" s="95" t="s">
        <v>113</v>
      </c>
      <c r="B56"/>
    </row>
    <row r="57" spans="1:6" ht="17" x14ac:dyDescent="0.2">
      <c r="A57" s="95" t="s">
        <v>114</v>
      </c>
      <c r="B57"/>
    </row>
    <row r="58" spans="1:6" ht="17" x14ac:dyDescent="0.2">
      <c r="A58" s="95"/>
      <c r="B58"/>
    </row>
    <row r="59" spans="1:6" ht="17" x14ac:dyDescent="0.2">
      <c r="A59" s="100" t="s">
        <v>115</v>
      </c>
      <c r="B59"/>
    </row>
    <row r="60" spans="1:6" ht="17" x14ac:dyDescent="0.2">
      <c r="A60" s="95" t="s">
        <v>116</v>
      </c>
      <c r="B60" s="95" t="s">
        <v>117</v>
      </c>
      <c r="D60" s="95" t="s">
        <v>118</v>
      </c>
      <c r="F60" s="95" t="s">
        <v>119</v>
      </c>
    </row>
    <row r="61" spans="1:6" ht="17" x14ac:dyDescent="0.2">
      <c r="A61" s="95" t="s">
        <v>120</v>
      </c>
      <c r="B61" s="95" t="s">
        <v>121</v>
      </c>
      <c r="D61" s="95" t="s">
        <v>122</v>
      </c>
      <c r="F61" s="95" t="s">
        <v>123</v>
      </c>
    </row>
    <row r="62" spans="1:6" ht="17" x14ac:dyDescent="0.2">
      <c r="A62" s="95" t="s">
        <v>124</v>
      </c>
      <c r="B62" s="95" t="s">
        <v>125</v>
      </c>
      <c r="D62" s="95" t="s">
        <v>126</v>
      </c>
      <c r="F62" s="95" t="s">
        <v>127</v>
      </c>
    </row>
    <row r="63" spans="1:6" ht="17" x14ac:dyDescent="0.2">
      <c r="A63" s="95" t="s">
        <v>35</v>
      </c>
      <c r="B63" s="95" t="s">
        <v>128</v>
      </c>
      <c r="D63" s="101" t="s">
        <v>129</v>
      </c>
    </row>
    <row r="64" spans="1:6" ht="18" thickBot="1" x14ac:dyDescent="0.25">
      <c r="A64" s="95"/>
      <c r="B64"/>
    </row>
    <row r="65" spans="1:7" ht="16" customHeight="1" x14ac:dyDescent="0.2">
      <c r="A65" s="102" t="s">
        <v>130</v>
      </c>
      <c r="B65" s="103" t="s">
        <v>45</v>
      </c>
      <c r="C65" s="104" t="s">
        <v>131</v>
      </c>
      <c r="D65" s="104" t="s">
        <v>47</v>
      </c>
      <c r="E65" s="104" t="s">
        <v>132</v>
      </c>
      <c r="F65" s="104" t="s">
        <v>133</v>
      </c>
      <c r="G65" s="105" t="s">
        <v>50</v>
      </c>
    </row>
    <row r="66" spans="1:7" ht="16" customHeight="1" x14ac:dyDescent="0.2">
      <c r="A66" s="34" t="s">
        <v>134</v>
      </c>
      <c r="B66" s="106"/>
      <c r="C66" s="37">
        <v>0</v>
      </c>
      <c r="D66" s="37">
        <v>0</v>
      </c>
      <c r="E66" s="107">
        <v>200000</v>
      </c>
      <c r="F66" s="107">
        <f>C66*D66*E66</f>
        <v>0</v>
      </c>
      <c r="G66" s="34" t="s">
        <v>135</v>
      </c>
    </row>
    <row r="67" spans="1:7" ht="16" x14ac:dyDescent="0.2">
      <c r="A67" s="35" t="s">
        <v>136</v>
      </c>
      <c r="B67" s="36"/>
      <c r="C67" s="37">
        <v>0</v>
      </c>
      <c r="D67" s="37">
        <v>0</v>
      </c>
      <c r="E67" s="39">
        <v>12000</v>
      </c>
      <c r="F67" s="39">
        <f t="shared" ref="F67:F88" si="3">C67*D67*E67</f>
        <v>0</v>
      </c>
      <c r="G67" s="34" t="s">
        <v>137</v>
      </c>
    </row>
    <row r="68" spans="1:7" ht="16" x14ac:dyDescent="0.2">
      <c r="A68" s="35" t="s">
        <v>138</v>
      </c>
      <c r="B68" s="36"/>
      <c r="C68" s="37">
        <v>0</v>
      </c>
      <c r="D68" s="37">
        <v>0</v>
      </c>
      <c r="E68" s="39">
        <v>26000</v>
      </c>
      <c r="F68" s="39">
        <f t="shared" si="3"/>
        <v>0</v>
      </c>
      <c r="G68" s="34" t="s">
        <v>139</v>
      </c>
    </row>
    <row r="69" spans="1:7" ht="16" x14ac:dyDescent="0.2">
      <c r="A69" s="35" t="s">
        <v>140</v>
      </c>
      <c r="B69" s="36"/>
      <c r="C69" s="37">
        <v>0</v>
      </c>
      <c r="D69" s="37">
        <v>0</v>
      </c>
      <c r="E69" s="39">
        <v>35000</v>
      </c>
      <c r="F69" s="39">
        <f t="shared" si="3"/>
        <v>0</v>
      </c>
      <c r="G69" s="34" t="s">
        <v>139</v>
      </c>
    </row>
    <row r="70" spans="1:7" ht="16" x14ac:dyDescent="0.2">
      <c r="A70" s="35" t="s">
        <v>141</v>
      </c>
      <c r="B70" s="36"/>
      <c r="C70" s="37">
        <v>0</v>
      </c>
      <c r="D70" s="37">
        <v>0</v>
      </c>
      <c r="E70" s="39">
        <v>10000</v>
      </c>
      <c r="F70" s="39">
        <f t="shared" si="3"/>
        <v>0</v>
      </c>
      <c r="G70" s="34"/>
    </row>
    <row r="71" spans="1:7" ht="16" x14ac:dyDescent="0.2">
      <c r="A71" s="35" t="s">
        <v>142</v>
      </c>
      <c r="B71" s="36"/>
      <c r="C71" s="37">
        <v>0</v>
      </c>
      <c r="D71" s="37">
        <v>0</v>
      </c>
      <c r="E71" s="39">
        <v>4500</v>
      </c>
      <c r="F71" s="39">
        <f t="shared" si="3"/>
        <v>0</v>
      </c>
      <c r="G71" s="34" t="s">
        <v>143</v>
      </c>
    </row>
    <row r="72" spans="1:7" ht="16" x14ac:dyDescent="0.2">
      <c r="A72" s="35" t="s">
        <v>144</v>
      </c>
      <c r="B72" s="36"/>
      <c r="C72" s="37">
        <v>0</v>
      </c>
      <c r="D72" s="37">
        <v>0</v>
      </c>
      <c r="E72" s="39">
        <v>5000</v>
      </c>
      <c r="F72" s="39">
        <f t="shared" si="3"/>
        <v>0</v>
      </c>
      <c r="G72" s="34" t="s">
        <v>145</v>
      </c>
    </row>
    <row r="73" spans="1:7" ht="16" x14ac:dyDescent="0.2">
      <c r="A73" s="35" t="s">
        <v>146</v>
      </c>
      <c r="B73" s="36"/>
      <c r="C73" s="37">
        <v>0</v>
      </c>
      <c r="D73" s="37">
        <v>0</v>
      </c>
      <c r="E73" s="39">
        <v>5000</v>
      </c>
      <c r="F73" s="39">
        <f t="shared" si="3"/>
        <v>0</v>
      </c>
      <c r="G73" s="34" t="s">
        <v>147</v>
      </c>
    </row>
    <row r="74" spans="1:7" ht="16" x14ac:dyDescent="0.2">
      <c r="A74" s="35" t="s">
        <v>148</v>
      </c>
      <c r="B74" s="36"/>
      <c r="C74" s="37">
        <v>0</v>
      </c>
      <c r="D74" s="37">
        <v>0</v>
      </c>
      <c r="E74" s="39">
        <v>3000</v>
      </c>
      <c r="F74" s="39">
        <f t="shared" si="3"/>
        <v>0</v>
      </c>
      <c r="G74" s="34" t="s">
        <v>149</v>
      </c>
    </row>
    <row r="75" spans="1:7" ht="16" x14ac:dyDescent="0.2">
      <c r="A75" s="35" t="s">
        <v>150</v>
      </c>
      <c r="B75" s="36"/>
      <c r="C75" s="37">
        <v>0</v>
      </c>
      <c r="D75" s="37">
        <v>0</v>
      </c>
      <c r="E75" s="39">
        <v>16000</v>
      </c>
      <c r="F75" s="39">
        <f t="shared" si="3"/>
        <v>0</v>
      </c>
      <c r="G75" s="34" t="s">
        <v>151</v>
      </c>
    </row>
    <row r="76" spans="1:7" ht="16" x14ac:dyDescent="0.2">
      <c r="A76" s="35" t="s">
        <v>152</v>
      </c>
      <c r="B76" s="36"/>
      <c r="C76" s="37">
        <v>0</v>
      </c>
      <c r="D76" s="37">
        <v>0</v>
      </c>
      <c r="E76" s="39">
        <v>7000</v>
      </c>
      <c r="F76" s="39">
        <f t="shared" si="3"/>
        <v>0</v>
      </c>
      <c r="G76" s="34" t="s">
        <v>153</v>
      </c>
    </row>
    <row r="77" spans="1:7" ht="16" x14ac:dyDescent="0.2">
      <c r="A77" s="108" t="s">
        <v>58</v>
      </c>
      <c r="B77" s="109"/>
      <c r="C77" s="47">
        <v>0</v>
      </c>
      <c r="D77" s="47">
        <v>0</v>
      </c>
      <c r="E77" s="48">
        <v>1500</v>
      </c>
      <c r="F77" s="48">
        <f t="shared" si="3"/>
        <v>0</v>
      </c>
      <c r="G77" s="45" t="s">
        <v>59</v>
      </c>
    </row>
    <row r="78" spans="1:7" ht="16" x14ac:dyDescent="0.2">
      <c r="A78" s="110" t="s">
        <v>154</v>
      </c>
      <c r="B78" s="111"/>
      <c r="C78" s="47">
        <v>0</v>
      </c>
      <c r="D78" s="47">
        <v>0</v>
      </c>
      <c r="E78" s="48">
        <v>3000</v>
      </c>
      <c r="F78" s="48">
        <f t="shared" si="3"/>
        <v>0</v>
      </c>
      <c r="G78" s="45"/>
    </row>
    <row r="79" spans="1:7" ht="16" x14ac:dyDescent="0.2">
      <c r="A79" s="110" t="s">
        <v>155</v>
      </c>
      <c r="B79" s="111"/>
      <c r="C79" s="47">
        <v>0</v>
      </c>
      <c r="D79" s="47">
        <v>0</v>
      </c>
      <c r="E79" s="48">
        <v>1000</v>
      </c>
      <c r="F79" s="48">
        <f t="shared" si="3"/>
        <v>0</v>
      </c>
      <c r="G79" s="45" t="s">
        <v>156</v>
      </c>
    </row>
    <row r="80" spans="1:7" ht="16" x14ac:dyDescent="0.2">
      <c r="A80" s="110" t="s">
        <v>157</v>
      </c>
      <c r="B80" s="111"/>
      <c r="C80" s="47">
        <v>0</v>
      </c>
      <c r="D80" s="47">
        <v>0</v>
      </c>
      <c r="E80" s="48">
        <v>3000</v>
      </c>
      <c r="F80" s="48">
        <f t="shared" si="3"/>
        <v>0</v>
      </c>
      <c r="G80" s="45" t="s">
        <v>158</v>
      </c>
    </row>
    <row r="81" spans="1:7" ht="16" x14ac:dyDescent="0.2">
      <c r="A81" s="110" t="s">
        <v>159</v>
      </c>
      <c r="B81" s="111"/>
      <c r="C81" s="47">
        <v>0</v>
      </c>
      <c r="D81" s="47">
        <v>0</v>
      </c>
      <c r="E81" s="112">
        <v>150000</v>
      </c>
      <c r="F81" s="48">
        <f t="shared" si="3"/>
        <v>0</v>
      </c>
      <c r="G81" s="45" t="s">
        <v>160</v>
      </c>
    </row>
    <row r="82" spans="1:7" ht="16" x14ac:dyDescent="0.2">
      <c r="A82" s="35" t="s">
        <v>161</v>
      </c>
      <c r="B82" s="36"/>
      <c r="C82" s="37">
        <v>0</v>
      </c>
      <c r="D82" s="37">
        <v>0</v>
      </c>
      <c r="E82" s="38">
        <v>100000</v>
      </c>
      <c r="F82" s="39">
        <f t="shared" si="3"/>
        <v>0</v>
      </c>
      <c r="G82" s="34" t="s">
        <v>162</v>
      </c>
    </row>
    <row r="83" spans="1:7" ht="16" x14ac:dyDescent="0.2">
      <c r="A83" s="113" t="s">
        <v>163</v>
      </c>
      <c r="B83" s="114"/>
      <c r="C83" s="31">
        <v>0</v>
      </c>
      <c r="D83" s="115">
        <v>0</v>
      </c>
      <c r="E83" s="44">
        <v>3850</v>
      </c>
      <c r="F83" s="116">
        <f>E83*D83*C83</f>
        <v>0</v>
      </c>
      <c r="G83" s="117" t="s">
        <v>164</v>
      </c>
    </row>
    <row r="84" spans="1:7" ht="16" x14ac:dyDescent="0.2">
      <c r="A84" s="118" t="s">
        <v>165</v>
      </c>
      <c r="B84" s="119"/>
      <c r="C84" s="37">
        <v>0</v>
      </c>
      <c r="D84" s="37">
        <v>0</v>
      </c>
      <c r="E84" s="38">
        <v>4800</v>
      </c>
      <c r="F84" s="39">
        <f>C84*D84*E84</f>
        <v>0</v>
      </c>
      <c r="G84" s="35" t="s">
        <v>166</v>
      </c>
    </row>
    <row r="85" spans="1:7" ht="16" x14ac:dyDescent="0.2">
      <c r="A85" s="118" t="s">
        <v>167</v>
      </c>
      <c r="B85" s="119"/>
      <c r="C85" s="37">
        <v>0</v>
      </c>
      <c r="D85" s="37">
        <v>0</v>
      </c>
      <c r="E85" s="38">
        <v>5500</v>
      </c>
      <c r="F85" s="39">
        <f>C85*D85*E85</f>
        <v>0</v>
      </c>
      <c r="G85" s="35" t="s">
        <v>168</v>
      </c>
    </row>
    <row r="86" spans="1:7" ht="16" x14ac:dyDescent="0.2">
      <c r="A86" s="118" t="s">
        <v>169</v>
      </c>
      <c r="B86" s="119"/>
      <c r="C86" s="37">
        <v>0</v>
      </c>
      <c r="D86" s="37">
        <v>0</v>
      </c>
      <c r="E86" s="38">
        <v>7500</v>
      </c>
      <c r="F86" s="39">
        <f t="shared" si="3"/>
        <v>0</v>
      </c>
      <c r="G86" s="35" t="s">
        <v>170</v>
      </c>
    </row>
    <row r="87" spans="1:7" ht="15" customHeight="1" x14ac:dyDescent="0.2">
      <c r="A87" s="35" t="s">
        <v>171</v>
      </c>
      <c r="B87" s="36"/>
      <c r="C87" s="37">
        <v>0</v>
      </c>
      <c r="D87" s="37">
        <v>0</v>
      </c>
      <c r="E87" s="39">
        <v>8500</v>
      </c>
      <c r="F87" s="39">
        <f t="shared" si="3"/>
        <v>0</v>
      </c>
      <c r="G87" s="120" t="s">
        <v>172</v>
      </c>
    </row>
    <row r="88" spans="1:7" ht="15" customHeight="1" x14ac:dyDescent="0.2">
      <c r="A88" s="40" t="s">
        <v>173</v>
      </c>
      <c r="B88" s="42"/>
      <c r="C88" s="37">
        <v>0</v>
      </c>
      <c r="D88" s="37">
        <v>0</v>
      </c>
      <c r="E88" s="39">
        <v>13500</v>
      </c>
      <c r="F88" s="39">
        <f t="shared" si="3"/>
        <v>0</v>
      </c>
      <c r="G88" s="121" t="s">
        <v>174</v>
      </c>
    </row>
    <row r="89" spans="1:7" ht="16" x14ac:dyDescent="0.2">
      <c r="A89" s="35" t="s">
        <v>175</v>
      </c>
      <c r="B89" s="36"/>
      <c r="C89" s="37">
        <v>0</v>
      </c>
      <c r="D89" s="37">
        <v>0</v>
      </c>
      <c r="E89" s="39">
        <v>2500</v>
      </c>
      <c r="F89" s="39">
        <f>C89*D89*E89</f>
        <v>0</v>
      </c>
      <c r="G89" s="34" t="s">
        <v>176</v>
      </c>
    </row>
    <row r="90" spans="1:7" ht="16" x14ac:dyDescent="0.2">
      <c r="A90" s="35" t="s">
        <v>177</v>
      </c>
      <c r="B90" s="36"/>
      <c r="C90" s="37">
        <v>0</v>
      </c>
      <c r="D90" s="37">
        <v>0</v>
      </c>
      <c r="E90" s="38">
        <v>300000</v>
      </c>
      <c r="F90" s="39">
        <f>C90*D90*E90</f>
        <v>0</v>
      </c>
      <c r="G90" s="34" t="s">
        <v>90</v>
      </c>
    </row>
    <row r="91" spans="1:7" ht="16" x14ac:dyDescent="0.2">
      <c r="A91" s="35" t="s">
        <v>178</v>
      </c>
      <c r="B91" s="36"/>
      <c r="C91" s="37">
        <v>0</v>
      </c>
      <c r="D91" s="37">
        <v>0</v>
      </c>
      <c r="E91" s="38">
        <v>250000</v>
      </c>
      <c r="F91" s="39">
        <f>C91*D91*E91</f>
        <v>0</v>
      </c>
      <c r="G91" s="34" t="s">
        <v>90</v>
      </c>
    </row>
    <row r="92" spans="1:7" ht="16" x14ac:dyDescent="0.2">
      <c r="A92" s="35" t="s">
        <v>179</v>
      </c>
      <c r="B92" s="36"/>
      <c r="C92" s="37">
        <v>0</v>
      </c>
      <c r="D92" s="37">
        <v>0</v>
      </c>
      <c r="E92" s="38">
        <v>210000</v>
      </c>
      <c r="F92" s="39">
        <f t="shared" ref="F92:F114" si="4">C92*D92*E92</f>
        <v>0</v>
      </c>
      <c r="G92" s="34" t="s">
        <v>90</v>
      </c>
    </row>
    <row r="93" spans="1:7" ht="16" x14ac:dyDescent="0.2">
      <c r="A93" s="35" t="s">
        <v>180</v>
      </c>
      <c r="B93" s="36"/>
      <c r="C93" s="37">
        <v>0</v>
      </c>
      <c r="D93" s="37">
        <v>0</v>
      </c>
      <c r="E93" s="38">
        <v>210000</v>
      </c>
      <c r="F93" s="39">
        <f t="shared" si="4"/>
        <v>0</v>
      </c>
      <c r="G93" s="34" t="s">
        <v>90</v>
      </c>
    </row>
    <row r="94" spans="1:7" ht="16" x14ac:dyDescent="0.2">
      <c r="A94" s="35" t="s">
        <v>181</v>
      </c>
      <c r="B94" s="36"/>
      <c r="C94" s="37">
        <v>0</v>
      </c>
      <c r="D94" s="37">
        <v>0</v>
      </c>
      <c r="E94" s="38">
        <v>180000</v>
      </c>
      <c r="F94" s="39">
        <f t="shared" si="4"/>
        <v>0</v>
      </c>
      <c r="G94" s="34" t="s">
        <v>90</v>
      </c>
    </row>
    <row r="95" spans="1:7" ht="16" x14ac:dyDescent="0.2">
      <c r="A95" s="35" t="s">
        <v>182</v>
      </c>
      <c r="B95" s="36"/>
      <c r="C95" s="37">
        <v>0</v>
      </c>
      <c r="D95" s="37">
        <v>0</v>
      </c>
      <c r="E95" s="38">
        <v>180000</v>
      </c>
      <c r="F95" s="39">
        <f t="shared" si="4"/>
        <v>0</v>
      </c>
      <c r="G95" s="34" t="s">
        <v>90</v>
      </c>
    </row>
    <row r="96" spans="1:7" ht="16" x14ac:dyDescent="0.2">
      <c r="A96" s="35" t="s">
        <v>183</v>
      </c>
      <c r="B96" s="36"/>
      <c r="C96" s="37">
        <v>0</v>
      </c>
      <c r="D96" s="37">
        <v>0</v>
      </c>
      <c r="E96" s="48">
        <v>120000</v>
      </c>
      <c r="F96" s="39">
        <f t="shared" si="4"/>
        <v>0</v>
      </c>
      <c r="G96" s="34" t="s">
        <v>90</v>
      </c>
    </row>
    <row r="97" spans="1:7" ht="16" x14ac:dyDescent="0.2">
      <c r="A97" s="35" t="s">
        <v>184</v>
      </c>
      <c r="B97" s="36"/>
      <c r="C97" s="37">
        <v>0</v>
      </c>
      <c r="D97" s="37">
        <v>0</v>
      </c>
      <c r="E97" s="48">
        <v>90000</v>
      </c>
      <c r="F97" s="39">
        <f t="shared" si="4"/>
        <v>0</v>
      </c>
      <c r="G97" s="34" t="s">
        <v>90</v>
      </c>
    </row>
    <row r="98" spans="1:7" ht="16" x14ac:dyDescent="0.2">
      <c r="A98" s="35" t="s">
        <v>185</v>
      </c>
      <c r="B98" s="36"/>
      <c r="C98" s="37">
        <v>0</v>
      </c>
      <c r="D98" s="37">
        <v>0</v>
      </c>
      <c r="E98" s="48">
        <v>100000</v>
      </c>
      <c r="F98" s="39">
        <f t="shared" si="4"/>
        <v>0</v>
      </c>
      <c r="G98" s="34" t="s">
        <v>186</v>
      </c>
    </row>
    <row r="99" spans="1:7" ht="16" x14ac:dyDescent="0.2">
      <c r="A99" s="35" t="s">
        <v>187</v>
      </c>
      <c r="B99" s="36"/>
      <c r="C99" s="37">
        <v>0</v>
      </c>
      <c r="D99" s="37">
        <v>0</v>
      </c>
      <c r="E99" s="48">
        <v>300000</v>
      </c>
      <c r="F99" s="39">
        <f t="shared" si="4"/>
        <v>0</v>
      </c>
      <c r="G99" s="34" t="s">
        <v>90</v>
      </c>
    </row>
    <row r="100" spans="1:7" ht="16" x14ac:dyDescent="0.2">
      <c r="A100" s="122" t="s">
        <v>188</v>
      </c>
      <c r="B100" s="123"/>
      <c r="C100" s="37">
        <v>0</v>
      </c>
      <c r="D100" s="37">
        <v>0</v>
      </c>
      <c r="E100" s="124">
        <v>25000</v>
      </c>
      <c r="F100" s="125"/>
      <c r="G100" s="34" t="s">
        <v>189</v>
      </c>
    </row>
    <row r="101" spans="1:7" ht="16" x14ac:dyDescent="0.2">
      <c r="A101" s="122" t="s">
        <v>190</v>
      </c>
      <c r="B101" s="123"/>
      <c r="C101" s="37">
        <v>0</v>
      </c>
      <c r="D101" s="37">
        <v>0</v>
      </c>
      <c r="E101" s="126">
        <v>15000</v>
      </c>
      <c r="F101" s="125"/>
      <c r="G101" s="34" t="s">
        <v>189</v>
      </c>
    </row>
    <row r="102" spans="1:7" ht="16" x14ac:dyDescent="0.2">
      <c r="A102" s="122" t="s">
        <v>191</v>
      </c>
      <c r="B102" s="123"/>
      <c r="C102" s="37">
        <v>0</v>
      </c>
      <c r="D102" s="37">
        <v>0</v>
      </c>
      <c r="E102" s="126">
        <v>60000</v>
      </c>
      <c r="F102" s="125"/>
      <c r="G102" s="34"/>
    </row>
    <row r="103" spans="1:7" ht="16" x14ac:dyDescent="0.2">
      <c r="A103" s="122" t="s">
        <v>192</v>
      </c>
      <c r="B103" s="127"/>
      <c r="C103" s="37">
        <v>0</v>
      </c>
      <c r="D103" s="37">
        <v>0</v>
      </c>
      <c r="E103" s="38">
        <v>150000</v>
      </c>
      <c r="F103" s="39">
        <f t="shared" si="4"/>
        <v>0</v>
      </c>
      <c r="G103" s="34" t="s">
        <v>193</v>
      </c>
    </row>
    <row r="104" spans="1:7" ht="16" x14ac:dyDescent="0.2">
      <c r="A104" s="34" t="s">
        <v>194</v>
      </c>
      <c r="B104" s="128"/>
      <c r="C104" s="37">
        <v>0</v>
      </c>
      <c r="D104" s="37">
        <v>0</v>
      </c>
      <c r="E104" s="39">
        <v>100000</v>
      </c>
      <c r="F104" s="39">
        <f t="shared" si="4"/>
        <v>0</v>
      </c>
      <c r="G104" s="34" t="s">
        <v>195</v>
      </c>
    </row>
    <row r="105" spans="1:7" ht="16" x14ac:dyDescent="0.2">
      <c r="A105" s="34" t="s">
        <v>196</v>
      </c>
      <c r="B105" s="128"/>
      <c r="C105" s="37">
        <v>0</v>
      </c>
      <c r="D105" s="37">
        <v>0</v>
      </c>
      <c r="E105" s="48">
        <v>150000</v>
      </c>
      <c r="F105" s="39">
        <f t="shared" si="4"/>
        <v>0</v>
      </c>
      <c r="G105" s="34" t="s">
        <v>197</v>
      </c>
    </row>
    <row r="106" spans="1:7" ht="16" x14ac:dyDescent="0.2">
      <c r="A106" s="34" t="s">
        <v>198</v>
      </c>
      <c r="B106" s="128"/>
      <c r="C106" s="37">
        <v>0</v>
      </c>
      <c r="D106" s="37">
        <v>0</v>
      </c>
      <c r="E106" s="48">
        <v>380000</v>
      </c>
      <c r="F106" s="39">
        <f t="shared" si="4"/>
        <v>0</v>
      </c>
      <c r="G106" s="34" t="s">
        <v>199</v>
      </c>
    </row>
    <row r="107" spans="1:7" ht="16" x14ac:dyDescent="0.2">
      <c r="A107" s="34" t="s">
        <v>200</v>
      </c>
      <c r="B107" s="128"/>
      <c r="C107" s="37">
        <v>0</v>
      </c>
      <c r="D107" s="37">
        <v>0</v>
      </c>
      <c r="E107" s="48">
        <v>280000</v>
      </c>
      <c r="F107" s="39">
        <f t="shared" si="4"/>
        <v>0</v>
      </c>
      <c r="G107" s="34" t="s">
        <v>197</v>
      </c>
    </row>
    <row r="108" spans="1:7" ht="16" x14ac:dyDescent="0.2">
      <c r="A108" s="129" t="s">
        <v>201</v>
      </c>
      <c r="B108" s="130"/>
      <c r="C108" s="37">
        <v>0</v>
      </c>
      <c r="D108" s="37">
        <v>0</v>
      </c>
      <c r="E108" s="48">
        <v>650000</v>
      </c>
      <c r="F108" s="39">
        <f t="shared" si="4"/>
        <v>0</v>
      </c>
      <c r="G108" s="34" t="s">
        <v>202</v>
      </c>
    </row>
    <row r="109" spans="1:7" ht="15" customHeight="1" x14ac:dyDescent="0.2">
      <c r="A109" s="129" t="s">
        <v>203</v>
      </c>
      <c r="B109" s="130"/>
      <c r="C109" s="37">
        <v>0</v>
      </c>
      <c r="D109" s="37">
        <v>0</v>
      </c>
      <c r="E109" s="48">
        <v>450000</v>
      </c>
      <c r="F109" s="107">
        <f t="shared" si="4"/>
        <v>0</v>
      </c>
      <c r="G109" s="34" t="s">
        <v>204</v>
      </c>
    </row>
    <row r="110" spans="1:7" ht="15" customHeight="1" x14ac:dyDescent="0.2">
      <c r="A110" s="129" t="s">
        <v>205</v>
      </c>
      <c r="B110" s="130"/>
      <c r="C110" s="37">
        <v>0</v>
      </c>
      <c r="D110" s="37">
        <v>0</v>
      </c>
      <c r="E110" s="48">
        <v>80000</v>
      </c>
      <c r="F110" s="107">
        <f t="shared" si="4"/>
        <v>0</v>
      </c>
      <c r="G110" s="34"/>
    </row>
    <row r="111" spans="1:7" ht="15" customHeight="1" x14ac:dyDescent="0.2">
      <c r="A111" s="129" t="s">
        <v>206</v>
      </c>
      <c r="B111" s="130"/>
      <c r="C111" s="37">
        <v>0</v>
      </c>
      <c r="D111" s="37">
        <v>0</v>
      </c>
      <c r="E111" s="48">
        <v>300000</v>
      </c>
      <c r="F111" s="107">
        <f t="shared" si="4"/>
        <v>0</v>
      </c>
      <c r="G111" s="34" t="s">
        <v>207</v>
      </c>
    </row>
    <row r="112" spans="1:7" ht="15" customHeight="1" x14ac:dyDescent="0.2">
      <c r="A112" s="129" t="s">
        <v>208</v>
      </c>
      <c r="B112" s="130"/>
      <c r="C112" s="37">
        <v>0</v>
      </c>
      <c r="D112" s="37">
        <v>0</v>
      </c>
      <c r="E112" s="39">
        <v>680000</v>
      </c>
      <c r="F112" s="107">
        <f t="shared" si="4"/>
        <v>0</v>
      </c>
      <c r="G112" s="34" t="s">
        <v>209</v>
      </c>
    </row>
    <row r="113" spans="1:7" ht="15" customHeight="1" x14ac:dyDescent="0.2">
      <c r="A113" s="129" t="s">
        <v>208</v>
      </c>
      <c r="B113" s="130"/>
      <c r="C113" s="37">
        <v>0</v>
      </c>
      <c r="D113" s="37">
        <v>0</v>
      </c>
      <c r="E113" s="39">
        <v>580000</v>
      </c>
      <c r="F113" s="107">
        <f t="shared" si="4"/>
        <v>0</v>
      </c>
      <c r="G113" s="34" t="s">
        <v>210</v>
      </c>
    </row>
    <row r="114" spans="1:7" ht="15" customHeight="1" x14ac:dyDescent="0.2">
      <c r="A114" s="129" t="s">
        <v>211</v>
      </c>
      <c r="B114" s="130"/>
      <c r="C114" s="37">
        <v>0</v>
      </c>
      <c r="D114" s="37">
        <v>0</v>
      </c>
      <c r="E114" s="39">
        <v>580000</v>
      </c>
      <c r="F114" s="107">
        <f t="shared" si="4"/>
        <v>0</v>
      </c>
      <c r="G114" s="34" t="s">
        <v>212</v>
      </c>
    </row>
    <row r="115" spans="1:7" ht="16" x14ac:dyDescent="0.2">
      <c r="A115" s="34" t="s">
        <v>213</v>
      </c>
      <c r="B115" s="128"/>
      <c r="C115" s="37">
        <v>0</v>
      </c>
      <c r="D115" s="37">
        <v>0</v>
      </c>
      <c r="E115" s="39">
        <v>180000</v>
      </c>
      <c r="F115" s="39">
        <f>C115*D115*E115</f>
        <v>0</v>
      </c>
      <c r="G115" s="34" t="s">
        <v>214</v>
      </c>
    </row>
    <row r="116" spans="1:7" ht="16" x14ac:dyDescent="0.2">
      <c r="A116" s="93"/>
      <c r="B116" s="131"/>
      <c r="C116" s="93"/>
      <c r="D116" s="93"/>
      <c r="E116" s="93"/>
      <c r="F116" s="93"/>
      <c r="G116" s="132" t="s">
        <v>215</v>
      </c>
    </row>
    <row r="117" spans="1:7" x14ac:dyDescent="0.2">
      <c r="A117" s="93"/>
      <c r="B117" s="131"/>
      <c r="C117" s="93"/>
      <c r="D117" s="93"/>
      <c r="E117" s="93" t="s">
        <v>26</v>
      </c>
      <c r="F117" s="93" t="s">
        <v>26</v>
      </c>
      <c r="G117" s="93"/>
    </row>
    <row r="118" spans="1:7" ht="17" customHeight="1" x14ac:dyDescent="0.2">
      <c r="A118" s="93"/>
      <c r="B118" s="131"/>
      <c r="C118" s="93"/>
      <c r="D118" s="93"/>
      <c r="E118" s="93" t="s">
        <v>26</v>
      </c>
      <c r="F118" s="93"/>
      <c r="G118" s="93"/>
    </row>
    <row r="119" spans="1:7" ht="17" customHeight="1" x14ac:dyDescent="0.2">
      <c r="A119" s="93"/>
      <c r="B119" s="131"/>
      <c r="C119" s="93"/>
      <c r="D119" s="93"/>
      <c r="E119" s="93"/>
      <c r="F119" s="93"/>
      <c r="G119" s="93"/>
    </row>
    <row r="120" spans="1:7" x14ac:dyDescent="0.2">
      <c r="A120" s="93"/>
      <c r="B120" s="131"/>
      <c r="C120" s="93"/>
      <c r="D120" s="93"/>
      <c r="E120" s="93"/>
      <c r="F120" s="93"/>
      <c r="G120" s="93"/>
    </row>
    <row r="121" spans="1:7" x14ac:dyDescent="0.2">
      <c r="A121" s="93"/>
      <c r="B121" s="131"/>
      <c r="C121" s="93"/>
      <c r="D121" s="93"/>
      <c r="E121" s="93"/>
      <c r="F121" s="93"/>
      <c r="G121" s="93"/>
    </row>
    <row r="122" spans="1:7" ht="17" customHeight="1" x14ac:dyDescent="0.2">
      <c r="A122" s="93"/>
      <c r="B122" s="131"/>
      <c r="C122" s="93"/>
      <c r="D122" s="93"/>
      <c r="E122" s="93"/>
      <c r="F122" s="93"/>
      <c r="G122" s="93"/>
    </row>
    <row r="123" spans="1:7" ht="17" customHeight="1" x14ac:dyDescent="0.2">
      <c r="A123" s="93"/>
      <c r="B123" s="131"/>
      <c r="C123" s="93"/>
      <c r="D123" s="93"/>
      <c r="E123" s="93"/>
      <c r="F123" s="93"/>
      <c r="G123" s="93"/>
    </row>
    <row r="124" spans="1:7" x14ac:dyDescent="0.2">
      <c r="A124" s="93"/>
      <c r="B124" s="131"/>
      <c r="C124" s="93"/>
      <c r="D124" s="93"/>
      <c r="E124" s="93"/>
      <c r="F124" s="93"/>
      <c r="G124" s="93"/>
    </row>
    <row r="125" spans="1:7" x14ac:dyDescent="0.2">
      <c r="A125" s="93"/>
      <c r="B125" s="131"/>
      <c r="C125" s="93"/>
      <c r="D125" s="93"/>
      <c r="E125" s="93"/>
      <c r="F125" s="93"/>
      <c r="G125" s="93"/>
    </row>
    <row r="141" spans="1:7" ht="17" x14ac:dyDescent="0.2">
      <c r="A141" s="133"/>
      <c r="B141" s="134"/>
      <c r="C141" s="71"/>
      <c r="D141" s="71"/>
      <c r="E141" s="71"/>
      <c r="F141" s="71"/>
      <c r="G141" s="71"/>
    </row>
  </sheetData>
  <hyperlinks>
    <hyperlink ref="D63" r:id="rId1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"/>
  <sheetViews>
    <sheetView workbookViewId="0">
      <selection activeCell="L39" sqref="L39"/>
    </sheetView>
  </sheetViews>
  <sheetFormatPr baseColWidth="10" defaultRowHeight="1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9"/>
  <sheetViews>
    <sheetView topLeftCell="A13" workbookViewId="0">
      <selection activeCell="G45" sqref="G45"/>
    </sheetView>
  </sheetViews>
  <sheetFormatPr baseColWidth="10" defaultRowHeight="15" x14ac:dyDescent="0.2"/>
  <cols>
    <col min="1" max="1" width="38.5" customWidth="1"/>
    <col min="2" max="2" width="12.5" style="14" customWidth="1"/>
    <col min="3" max="4" width="7.33203125" customWidth="1"/>
    <col min="5" max="5" width="11.5" customWidth="1"/>
    <col min="6" max="6" width="14.5" customWidth="1"/>
    <col min="7" max="7" width="101.6640625" customWidth="1"/>
    <col min="8" max="8" width="13" bestFit="1" customWidth="1"/>
    <col min="9" max="9" width="114.1640625" customWidth="1"/>
  </cols>
  <sheetData>
    <row r="1" spans="1:7" ht="64" customHeight="1" x14ac:dyDescent="0.3">
      <c r="A1" s="11" t="s">
        <v>26</v>
      </c>
      <c r="B1" s="12"/>
      <c r="C1" s="13" t="s">
        <v>27</v>
      </c>
    </row>
    <row r="2" spans="1:7" x14ac:dyDescent="0.2">
      <c r="G2" t="s">
        <v>28</v>
      </c>
    </row>
    <row r="3" spans="1:7" ht="16" x14ac:dyDescent="0.2">
      <c r="A3" s="15" t="s">
        <v>221</v>
      </c>
      <c r="B3" s="142" t="s">
        <v>30</v>
      </c>
      <c r="C3" s="143"/>
      <c r="E3" t="s">
        <v>31</v>
      </c>
      <c r="F3" s="17" t="s">
        <v>32</v>
      </c>
      <c r="G3" s="18" t="s">
        <v>222</v>
      </c>
    </row>
    <row r="4" spans="1:7" ht="16" x14ac:dyDescent="0.2">
      <c r="A4" t="s">
        <v>34</v>
      </c>
      <c r="C4" s="19"/>
      <c r="E4" t="s">
        <v>35</v>
      </c>
      <c r="F4">
        <v>90827788</v>
      </c>
      <c r="G4" s="20" t="s">
        <v>223</v>
      </c>
    </row>
    <row r="5" spans="1:7" ht="16" x14ac:dyDescent="0.2">
      <c r="A5" t="s">
        <v>37</v>
      </c>
      <c r="E5" t="s">
        <v>39</v>
      </c>
      <c r="F5" s="17">
        <v>28</v>
      </c>
      <c r="G5" s="20" t="s">
        <v>40</v>
      </c>
    </row>
    <row r="6" spans="1:7" ht="16" x14ac:dyDescent="0.2">
      <c r="A6" s="144" t="s">
        <v>41</v>
      </c>
      <c r="B6" s="266" t="s">
        <v>224</v>
      </c>
      <c r="C6" s="266"/>
      <c r="D6" s="266"/>
      <c r="E6" s="145" t="s">
        <v>42</v>
      </c>
      <c r="F6" s="145">
        <v>974961403</v>
      </c>
      <c r="G6" s="20" t="s">
        <v>43</v>
      </c>
    </row>
    <row r="7" spans="1:7" ht="16" x14ac:dyDescent="0.2">
      <c r="A7" s="267" t="s">
        <v>225</v>
      </c>
      <c r="B7" s="267"/>
      <c r="C7" s="146" t="s">
        <v>26</v>
      </c>
      <c r="D7" t="s">
        <v>26</v>
      </c>
      <c r="E7" s="23"/>
      <c r="F7" s="23" t="s">
        <v>26</v>
      </c>
      <c r="G7" s="20"/>
    </row>
    <row r="8" spans="1:7" ht="17" thickBot="1" x14ac:dyDescent="0.25">
      <c r="A8" s="147"/>
      <c r="B8" s="146"/>
      <c r="C8" s="148"/>
      <c r="D8" s="23"/>
      <c r="E8" s="23"/>
      <c r="F8" s="23"/>
      <c r="G8" s="20"/>
    </row>
    <row r="9" spans="1:7" ht="15.75" customHeight="1" x14ac:dyDescent="0.2">
      <c r="A9" s="25" t="s">
        <v>44</v>
      </c>
      <c r="B9" s="26" t="s">
        <v>45</v>
      </c>
      <c r="C9" s="27" t="s">
        <v>46</v>
      </c>
      <c r="D9" s="27" t="s">
        <v>47</v>
      </c>
      <c r="E9" s="27" t="s">
        <v>48</v>
      </c>
      <c r="F9" s="27" t="s">
        <v>49</v>
      </c>
      <c r="G9" s="28" t="s">
        <v>50</v>
      </c>
    </row>
    <row r="10" spans="1:7" ht="16.5" customHeight="1" x14ac:dyDescent="0.2">
      <c r="A10" s="29" t="s">
        <v>51</v>
      </c>
      <c r="B10" s="30" t="s">
        <v>226</v>
      </c>
      <c r="C10" s="31">
        <v>1</v>
      </c>
      <c r="D10" s="31">
        <v>28</v>
      </c>
      <c r="E10" s="32">
        <v>8500</v>
      </c>
      <c r="F10" s="33">
        <f>C10*D10*E10</f>
        <v>238000</v>
      </c>
      <c r="G10" s="34" t="s">
        <v>52</v>
      </c>
    </row>
    <row r="11" spans="1:7" ht="16" x14ac:dyDescent="0.2">
      <c r="A11" s="35" t="s">
        <v>182</v>
      </c>
      <c r="B11" s="36"/>
      <c r="C11" s="37">
        <v>1</v>
      </c>
      <c r="D11" s="37">
        <v>1</v>
      </c>
      <c r="E11" s="38">
        <v>180000</v>
      </c>
      <c r="F11" s="39">
        <f t="shared" ref="F11:F17" si="0">C11*D11*E11</f>
        <v>180000</v>
      </c>
      <c r="G11" s="34" t="s">
        <v>90</v>
      </c>
    </row>
    <row r="12" spans="1:7" ht="16.5" customHeight="1" x14ac:dyDescent="0.2">
      <c r="A12" s="40" t="s">
        <v>55</v>
      </c>
      <c r="B12" s="41" t="s">
        <v>56</v>
      </c>
      <c r="C12" s="31">
        <v>1</v>
      </c>
      <c r="D12" s="31">
        <v>28</v>
      </c>
      <c r="E12" s="39">
        <v>15000</v>
      </c>
      <c r="F12" s="39">
        <f t="shared" si="0"/>
        <v>420000</v>
      </c>
      <c r="G12" s="34" t="s">
        <v>57</v>
      </c>
    </row>
    <row r="13" spans="1:7" ht="16" x14ac:dyDescent="0.2">
      <c r="A13" s="40" t="s">
        <v>58</v>
      </c>
      <c r="B13" s="42"/>
      <c r="C13" s="37">
        <v>1</v>
      </c>
      <c r="D13" s="37">
        <v>28</v>
      </c>
      <c r="E13" s="39">
        <v>1500</v>
      </c>
      <c r="F13" s="39">
        <f t="shared" si="0"/>
        <v>42000</v>
      </c>
      <c r="G13" s="34" t="s">
        <v>59</v>
      </c>
    </row>
    <row r="14" spans="1:7" ht="16" x14ac:dyDescent="0.2">
      <c r="A14" s="43" t="s">
        <v>60</v>
      </c>
      <c r="B14" s="41" t="s">
        <v>61</v>
      </c>
      <c r="C14" s="31">
        <v>1</v>
      </c>
      <c r="D14" s="31">
        <v>28</v>
      </c>
      <c r="E14" s="44">
        <v>15000</v>
      </c>
      <c r="F14" s="33">
        <f t="shared" si="0"/>
        <v>420000</v>
      </c>
      <c r="G14" s="34" t="s">
        <v>62</v>
      </c>
    </row>
    <row r="15" spans="1:7" ht="16" x14ac:dyDescent="0.2">
      <c r="A15" s="40" t="s">
        <v>58</v>
      </c>
      <c r="B15" s="42"/>
      <c r="C15" s="37">
        <v>1</v>
      </c>
      <c r="D15" s="37">
        <v>28</v>
      </c>
      <c r="E15" s="39">
        <v>1500</v>
      </c>
      <c r="F15" s="39">
        <f t="shared" si="0"/>
        <v>42000</v>
      </c>
      <c r="G15" s="34" t="s">
        <v>59</v>
      </c>
    </row>
    <row r="16" spans="1:7" ht="16" x14ac:dyDescent="0.2">
      <c r="A16" s="45" t="s">
        <v>63</v>
      </c>
      <c r="B16" s="46"/>
      <c r="C16" s="47">
        <v>1</v>
      </c>
      <c r="D16" s="47">
        <v>1</v>
      </c>
      <c r="E16" s="48">
        <v>99000</v>
      </c>
      <c r="F16" s="48">
        <f t="shared" si="0"/>
        <v>99000</v>
      </c>
      <c r="G16" s="45" t="s">
        <v>64</v>
      </c>
    </row>
    <row r="17" spans="1:7" ht="16" x14ac:dyDescent="0.2">
      <c r="A17" s="45" t="s">
        <v>65</v>
      </c>
      <c r="B17" s="46"/>
      <c r="C17" s="47">
        <v>1</v>
      </c>
      <c r="D17" s="47">
        <v>14</v>
      </c>
      <c r="E17" s="48">
        <v>113500</v>
      </c>
      <c r="F17" s="48">
        <f t="shared" si="0"/>
        <v>1589000</v>
      </c>
      <c r="G17" s="45" t="s">
        <v>66</v>
      </c>
    </row>
    <row r="18" spans="1:7" ht="16.5" customHeight="1" thickBot="1" x14ac:dyDescent="0.25">
      <c r="A18" s="55" t="s">
        <v>85</v>
      </c>
      <c r="B18" s="56"/>
      <c r="C18" s="57"/>
      <c r="D18" s="58"/>
      <c r="E18" s="59"/>
      <c r="F18" s="60">
        <f>SUM(F10:F17)</f>
        <v>3030000</v>
      </c>
      <c r="G18" s="61" t="s">
        <v>26</v>
      </c>
    </row>
    <row r="19" spans="1:7" ht="16.5" customHeight="1" x14ac:dyDescent="0.2">
      <c r="A19" s="25" t="s">
        <v>86</v>
      </c>
      <c r="B19" s="26"/>
      <c r="C19" s="27" t="s">
        <v>46</v>
      </c>
      <c r="D19" s="27" t="s">
        <v>47</v>
      </c>
      <c r="E19" s="27" t="s">
        <v>48</v>
      </c>
      <c r="F19" s="27" t="s">
        <v>49</v>
      </c>
      <c r="G19" s="28" t="s">
        <v>50</v>
      </c>
    </row>
    <row r="20" spans="1:7" ht="16.5" customHeight="1" x14ac:dyDescent="0.2">
      <c r="A20" s="29" t="s">
        <v>87</v>
      </c>
      <c r="B20" s="30"/>
      <c r="C20" s="31">
        <v>1</v>
      </c>
      <c r="D20" s="31">
        <v>28</v>
      </c>
      <c r="E20" s="32">
        <v>8500</v>
      </c>
      <c r="F20" s="33" t="s">
        <v>88</v>
      </c>
      <c r="G20" s="34" t="s">
        <v>52</v>
      </c>
    </row>
    <row r="21" spans="1:7" ht="16" x14ac:dyDescent="0.2">
      <c r="A21" s="35" t="s">
        <v>89</v>
      </c>
      <c r="B21" s="36"/>
      <c r="C21" s="37">
        <v>1</v>
      </c>
      <c r="D21" s="37">
        <v>1</v>
      </c>
      <c r="E21" s="38">
        <v>180000</v>
      </c>
      <c r="F21" s="39">
        <f t="shared" ref="F21" si="1">C21*D21*E21</f>
        <v>180000</v>
      </c>
      <c r="G21" s="34" t="s">
        <v>90</v>
      </c>
    </row>
    <row r="22" spans="1:7" ht="16.5" customHeight="1" x14ac:dyDescent="0.2">
      <c r="A22" s="40" t="s">
        <v>55</v>
      </c>
      <c r="B22" s="41"/>
      <c r="C22" s="31">
        <v>1</v>
      </c>
      <c r="D22" s="31">
        <v>28</v>
      </c>
      <c r="E22" s="39">
        <v>15000</v>
      </c>
      <c r="F22" s="39">
        <f>C22*D22*E22</f>
        <v>420000</v>
      </c>
      <c r="G22" s="34" t="s">
        <v>57</v>
      </c>
    </row>
    <row r="23" spans="1:7" ht="16" x14ac:dyDescent="0.2">
      <c r="A23" s="40" t="s">
        <v>58</v>
      </c>
      <c r="B23" s="42"/>
      <c r="C23" s="37">
        <v>1</v>
      </c>
      <c r="D23" s="37">
        <v>28</v>
      </c>
      <c r="E23" s="39">
        <v>1500</v>
      </c>
      <c r="F23" s="39">
        <f t="shared" ref="F23" si="2">C23*D23*E23</f>
        <v>42000</v>
      </c>
      <c r="G23" s="34" t="s">
        <v>59</v>
      </c>
    </row>
    <row r="24" spans="1:7" ht="16" x14ac:dyDescent="0.2">
      <c r="A24" s="62" t="s">
        <v>67</v>
      </c>
      <c r="B24" s="63" t="s">
        <v>91</v>
      </c>
      <c r="C24" s="64"/>
      <c r="D24" s="64"/>
      <c r="E24" s="65"/>
      <c r="F24" s="65"/>
      <c r="G24" s="62" t="s">
        <v>69</v>
      </c>
    </row>
    <row r="25" spans="1:7" ht="16" x14ac:dyDescent="0.2">
      <c r="A25" s="45" t="s">
        <v>70</v>
      </c>
      <c r="B25" s="46" t="s">
        <v>92</v>
      </c>
      <c r="C25" s="47">
        <v>1</v>
      </c>
      <c r="D25" s="47">
        <v>28</v>
      </c>
      <c r="E25" s="48">
        <v>0</v>
      </c>
      <c r="F25" s="53" t="s">
        <v>72</v>
      </c>
      <c r="G25" s="54" t="s">
        <v>73</v>
      </c>
    </row>
    <row r="26" spans="1:7" ht="16" x14ac:dyDescent="0.2">
      <c r="A26" s="45" t="s">
        <v>74</v>
      </c>
      <c r="B26" s="46" t="s">
        <v>92</v>
      </c>
      <c r="C26" s="47">
        <v>1</v>
      </c>
      <c r="D26" s="47">
        <v>28</v>
      </c>
      <c r="E26" s="48">
        <v>0</v>
      </c>
      <c r="F26" s="53" t="s">
        <v>72</v>
      </c>
      <c r="G26" s="54" t="s">
        <v>75</v>
      </c>
    </row>
    <row r="27" spans="1:7" ht="16" x14ac:dyDescent="0.2">
      <c r="A27" s="45" t="s">
        <v>76</v>
      </c>
      <c r="B27" s="46" t="s">
        <v>77</v>
      </c>
      <c r="C27" s="47">
        <v>1</v>
      </c>
      <c r="D27" s="47">
        <v>28</v>
      </c>
      <c r="E27" s="48">
        <v>0</v>
      </c>
      <c r="F27" s="53" t="s">
        <v>72</v>
      </c>
      <c r="G27" s="54" t="s">
        <v>78</v>
      </c>
    </row>
    <row r="28" spans="1:7" ht="16" x14ac:dyDescent="0.2">
      <c r="A28" s="45" t="s">
        <v>79</v>
      </c>
      <c r="B28" s="46" t="s">
        <v>77</v>
      </c>
      <c r="C28" s="47">
        <v>1</v>
      </c>
      <c r="D28" s="47">
        <v>28</v>
      </c>
      <c r="E28" s="48">
        <v>0</v>
      </c>
      <c r="F28" s="53" t="s">
        <v>72</v>
      </c>
      <c r="G28" s="45" t="s">
        <v>80</v>
      </c>
    </row>
    <row r="29" spans="1:7" ht="16.5" customHeight="1" thickBot="1" x14ac:dyDescent="0.25">
      <c r="A29" s="55" t="s">
        <v>85</v>
      </c>
      <c r="B29" s="56"/>
      <c r="C29" s="57"/>
      <c r="D29" s="58"/>
      <c r="E29" s="59"/>
      <c r="F29" s="60">
        <f>SUM(F20:F23)</f>
        <v>642000</v>
      </c>
      <c r="G29" s="61" t="s">
        <v>26</v>
      </c>
    </row>
    <row r="30" spans="1:7" ht="17" thickBot="1" x14ac:dyDescent="0.25">
      <c r="A30" s="66" t="s">
        <v>93</v>
      </c>
      <c r="B30" s="67"/>
      <c r="C30" s="68"/>
      <c r="D30" s="68"/>
      <c r="E30" s="69"/>
      <c r="F30" s="70">
        <f>F18+F29</f>
        <v>3672000</v>
      </c>
      <c r="G30" s="71" t="s">
        <v>94</v>
      </c>
    </row>
    <row r="31" spans="1:7" ht="16" x14ac:dyDescent="0.2">
      <c r="A31" s="72" t="s">
        <v>95</v>
      </c>
      <c r="B31" s="73"/>
      <c r="C31" s="74"/>
      <c r="D31" s="58"/>
      <c r="E31" s="59"/>
      <c r="F31" s="60">
        <f>F30*1.19-F30</f>
        <v>697680</v>
      </c>
      <c r="G31" s="71"/>
    </row>
    <row r="32" spans="1:7" ht="16" x14ac:dyDescent="0.2">
      <c r="A32" s="149" t="s">
        <v>227</v>
      </c>
      <c r="B32" s="76"/>
      <c r="C32" s="77"/>
      <c r="D32" s="77"/>
      <c r="E32" s="78"/>
      <c r="F32" s="79">
        <f>F30+F31</f>
        <v>4369680</v>
      </c>
      <c r="G32" s="71"/>
    </row>
    <row r="33" spans="1:7" ht="16" x14ac:dyDescent="0.2">
      <c r="A33" s="150" t="s">
        <v>228</v>
      </c>
      <c r="B33" s="151"/>
      <c r="C33" s="152"/>
      <c r="D33" s="152"/>
      <c r="E33" s="153"/>
      <c r="F33" s="154" t="s">
        <v>26</v>
      </c>
      <c r="G33" s="71"/>
    </row>
    <row r="34" spans="1:7" x14ac:dyDescent="0.2">
      <c r="A34" s="155" t="s">
        <v>229</v>
      </c>
      <c r="B34" s="156"/>
      <c r="C34" s="157"/>
      <c r="D34" s="157"/>
      <c r="E34" s="157"/>
      <c r="F34" s="158">
        <v>3708000</v>
      </c>
    </row>
    <row r="35" spans="1:7" ht="16" x14ac:dyDescent="0.2">
      <c r="A35" s="159" t="s">
        <v>230</v>
      </c>
      <c r="B35" s="160"/>
      <c r="C35" s="161"/>
      <c r="D35" s="161"/>
      <c r="E35" s="162"/>
      <c r="F35" s="163">
        <v>135000</v>
      </c>
      <c r="G35" s="141" t="s">
        <v>231</v>
      </c>
    </row>
    <row r="36" spans="1:7" ht="19" x14ac:dyDescent="0.2">
      <c r="A36" s="94"/>
      <c r="B36"/>
      <c r="E36" s="95"/>
      <c r="F36" s="164"/>
      <c r="G36" s="95"/>
    </row>
    <row r="37" spans="1:7" ht="19" x14ac:dyDescent="0.2">
      <c r="A37" s="94"/>
      <c r="B37"/>
      <c r="E37" s="95"/>
      <c r="F37" s="164">
        <f>F35*28</f>
        <v>3780000</v>
      </c>
      <c r="G37" s="95"/>
    </row>
    <row r="38" spans="1:7" ht="19" x14ac:dyDescent="0.2">
      <c r="A38" s="94"/>
      <c r="B38"/>
      <c r="E38" s="95"/>
      <c r="F38" s="164"/>
      <c r="G38" s="95"/>
    </row>
    <row r="39" spans="1:7" ht="20" thickBot="1" x14ac:dyDescent="0.25">
      <c r="A39" s="94"/>
      <c r="B39"/>
      <c r="D39" s="89"/>
      <c r="E39" s="135" t="s">
        <v>216</v>
      </c>
      <c r="F39" s="137">
        <v>2720264</v>
      </c>
      <c r="G39" s="95"/>
    </row>
    <row r="40" spans="1:7" ht="19" x14ac:dyDescent="0.2">
      <c r="A40" s="94"/>
      <c r="B40"/>
      <c r="D40" s="89"/>
      <c r="E40" s="135" t="s">
        <v>217</v>
      </c>
      <c r="F40" s="138">
        <v>924736</v>
      </c>
      <c r="G40" s="95"/>
    </row>
    <row r="41" spans="1:7" ht="19" x14ac:dyDescent="0.2">
      <c r="A41" s="94"/>
      <c r="B41"/>
      <c r="D41" s="89"/>
      <c r="E41" s="90"/>
      <c r="F41" s="91"/>
      <c r="G41" s="95"/>
    </row>
    <row r="42" spans="1:7" ht="19" x14ac:dyDescent="0.2">
      <c r="A42" s="94"/>
      <c r="B42"/>
      <c r="D42" s="89"/>
      <c r="E42" s="90" t="s">
        <v>218</v>
      </c>
      <c r="F42" s="91">
        <f>+F37-F39-F40</f>
        <v>135000</v>
      </c>
      <c r="G42" s="95"/>
    </row>
    <row r="43" spans="1:7" ht="19" x14ac:dyDescent="0.2">
      <c r="A43" s="94"/>
      <c r="B43"/>
      <c r="E43" s="95"/>
      <c r="F43" s="164"/>
      <c r="G43" s="95"/>
    </row>
    <row r="44" spans="1:7" ht="19" x14ac:dyDescent="0.2">
      <c r="A44" s="94"/>
      <c r="B44"/>
      <c r="E44" s="95"/>
      <c r="F44" s="164"/>
      <c r="G44" s="95"/>
    </row>
    <row r="45" spans="1:7" ht="19" x14ac:dyDescent="0.2">
      <c r="A45" s="94"/>
      <c r="B45"/>
      <c r="E45" s="95"/>
      <c r="F45" s="164"/>
      <c r="G45" s="95"/>
    </row>
    <row r="46" spans="1:7" ht="19" x14ac:dyDescent="0.2">
      <c r="A46" s="94"/>
      <c r="B46"/>
      <c r="E46" s="95"/>
      <c r="F46" s="164"/>
      <c r="G46" s="95"/>
    </row>
    <row r="47" spans="1:7" ht="19" x14ac:dyDescent="0.2">
      <c r="A47" s="94"/>
      <c r="B47"/>
      <c r="E47" s="95"/>
      <c r="F47" s="164"/>
      <c r="G47" s="95"/>
    </row>
    <row r="48" spans="1:7" ht="19" x14ac:dyDescent="0.2">
      <c r="A48" s="94" t="s">
        <v>98</v>
      </c>
      <c r="B48"/>
      <c r="E48" s="95"/>
      <c r="F48" s="164"/>
      <c r="G48" s="95"/>
    </row>
    <row r="49" spans="1:7" ht="19" x14ac:dyDescent="0.2">
      <c r="A49" s="97" t="s">
        <v>99</v>
      </c>
      <c r="B49"/>
      <c r="E49" s="98"/>
      <c r="F49" s="98"/>
      <c r="G49" s="98"/>
    </row>
    <row r="50" spans="1:7" ht="17" x14ac:dyDescent="0.2">
      <c r="A50" s="95" t="s">
        <v>100</v>
      </c>
      <c r="B50"/>
    </row>
    <row r="51" spans="1:7" ht="17" x14ac:dyDescent="0.2">
      <c r="A51" s="95"/>
      <c r="B51"/>
    </row>
    <row r="52" spans="1:7" ht="19" x14ac:dyDescent="0.2">
      <c r="A52" s="94" t="s">
        <v>101</v>
      </c>
      <c r="B52"/>
    </row>
    <row r="53" spans="1:7" ht="17" x14ac:dyDescent="0.2">
      <c r="A53" s="95" t="s">
        <v>102</v>
      </c>
      <c r="B53"/>
    </row>
    <row r="54" spans="1:7" ht="17" x14ac:dyDescent="0.2">
      <c r="A54" s="95" t="s">
        <v>103</v>
      </c>
      <c r="B54"/>
    </row>
    <row r="55" spans="1:7" ht="17" x14ac:dyDescent="0.2">
      <c r="A55" s="95" t="s">
        <v>104</v>
      </c>
      <c r="B55"/>
    </row>
    <row r="56" spans="1:7" ht="17" x14ac:dyDescent="0.2">
      <c r="A56" s="99" t="s">
        <v>105</v>
      </c>
      <c r="B56"/>
    </row>
    <row r="57" spans="1:7" ht="17" x14ac:dyDescent="0.2">
      <c r="A57" s="95" t="s">
        <v>106</v>
      </c>
      <c r="B57"/>
    </row>
    <row r="58" spans="1:7" ht="17" x14ac:dyDescent="0.2">
      <c r="A58" s="95" t="s">
        <v>107</v>
      </c>
      <c r="B58"/>
    </row>
    <row r="59" spans="1:7" ht="17" x14ac:dyDescent="0.2">
      <c r="A59" s="99" t="s">
        <v>108</v>
      </c>
      <c r="B59"/>
    </row>
    <row r="60" spans="1:7" ht="17" x14ac:dyDescent="0.2">
      <c r="A60" s="95" t="s">
        <v>109</v>
      </c>
      <c r="B60"/>
    </row>
    <row r="61" spans="1:7" ht="17" x14ac:dyDescent="0.2">
      <c r="A61" s="95" t="s">
        <v>110</v>
      </c>
      <c r="B61"/>
    </row>
    <row r="62" spans="1:7" ht="17" x14ac:dyDescent="0.2">
      <c r="A62" s="95" t="s">
        <v>111</v>
      </c>
      <c r="B62"/>
    </row>
    <row r="63" spans="1:7" ht="17" x14ac:dyDescent="0.2">
      <c r="A63" s="95" t="s">
        <v>112</v>
      </c>
      <c r="B63"/>
    </row>
    <row r="64" spans="1:7" ht="17" x14ac:dyDescent="0.2">
      <c r="A64" s="95" t="s">
        <v>113</v>
      </c>
      <c r="B64"/>
    </row>
    <row r="65" spans="1:7" ht="17" x14ac:dyDescent="0.2">
      <c r="A65" s="95" t="s">
        <v>114</v>
      </c>
      <c r="B65"/>
    </row>
    <row r="66" spans="1:7" ht="17" x14ac:dyDescent="0.2">
      <c r="A66" s="95"/>
      <c r="B66"/>
    </row>
    <row r="67" spans="1:7" ht="17" x14ac:dyDescent="0.2">
      <c r="A67" s="100" t="s">
        <v>115</v>
      </c>
      <c r="B67"/>
    </row>
    <row r="68" spans="1:7" ht="17" x14ac:dyDescent="0.2">
      <c r="A68" s="95" t="s">
        <v>116</v>
      </c>
      <c r="B68" s="95" t="s">
        <v>117</v>
      </c>
      <c r="D68" s="95" t="s">
        <v>118</v>
      </c>
      <c r="F68" s="95" t="s">
        <v>119</v>
      </c>
    </row>
    <row r="69" spans="1:7" ht="17" x14ac:dyDescent="0.2">
      <c r="A69" s="95" t="s">
        <v>120</v>
      </c>
      <c r="B69" s="95" t="s">
        <v>121</v>
      </c>
      <c r="D69" s="95" t="s">
        <v>122</v>
      </c>
      <c r="F69" s="95" t="s">
        <v>123</v>
      </c>
    </row>
    <row r="70" spans="1:7" ht="17" x14ac:dyDescent="0.2">
      <c r="A70" s="95" t="s">
        <v>124</v>
      </c>
      <c r="B70" s="95" t="s">
        <v>125</v>
      </c>
      <c r="D70" s="95" t="s">
        <v>126</v>
      </c>
      <c r="F70" s="95" t="s">
        <v>127</v>
      </c>
    </row>
    <row r="71" spans="1:7" ht="17" x14ac:dyDescent="0.2">
      <c r="A71" s="95" t="s">
        <v>35</v>
      </c>
      <c r="B71" s="95" t="s">
        <v>128</v>
      </c>
      <c r="D71" s="101" t="s">
        <v>129</v>
      </c>
    </row>
    <row r="72" spans="1:7" ht="18" thickBot="1" x14ac:dyDescent="0.25">
      <c r="A72" s="95"/>
      <c r="B72"/>
    </row>
    <row r="73" spans="1:7" ht="16" customHeight="1" x14ac:dyDescent="0.2">
      <c r="A73" s="102" t="s">
        <v>130</v>
      </c>
      <c r="B73" s="103" t="s">
        <v>45</v>
      </c>
      <c r="C73" s="104" t="s">
        <v>131</v>
      </c>
      <c r="D73" s="104" t="s">
        <v>47</v>
      </c>
      <c r="E73" s="104" t="s">
        <v>132</v>
      </c>
      <c r="F73" s="104" t="s">
        <v>133</v>
      </c>
      <c r="G73" s="105" t="s">
        <v>50</v>
      </c>
    </row>
    <row r="74" spans="1:7" ht="16" customHeight="1" x14ac:dyDescent="0.2">
      <c r="A74" s="34" t="s">
        <v>134</v>
      </c>
      <c r="B74" s="106"/>
      <c r="C74" s="37">
        <v>0</v>
      </c>
      <c r="D74" s="37">
        <v>0</v>
      </c>
      <c r="E74" s="107">
        <v>200000</v>
      </c>
      <c r="F74" s="107">
        <f>C74*D74*E74</f>
        <v>0</v>
      </c>
      <c r="G74" s="34" t="s">
        <v>135</v>
      </c>
    </row>
    <row r="75" spans="1:7" ht="16" x14ac:dyDescent="0.2">
      <c r="A75" s="35" t="s">
        <v>136</v>
      </c>
      <c r="B75" s="36"/>
      <c r="C75" s="37">
        <v>0</v>
      </c>
      <c r="D75" s="37">
        <v>0</v>
      </c>
      <c r="E75" s="39">
        <v>12000</v>
      </c>
      <c r="F75" s="39">
        <f t="shared" ref="F75:F96" si="3">C75*D75*E75</f>
        <v>0</v>
      </c>
      <c r="G75" s="34" t="s">
        <v>137</v>
      </c>
    </row>
    <row r="76" spans="1:7" ht="16" x14ac:dyDescent="0.2">
      <c r="A76" s="35" t="s">
        <v>138</v>
      </c>
      <c r="B76" s="36"/>
      <c r="C76" s="37">
        <v>0</v>
      </c>
      <c r="D76" s="37">
        <v>0</v>
      </c>
      <c r="E76" s="39">
        <v>26000</v>
      </c>
      <c r="F76" s="39">
        <f t="shared" si="3"/>
        <v>0</v>
      </c>
      <c r="G76" s="34" t="s">
        <v>139</v>
      </c>
    </row>
    <row r="77" spans="1:7" ht="16" x14ac:dyDescent="0.2">
      <c r="A77" s="35" t="s">
        <v>140</v>
      </c>
      <c r="B77" s="36"/>
      <c r="C77" s="37">
        <v>0</v>
      </c>
      <c r="D77" s="37">
        <v>0</v>
      </c>
      <c r="E77" s="39">
        <v>35000</v>
      </c>
      <c r="F77" s="39">
        <f t="shared" si="3"/>
        <v>0</v>
      </c>
      <c r="G77" s="34" t="s">
        <v>139</v>
      </c>
    </row>
    <row r="78" spans="1:7" ht="16" x14ac:dyDescent="0.2">
      <c r="A78" s="35" t="s">
        <v>141</v>
      </c>
      <c r="B78" s="36"/>
      <c r="C78" s="37">
        <v>0</v>
      </c>
      <c r="D78" s="37">
        <v>0</v>
      </c>
      <c r="E78" s="39">
        <v>10000</v>
      </c>
      <c r="F78" s="39">
        <f t="shared" si="3"/>
        <v>0</v>
      </c>
      <c r="G78" s="34"/>
    </row>
    <row r="79" spans="1:7" ht="16" x14ac:dyDescent="0.2">
      <c r="A79" s="35" t="s">
        <v>142</v>
      </c>
      <c r="B79" s="36"/>
      <c r="C79" s="37">
        <v>0</v>
      </c>
      <c r="D79" s="37">
        <v>0</v>
      </c>
      <c r="E79" s="39">
        <v>4500</v>
      </c>
      <c r="F79" s="39">
        <f t="shared" si="3"/>
        <v>0</v>
      </c>
      <c r="G79" s="34" t="s">
        <v>143</v>
      </c>
    </row>
    <row r="80" spans="1:7" ht="16" x14ac:dyDescent="0.2">
      <c r="A80" s="35" t="s">
        <v>144</v>
      </c>
      <c r="B80" s="36"/>
      <c r="C80" s="37">
        <v>0</v>
      </c>
      <c r="D80" s="37">
        <v>0</v>
      </c>
      <c r="E80" s="39">
        <v>5000</v>
      </c>
      <c r="F80" s="39">
        <f t="shared" si="3"/>
        <v>0</v>
      </c>
      <c r="G80" s="34" t="s">
        <v>145</v>
      </c>
    </row>
    <row r="81" spans="1:7" ht="16" x14ac:dyDescent="0.2">
      <c r="A81" s="35" t="s">
        <v>146</v>
      </c>
      <c r="B81" s="36"/>
      <c r="C81" s="37">
        <v>0</v>
      </c>
      <c r="D81" s="37">
        <v>0</v>
      </c>
      <c r="E81" s="39">
        <v>5000</v>
      </c>
      <c r="F81" s="39">
        <f t="shared" si="3"/>
        <v>0</v>
      </c>
      <c r="G81" s="34" t="s">
        <v>147</v>
      </c>
    </row>
    <row r="82" spans="1:7" ht="16" x14ac:dyDescent="0.2">
      <c r="A82" s="35" t="s">
        <v>148</v>
      </c>
      <c r="B82" s="36"/>
      <c r="C82" s="37">
        <v>0</v>
      </c>
      <c r="D82" s="37">
        <v>0</v>
      </c>
      <c r="E82" s="39">
        <v>3000</v>
      </c>
      <c r="F82" s="39">
        <f t="shared" si="3"/>
        <v>0</v>
      </c>
      <c r="G82" s="34" t="s">
        <v>149</v>
      </c>
    </row>
    <row r="83" spans="1:7" ht="16" x14ac:dyDescent="0.2">
      <c r="A83" s="35" t="s">
        <v>150</v>
      </c>
      <c r="B83" s="36"/>
      <c r="C83" s="37">
        <v>0</v>
      </c>
      <c r="D83" s="37">
        <v>0</v>
      </c>
      <c r="E83" s="39">
        <v>16000</v>
      </c>
      <c r="F83" s="39">
        <f t="shared" si="3"/>
        <v>0</v>
      </c>
      <c r="G83" s="34" t="s">
        <v>151</v>
      </c>
    </row>
    <row r="84" spans="1:7" ht="16" x14ac:dyDescent="0.2">
      <c r="A84" s="35" t="s">
        <v>152</v>
      </c>
      <c r="B84" s="36"/>
      <c r="C84" s="37">
        <v>0</v>
      </c>
      <c r="D84" s="37">
        <v>0</v>
      </c>
      <c r="E84" s="39">
        <v>7000</v>
      </c>
      <c r="F84" s="39">
        <f t="shared" si="3"/>
        <v>0</v>
      </c>
      <c r="G84" s="34" t="s">
        <v>153</v>
      </c>
    </row>
    <row r="85" spans="1:7" ht="16" x14ac:dyDescent="0.2">
      <c r="A85" s="108" t="s">
        <v>58</v>
      </c>
      <c r="B85" s="109"/>
      <c r="C85" s="47">
        <v>0</v>
      </c>
      <c r="D85" s="47">
        <v>0</v>
      </c>
      <c r="E85" s="48">
        <v>1500</v>
      </c>
      <c r="F85" s="48">
        <f t="shared" si="3"/>
        <v>0</v>
      </c>
      <c r="G85" s="45" t="s">
        <v>59</v>
      </c>
    </row>
    <row r="86" spans="1:7" ht="16" x14ac:dyDescent="0.2">
      <c r="A86" s="110" t="s">
        <v>154</v>
      </c>
      <c r="B86" s="111"/>
      <c r="C86" s="47">
        <v>0</v>
      </c>
      <c r="D86" s="47">
        <v>0</v>
      </c>
      <c r="E86" s="48">
        <v>3000</v>
      </c>
      <c r="F86" s="48">
        <f t="shared" si="3"/>
        <v>0</v>
      </c>
      <c r="G86" s="45"/>
    </row>
    <row r="87" spans="1:7" ht="16" x14ac:dyDescent="0.2">
      <c r="A87" s="110" t="s">
        <v>155</v>
      </c>
      <c r="B87" s="111"/>
      <c r="C87" s="47">
        <v>0</v>
      </c>
      <c r="D87" s="47">
        <v>0</v>
      </c>
      <c r="E87" s="48">
        <v>1000</v>
      </c>
      <c r="F87" s="48">
        <f t="shared" si="3"/>
        <v>0</v>
      </c>
      <c r="G87" s="45" t="s">
        <v>156</v>
      </c>
    </row>
    <row r="88" spans="1:7" ht="16" x14ac:dyDescent="0.2">
      <c r="A88" s="110" t="s">
        <v>157</v>
      </c>
      <c r="B88" s="111"/>
      <c r="C88" s="47">
        <v>0</v>
      </c>
      <c r="D88" s="47">
        <v>0</v>
      </c>
      <c r="E88" s="48">
        <v>3000</v>
      </c>
      <c r="F88" s="48">
        <f t="shared" si="3"/>
        <v>0</v>
      </c>
      <c r="G88" s="45" t="s">
        <v>158</v>
      </c>
    </row>
    <row r="89" spans="1:7" ht="16" x14ac:dyDescent="0.2">
      <c r="A89" s="110" t="s">
        <v>159</v>
      </c>
      <c r="B89" s="111"/>
      <c r="C89" s="47">
        <v>0</v>
      </c>
      <c r="D89" s="47">
        <v>0</v>
      </c>
      <c r="E89" s="112">
        <v>150000</v>
      </c>
      <c r="F89" s="48">
        <f t="shared" si="3"/>
        <v>0</v>
      </c>
      <c r="G89" s="45" t="s">
        <v>160</v>
      </c>
    </row>
    <row r="90" spans="1:7" ht="16" x14ac:dyDescent="0.2">
      <c r="A90" s="35" t="s">
        <v>161</v>
      </c>
      <c r="B90" s="36"/>
      <c r="C90" s="37">
        <v>0</v>
      </c>
      <c r="D90" s="37">
        <v>0</v>
      </c>
      <c r="E90" s="38">
        <v>100000</v>
      </c>
      <c r="F90" s="39">
        <f t="shared" si="3"/>
        <v>0</v>
      </c>
      <c r="G90" s="34" t="s">
        <v>162</v>
      </c>
    </row>
    <row r="91" spans="1:7" ht="16" x14ac:dyDescent="0.2">
      <c r="A91" s="113" t="s">
        <v>163</v>
      </c>
      <c r="B91" s="114"/>
      <c r="C91" s="31">
        <v>0</v>
      </c>
      <c r="D91" s="115">
        <v>0</v>
      </c>
      <c r="E91" s="44">
        <v>3850</v>
      </c>
      <c r="F91" s="116">
        <f>E91*D91*C91</f>
        <v>0</v>
      </c>
      <c r="G91" s="117" t="s">
        <v>164</v>
      </c>
    </row>
    <row r="92" spans="1:7" ht="16" x14ac:dyDescent="0.2">
      <c r="A92" s="118" t="s">
        <v>165</v>
      </c>
      <c r="B92" s="119"/>
      <c r="C92" s="37">
        <v>0</v>
      </c>
      <c r="D92" s="37">
        <v>0</v>
      </c>
      <c r="E92" s="38">
        <v>4800</v>
      </c>
      <c r="F92" s="39">
        <f>C92*D92*E92</f>
        <v>0</v>
      </c>
      <c r="G92" s="35" t="s">
        <v>166</v>
      </c>
    </row>
    <row r="93" spans="1:7" ht="16" x14ac:dyDescent="0.2">
      <c r="A93" s="118" t="s">
        <v>167</v>
      </c>
      <c r="B93" s="119"/>
      <c r="C93" s="37">
        <v>0</v>
      </c>
      <c r="D93" s="37">
        <v>0</v>
      </c>
      <c r="E93" s="38">
        <v>5500</v>
      </c>
      <c r="F93" s="39">
        <f>C93*D93*E93</f>
        <v>0</v>
      </c>
      <c r="G93" s="35" t="s">
        <v>168</v>
      </c>
    </row>
    <row r="94" spans="1:7" ht="16" x14ac:dyDescent="0.2">
      <c r="A94" s="118" t="s">
        <v>169</v>
      </c>
      <c r="B94" s="119"/>
      <c r="C94" s="37">
        <v>0</v>
      </c>
      <c r="D94" s="37">
        <v>0</v>
      </c>
      <c r="E94" s="38">
        <v>7500</v>
      </c>
      <c r="F94" s="39">
        <f t="shared" si="3"/>
        <v>0</v>
      </c>
      <c r="G94" s="35" t="s">
        <v>170</v>
      </c>
    </row>
    <row r="95" spans="1:7" ht="15" customHeight="1" x14ac:dyDescent="0.2">
      <c r="A95" s="35" t="s">
        <v>171</v>
      </c>
      <c r="B95" s="36"/>
      <c r="C95" s="37">
        <v>0</v>
      </c>
      <c r="D95" s="37">
        <v>0</v>
      </c>
      <c r="E95" s="39">
        <v>8500</v>
      </c>
      <c r="F95" s="39">
        <f t="shared" si="3"/>
        <v>0</v>
      </c>
      <c r="G95" s="120" t="s">
        <v>172</v>
      </c>
    </row>
    <row r="96" spans="1:7" ht="15" customHeight="1" x14ac:dyDescent="0.2">
      <c r="A96" s="40" t="s">
        <v>173</v>
      </c>
      <c r="B96" s="42"/>
      <c r="C96" s="37">
        <v>0</v>
      </c>
      <c r="D96" s="37">
        <v>0</v>
      </c>
      <c r="E96" s="39">
        <v>13500</v>
      </c>
      <c r="F96" s="39">
        <f t="shared" si="3"/>
        <v>0</v>
      </c>
      <c r="G96" s="121" t="s">
        <v>174</v>
      </c>
    </row>
    <row r="97" spans="1:7" ht="16" x14ac:dyDescent="0.2">
      <c r="A97" s="35" t="s">
        <v>175</v>
      </c>
      <c r="B97" s="36"/>
      <c r="C97" s="37">
        <v>0</v>
      </c>
      <c r="D97" s="37">
        <v>0</v>
      </c>
      <c r="E97" s="39">
        <v>2500</v>
      </c>
      <c r="F97" s="39">
        <f>C97*D97*E97</f>
        <v>0</v>
      </c>
      <c r="G97" s="34" t="s">
        <v>176</v>
      </c>
    </row>
    <row r="98" spans="1:7" ht="16" x14ac:dyDescent="0.2">
      <c r="A98" s="35" t="s">
        <v>177</v>
      </c>
      <c r="B98" s="36"/>
      <c r="C98" s="37">
        <v>0</v>
      </c>
      <c r="D98" s="37">
        <v>0</v>
      </c>
      <c r="E98" s="38">
        <v>300000</v>
      </c>
      <c r="F98" s="39">
        <f>C98*D98*E98</f>
        <v>0</v>
      </c>
      <c r="G98" s="34" t="s">
        <v>90</v>
      </c>
    </row>
    <row r="99" spans="1:7" ht="16" x14ac:dyDescent="0.2">
      <c r="A99" s="35" t="s">
        <v>178</v>
      </c>
      <c r="B99" s="36"/>
      <c r="C99" s="37">
        <v>0</v>
      </c>
      <c r="D99" s="37">
        <v>0</v>
      </c>
      <c r="E99" s="38">
        <v>250000</v>
      </c>
      <c r="F99" s="39">
        <f>C99*D99*E99</f>
        <v>0</v>
      </c>
      <c r="G99" s="34" t="s">
        <v>90</v>
      </c>
    </row>
    <row r="100" spans="1:7" ht="16" x14ac:dyDescent="0.2">
      <c r="A100" s="35" t="s">
        <v>179</v>
      </c>
      <c r="B100" s="36"/>
      <c r="C100" s="37">
        <v>0</v>
      </c>
      <c r="D100" s="37">
        <v>0</v>
      </c>
      <c r="E100" s="38">
        <v>210000</v>
      </c>
      <c r="F100" s="39">
        <f t="shared" ref="F100:F122" si="4">C100*D100*E100</f>
        <v>0</v>
      </c>
      <c r="G100" s="34" t="s">
        <v>90</v>
      </c>
    </row>
    <row r="101" spans="1:7" ht="16" x14ac:dyDescent="0.2">
      <c r="A101" s="35" t="s">
        <v>180</v>
      </c>
      <c r="B101" s="36"/>
      <c r="C101" s="37">
        <v>0</v>
      </c>
      <c r="D101" s="37">
        <v>0</v>
      </c>
      <c r="E101" s="38">
        <v>210000</v>
      </c>
      <c r="F101" s="39">
        <f t="shared" si="4"/>
        <v>0</v>
      </c>
      <c r="G101" s="34" t="s">
        <v>90</v>
      </c>
    </row>
    <row r="102" spans="1:7" ht="16" x14ac:dyDescent="0.2">
      <c r="A102" s="35" t="s">
        <v>181</v>
      </c>
      <c r="B102" s="36"/>
      <c r="C102" s="37">
        <v>0</v>
      </c>
      <c r="D102" s="37">
        <v>0</v>
      </c>
      <c r="E102" s="38">
        <v>180000</v>
      </c>
      <c r="F102" s="39">
        <f t="shared" si="4"/>
        <v>0</v>
      </c>
      <c r="G102" s="34" t="s">
        <v>90</v>
      </c>
    </row>
    <row r="103" spans="1:7" ht="16" x14ac:dyDescent="0.2">
      <c r="A103" s="35" t="s">
        <v>182</v>
      </c>
      <c r="B103" s="36"/>
      <c r="C103" s="37">
        <v>0</v>
      </c>
      <c r="D103" s="37">
        <v>0</v>
      </c>
      <c r="E103" s="38">
        <v>180000</v>
      </c>
      <c r="F103" s="39">
        <f t="shared" si="4"/>
        <v>0</v>
      </c>
      <c r="G103" s="34" t="s">
        <v>90</v>
      </c>
    </row>
    <row r="104" spans="1:7" ht="16" x14ac:dyDescent="0.2">
      <c r="A104" s="35" t="s">
        <v>183</v>
      </c>
      <c r="B104" s="36"/>
      <c r="C104" s="37">
        <v>0</v>
      </c>
      <c r="D104" s="37">
        <v>0</v>
      </c>
      <c r="E104" s="48">
        <v>120000</v>
      </c>
      <c r="F104" s="39">
        <f t="shared" si="4"/>
        <v>0</v>
      </c>
      <c r="G104" s="34" t="s">
        <v>90</v>
      </c>
    </row>
    <row r="105" spans="1:7" ht="16" x14ac:dyDescent="0.2">
      <c r="A105" s="35" t="s">
        <v>184</v>
      </c>
      <c r="B105" s="36"/>
      <c r="C105" s="37">
        <v>0</v>
      </c>
      <c r="D105" s="37">
        <v>0</v>
      </c>
      <c r="E105" s="48">
        <v>90000</v>
      </c>
      <c r="F105" s="39">
        <f t="shared" si="4"/>
        <v>0</v>
      </c>
      <c r="G105" s="34" t="s">
        <v>90</v>
      </c>
    </row>
    <row r="106" spans="1:7" ht="16" x14ac:dyDescent="0.2">
      <c r="A106" s="35" t="s">
        <v>185</v>
      </c>
      <c r="B106" s="36"/>
      <c r="C106" s="37">
        <v>0</v>
      </c>
      <c r="D106" s="37">
        <v>0</v>
      </c>
      <c r="E106" s="48">
        <v>100000</v>
      </c>
      <c r="F106" s="39">
        <f t="shared" si="4"/>
        <v>0</v>
      </c>
      <c r="G106" s="34" t="s">
        <v>186</v>
      </c>
    </row>
    <row r="107" spans="1:7" ht="16" x14ac:dyDescent="0.2">
      <c r="A107" s="35" t="s">
        <v>187</v>
      </c>
      <c r="B107" s="36"/>
      <c r="C107" s="37">
        <v>0</v>
      </c>
      <c r="D107" s="37">
        <v>0</v>
      </c>
      <c r="E107" s="48">
        <v>300000</v>
      </c>
      <c r="F107" s="39">
        <f t="shared" si="4"/>
        <v>0</v>
      </c>
      <c r="G107" s="34" t="s">
        <v>90</v>
      </c>
    </row>
    <row r="108" spans="1:7" ht="16" x14ac:dyDescent="0.2">
      <c r="A108" s="122" t="s">
        <v>188</v>
      </c>
      <c r="B108" s="123"/>
      <c r="C108" s="37">
        <v>0</v>
      </c>
      <c r="D108" s="37">
        <v>0</v>
      </c>
      <c r="E108" s="124">
        <v>25000</v>
      </c>
      <c r="F108" s="125"/>
      <c r="G108" s="34" t="s">
        <v>189</v>
      </c>
    </row>
    <row r="109" spans="1:7" ht="16" x14ac:dyDescent="0.2">
      <c r="A109" s="122" t="s">
        <v>190</v>
      </c>
      <c r="B109" s="123"/>
      <c r="C109" s="37">
        <v>0</v>
      </c>
      <c r="D109" s="37">
        <v>0</v>
      </c>
      <c r="E109" s="126">
        <v>15000</v>
      </c>
      <c r="F109" s="125"/>
      <c r="G109" s="34" t="s">
        <v>189</v>
      </c>
    </row>
    <row r="110" spans="1:7" ht="16" x14ac:dyDescent="0.2">
      <c r="A110" s="122" t="s">
        <v>191</v>
      </c>
      <c r="B110" s="123"/>
      <c r="C110" s="37">
        <v>0</v>
      </c>
      <c r="D110" s="37">
        <v>0</v>
      </c>
      <c r="E110" s="126">
        <v>60000</v>
      </c>
      <c r="F110" s="125"/>
      <c r="G110" s="34"/>
    </row>
    <row r="111" spans="1:7" ht="16" x14ac:dyDescent="0.2">
      <c r="A111" s="122" t="s">
        <v>192</v>
      </c>
      <c r="B111" s="127"/>
      <c r="C111" s="37">
        <v>0</v>
      </c>
      <c r="D111" s="37">
        <v>0</v>
      </c>
      <c r="E111" s="38">
        <v>150000</v>
      </c>
      <c r="F111" s="39">
        <f t="shared" si="4"/>
        <v>0</v>
      </c>
      <c r="G111" s="34" t="s">
        <v>193</v>
      </c>
    </row>
    <row r="112" spans="1:7" ht="16" x14ac:dyDescent="0.2">
      <c r="A112" s="34" t="s">
        <v>194</v>
      </c>
      <c r="B112" s="128"/>
      <c r="C112" s="37">
        <v>0</v>
      </c>
      <c r="D112" s="37">
        <v>0</v>
      </c>
      <c r="E112" s="39">
        <v>100000</v>
      </c>
      <c r="F112" s="39">
        <f t="shared" si="4"/>
        <v>0</v>
      </c>
      <c r="G112" s="34" t="s">
        <v>195</v>
      </c>
    </row>
    <row r="113" spans="1:7" ht="16" x14ac:dyDescent="0.2">
      <c r="A113" s="34" t="s">
        <v>196</v>
      </c>
      <c r="B113" s="128"/>
      <c r="C113" s="37">
        <v>0</v>
      </c>
      <c r="D113" s="37">
        <v>0</v>
      </c>
      <c r="E113" s="48">
        <v>150000</v>
      </c>
      <c r="F113" s="39">
        <f t="shared" si="4"/>
        <v>0</v>
      </c>
      <c r="G113" s="34" t="s">
        <v>197</v>
      </c>
    </row>
    <row r="114" spans="1:7" ht="16" x14ac:dyDescent="0.2">
      <c r="A114" s="34" t="s">
        <v>198</v>
      </c>
      <c r="B114" s="128"/>
      <c r="C114" s="37">
        <v>0</v>
      </c>
      <c r="D114" s="37">
        <v>0</v>
      </c>
      <c r="E114" s="48">
        <v>380000</v>
      </c>
      <c r="F114" s="39">
        <f t="shared" si="4"/>
        <v>0</v>
      </c>
      <c r="G114" s="34" t="s">
        <v>199</v>
      </c>
    </row>
    <row r="115" spans="1:7" ht="16" x14ac:dyDescent="0.2">
      <c r="A115" s="34" t="s">
        <v>200</v>
      </c>
      <c r="B115" s="128"/>
      <c r="C115" s="37">
        <v>0</v>
      </c>
      <c r="D115" s="37">
        <v>0</v>
      </c>
      <c r="E115" s="48">
        <v>280000</v>
      </c>
      <c r="F115" s="39">
        <f t="shared" si="4"/>
        <v>0</v>
      </c>
      <c r="G115" s="34" t="s">
        <v>197</v>
      </c>
    </row>
    <row r="116" spans="1:7" ht="16" x14ac:dyDescent="0.2">
      <c r="A116" s="129" t="s">
        <v>201</v>
      </c>
      <c r="B116" s="130"/>
      <c r="C116" s="37">
        <v>0</v>
      </c>
      <c r="D116" s="37">
        <v>0</v>
      </c>
      <c r="E116" s="48">
        <v>650000</v>
      </c>
      <c r="F116" s="39">
        <f t="shared" si="4"/>
        <v>0</v>
      </c>
      <c r="G116" s="34" t="s">
        <v>202</v>
      </c>
    </row>
    <row r="117" spans="1:7" ht="15" customHeight="1" x14ac:dyDescent="0.2">
      <c r="A117" s="129" t="s">
        <v>203</v>
      </c>
      <c r="B117" s="130"/>
      <c r="C117" s="37">
        <v>0</v>
      </c>
      <c r="D117" s="37">
        <v>0</v>
      </c>
      <c r="E117" s="48">
        <v>450000</v>
      </c>
      <c r="F117" s="107">
        <f t="shared" si="4"/>
        <v>0</v>
      </c>
      <c r="G117" s="34" t="s">
        <v>204</v>
      </c>
    </row>
    <row r="118" spans="1:7" ht="15" customHeight="1" x14ac:dyDescent="0.2">
      <c r="A118" s="129" t="s">
        <v>205</v>
      </c>
      <c r="B118" s="130"/>
      <c r="C118" s="37">
        <v>0</v>
      </c>
      <c r="D118" s="37">
        <v>0</v>
      </c>
      <c r="E118" s="48">
        <v>80000</v>
      </c>
      <c r="F118" s="107">
        <f t="shared" si="4"/>
        <v>0</v>
      </c>
      <c r="G118" s="34"/>
    </row>
    <row r="119" spans="1:7" ht="15" customHeight="1" x14ac:dyDescent="0.2">
      <c r="A119" s="129" t="s">
        <v>206</v>
      </c>
      <c r="B119" s="130"/>
      <c r="C119" s="37">
        <v>0</v>
      </c>
      <c r="D119" s="37">
        <v>0</v>
      </c>
      <c r="E119" s="48">
        <v>300000</v>
      </c>
      <c r="F119" s="107">
        <f t="shared" si="4"/>
        <v>0</v>
      </c>
      <c r="G119" s="34" t="s">
        <v>207</v>
      </c>
    </row>
    <row r="120" spans="1:7" ht="15" customHeight="1" x14ac:dyDescent="0.2">
      <c r="A120" s="129" t="s">
        <v>208</v>
      </c>
      <c r="B120" s="130"/>
      <c r="C120" s="37">
        <v>0</v>
      </c>
      <c r="D120" s="37">
        <v>0</v>
      </c>
      <c r="E120" s="39">
        <v>680000</v>
      </c>
      <c r="F120" s="107">
        <f t="shared" si="4"/>
        <v>0</v>
      </c>
      <c r="G120" s="34" t="s">
        <v>209</v>
      </c>
    </row>
    <row r="121" spans="1:7" ht="15" customHeight="1" x14ac:dyDescent="0.2">
      <c r="A121" s="129" t="s">
        <v>208</v>
      </c>
      <c r="B121" s="130"/>
      <c r="C121" s="37">
        <v>0</v>
      </c>
      <c r="D121" s="37">
        <v>0</v>
      </c>
      <c r="E121" s="39">
        <v>580000</v>
      </c>
      <c r="F121" s="107">
        <f t="shared" si="4"/>
        <v>0</v>
      </c>
      <c r="G121" s="34" t="s">
        <v>210</v>
      </c>
    </row>
    <row r="122" spans="1:7" ht="15" customHeight="1" x14ac:dyDescent="0.2">
      <c r="A122" s="129" t="s">
        <v>211</v>
      </c>
      <c r="B122" s="130"/>
      <c r="C122" s="37">
        <v>0</v>
      </c>
      <c r="D122" s="37">
        <v>0</v>
      </c>
      <c r="E122" s="39">
        <v>580000</v>
      </c>
      <c r="F122" s="107">
        <f t="shared" si="4"/>
        <v>0</v>
      </c>
      <c r="G122" s="34" t="s">
        <v>212</v>
      </c>
    </row>
    <row r="123" spans="1:7" ht="16" x14ac:dyDescent="0.2">
      <c r="A123" s="34" t="s">
        <v>213</v>
      </c>
      <c r="B123" s="128"/>
      <c r="C123" s="37">
        <v>0</v>
      </c>
      <c r="D123" s="37">
        <v>0</v>
      </c>
      <c r="E123" s="39">
        <v>180000</v>
      </c>
      <c r="F123" s="39">
        <f>C123*D123*E123</f>
        <v>0</v>
      </c>
      <c r="G123" s="34" t="s">
        <v>214</v>
      </c>
    </row>
    <row r="124" spans="1:7" ht="16" x14ac:dyDescent="0.2">
      <c r="A124" s="93"/>
      <c r="B124" s="131"/>
      <c r="C124" s="93"/>
      <c r="D124" s="93"/>
      <c r="E124" s="93"/>
      <c r="F124" s="93"/>
      <c r="G124" s="132" t="s">
        <v>215</v>
      </c>
    </row>
    <row r="125" spans="1:7" x14ac:dyDescent="0.2">
      <c r="A125" s="93"/>
      <c r="B125" s="131"/>
      <c r="C125" s="93"/>
      <c r="D125" s="93"/>
      <c r="E125" s="93" t="s">
        <v>26</v>
      </c>
      <c r="F125" s="93" t="s">
        <v>26</v>
      </c>
      <c r="G125" s="93"/>
    </row>
    <row r="126" spans="1:7" ht="17" customHeight="1" x14ac:dyDescent="0.2">
      <c r="A126" s="93"/>
      <c r="B126" s="131"/>
      <c r="C126" s="93"/>
      <c r="D126" s="93"/>
      <c r="E126" s="93" t="s">
        <v>26</v>
      </c>
      <c r="F126" s="93"/>
      <c r="G126" s="93"/>
    </row>
    <row r="127" spans="1:7" ht="17" customHeight="1" x14ac:dyDescent="0.2">
      <c r="A127" s="93"/>
      <c r="B127" s="131"/>
      <c r="C127" s="93"/>
      <c r="D127" s="93"/>
      <c r="E127" s="93"/>
      <c r="F127" s="93"/>
      <c r="G127" s="93"/>
    </row>
    <row r="128" spans="1:7" x14ac:dyDescent="0.2">
      <c r="A128" s="93"/>
      <c r="B128" s="131"/>
      <c r="C128" s="93"/>
      <c r="D128" s="93"/>
      <c r="E128" s="93"/>
      <c r="F128" s="93"/>
      <c r="G128" s="93"/>
    </row>
    <row r="129" spans="1:7" x14ac:dyDescent="0.2">
      <c r="A129" s="93"/>
      <c r="B129" s="131"/>
      <c r="C129" s="93"/>
      <c r="D129" s="93"/>
      <c r="E129" s="93"/>
      <c r="F129" s="93"/>
      <c r="G129" s="93"/>
    </row>
    <row r="130" spans="1:7" ht="17" customHeight="1" x14ac:dyDescent="0.2">
      <c r="A130" s="93"/>
      <c r="B130" s="131"/>
      <c r="C130" s="93"/>
      <c r="D130" s="93"/>
      <c r="E130" s="93"/>
      <c r="F130" s="93"/>
      <c r="G130" s="93"/>
    </row>
    <row r="131" spans="1:7" ht="17" customHeight="1" x14ac:dyDescent="0.2">
      <c r="A131" s="93"/>
      <c r="B131" s="131"/>
      <c r="C131" s="93"/>
      <c r="D131" s="93"/>
      <c r="E131" s="93"/>
      <c r="F131" s="93"/>
      <c r="G131" s="93"/>
    </row>
    <row r="132" spans="1:7" x14ac:dyDescent="0.2">
      <c r="A132" s="93"/>
      <c r="B132" s="131"/>
      <c r="C132" s="93"/>
      <c r="D132" s="93"/>
      <c r="E132" s="93"/>
      <c r="F132" s="93"/>
      <c r="G132" s="93"/>
    </row>
    <row r="133" spans="1:7" x14ac:dyDescent="0.2">
      <c r="A133" s="93"/>
      <c r="B133" s="131"/>
      <c r="C133" s="93"/>
      <c r="D133" s="93"/>
      <c r="E133" s="93"/>
      <c r="F133" s="93"/>
      <c r="G133" s="93"/>
    </row>
    <row r="149" spans="1:7" ht="17" x14ac:dyDescent="0.2">
      <c r="A149" s="133"/>
      <c r="B149" s="134"/>
      <c r="C149" s="71"/>
      <c r="D149" s="71"/>
      <c r="E149" s="71"/>
      <c r="F149" s="71"/>
      <c r="G149" s="71"/>
    </row>
  </sheetData>
  <mergeCells count="2">
    <mergeCell ref="B6:D6"/>
    <mergeCell ref="A7:B7"/>
  </mergeCells>
  <hyperlinks>
    <hyperlink ref="D71" r:id="rId1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Views>
    <sheetView topLeftCell="A13" workbookViewId="0">
      <selection activeCell="E41" sqref="E41"/>
    </sheetView>
  </sheetViews>
  <sheetFormatPr baseColWidth="10" defaultRowHeight="15" x14ac:dyDescent="0.2"/>
  <cols>
    <col min="1" max="1" width="38.5" customWidth="1"/>
    <col min="2" max="2" width="12.5" style="14" customWidth="1"/>
    <col min="3" max="4" width="7.33203125" customWidth="1"/>
    <col min="5" max="5" width="11.5" customWidth="1"/>
    <col min="6" max="6" width="14.5" customWidth="1"/>
    <col min="7" max="7" width="101.6640625" customWidth="1"/>
    <col min="8" max="8" width="13" bestFit="1" customWidth="1"/>
    <col min="9" max="9" width="114.1640625" customWidth="1"/>
  </cols>
  <sheetData>
    <row r="1" spans="1:7" ht="64" customHeight="1" x14ac:dyDescent="0.3">
      <c r="A1" s="11" t="s">
        <v>26</v>
      </c>
      <c r="B1" s="12"/>
      <c r="C1" s="13" t="s">
        <v>27</v>
      </c>
    </row>
    <row r="2" spans="1:7" x14ac:dyDescent="0.2">
      <c r="G2" t="s">
        <v>28</v>
      </c>
    </row>
    <row r="3" spans="1:7" ht="16" x14ac:dyDescent="0.2">
      <c r="A3" s="15" t="s">
        <v>221</v>
      </c>
      <c r="B3" s="142" t="s">
        <v>30</v>
      </c>
      <c r="C3" s="143"/>
      <c r="E3" t="s">
        <v>31</v>
      </c>
      <c r="F3" s="17" t="s">
        <v>32</v>
      </c>
      <c r="G3" s="18" t="s">
        <v>222</v>
      </c>
    </row>
    <row r="4" spans="1:7" ht="16" x14ac:dyDescent="0.2">
      <c r="A4" t="s">
        <v>34</v>
      </c>
      <c r="C4" s="19"/>
      <c r="E4" t="s">
        <v>35</v>
      </c>
      <c r="F4">
        <v>90827788</v>
      </c>
      <c r="G4" s="20" t="s">
        <v>223</v>
      </c>
    </row>
    <row r="5" spans="1:7" ht="16" x14ac:dyDescent="0.2">
      <c r="A5" t="s">
        <v>37</v>
      </c>
      <c r="E5" t="s">
        <v>39</v>
      </c>
      <c r="F5" s="17">
        <v>28</v>
      </c>
      <c r="G5" s="20" t="s">
        <v>40</v>
      </c>
    </row>
    <row r="6" spans="1:7" ht="16" x14ac:dyDescent="0.2">
      <c r="A6" s="144" t="s">
        <v>41</v>
      </c>
      <c r="B6" s="266" t="s">
        <v>232</v>
      </c>
      <c r="C6" s="266"/>
      <c r="D6" s="266"/>
      <c r="E6" s="145" t="s">
        <v>42</v>
      </c>
      <c r="F6" s="145">
        <v>974961403</v>
      </c>
      <c r="G6" s="20" t="s">
        <v>43</v>
      </c>
    </row>
    <row r="7" spans="1:7" ht="16" x14ac:dyDescent="0.2">
      <c r="A7" s="267" t="s">
        <v>225</v>
      </c>
      <c r="B7" s="267"/>
      <c r="C7" s="146" t="s">
        <v>26</v>
      </c>
      <c r="D7" t="s">
        <v>26</v>
      </c>
      <c r="E7" s="23"/>
      <c r="F7" s="23" t="s">
        <v>26</v>
      </c>
      <c r="G7" s="20"/>
    </row>
    <row r="8" spans="1:7" ht="17" thickBot="1" x14ac:dyDescent="0.25">
      <c r="A8" s="147"/>
      <c r="B8" s="146"/>
      <c r="C8" s="148"/>
      <c r="D8" s="23"/>
      <c r="E8" s="23"/>
      <c r="F8" s="23"/>
      <c r="G8" s="20"/>
    </row>
    <row r="9" spans="1:7" ht="15.75" customHeight="1" x14ac:dyDescent="0.2">
      <c r="A9" s="25" t="s">
        <v>44</v>
      </c>
      <c r="B9" s="26" t="s">
        <v>45</v>
      </c>
      <c r="C9" s="27" t="s">
        <v>46</v>
      </c>
      <c r="D9" s="27" t="s">
        <v>47</v>
      </c>
      <c r="E9" s="27" t="s">
        <v>48</v>
      </c>
      <c r="F9" s="27" t="s">
        <v>49</v>
      </c>
      <c r="G9" s="28" t="s">
        <v>50</v>
      </c>
    </row>
    <row r="10" spans="1:7" ht="16.5" customHeight="1" x14ac:dyDescent="0.2">
      <c r="A10" s="29" t="s">
        <v>51</v>
      </c>
      <c r="B10" s="30" t="s">
        <v>226</v>
      </c>
      <c r="C10" s="31">
        <v>1</v>
      </c>
      <c r="D10" s="31">
        <v>28</v>
      </c>
      <c r="E10" s="32">
        <v>8500</v>
      </c>
      <c r="F10" s="33">
        <f>C10*D10*E10</f>
        <v>238000</v>
      </c>
      <c r="G10" s="34" t="s">
        <v>52</v>
      </c>
    </row>
    <row r="11" spans="1:7" ht="16" x14ac:dyDescent="0.2">
      <c r="A11" s="35" t="s">
        <v>182</v>
      </c>
      <c r="B11" s="36"/>
      <c r="C11" s="37">
        <v>1</v>
      </c>
      <c r="D11" s="37">
        <v>1</v>
      </c>
      <c r="E11" s="38">
        <v>180000</v>
      </c>
      <c r="F11" s="39">
        <f t="shared" ref="F11:F17" si="0">C11*D11*E11</f>
        <v>180000</v>
      </c>
      <c r="G11" s="34" t="s">
        <v>90</v>
      </c>
    </row>
    <row r="12" spans="1:7" ht="16.5" customHeight="1" x14ac:dyDescent="0.2">
      <c r="A12" s="40" t="s">
        <v>55</v>
      </c>
      <c r="B12" s="41" t="s">
        <v>56</v>
      </c>
      <c r="C12" s="31">
        <v>1</v>
      </c>
      <c r="D12" s="31">
        <v>28</v>
      </c>
      <c r="E12" s="39">
        <v>15000</v>
      </c>
      <c r="F12" s="39">
        <f t="shared" si="0"/>
        <v>420000</v>
      </c>
      <c r="G12" s="34" t="s">
        <v>57</v>
      </c>
    </row>
    <row r="13" spans="1:7" ht="16" x14ac:dyDescent="0.2">
      <c r="A13" s="40" t="s">
        <v>58</v>
      </c>
      <c r="B13" s="42"/>
      <c r="C13" s="37">
        <v>1</v>
      </c>
      <c r="D13" s="37">
        <v>28</v>
      </c>
      <c r="E13" s="39">
        <v>1500</v>
      </c>
      <c r="F13" s="39">
        <f t="shared" si="0"/>
        <v>42000</v>
      </c>
      <c r="G13" s="34" t="s">
        <v>59</v>
      </c>
    </row>
    <row r="14" spans="1:7" ht="16" x14ac:dyDescent="0.2">
      <c r="A14" s="43" t="s">
        <v>60</v>
      </c>
      <c r="B14" s="41" t="s">
        <v>61</v>
      </c>
      <c r="C14" s="31">
        <v>1</v>
      </c>
      <c r="D14" s="31">
        <v>28</v>
      </c>
      <c r="E14" s="44">
        <v>15000</v>
      </c>
      <c r="F14" s="33">
        <f t="shared" si="0"/>
        <v>420000</v>
      </c>
      <c r="G14" s="34" t="s">
        <v>62</v>
      </c>
    </row>
    <row r="15" spans="1:7" ht="16" x14ac:dyDescent="0.2">
      <c r="A15" s="40" t="s">
        <v>58</v>
      </c>
      <c r="B15" s="42"/>
      <c r="C15" s="37">
        <v>1</v>
      </c>
      <c r="D15" s="37">
        <v>28</v>
      </c>
      <c r="E15" s="39">
        <v>1500</v>
      </c>
      <c r="F15" s="39">
        <f t="shared" si="0"/>
        <v>42000</v>
      </c>
      <c r="G15" s="34" t="s">
        <v>59</v>
      </c>
    </row>
    <row r="16" spans="1:7" ht="16" x14ac:dyDescent="0.2">
      <c r="A16" s="45" t="s">
        <v>63</v>
      </c>
      <c r="B16" s="46"/>
      <c r="C16" s="47">
        <v>1</v>
      </c>
      <c r="D16" s="47">
        <v>1</v>
      </c>
      <c r="E16" s="48">
        <v>99000</v>
      </c>
      <c r="F16" s="48">
        <f t="shared" si="0"/>
        <v>99000</v>
      </c>
      <c r="G16" s="45" t="s">
        <v>64</v>
      </c>
    </row>
    <row r="17" spans="1:7" ht="16" x14ac:dyDescent="0.2">
      <c r="A17" s="45" t="s">
        <v>65</v>
      </c>
      <c r="B17" s="46"/>
      <c r="C17" s="47">
        <v>1</v>
      </c>
      <c r="D17" s="47">
        <v>14</v>
      </c>
      <c r="E17" s="48">
        <v>113500</v>
      </c>
      <c r="F17" s="48">
        <f t="shared" si="0"/>
        <v>1589000</v>
      </c>
      <c r="G17" s="45" t="s">
        <v>66</v>
      </c>
    </row>
    <row r="18" spans="1:7" ht="16.5" customHeight="1" thickBot="1" x14ac:dyDescent="0.25">
      <c r="A18" s="55" t="s">
        <v>85</v>
      </c>
      <c r="B18" s="56"/>
      <c r="C18" s="57"/>
      <c r="D18" s="58"/>
      <c r="E18" s="59"/>
      <c r="F18" s="60">
        <f>SUM(F10:F17)</f>
        <v>3030000</v>
      </c>
      <c r="G18" s="61" t="s">
        <v>26</v>
      </c>
    </row>
    <row r="19" spans="1:7" ht="16.5" customHeight="1" x14ac:dyDescent="0.2">
      <c r="A19" s="25" t="s">
        <v>86</v>
      </c>
      <c r="B19" s="26"/>
      <c r="C19" s="27" t="s">
        <v>46</v>
      </c>
      <c r="D19" s="27" t="s">
        <v>47</v>
      </c>
      <c r="E19" s="27" t="s">
        <v>48</v>
      </c>
      <c r="F19" s="27" t="s">
        <v>49</v>
      </c>
      <c r="G19" s="28" t="s">
        <v>50</v>
      </c>
    </row>
    <row r="20" spans="1:7" ht="16.5" customHeight="1" x14ac:dyDescent="0.2">
      <c r="A20" s="29" t="s">
        <v>87</v>
      </c>
      <c r="B20" s="30"/>
      <c r="C20" s="31">
        <v>1</v>
      </c>
      <c r="D20" s="31">
        <v>28</v>
      </c>
      <c r="E20" s="32">
        <v>8500</v>
      </c>
      <c r="F20" s="33" t="s">
        <v>88</v>
      </c>
      <c r="G20" s="34" t="s">
        <v>52</v>
      </c>
    </row>
    <row r="21" spans="1:7" ht="16" x14ac:dyDescent="0.2">
      <c r="A21" s="35" t="s">
        <v>89</v>
      </c>
      <c r="B21" s="36"/>
      <c r="C21" s="37">
        <v>1</v>
      </c>
      <c r="D21" s="37">
        <v>1</v>
      </c>
      <c r="E21" s="38">
        <v>180000</v>
      </c>
      <c r="F21" s="39">
        <f t="shared" ref="F21" si="1">C21*D21*E21</f>
        <v>180000</v>
      </c>
      <c r="G21" s="34" t="s">
        <v>90</v>
      </c>
    </row>
    <row r="22" spans="1:7" ht="16.5" customHeight="1" x14ac:dyDescent="0.2">
      <c r="A22" s="40" t="s">
        <v>55</v>
      </c>
      <c r="B22" s="41"/>
      <c r="C22" s="31">
        <v>1</v>
      </c>
      <c r="D22" s="31">
        <v>28</v>
      </c>
      <c r="E22" s="39">
        <v>15000</v>
      </c>
      <c r="F22" s="39">
        <f>C22*D22*E22</f>
        <v>420000</v>
      </c>
      <c r="G22" s="34" t="s">
        <v>57</v>
      </c>
    </row>
    <row r="23" spans="1:7" ht="16" x14ac:dyDescent="0.2">
      <c r="A23" s="40" t="s">
        <v>58</v>
      </c>
      <c r="B23" s="42"/>
      <c r="C23" s="37">
        <v>1</v>
      </c>
      <c r="D23" s="37">
        <v>28</v>
      </c>
      <c r="E23" s="39">
        <v>1500</v>
      </c>
      <c r="F23" s="39">
        <f t="shared" ref="F23" si="2">C23*D23*E23</f>
        <v>42000</v>
      </c>
      <c r="G23" s="34" t="s">
        <v>59</v>
      </c>
    </row>
    <row r="24" spans="1:7" ht="16" x14ac:dyDescent="0.2">
      <c r="A24" s="62" t="s">
        <v>67</v>
      </c>
      <c r="B24" s="63" t="s">
        <v>91</v>
      </c>
      <c r="C24" s="64"/>
      <c r="D24" s="64"/>
      <c r="E24" s="65"/>
      <c r="F24" s="65"/>
      <c r="G24" s="62" t="s">
        <v>69</v>
      </c>
    </row>
    <row r="25" spans="1:7" ht="16" x14ac:dyDescent="0.2">
      <c r="A25" s="45" t="s">
        <v>70</v>
      </c>
      <c r="B25" s="46" t="s">
        <v>92</v>
      </c>
      <c r="C25" s="47">
        <v>1</v>
      </c>
      <c r="D25" s="47">
        <v>28</v>
      </c>
      <c r="E25" s="48">
        <v>0</v>
      </c>
      <c r="F25" s="53" t="s">
        <v>72</v>
      </c>
      <c r="G25" s="54" t="s">
        <v>73</v>
      </c>
    </row>
    <row r="26" spans="1:7" ht="16" x14ac:dyDescent="0.2">
      <c r="A26" s="45" t="s">
        <v>74</v>
      </c>
      <c r="B26" s="46" t="s">
        <v>92</v>
      </c>
      <c r="C26" s="47">
        <v>1</v>
      </c>
      <c r="D26" s="47">
        <v>28</v>
      </c>
      <c r="E26" s="48">
        <v>0</v>
      </c>
      <c r="F26" s="53" t="s">
        <v>72</v>
      </c>
      <c r="G26" s="54" t="s">
        <v>75</v>
      </c>
    </row>
    <row r="27" spans="1:7" ht="16" x14ac:dyDescent="0.2">
      <c r="A27" s="45" t="s">
        <v>76</v>
      </c>
      <c r="B27" s="46" t="s">
        <v>77</v>
      </c>
      <c r="C27" s="47">
        <v>1</v>
      </c>
      <c r="D27" s="47">
        <v>28</v>
      </c>
      <c r="E27" s="48">
        <v>0</v>
      </c>
      <c r="F27" s="53" t="s">
        <v>72</v>
      </c>
      <c r="G27" s="54" t="s">
        <v>78</v>
      </c>
    </row>
    <row r="28" spans="1:7" ht="16" x14ac:dyDescent="0.2">
      <c r="A28" s="45" t="s">
        <v>79</v>
      </c>
      <c r="B28" s="46" t="s">
        <v>77</v>
      </c>
      <c r="C28" s="47">
        <v>1</v>
      </c>
      <c r="D28" s="47">
        <v>28</v>
      </c>
      <c r="E28" s="48">
        <v>0</v>
      </c>
      <c r="F28" s="53" t="s">
        <v>72</v>
      </c>
      <c r="G28" s="45" t="s">
        <v>80</v>
      </c>
    </row>
    <row r="29" spans="1:7" ht="16.5" customHeight="1" thickBot="1" x14ac:dyDescent="0.25">
      <c r="A29" s="55" t="s">
        <v>85</v>
      </c>
      <c r="B29" s="56"/>
      <c r="C29" s="57"/>
      <c r="D29" s="58"/>
      <c r="E29" s="59"/>
      <c r="F29" s="60">
        <f>SUM(F20:F23)</f>
        <v>642000</v>
      </c>
      <c r="G29" s="61" t="s">
        <v>26</v>
      </c>
    </row>
    <row r="30" spans="1:7" ht="17" thickBot="1" x14ac:dyDescent="0.25">
      <c r="A30" s="66" t="s">
        <v>93</v>
      </c>
      <c r="B30" s="67"/>
      <c r="C30" s="68"/>
      <c r="D30" s="68"/>
      <c r="E30" s="69"/>
      <c r="F30" s="70">
        <f>F18+F29</f>
        <v>3672000</v>
      </c>
      <c r="G30" s="71" t="s">
        <v>94</v>
      </c>
    </row>
    <row r="31" spans="1:7" ht="16" x14ac:dyDescent="0.2">
      <c r="A31" s="72" t="s">
        <v>95</v>
      </c>
      <c r="B31" s="73"/>
      <c r="C31" s="74"/>
      <c r="D31" s="58"/>
      <c r="E31" s="59"/>
      <c r="F31" s="60">
        <f>F30*1.19-F30</f>
        <v>697680</v>
      </c>
      <c r="G31" s="71"/>
    </row>
    <row r="32" spans="1:7" ht="16" x14ac:dyDescent="0.2">
      <c r="A32" s="149" t="s">
        <v>227</v>
      </c>
      <c r="B32" s="76"/>
      <c r="C32" s="77"/>
      <c r="D32" s="77"/>
      <c r="E32" s="78"/>
      <c r="F32" s="79">
        <f>F30+F31</f>
        <v>4369680</v>
      </c>
      <c r="G32" s="71"/>
    </row>
    <row r="33" spans="1:7" ht="16" x14ac:dyDescent="0.2">
      <c r="A33" s="150" t="s">
        <v>228</v>
      </c>
      <c r="B33" s="151"/>
      <c r="C33" s="152"/>
      <c r="D33" s="152"/>
      <c r="E33" s="153"/>
      <c r="F33" s="154" t="s">
        <v>26</v>
      </c>
      <c r="G33" s="71"/>
    </row>
    <row r="34" spans="1:7" x14ac:dyDescent="0.2">
      <c r="A34" s="155" t="s">
        <v>229</v>
      </c>
      <c r="B34" s="156"/>
      <c r="C34" s="157"/>
      <c r="D34" s="157"/>
      <c r="E34" s="157"/>
      <c r="F34" s="158">
        <v>3708000</v>
      </c>
    </row>
    <row r="35" spans="1:7" ht="16" x14ac:dyDescent="0.2">
      <c r="A35" s="159" t="s">
        <v>230</v>
      </c>
      <c r="B35" s="160"/>
      <c r="C35" s="161"/>
      <c r="D35" s="161"/>
      <c r="E35" s="162"/>
      <c r="F35" s="163">
        <v>135000</v>
      </c>
      <c r="G35" s="141" t="s">
        <v>231</v>
      </c>
    </row>
    <row r="36" spans="1:7" ht="19" x14ac:dyDescent="0.2">
      <c r="A36" s="94"/>
      <c r="B36"/>
      <c r="E36" s="95"/>
      <c r="F36" s="164"/>
      <c r="G36" s="95"/>
    </row>
    <row r="37" spans="1:7" ht="19" x14ac:dyDescent="0.2">
      <c r="A37" s="94"/>
      <c r="B37"/>
      <c r="E37" s="95"/>
      <c r="F37" s="164">
        <f>F35*28</f>
        <v>3780000</v>
      </c>
      <c r="G37" s="95"/>
    </row>
    <row r="38" spans="1:7" ht="20" thickBot="1" x14ac:dyDescent="0.25">
      <c r="A38" s="94"/>
      <c r="B38"/>
      <c r="D38" s="93"/>
      <c r="E38" s="135" t="s">
        <v>216</v>
      </c>
      <c r="F38" s="137">
        <v>2430000</v>
      </c>
      <c r="G38" s="95"/>
    </row>
    <row r="39" spans="1:7" ht="19" x14ac:dyDescent="0.2">
      <c r="A39" s="94"/>
      <c r="B39"/>
      <c r="E39" s="135" t="s">
        <v>217</v>
      </c>
      <c r="F39" s="138">
        <v>67503</v>
      </c>
      <c r="G39" s="95"/>
    </row>
    <row r="40" spans="1:7" ht="19" x14ac:dyDescent="0.2">
      <c r="A40" s="94"/>
      <c r="B40"/>
      <c r="E40" s="95"/>
      <c r="F40" s="164"/>
      <c r="G40" s="95"/>
    </row>
    <row r="41" spans="1:7" ht="19" x14ac:dyDescent="0.2">
      <c r="A41" s="94"/>
      <c r="B41"/>
      <c r="E41" s="95"/>
      <c r="F41" s="164">
        <f>+F38+F39-F37</f>
        <v>-1282497</v>
      </c>
      <c r="G41" s="95"/>
    </row>
    <row r="42" spans="1:7" ht="19" x14ac:dyDescent="0.2">
      <c r="A42" s="94"/>
      <c r="B42"/>
      <c r="E42" s="95"/>
      <c r="F42" s="164"/>
      <c r="G42" s="95"/>
    </row>
    <row r="43" spans="1:7" ht="19" x14ac:dyDescent="0.2">
      <c r="A43" s="94"/>
      <c r="B43"/>
      <c r="E43" s="95"/>
      <c r="F43" s="164"/>
      <c r="G43" s="95"/>
    </row>
    <row r="44" spans="1:7" ht="19" x14ac:dyDescent="0.2">
      <c r="A44" s="94"/>
      <c r="B44"/>
      <c r="E44" s="95"/>
      <c r="F44" s="164"/>
      <c r="G44" s="95"/>
    </row>
    <row r="45" spans="1:7" ht="19" x14ac:dyDescent="0.2">
      <c r="A45" s="94"/>
      <c r="B45"/>
      <c r="E45" s="95"/>
      <c r="F45" s="164"/>
      <c r="G45" s="95"/>
    </row>
    <row r="46" spans="1:7" ht="19" x14ac:dyDescent="0.2">
      <c r="A46" s="94"/>
      <c r="B46"/>
      <c r="E46" s="95"/>
      <c r="F46" s="164"/>
      <c r="G46" s="95"/>
    </row>
    <row r="47" spans="1:7" ht="19" x14ac:dyDescent="0.2">
      <c r="A47" s="94" t="s">
        <v>98</v>
      </c>
      <c r="B47"/>
      <c r="E47" s="95"/>
      <c r="F47" s="164"/>
      <c r="G47" s="95"/>
    </row>
    <row r="48" spans="1:7" ht="19" x14ac:dyDescent="0.2">
      <c r="A48" s="97" t="s">
        <v>99</v>
      </c>
      <c r="B48"/>
      <c r="E48" s="98"/>
      <c r="F48" s="98"/>
      <c r="G48" s="98"/>
    </row>
    <row r="49" spans="1:2" ht="17" x14ac:dyDescent="0.2">
      <c r="A49" s="95" t="s">
        <v>100</v>
      </c>
      <c r="B49"/>
    </row>
    <row r="50" spans="1:2" ht="17" x14ac:dyDescent="0.2">
      <c r="A50" s="95"/>
      <c r="B50"/>
    </row>
    <row r="51" spans="1:2" ht="19" x14ac:dyDescent="0.2">
      <c r="A51" s="94" t="s">
        <v>101</v>
      </c>
      <c r="B51"/>
    </row>
    <row r="52" spans="1:2" ht="17" x14ac:dyDescent="0.2">
      <c r="A52" s="95" t="s">
        <v>102</v>
      </c>
      <c r="B52"/>
    </row>
    <row r="53" spans="1:2" ht="17" x14ac:dyDescent="0.2">
      <c r="A53" s="95" t="s">
        <v>103</v>
      </c>
      <c r="B53"/>
    </row>
    <row r="54" spans="1:2" ht="17" x14ac:dyDescent="0.2">
      <c r="A54" s="95" t="s">
        <v>104</v>
      </c>
      <c r="B54"/>
    </row>
    <row r="55" spans="1:2" ht="17" x14ac:dyDescent="0.2">
      <c r="A55" s="99" t="s">
        <v>105</v>
      </c>
      <c r="B55"/>
    </row>
    <row r="56" spans="1:2" ht="17" x14ac:dyDescent="0.2">
      <c r="A56" s="95" t="s">
        <v>106</v>
      </c>
      <c r="B56"/>
    </row>
    <row r="57" spans="1:2" ht="17" x14ac:dyDescent="0.2">
      <c r="A57" s="95" t="s">
        <v>107</v>
      </c>
      <c r="B57"/>
    </row>
    <row r="58" spans="1:2" ht="17" x14ac:dyDescent="0.2">
      <c r="A58" s="99" t="s">
        <v>108</v>
      </c>
      <c r="B58"/>
    </row>
    <row r="59" spans="1:2" ht="17" x14ac:dyDescent="0.2">
      <c r="A59" s="95" t="s">
        <v>109</v>
      </c>
      <c r="B59"/>
    </row>
    <row r="60" spans="1:2" ht="17" x14ac:dyDescent="0.2">
      <c r="A60" s="95" t="s">
        <v>110</v>
      </c>
      <c r="B60"/>
    </row>
    <row r="61" spans="1:2" ht="17" x14ac:dyDescent="0.2">
      <c r="A61" s="95" t="s">
        <v>111</v>
      </c>
      <c r="B61"/>
    </row>
    <row r="62" spans="1:2" ht="17" x14ac:dyDescent="0.2">
      <c r="A62" s="95" t="s">
        <v>112</v>
      </c>
      <c r="B62"/>
    </row>
    <row r="63" spans="1:2" ht="17" x14ac:dyDescent="0.2">
      <c r="A63" s="95" t="s">
        <v>113</v>
      </c>
      <c r="B63"/>
    </row>
    <row r="64" spans="1:2" ht="17" x14ac:dyDescent="0.2">
      <c r="A64" s="95" t="s">
        <v>114</v>
      </c>
      <c r="B64"/>
    </row>
    <row r="65" spans="1:7" ht="17" x14ac:dyDescent="0.2">
      <c r="A65" s="95"/>
      <c r="B65"/>
    </row>
    <row r="66" spans="1:7" ht="17" x14ac:dyDescent="0.2">
      <c r="A66" s="100" t="s">
        <v>115</v>
      </c>
      <c r="B66"/>
    </row>
    <row r="67" spans="1:7" ht="17" x14ac:dyDescent="0.2">
      <c r="A67" s="95" t="s">
        <v>116</v>
      </c>
      <c r="B67" s="95" t="s">
        <v>117</v>
      </c>
      <c r="D67" s="95" t="s">
        <v>118</v>
      </c>
      <c r="F67" s="95" t="s">
        <v>119</v>
      </c>
    </row>
    <row r="68" spans="1:7" ht="17" x14ac:dyDescent="0.2">
      <c r="A68" s="95" t="s">
        <v>120</v>
      </c>
      <c r="B68" s="95" t="s">
        <v>121</v>
      </c>
      <c r="D68" s="95" t="s">
        <v>122</v>
      </c>
      <c r="F68" s="95" t="s">
        <v>123</v>
      </c>
    </row>
    <row r="69" spans="1:7" ht="17" x14ac:dyDescent="0.2">
      <c r="A69" s="95" t="s">
        <v>124</v>
      </c>
      <c r="B69" s="95" t="s">
        <v>125</v>
      </c>
      <c r="D69" s="95" t="s">
        <v>126</v>
      </c>
      <c r="F69" s="95" t="s">
        <v>127</v>
      </c>
    </row>
    <row r="70" spans="1:7" ht="17" x14ac:dyDescent="0.2">
      <c r="A70" s="95" t="s">
        <v>35</v>
      </c>
      <c r="B70" s="95" t="s">
        <v>128</v>
      </c>
      <c r="D70" s="101" t="s">
        <v>129</v>
      </c>
    </row>
    <row r="71" spans="1:7" ht="18" thickBot="1" x14ac:dyDescent="0.25">
      <c r="A71" s="95"/>
      <c r="B71"/>
    </row>
    <row r="72" spans="1:7" ht="16" customHeight="1" x14ac:dyDescent="0.2">
      <c r="A72" s="102" t="s">
        <v>130</v>
      </c>
      <c r="B72" s="103" t="s">
        <v>45</v>
      </c>
      <c r="C72" s="104" t="s">
        <v>131</v>
      </c>
      <c r="D72" s="104" t="s">
        <v>47</v>
      </c>
      <c r="E72" s="104" t="s">
        <v>132</v>
      </c>
      <c r="F72" s="104" t="s">
        <v>133</v>
      </c>
      <c r="G72" s="105" t="s">
        <v>50</v>
      </c>
    </row>
    <row r="73" spans="1:7" ht="16" customHeight="1" x14ac:dyDescent="0.2">
      <c r="A73" s="34" t="s">
        <v>134</v>
      </c>
      <c r="B73" s="106"/>
      <c r="C73" s="37">
        <v>0</v>
      </c>
      <c r="D73" s="37">
        <v>0</v>
      </c>
      <c r="E73" s="107">
        <v>200000</v>
      </c>
      <c r="F73" s="107">
        <f>C73*D73*E73</f>
        <v>0</v>
      </c>
      <c r="G73" s="34" t="s">
        <v>135</v>
      </c>
    </row>
    <row r="74" spans="1:7" ht="16" x14ac:dyDescent="0.2">
      <c r="A74" s="35" t="s">
        <v>136</v>
      </c>
      <c r="B74" s="36"/>
      <c r="C74" s="37">
        <v>0</v>
      </c>
      <c r="D74" s="37">
        <v>0</v>
      </c>
      <c r="E74" s="39">
        <v>12000</v>
      </c>
      <c r="F74" s="39">
        <f t="shared" ref="F74:F95" si="3">C74*D74*E74</f>
        <v>0</v>
      </c>
      <c r="G74" s="34" t="s">
        <v>137</v>
      </c>
    </row>
    <row r="75" spans="1:7" ht="16" x14ac:dyDescent="0.2">
      <c r="A75" s="35" t="s">
        <v>138</v>
      </c>
      <c r="B75" s="36"/>
      <c r="C75" s="37">
        <v>0</v>
      </c>
      <c r="D75" s="37">
        <v>0</v>
      </c>
      <c r="E75" s="39">
        <v>26000</v>
      </c>
      <c r="F75" s="39">
        <f t="shared" si="3"/>
        <v>0</v>
      </c>
      <c r="G75" s="34" t="s">
        <v>139</v>
      </c>
    </row>
    <row r="76" spans="1:7" ht="16" x14ac:dyDescent="0.2">
      <c r="A76" s="35" t="s">
        <v>140</v>
      </c>
      <c r="B76" s="36"/>
      <c r="C76" s="37">
        <v>0</v>
      </c>
      <c r="D76" s="37">
        <v>0</v>
      </c>
      <c r="E76" s="39">
        <v>35000</v>
      </c>
      <c r="F76" s="39">
        <f t="shared" si="3"/>
        <v>0</v>
      </c>
      <c r="G76" s="34" t="s">
        <v>139</v>
      </c>
    </row>
    <row r="77" spans="1:7" ht="16" x14ac:dyDescent="0.2">
      <c r="A77" s="35" t="s">
        <v>141</v>
      </c>
      <c r="B77" s="36"/>
      <c r="C77" s="37">
        <v>0</v>
      </c>
      <c r="D77" s="37">
        <v>0</v>
      </c>
      <c r="E77" s="39">
        <v>10000</v>
      </c>
      <c r="F77" s="39">
        <f t="shared" si="3"/>
        <v>0</v>
      </c>
      <c r="G77" s="34"/>
    </row>
    <row r="78" spans="1:7" ht="16" x14ac:dyDescent="0.2">
      <c r="A78" s="35" t="s">
        <v>142</v>
      </c>
      <c r="B78" s="36"/>
      <c r="C78" s="37">
        <v>0</v>
      </c>
      <c r="D78" s="37">
        <v>0</v>
      </c>
      <c r="E78" s="39">
        <v>4500</v>
      </c>
      <c r="F78" s="39">
        <f t="shared" si="3"/>
        <v>0</v>
      </c>
      <c r="G78" s="34" t="s">
        <v>143</v>
      </c>
    </row>
    <row r="79" spans="1:7" ht="16" x14ac:dyDescent="0.2">
      <c r="A79" s="35" t="s">
        <v>144</v>
      </c>
      <c r="B79" s="36"/>
      <c r="C79" s="37">
        <v>0</v>
      </c>
      <c r="D79" s="37">
        <v>0</v>
      </c>
      <c r="E79" s="39">
        <v>5000</v>
      </c>
      <c r="F79" s="39">
        <f t="shared" si="3"/>
        <v>0</v>
      </c>
      <c r="G79" s="34" t="s">
        <v>145</v>
      </c>
    </row>
    <row r="80" spans="1:7" ht="16" x14ac:dyDescent="0.2">
      <c r="A80" s="35" t="s">
        <v>146</v>
      </c>
      <c r="B80" s="36"/>
      <c r="C80" s="37">
        <v>0</v>
      </c>
      <c r="D80" s="37">
        <v>0</v>
      </c>
      <c r="E80" s="39">
        <v>5000</v>
      </c>
      <c r="F80" s="39">
        <f t="shared" si="3"/>
        <v>0</v>
      </c>
      <c r="G80" s="34" t="s">
        <v>147</v>
      </c>
    </row>
    <row r="81" spans="1:7" ht="16" x14ac:dyDescent="0.2">
      <c r="A81" s="35" t="s">
        <v>148</v>
      </c>
      <c r="B81" s="36"/>
      <c r="C81" s="37">
        <v>0</v>
      </c>
      <c r="D81" s="37">
        <v>0</v>
      </c>
      <c r="E81" s="39">
        <v>3000</v>
      </c>
      <c r="F81" s="39">
        <f t="shared" si="3"/>
        <v>0</v>
      </c>
      <c r="G81" s="34" t="s">
        <v>149</v>
      </c>
    </row>
    <row r="82" spans="1:7" ht="16" x14ac:dyDescent="0.2">
      <c r="A82" s="35" t="s">
        <v>150</v>
      </c>
      <c r="B82" s="36"/>
      <c r="C82" s="37">
        <v>0</v>
      </c>
      <c r="D82" s="37">
        <v>0</v>
      </c>
      <c r="E82" s="39">
        <v>16000</v>
      </c>
      <c r="F82" s="39">
        <f t="shared" si="3"/>
        <v>0</v>
      </c>
      <c r="G82" s="34" t="s">
        <v>151</v>
      </c>
    </row>
    <row r="83" spans="1:7" ht="16" x14ac:dyDescent="0.2">
      <c r="A83" s="35" t="s">
        <v>152</v>
      </c>
      <c r="B83" s="36"/>
      <c r="C83" s="37">
        <v>0</v>
      </c>
      <c r="D83" s="37">
        <v>0</v>
      </c>
      <c r="E83" s="39">
        <v>7000</v>
      </c>
      <c r="F83" s="39">
        <f t="shared" si="3"/>
        <v>0</v>
      </c>
      <c r="G83" s="34" t="s">
        <v>153</v>
      </c>
    </row>
    <row r="84" spans="1:7" ht="16" x14ac:dyDescent="0.2">
      <c r="A84" s="108" t="s">
        <v>58</v>
      </c>
      <c r="B84" s="109"/>
      <c r="C84" s="47">
        <v>0</v>
      </c>
      <c r="D84" s="47">
        <v>0</v>
      </c>
      <c r="E84" s="48">
        <v>1500</v>
      </c>
      <c r="F84" s="48">
        <f t="shared" si="3"/>
        <v>0</v>
      </c>
      <c r="G84" s="45" t="s">
        <v>59</v>
      </c>
    </row>
    <row r="85" spans="1:7" ht="16" x14ac:dyDescent="0.2">
      <c r="A85" s="110" t="s">
        <v>154</v>
      </c>
      <c r="B85" s="111"/>
      <c r="C85" s="47">
        <v>0</v>
      </c>
      <c r="D85" s="47">
        <v>0</v>
      </c>
      <c r="E85" s="48">
        <v>3000</v>
      </c>
      <c r="F85" s="48">
        <f t="shared" si="3"/>
        <v>0</v>
      </c>
      <c r="G85" s="45"/>
    </row>
    <row r="86" spans="1:7" ht="16" x14ac:dyDescent="0.2">
      <c r="A86" s="110" t="s">
        <v>155</v>
      </c>
      <c r="B86" s="111"/>
      <c r="C86" s="47">
        <v>0</v>
      </c>
      <c r="D86" s="47">
        <v>0</v>
      </c>
      <c r="E86" s="48">
        <v>1000</v>
      </c>
      <c r="F86" s="48">
        <f t="shared" si="3"/>
        <v>0</v>
      </c>
      <c r="G86" s="45" t="s">
        <v>156</v>
      </c>
    </row>
    <row r="87" spans="1:7" ht="16" x14ac:dyDescent="0.2">
      <c r="A87" s="110" t="s">
        <v>157</v>
      </c>
      <c r="B87" s="111"/>
      <c r="C87" s="47">
        <v>0</v>
      </c>
      <c r="D87" s="47">
        <v>0</v>
      </c>
      <c r="E87" s="48">
        <v>3000</v>
      </c>
      <c r="F87" s="48">
        <f t="shared" si="3"/>
        <v>0</v>
      </c>
      <c r="G87" s="45" t="s">
        <v>158</v>
      </c>
    </row>
    <row r="88" spans="1:7" ht="16" x14ac:dyDescent="0.2">
      <c r="A88" s="110" t="s">
        <v>159</v>
      </c>
      <c r="B88" s="111"/>
      <c r="C88" s="47">
        <v>0</v>
      </c>
      <c r="D88" s="47">
        <v>0</v>
      </c>
      <c r="E88" s="112">
        <v>150000</v>
      </c>
      <c r="F88" s="48">
        <f t="shared" si="3"/>
        <v>0</v>
      </c>
      <c r="G88" s="45" t="s">
        <v>160</v>
      </c>
    </row>
    <row r="89" spans="1:7" ht="16" x14ac:dyDescent="0.2">
      <c r="A89" s="35" t="s">
        <v>161</v>
      </c>
      <c r="B89" s="36"/>
      <c r="C89" s="37">
        <v>0</v>
      </c>
      <c r="D89" s="37">
        <v>0</v>
      </c>
      <c r="E89" s="38">
        <v>100000</v>
      </c>
      <c r="F89" s="39">
        <f t="shared" si="3"/>
        <v>0</v>
      </c>
      <c r="G89" s="34" t="s">
        <v>162</v>
      </c>
    </row>
    <row r="90" spans="1:7" ht="16" x14ac:dyDescent="0.2">
      <c r="A90" s="113" t="s">
        <v>163</v>
      </c>
      <c r="B90" s="114"/>
      <c r="C90" s="31">
        <v>0</v>
      </c>
      <c r="D90" s="115">
        <v>0</v>
      </c>
      <c r="E90" s="44">
        <v>3850</v>
      </c>
      <c r="F90" s="116">
        <f>E90*D90*C90</f>
        <v>0</v>
      </c>
      <c r="G90" s="117" t="s">
        <v>164</v>
      </c>
    </row>
    <row r="91" spans="1:7" ht="16" x14ac:dyDescent="0.2">
      <c r="A91" s="118" t="s">
        <v>165</v>
      </c>
      <c r="B91" s="119"/>
      <c r="C91" s="37">
        <v>0</v>
      </c>
      <c r="D91" s="37">
        <v>0</v>
      </c>
      <c r="E91" s="38">
        <v>4800</v>
      </c>
      <c r="F91" s="39">
        <f>C91*D91*E91</f>
        <v>0</v>
      </c>
      <c r="G91" s="35" t="s">
        <v>166</v>
      </c>
    </row>
    <row r="92" spans="1:7" ht="16" x14ac:dyDescent="0.2">
      <c r="A92" s="118" t="s">
        <v>167</v>
      </c>
      <c r="B92" s="119"/>
      <c r="C92" s="37">
        <v>0</v>
      </c>
      <c r="D92" s="37">
        <v>0</v>
      </c>
      <c r="E92" s="38">
        <v>5500</v>
      </c>
      <c r="F92" s="39">
        <f>C92*D92*E92</f>
        <v>0</v>
      </c>
      <c r="G92" s="35" t="s">
        <v>168</v>
      </c>
    </row>
    <row r="93" spans="1:7" ht="16" x14ac:dyDescent="0.2">
      <c r="A93" s="118" t="s">
        <v>169</v>
      </c>
      <c r="B93" s="119"/>
      <c r="C93" s="37">
        <v>0</v>
      </c>
      <c r="D93" s="37">
        <v>0</v>
      </c>
      <c r="E93" s="38">
        <v>7500</v>
      </c>
      <c r="F93" s="39">
        <f t="shared" si="3"/>
        <v>0</v>
      </c>
      <c r="G93" s="35" t="s">
        <v>170</v>
      </c>
    </row>
    <row r="94" spans="1:7" ht="15" customHeight="1" x14ac:dyDescent="0.2">
      <c r="A94" s="35" t="s">
        <v>171</v>
      </c>
      <c r="B94" s="36"/>
      <c r="C94" s="37">
        <v>0</v>
      </c>
      <c r="D94" s="37">
        <v>0</v>
      </c>
      <c r="E94" s="39">
        <v>8500</v>
      </c>
      <c r="F94" s="39">
        <f t="shared" si="3"/>
        <v>0</v>
      </c>
      <c r="G94" s="120" t="s">
        <v>172</v>
      </c>
    </row>
    <row r="95" spans="1:7" ht="15" customHeight="1" x14ac:dyDescent="0.2">
      <c r="A95" s="40" t="s">
        <v>173</v>
      </c>
      <c r="B95" s="42"/>
      <c r="C95" s="37">
        <v>0</v>
      </c>
      <c r="D95" s="37">
        <v>0</v>
      </c>
      <c r="E95" s="39">
        <v>13500</v>
      </c>
      <c r="F95" s="39">
        <f t="shared" si="3"/>
        <v>0</v>
      </c>
      <c r="G95" s="121" t="s">
        <v>174</v>
      </c>
    </row>
    <row r="96" spans="1:7" ht="16" x14ac:dyDescent="0.2">
      <c r="A96" s="35" t="s">
        <v>175</v>
      </c>
      <c r="B96" s="36"/>
      <c r="C96" s="37">
        <v>0</v>
      </c>
      <c r="D96" s="37">
        <v>0</v>
      </c>
      <c r="E96" s="39">
        <v>2500</v>
      </c>
      <c r="F96" s="39">
        <f>C96*D96*E96</f>
        <v>0</v>
      </c>
      <c r="G96" s="34" t="s">
        <v>176</v>
      </c>
    </row>
    <row r="97" spans="1:7" ht="16" x14ac:dyDescent="0.2">
      <c r="A97" s="35" t="s">
        <v>177</v>
      </c>
      <c r="B97" s="36"/>
      <c r="C97" s="37">
        <v>0</v>
      </c>
      <c r="D97" s="37">
        <v>0</v>
      </c>
      <c r="E97" s="38">
        <v>300000</v>
      </c>
      <c r="F97" s="39">
        <f>C97*D97*E97</f>
        <v>0</v>
      </c>
      <c r="G97" s="34" t="s">
        <v>90</v>
      </c>
    </row>
    <row r="98" spans="1:7" ht="16" x14ac:dyDescent="0.2">
      <c r="A98" s="35" t="s">
        <v>178</v>
      </c>
      <c r="B98" s="36"/>
      <c r="C98" s="37">
        <v>0</v>
      </c>
      <c r="D98" s="37">
        <v>0</v>
      </c>
      <c r="E98" s="38">
        <v>250000</v>
      </c>
      <c r="F98" s="39">
        <f>C98*D98*E98</f>
        <v>0</v>
      </c>
      <c r="G98" s="34" t="s">
        <v>90</v>
      </c>
    </row>
    <row r="99" spans="1:7" ht="16" x14ac:dyDescent="0.2">
      <c r="A99" s="35" t="s">
        <v>179</v>
      </c>
      <c r="B99" s="36"/>
      <c r="C99" s="37">
        <v>0</v>
      </c>
      <c r="D99" s="37">
        <v>0</v>
      </c>
      <c r="E99" s="38">
        <v>210000</v>
      </c>
      <c r="F99" s="39">
        <f t="shared" ref="F99:F121" si="4">C99*D99*E99</f>
        <v>0</v>
      </c>
      <c r="G99" s="34" t="s">
        <v>90</v>
      </c>
    </row>
    <row r="100" spans="1:7" ht="16" x14ac:dyDescent="0.2">
      <c r="A100" s="35" t="s">
        <v>180</v>
      </c>
      <c r="B100" s="36"/>
      <c r="C100" s="37">
        <v>0</v>
      </c>
      <c r="D100" s="37">
        <v>0</v>
      </c>
      <c r="E100" s="38">
        <v>210000</v>
      </c>
      <c r="F100" s="39">
        <f t="shared" si="4"/>
        <v>0</v>
      </c>
      <c r="G100" s="34" t="s">
        <v>90</v>
      </c>
    </row>
    <row r="101" spans="1:7" ht="16" x14ac:dyDescent="0.2">
      <c r="A101" s="35" t="s">
        <v>181</v>
      </c>
      <c r="B101" s="36"/>
      <c r="C101" s="37">
        <v>0</v>
      </c>
      <c r="D101" s="37">
        <v>0</v>
      </c>
      <c r="E101" s="38">
        <v>180000</v>
      </c>
      <c r="F101" s="39">
        <f t="shared" si="4"/>
        <v>0</v>
      </c>
      <c r="G101" s="34" t="s">
        <v>90</v>
      </c>
    </row>
    <row r="102" spans="1:7" ht="16" x14ac:dyDescent="0.2">
      <c r="A102" s="35" t="s">
        <v>182</v>
      </c>
      <c r="B102" s="36"/>
      <c r="C102" s="37">
        <v>0</v>
      </c>
      <c r="D102" s="37">
        <v>0</v>
      </c>
      <c r="E102" s="38">
        <v>180000</v>
      </c>
      <c r="F102" s="39">
        <f t="shared" si="4"/>
        <v>0</v>
      </c>
      <c r="G102" s="34" t="s">
        <v>90</v>
      </c>
    </row>
    <row r="103" spans="1:7" ht="16" x14ac:dyDescent="0.2">
      <c r="A103" s="35" t="s">
        <v>183</v>
      </c>
      <c r="B103" s="36"/>
      <c r="C103" s="37">
        <v>0</v>
      </c>
      <c r="D103" s="37">
        <v>0</v>
      </c>
      <c r="E103" s="48">
        <v>120000</v>
      </c>
      <c r="F103" s="39">
        <f t="shared" si="4"/>
        <v>0</v>
      </c>
      <c r="G103" s="34" t="s">
        <v>90</v>
      </c>
    </row>
    <row r="104" spans="1:7" ht="16" x14ac:dyDescent="0.2">
      <c r="A104" s="35" t="s">
        <v>184</v>
      </c>
      <c r="B104" s="36"/>
      <c r="C104" s="37">
        <v>0</v>
      </c>
      <c r="D104" s="37">
        <v>0</v>
      </c>
      <c r="E104" s="48">
        <v>90000</v>
      </c>
      <c r="F104" s="39">
        <f t="shared" si="4"/>
        <v>0</v>
      </c>
      <c r="G104" s="34" t="s">
        <v>90</v>
      </c>
    </row>
    <row r="105" spans="1:7" ht="16" x14ac:dyDescent="0.2">
      <c r="A105" s="35" t="s">
        <v>185</v>
      </c>
      <c r="B105" s="36"/>
      <c r="C105" s="37">
        <v>0</v>
      </c>
      <c r="D105" s="37">
        <v>0</v>
      </c>
      <c r="E105" s="48">
        <v>100000</v>
      </c>
      <c r="F105" s="39">
        <f t="shared" si="4"/>
        <v>0</v>
      </c>
      <c r="G105" s="34" t="s">
        <v>186</v>
      </c>
    </row>
    <row r="106" spans="1:7" ht="16" x14ac:dyDescent="0.2">
      <c r="A106" s="35" t="s">
        <v>187</v>
      </c>
      <c r="B106" s="36"/>
      <c r="C106" s="37">
        <v>0</v>
      </c>
      <c r="D106" s="37">
        <v>0</v>
      </c>
      <c r="E106" s="48">
        <v>300000</v>
      </c>
      <c r="F106" s="39">
        <f t="shared" si="4"/>
        <v>0</v>
      </c>
      <c r="G106" s="34" t="s">
        <v>90</v>
      </c>
    </row>
    <row r="107" spans="1:7" ht="16" x14ac:dyDescent="0.2">
      <c r="A107" s="122" t="s">
        <v>188</v>
      </c>
      <c r="B107" s="123"/>
      <c r="C107" s="37">
        <v>0</v>
      </c>
      <c r="D107" s="37">
        <v>0</v>
      </c>
      <c r="E107" s="124">
        <v>25000</v>
      </c>
      <c r="F107" s="125"/>
      <c r="G107" s="34" t="s">
        <v>189</v>
      </c>
    </row>
    <row r="108" spans="1:7" ht="16" x14ac:dyDescent="0.2">
      <c r="A108" s="122" t="s">
        <v>190</v>
      </c>
      <c r="B108" s="123"/>
      <c r="C108" s="37">
        <v>0</v>
      </c>
      <c r="D108" s="37">
        <v>0</v>
      </c>
      <c r="E108" s="126">
        <v>15000</v>
      </c>
      <c r="F108" s="125"/>
      <c r="G108" s="34" t="s">
        <v>189</v>
      </c>
    </row>
    <row r="109" spans="1:7" ht="16" x14ac:dyDescent="0.2">
      <c r="A109" s="122" t="s">
        <v>191</v>
      </c>
      <c r="B109" s="123"/>
      <c r="C109" s="37">
        <v>0</v>
      </c>
      <c r="D109" s="37">
        <v>0</v>
      </c>
      <c r="E109" s="126">
        <v>60000</v>
      </c>
      <c r="F109" s="125"/>
      <c r="G109" s="34"/>
    </row>
    <row r="110" spans="1:7" ht="16" x14ac:dyDescent="0.2">
      <c r="A110" s="122" t="s">
        <v>192</v>
      </c>
      <c r="B110" s="127"/>
      <c r="C110" s="37">
        <v>0</v>
      </c>
      <c r="D110" s="37">
        <v>0</v>
      </c>
      <c r="E110" s="38">
        <v>150000</v>
      </c>
      <c r="F110" s="39">
        <f t="shared" si="4"/>
        <v>0</v>
      </c>
      <c r="G110" s="34" t="s">
        <v>193</v>
      </c>
    </row>
    <row r="111" spans="1:7" ht="16" x14ac:dyDescent="0.2">
      <c r="A111" s="34" t="s">
        <v>194</v>
      </c>
      <c r="B111" s="128"/>
      <c r="C111" s="37">
        <v>0</v>
      </c>
      <c r="D111" s="37">
        <v>0</v>
      </c>
      <c r="E111" s="39">
        <v>100000</v>
      </c>
      <c r="F111" s="39">
        <f t="shared" si="4"/>
        <v>0</v>
      </c>
      <c r="G111" s="34" t="s">
        <v>195</v>
      </c>
    </row>
    <row r="112" spans="1:7" ht="16" x14ac:dyDescent="0.2">
      <c r="A112" s="34" t="s">
        <v>196</v>
      </c>
      <c r="B112" s="128"/>
      <c r="C112" s="37">
        <v>0</v>
      </c>
      <c r="D112" s="37">
        <v>0</v>
      </c>
      <c r="E112" s="48">
        <v>150000</v>
      </c>
      <c r="F112" s="39">
        <f t="shared" si="4"/>
        <v>0</v>
      </c>
      <c r="G112" s="34" t="s">
        <v>197</v>
      </c>
    </row>
    <row r="113" spans="1:7" ht="16" x14ac:dyDescent="0.2">
      <c r="A113" s="34" t="s">
        <v>198</v>
      </c>
      <c r="B113" s="128"/>
      <c r="C113" s="37">
        <v>0</v>
      </c>
      <c r="D113" s="37">
        <v>0</v>
      </c>
      <c r="E113" s="48">
        <v>380000</v>
      </c>
      <c r="F113" s="39">
        <f t="shared" si="4"/>
        <v>0</v>
      </c>
      <c r="G113" s="34" t="s">
        <v>199</v>
      </c>
    </row>
    <row r="114" spans="1:7" ht="16" x14ac:dyDescent="0.2">
      <c r="A114" s="34" t="s">
        <v>200</v>
      </c>
      <c r="B114" s="128"/>
      <c r="C114" s="37">
        <v>0</v>
      </c>
      <c r="D114" s="37">
        <v>0</v>
      </c>
      <c r="E114" s="48">
        <v>280000</v>
      </c>
      <c r="F114" s="39">
        <f t="shared" si="4"/>
        <v>0</v>
      </c>
      <c r="G114" s="34" t="s">
        <v>197</v>
      </c>
    </row>
    <row r="115" spans="1:7" ht="16" x14ac:dyDescent="0.2">
      <c r="A115" s="129" t="s">
        <v>201</v>
      </c>
      <c r="B115" s="130"/>
      <c r="C115" s="37">
        <v>0</v>
      </c>
      <c r="D115" s="37">
        <v>0</v>
      </c>
      <c r="E115" s="48">
        <v>650000</v>
      </c>
      <c r="F115" s="39">
        <f t="shared" si="4"/>
        <v>0</v>
      </c>
      <c r="G115" s="34" t="s">
        <v>202</v>
      </c>
    </row>
    <row r="116" spans="1:7" ht="15" customHeight="1" x14ac:dyDescent="0.2">
      <c r="A116" s="129" t="s">
        <v>203</v>
      </c>
      <c r="B116" s="130"/>
      <c r="C116" s="37">
        <v>0</v>
      </c>
      <c r="D116" s="37">
        <v>0</v>
      </c>
      <c r="E116" s="48">
        <v>450000</v>
      </c>
      <c r="F116" s="107">
        <f t="shared" si="4"/>
        <v>0</v>
      </c>
      <c r="G116" s="34" t="s">
        <v>204</v>
      </c>
    </row>
    <row r="117" spans="1:7" ht="15" customHeight="1" x14ac:dyDescent="0.2">
      <c r="A117" s="129" t="s">
        <v>205</v>
      </c>
      <c r="B117" s="130"/>
      <c r="C117" s="37">
        <v>0</v>
      </c>
      <c r="D117" s="37">
        <v>0</v>
      </c>
      <c r="E117" s="48">
        <v>80000</v>
      </c>
      <c r="F117" s="107">
        <f t="shared" si="4"/>
        <v>0</v>
      </c>
      <c r="G117" s="34"/>
    </row>
    <row r="118" spans="1:7" ht="15" customHeight="1" x14ac:dyDescent="0.2">
      <c r="A118" s="129" t="s">
        <v>206</v>
      </c>
      <c r="B118" s="130"/>
      <c r="C118" s="37">
        <v>0</v>
      </c>
      <c r="D118" s="37">
        <v>0</v>
      </c>
      <c r="E118" s="48">
        <v>300000</v>
      </c>
      <c r="F118" s="107">
        <f t="shared" si="4"/>
        <v>0</v>
      </c>
      <c r="G118" s="34" t="s">
        <v>207</v>
      </c>
    </row>
    <row r="119" spans="1:7" ht="15" customHeight="1" x14ac:dyDescent="0.2">
      <c r="A119" s="129" t="s">
        <v>208</v>
      </c>
      <c r="B119" s="130"/>
      <c r="C119" s="37">
        <v>0</v>
      </c>
      <c r="D119" s="37">
        <v>0</v>
      </c>
      <c r="E119" s="39">
        <v>680000</v>
      </c>
      <c r="F119" s="107">
        <f t="shared" si="4"/>
        <v>0</v>
      </c>
      <c r="G119" s="34" t="s">
        <v>209</v>
      </c>
    </row>
    <row r="120" spans="1:7" ht="15" customHeight="1" x14ac:dyDescent="0.2">
      <c r="A120" s="129" t="s">
        <v>208</v>
      </c>
      <c r="B120" s="130"/>
      <c r="C120" s="37">
        <v>0</v>
      </c>
      <c r="D120" s="37">
        <v>0</v>
      </c>
      <c r="E120" s="39">
        <v>580000</v>
      </c>
      <c r="F120" s="107">
        <f t="shared" si="4"/>
        <v>0</v>
      </c>
      <c r="G120" s="34" t="s">
        <v>210</v>
      </c>
    </row>
    <row r="121" spans="1:7" ht="15" customHeight="1" x14ac:dyDescent="0.2">
      <c r="A121" s="129" t="s">
        <v>211</v>
      </c>
      <c r="B121" s="130"/>
      <c r="C121" s="37">
        <v>0</v>
      </c>
      <c r="D121" s="37">
        <v>0</v>
      </c>
      <c r="E121" s="39">
        <v>580000</v>
      </c>
      <c r="F121" s="107">
        <f t="shared" si="4"/>
        <v>0</v>
      </c>
      <c r="G121" s="34" t="s">
        <v>212</v>
      </c>
    </row>
    <row r="122" spans="1:7" ht="16" x14ac:dyDescent="0.2">
      <c r="A122" s="34" t="s">
        <v>213</v>
      </c>
      <c r="B122" s="128"/>
      <c r="C122" s="37">
        <v>0</v>
      </c>
      <c r="D122" s="37">
        <v>0</v>
      </c>
      <c r="E122" s="39">
        <v>180000</v>
      </c>
      <c r="F122" s="39">
        <f>C122*D122*E122</f>
        <v>0</v>
      </c>
      <c r="G122" s="34" t="s">
        <v>214</v>
      </c>
    </row>
    <row r="123" spans="1:7" ht="16" x14ac:dyDescent="0.2">
      <c r="A123" s="93"/>
      <c r="B123" s="131"/>
      <c r="C123" s="93"/>
      <c r="D123" s="93"/>
      <c r="E123" s="93"/>
      <c r="F123" s="93"/>
      <c r="G123" s="132" t="s">
        <v>215</v>
      </c>
    </row>
    <row r="124" spans="1:7" x14ac:dyDescent="0.2">
      <c r="A124" s="93"/>
      <c r="B124" s="131"/>
      <c r="C124" s="93"/>
      <c r="D124" s="93"/>
      <c r="E124" s="93" t="s">
        <v>26</v>
      </c>
      <c r="F124" s="93" t="s">
        <v>26</v>
      </c>
      <c r="G124" s="93"/>
    </row>
    <row r="125" spans="1:7" ht="17" customHeight="1" x14ac:dyDescent="0.2">
      <c r="A125" s="93"/>
      <c r="B125" s="131"/>
      <c r="C125" s="93"/>
      <c r="D125" s="93"/>
      <c r="E125" s="93" t="s">
        <v>26</v>
      </c>
      <c r="F125" s="93"/>
      <c r="G125" s="93"/>
    </row>
    <row r="126" spans="1:7" ht="17" customHeight="1" x14ac:dyDescent="0.2">
      <c r="A126" s="93"/>
      <c r="B126" s="131"/>
      <c r="C126" s="93"/>
      <c r="D126" s="93"/>
      <c r="E126" s="93"/>
      <c r="F126" s="93"/>
      <c r="G126" s="93"/>
    </row>
    <row r="127" spans="1:7" x14ac:dyDescent="0.2">
      <c r="A127" s="93"/>
      <c r="B127" s="131"/>
      <c r="C127" s="93"/>
      <c r="D127" s="93"/>
      <c r="E127" s="93"/>
      <c r="F127" s="93"/>
      <c r="G127" s="93"/>
    </row>
    <row r="128" spans="1:7" x14ac:dyDescent="0.2">
      <c r="A128" s="93"/>
      <c r="B128" s="131"/>
      <c r="C128" s="93"/>
      <c r="D128" s="93"/>
      <c r="E128" s="93"/>
      <c r="F128" s="93"/>
      <c r="G128" s="93"/>
    </row>
    <row r="129" spans="1:7" ht="17" customHeight="1" x14ac:dyDescent="0.2">
      <c r="A129" s="93"/>
      <c r="B129" s="131"/>
      <c r="C129" s="93"/>
      <c r="D129" s="93"/>
      <c r="E129" s="93"/>
      <c r="F129" s="93"/>
      <c r="G129" s="93"/>
    </row>
    <row r="130" spans="1:7" ht="17" customHeight="1" x14ac:dyDescent="0.2">
      <c r="A130" s="93"/>
      <c r="B130" s="131"/>
      <c r="C130" s="93"/>
      <c r="D130" s="93"/>
      <c r="E130" s="93"/>
      <c r="F130" s="93"/>
      <c r="G130" s="93"/>
    </row>
    <row r="131" spans="1:7" x14ac:dyDescent="0.2">
      <c r="A131" s="93"/>
      <c r="B131" s="131"/>
      <c r="C131" s="93"/>
      <c r="D131" s="93"/>
      <c r="E131" s="93"/>
      <c r="F131" s="93"/>
      <c r="G131" s="93"/>
    </row>
    <row r="132" spans="1:7" x14ac:dyDescent="0.2">
      <c r="A132" s="93"/>
      <c r="B132" s="131"/>
      <c r="C132" s="93"/>
      <c r="D132" s="93"/>
      <c r="E132" s="93"/>
      <c r="F132" s="93"/>
      <c r="G132" s="93"/>
    </row>
    <row r="148" spans="1:7" ht="17" x14ac:dyDescent="0.2">
      <c r="A148" s="133"/>
      <c r="B148" s="134"/>
      <c r="C148" s="71"/>
      <c r="D148" s="71"/>
      <c r="E148" s="71"/>
      <c r="F148" s="71"/>
      <c r="G148" s="71"/>
    </row>
  </sheetData>
  <mergeCells count="2">
    <mergeCell ref="B6:D6"/>
    <mergeCell ref="A7:B7"/>
  </mergeCells>
  <hyperlinks>
    <hyperlink ref="D70" r:id="rId1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"/>
  <sheetViews>
    <sheetView topLeftCell="A16" workbookViewId="0">
      <selection activeCell="F47" sqref="F47"/>
    </sheetView>
  </sheetViews>
  <sheetFormatPr baseColWidth="10" defaultRowHeight="15" x14ac:dyDescent="0.2"/>
  <cols>
    <col min="1" max="1" width="38.5" customWidth="1"/>
    <col min="2" max="2" width="12.5" style="14" customWidth="1"/>
    <col min="3" max="4" width="7.33203125" customWidth="1"/>
    <col min="5" max="5" width="11.5" customWidth="1"/>
    <col min="6" max="6" width="19.5" customWidth="1"/>
    <col min="7" max="7" width="99" customWidth="1"/>
    <col min="8" max="8" width="13" bestFit="1" customWidth="1"/>
    <col min="9" max="9" width="114.1640625" customWidth="1"/>
  </cols>
  <sheetData>
    <row r="1" spans="1:7" ht="64" customHeight="1" x14ac:dyDescent="0.3">
      <c r="A1" s="11" t="s">
        <v>26</v>
      </c>
      <c r="B1" s="12"/>
      <c r="C1" s="13" t="s">
        <v>27</v>
      </c>
    </row>
    <row r="2" spans="1:7" x14ac:dyDescent="0.2">
      <c r="G2" t="s">
        <v>28</v>
      </c>
    </row>
    <row r="3" spans="1:7" ht="16" x14ac:dyDescent="0.2">
      <c r="A3" s="15" t="s">
        <v>221</v>
      </c>
      <c r="B3" s="142" t="s">
        <v>30</v>
      </c>
      <c r="C3" s="143"/>
      <c r="E3" t="s">
        <v>31</v>
      </c>
      <c r="F3" s="17" t="s">
        <v>233</v>
      </c>
      <c r="G3" s="18" t="s">
        <v>222</v>
      </c>
    </row>
    <row r="4" spans="1:7" ht="16" x14ac:dyDescent="0.2">
      <c r="A4" t="s">
        <v>34</v>
      </c>
      <c r="C4" s="19"/>
      <c r="E4" t="s">
        <v>35</v>
      </c>
      <c r="F4">
        <v>90827788</v>
      </c>
      <c r="G4" s="20" t="s">
        <v>223</v>
      </c>
    </row>
    <row r="5" spans="1:7" ht="16" x14ac:dyDescent="0.2">
      <c r="A5" t="s">
        <v>37</v>
      </c>
      <c r="E5" t="s">
        <v>39</v>
      </c>
      <c r="F5" s="17">
        <v>17</v>
      </c>
      <c r="G5" s="20" t="s">
        <v>40</v>
      </c>
    </row>
    <row r="6" spans="1:7" ht="16" x14ac:dyDescent="0.2">
      <c r="A6" s="144" t="s">
        <v>41</v>
      </c>
      <c r="B6" s="266" t="s">
        <v>232</v>
      </c>
      <c r="C6" s="266"/>
      <c r="D6" s="266"/>
      <c r="E6" s="145" t="s">
        <v>42</v>
      </c>
      <c r="F6" s="145">
        <v>974961403</v>
      </c>
      <c r="G6" s="20" t="s">
        <v>43</v>
      </c>
    </row>
    <row r="7" spans="1:7" ht="16" x14ac:dyDescent="0.2">
      <c r="A7" s="267" t="s">
        <v>225</v>
      </c>
      <c r="B7" s="267"/>
      <c r="C7" s="146" t="s">
        <v>26</v>
      </c>
      <c r="D7" t="s">
        <v>26</v>
      </c>
      <c r="E7" s="23"/>
      <c r="F7" s="23" t="s">
        <v>26</v>
      </c>
      <c r="G7" s="20"/>
    </row>
    <row r="8" spans="1:7" ht="17" thickBot="1" x14ac:dyDescent="0.25">
      <c r="A8" s="147"/>
      <c r="B8" s="146"/>
      <c r="C8" s="148"/>
      <c r="D8" s="23"/>
      <c r="E8" s="23"/>
      <c r="F8" s="23"/>
      <c r="G8" s="20"/>
    </row>
    <row r="9" spans="1:7" ht="15.75" customHeight="1" x14ac:dyDescent="0.2">
      <c r="A9" s="25" t="s">
        <v>44</v>
      </c>
      <c r="B9" s="26" t="s">
        <v>45</v>
      </c>
      <c r="C9" s="27" t="s">
        <v>46</v>
      </c>
      <c r="D9" s="27" t="s">
        <v>47</v>
      </c>
      <c r="E9" s="27" t="s">
        <v>48</v>
      </c>
      <c r="F9" s="27" t="s">
        <v>49</v>
      </c>
      <c r="G9" s="28" t="s">
        <v>50</v>
      </c>
    </row>
    <row r="10" spans="1:7" ht="16.5" customHeight="1" x14ac:dyDescent="0.2">
      <c r="A10" s="29" t="s">
        <v>51</v>
      </c>
      <c r="B10" s="30" t="s">
        <v>226</v>
      </c>
      <c r="C10" s="31">
        <v>1</v>
      </c>
      <c r="D10" s="31">
        <v>17</v>
      </c>
      <c r="E10" s="32">
        <v>8500</v>
      </c>
      <c r="F10" s="33">
        <f>C10*D10*E10</f>
        <v>144500</v>
      </c>
      <c r="G10" s="34" t="s">
        <v>52</v>
      </c>
    </row>
    <row r="11" spans="1:7" ht="16" x14ac:dyDescent="0.2">
      <c r="A11" s="35" t="s">
        <v>182</v>
      </c>
      <c r="B11" s="36"/>
      <c r="C11" s="37">
        <v>1</v>
      </c>
      <c r="D11" s="37">
        <v>1</v>
      </c>
      <c r="E11" s="38">
        <v>180000</v>
      </c>
      <c r="F11" s="39">
        <f t="shared" ref="F11:F17" si="0">C11*D11*E11</f>
        <v>180000</v>
      </c>
      <c r="G11" s="34" t="s">
        <v>90</v>
      </c>
    </row>
    <row r="12" spans="1:7" ht="16.5" customHeight="1" x14ac:dyDescent="0.2">
      <c r="A12" s="40" t="s">
        <v>55</v>
      </c>
      <c r="B12" s="41" t="s">
        <v>56</v>
      </c>
      <c r="C12" s="31">
        <v>1</v>
      </c>
      <c r="D12" s="31">
        <v>17</v>
      </c>
      <c r="E12" s="39">
        <v>15000</v>
      </c>
      <c r="F12" s="39">
        <f t="shared" si="0"/>
        <v>255000</v>
      </c>
      <c r="G12" s="34" t="s">
        <v>57</v>
      </c>
    </row>
    <row r="13" spans="1:7" ht="16" x14ac:dyDescent="0.2">
      <c r="A13" s="40" t="s">
        <v>58</v>
      </c>
      <c r="B13" s="42"/>
      <c r="C13" s="37">
        <v>1</v>
      </c>
      <c r="D13" s="37">
        <v>17</v>
      </c>
      <c r="E13" s="39">
        <v>1500</v>
      </c>
      <c r="F13" s="39">
        <f t="shared" si="0"/>
        <v>25500</v>
      </c>
      <c r="G13" s="34" t="s">
        <v>59</v>
      </c>
    </row>
    <row r="14" spans="1:7" ht="16" x14ac:dyDescent="0.2">
      <c r="A14" s="43" t="s">
        <v>60</v>
      </c>
      <c r="B14" s="41" t="s">
        <v>61</v>
      </c>
      <c r="C14" s="31">
        <v>1</v>
      </c>
      <c r="D14" s="31">
        <v>17</v>
      </c>
      <c r="E14" s="44">
        <v>15000</v>
      </c>
      <c r="F14" s="33">
        <f t="shared" si="0"/>
        <v>255000</v>
      </c>
      <c r="G14" s="34" t="s">
        <v>62</v>
      </c>
    </row>
    <row r="15" spans="1:7" ht="16" x14ac:dyDescent="0.2">
      <c r="A15" s="40" t="s">
        <v>58</v>
      </c>
      <c r="B15" s="42"/>
      <c r="C15" s="37">
        <v>1</v>
      </c>
      <c r="D15" s="37">
        <v>17</v>
      </c>
      <c r="E15" s="39">
        <v>1500</v>
      </c>
      <c r="F15" s="39">
        <f t="shared" si="0"/>
        <v>25500</v>
      </c>
      <c r="G15" s="34" t="s">
        <v>59</v>
      </c>
    </row>
    <row r="16" spans="1:7" ht="16" x14ac:dyDescent="0.2">
      <c r="A16" s="45" t="s">
        <v>63</v>
      </c>
      <c r="B16" s="46"/>
      <c r="C16" s="47">
        <v>1</v>
      </c>
      <c r="D16" s="47">
        <v>1</v>
      </c>
      <c r="E16" s="48">
        <v>99000</v>
      </c>
      <c r="F16" s="48">
        <f t="shared" si="0"/>
        <v>99000</v>
      </c>
      <c r="G16" s="45" t="s">
        <v>64</v>
      </c>
    </row>
    <row r="17" spans="1:7" ht="16" x14ac:dyDescent="0.2">
      <c r="A17" s="45" t="s">
        <v>65</v>
      </c>
      <c r="B17" s="46"/>
      <c r="C17" s="47">
        <v>1</v>
      </c>
      <c r="D17" s="47">
        <v>8</v>
      </c>
      <c r="E17" s="48">
        <v>113500</v>
      </c>
      <c r="F17" s="48">
        <f t="shared" si="0"/>
        <v>908000</v>
      </c>
      <c r="G17" s="45" t="s">
        <v>66</v>
      </c>
    </row>
    <row r="18" spans="1:7" ht="16.5" customHeight="1" thickBot="1" x14ac:dyDescent="0.25">
      <c r="A18" s="55" t="s">
        <v>85</v>
      </c>
      <c r="B18" s="56"/>
      <c r="C18" s="57"/>
      <c r="D18" s="58"/>
      <c r="E18" s="59"/>
      <c r="F18" s="60">
        <f>SUM(F10:F17)</f>
        <v>1892500</v>
      </c>
      <c r="G18" s="61" t="s">
        <v>26</v>
      </c>
    </row>
    <row r="19" spans="1:7" ht="16.5" customHeight="1" x14ac:dyDescent="0.2">
      <c r="A19" s="25" t="s">
        <v>86</v>
      </c>
      <c r="B19" s="26"/>
      <c r="C19" s="27" t="s">
        <v>46</v>
      </c>
      <c r="D19" s="27" t="s">
        <v>47</v>
      </c>
      <c r="E19" s="27" t="s">
        <v>48</v>
      </c>
      <c r="F19" s="27" t="s">
        <v>49</v>
      </c>
      <c r="G19" s="28" t="s">
        <v>50</v>
      </c>
    </row>
    <row r="20" spans="1:7" ht="16.5" customHeight="1" x14ac:dyDescent="0.2">
      <c r="A20" s="29" t="s">
        <v>87</v>
      </c>
      <c r="B20" s="30"/>
      <c r="C20" s="31">
        <v>1</v>
      </c>
      <c r="D20" s="31">
        <v>17</v>
      </c>
      <c r="E20" s="32">
        <v>8500</v>
      </c>
      <c r="F20" s="33" t="s">
        <v>88</v>
      </c>
      <c r="G20" s="34" t="s">
        <v>52</v>
      </c>
    </row>
    <row r="21" spans="1:7" ht="16" x14ac:dyDescent="0.2">
      <c r="A21" s="35" t="s">
        <v>89</v>
      </c>
      <c r="B21" s="36"/>
      <c r="C21" s="37">
        <v>1</v>
      </c>
      <c r="D21" s="37">
        <v>1</v>
      </c>
      <c r="E21" s="38">
        <v>180000</v>
      </c>
      <c r="F21" s="39">
        <f t="shared" ref="F21" si="1">C21*D21*E21</f>
        <v>180000</v>
      </c>
      <c r="G21" s="34" t="s">
        <v>90</v>
      </c>
    </row>
    <row r="22" spans="1:7" ht="16.5" customHeight="1" x14ac:dyDescent="0.2">
      <c r="A22" s="40" t="s">
        <v>55</v>
      </c>
      <c r="B22" s="41"/>
      <c r="C22" s="31">
        <v>1</v>
      </c>
      <c r="D22" s="31">
        <v>17</v>
      </c>
      <c r="E22" s="39">
        <v>15000</v>
      </c>
      <c r="F22" s="39">
        <f>C22*D22*E22</f>
        <v>255000</v>
      </c>
      <c r="G22" s="34" t="s">
        <v>57</v>
      </c>
    </row>
    <row r="23" spans="1:7" ht="16" x14ac:dyDescent="0.2">
      <c r="A23" s="40" t="s">
        <v>58</v>
      </c>
      <c r="B23" s="42"/>
      <c r="C23" s="37">
        <v>1</v>
      </c>
      <c r="D23" s="37">
        <v>17</v>
      </c>
      <c r="E23" s="39">
        <v>1500</v>
      </c>
      <c r="F23" s="39">
        <f t="shared" ref="F23" si="2">C23*D23*E23</f>
        <v>25500</v>
      </c>
      <c r="G23" s="34" t="s">
        <v>59</v>
      </c>
    </row>
    <row r="24" spans="1:7" ht="16" x14ac:dyDescent="0.2">
      <c r="A24" s="62" t="s">
        <v>67</v>
      </c>
      <c r="B24" s="63" t="s">
        <v>91</v>
      </c>
      <c r="C24" s="64"/>
      <c r="D24" s="64"/>
      <c r="E24" s="65"/>
      <c r="F24" s="65"/>
      <c r="G24" s="62" t="s">
        <v>69</v>
      </c>
    </row>
    <row r="25" spans="1:7" ht="16" x14ac:dyDescent="0.2">
      <c r="A25" s="45" t="s">
        <v>70</v>
      </c>
      <c r="B25" s="46" t="s">
        <v>92</v>
      </c>
      <c r="C25" s="47">
        <v>1</v>
      </c>
      <c r="D25" s="47">
        <v>17</v>
      </c>
      <c r="E25" s="48">
        <v>0</v>
      </c>
      <c r="F25" s="53" t="s">
        <v>72</v>
      </c>
      <c r="G25" s="54" t="s">
        <v>73</v>
      </c>
    </row>
    <row r="26" spans="1:7" ht="16" x14ac:dyDescent="0.2">
      <c r="A26" s="45" t="s">
        <v>74</v>
      </c>
      <c r="B26" s="46" t="s">
        <v>92</v>
      </c>
      <c r="C26" s="47">
        <v>1</v>
      </c>
      <c r="D26" s="47">
        <v>17</v>
      </c>
      <c r="E26" s="48">
        <v>0</v>
      </c>
      <c r="F26" s="53" t="s">
        <v>72</v>
      </c>
      <c r="G26" s="54" t="s">
        <v>75</v>
      </c>
    </row>
    <row r="27" spans="1:7" ht="16" x14ac:dyDescent="0.2">
      <c r="A27" s="45" t="s">
        <v>76</v>
      </c>
      <c r="B27" s="46" t="s">
        <v>77</v>
      </c>
      <c r="C27" s="47">
        <v>1</v>
      </c>
      <c r="D27" s="47">
        <v>17</v>
      </c>
      <c r="E27" s="48">
        <v>0</v>
      </c>
      <c r="F27" s="53" t="s">
        <v>72</v>
      </c>
      <c r="G27" s="54" t="s">
        <v>78</v>
      </c>
    </row>
    <row r="28" spans="1:7" ht="16" x14ac:dyDescent="0.2">
      <c r="A28" s="45" t="s">
        <v>79</v>
      </c>
      <c r="B28" s="46" t="s">
        <v>77</v>
      </c>
      <c r="C28" s="47">
        <v>1</v>
      </c>
      <c r="D28" s="47">
        <v>17</v>
      </c>
      <c r="E28" s="48">
        <v>0</v>
      </c>
      <c r="F28" s="53" t="s">
        <v>72</v>
      </c>
      <c r="G28" s="45" t="s">
        <v>80</v>
      </c>
    </row>
    <row r="29" spans="1:7" ht="16.5" customHeight="1" thickBot="1" x14ac:dyDescent="0.25">
      <c r="A29" s="55" t="s">
        <v>85</v>
      </c>
      <c r="B29" s="56"/>
      <c r="C29" s="57"/>
      <c r="D29" s="58"/>
      <c r="E29" s="59"/>
      <c r="F29" s="60">
        <f>SUM(F20:F23)</f>
        <v>460500</v>
      </c>
      <c r="G29" s="61" t="s">
        <v>26</v>
      </c>
    </row>
    <row r="30" spans="1:7" ht="17" thickBot="1" x14ac:dyDescent="0.25">
      <c r="A30" s="66" t="s">
        <v>93</v>
      </c>
      <c r="B30" s="67"/>
      <c r="C30" s="68"/>
      <c r="D30" s="68"/>
      <c r="E30" s="69"/>
      <c r="F30" s="70">
        <f>F18+F29</f>
        <v>2353000</v>
      </c>
      <c r="G30" s="71" t="s">
        <v>94</v>
      </c>
    </row>
    <row r="31" spans="1:7" ht="16" x14ac:dyDescent="0.2">
      <c r="A31" s="72" t="s">
        <v>95</v>
      </c>
      <c r="B31" s="73"/>
      <c r="C31" s="74"/>
      <c r="D31" s="58"/>
      <c r="E31" s="59"/>
      <c r="F31" s="60">
        <f>F30*1.19-F30</f>
        <v>447070</v>
      </c>
      <c r="G31" s="71"/>
    </row>
    <row r="32" spans="1:7" ht="16" x14ac:dyDescent="0.2">
      <c r="A32" s="149" t="s">
        <v>227</v>
      </c>
      <c r="B32" s="76"/>
      <c r="C32" s="77"/>
      <c r="D32" s="77"/>
      <c r="E32" s="78"/>
      <c r="F32" s="79">
        <f>F30+F31</f>
        <v>2800070</v>
      </c>
      <c r="G32" s="71"/>
    </row>
    <row r="33" spans="1:7" ht="16" x14ac:dyDescent="0.2">
      <c r="A33" s="150" t="s">
        <v>228</v>
      </c>
      <c r="B33" s="151"/>
      <c r="C33" s="152"/>
      <c r="D33" s="152"/>
      <c r="E33" s="153"/>
      <c r="F33" s="154">
        <f>F32-F34</f>
        <v>505070</v>
      </c>
      <c r="G33" s="71"/>
    </row>
    <row r="34" spans="1:7" x14ac:dyDescent="0.2">
      <c r="A34" s="155" t="s">
        <v>229</v>
      </c>
      <c r="B34" s="156"/>
      <c r="C34" s="157"/>
      <c r="D34" s="157"/>
      <c r="E34" s="157"/>
      <c r="F34" s="158">
        <v>2295000</v>
      </c>
    </row>
    <row r="35" spans="1:7" ht="16" x14ac:dyDescent="0.2">
      <c r="A35" s="159" t="s">
        <v>230</v>
      </c>
      <c r="B35" s="160"/>
      <c r="C35" s="161"/>
      <c r="D35" s="161"/>
      <c r="E35" s="162"/>
      <c r="F35" s="163">
        <v>135000</v>
      </c>
      <c r="G35" s="141" t="s">
        <v>231</v>
      </c>
    </row>
    <row r="36" spans="1:7" ht="19" x14ac:dyDescent="0.2">
      <c r="A36" s="94"/>
      <c r="B36"/>
      <c r="E36" s="95"/>
      <c r="F36" s="164"/>
      <c r="G36" s="95"/>
    </row>
    <row r="37" spans="1:7" ht="19" x14ac:dyDescent="0.2">
      <c r="A37" s="94"/>
      <c r="B37"/>
      <c r="E37" s="95"/>
      <c r="F37" s="164">
        <f>F35*17</f>
        <v>2295000</v>
      </c>
      <c r="G37" s="95"/>
    </row>
    <row r="38" spans="1:7" ht="20" thickBot="1" x14ac:dyDescent="0.25">
      <c r="A38" s="94"/>
      <c r="B38"/>
      <c r="D38" s="135"/>
      <c r="E38" s="135" t="s">
        <v>216</v>
      </c>
      <c r="F38" s="137">
        <v>2092593</v>
      </c>
      <c r="G38" s="95"/>
    </row>
    <row r="39" spans="1:7" ht="19" x14ac:dyDescent="0.2">
      <c r="A39" s="94"/>
      <c r="B39"/>
      <c r="D39" s="135"/>
      <c r="E39" s="135" t="s">
        <v>217</v>
      </c>
      <c r="F39" s="138">
        <v>810000</v>
      </c>
      <c r="G39" s="95"/>
    </row>
    <row r="40" spans="1:7" ht="19" x14ac:dyDescent="0.2">
      <c r="A40" s="94"/>
      <c r="B40"/>
      <c r="E40" s="95"/>
      <c r="F40" s="164"/>
      <c r="G40" s="95"/>
    </row>
    <row r="41" spans="1:7" ht="19" x14ac:dyDescent="0.2">
      <c r="A41" s="94"/>
      <c r="B41"/>
      <c r="E41" s="95" t="s">
        <v>245</v>
      </c>
      <c r="F41" s="164">
        <f>+F38+F39-F37</f>
        <v>607593</v>
      </c>
      <c r="G41" s="95"/>
    </row>
    <row r="42" spans="1:7" ht="19" x14ac:dyDescent="0.2">
      <c r="A42" s="94"/>
      <c r="B42"/>
      <c r="E42" s="95"/>
      <c r="F42" s="164"/>
      <c r="G42" s="95"/>
    </row>
    <row r="43" spans="1:7" ht="19" x14ac:dyDescent="0.2">
      <c r="A43" s="94"/>
      <c r="B43"/>
      <c r="E43" s="95"/>
      <c r="F43" s="164"/>
      <c r="G43" s="95"/>
    </row>
    <row r="44" spans="1:7" ht="19" x14ac:dyDescent="0.2">
      <c r="A44" s="94"/>
      <c r="B44"/>
      <c r="E44" s="95"/>
      <c r="F44" s="164"/>
      <c r="G44" s="95"/>
    </row>
    <row r="45" spans="1:7" ht="19" x14ac:dyDescent="0.2">
      <c r="A45" s="94"/>
      <c r="B45"/>
      <c r="E45" s="95"/>
      <c r="F45" s="164"/>
      <c r="G45" s="95"/>
    </row>
    <row r="46" spans="1:7" ht="19" x14ac:dyDescent="0.2">
      <c r="A46" s="94"/>
      <c r="B46"/>
      <c r="E46" s="95"/>
      <c r="F46" s="164"/>
      <c r="G46" s="95"/>
    </row>
    <row r="47" spans="1:7" ht="19" x14ac:dyDescent="0.2">
      <c r="A47" s="94"/>
      <c r="B47"/>
      <c r="E47" s="95"/>
      <c r="F47" s="164"/>
      <c r="G47" s="95"/>
    </row>
    <row r="48" spans="1:7" ht="19" x14ac:dyDescent="0.2">
      <c r="A48" s="94"/>
      <c r="B48"/>
      <c r="E48" s="95"/>
      <c r="F48" s="164"/>
      <c r="G48" s="95"/>
    </row>
    <row r="49" spans="1:7" ht="19" x14ac:dyDescent="0.2">
      <c r="A49" s="94"/>
      <c r="B49"/>
      <c r="E49" s="95"/>
      <c r="F49" s="164"/>
      <c r="G49" s="95"/>
    </row>
    <row r="50" spans="1:7" ht="19" x14ac:dyDescent="0.2">
      <c r="A50" s="94" t="s">
        <v>98</v>
      </c>
      <c r="B50"/>
      <c r="E50" s="95"/>
      <c r="F50" s="164"/>
      <c r="G50" s="95"/>
    </row>
    <row r="51" spans="1:7" ht="19" x14ac:dyDescent="0.2">
      <c r="A51" s="97" t="s">
        <v>99</v>
      </c>
      <c r="B51"/>
      <c r="E51" s="98"/>
      <c r="F51" s="98"/>
      <c r="G51" s="98"/>
    </row>
    <row r="52" spans="1:7" ht="17" x14ac:dyDescent="0.2">
      <c r="A52" s="95" t="s">
        <v>100</v>
      </c>
      <c r="B52"/>
    </row>
    <row r="53" spans="1:7" ht="17" x14ac:dyDescent="0.2">
      <c r="A53" s="95"/>
      <c r="B53"/>
    </row>
    <row r="54" spans="1:7" ht="19" x14ac:dyDescent="0.2">
      <c r="A54" s="94" t="s">
        <v>101</v>
      </c>
      <c r="B54"/>
    </row>
    <row r="55" spans="1:7" ht="17" x14ac:dyDescent="0.2">
      <c r="A55" s="95" t="s">
        <v>102</v>
      </c>
      <c r="B55"/>
    </row>
    <row r="56" spans="1:7" ht="17" x14ac:dyDescent="0.2">
      <c r="A56" s="95" t="s">
        <v>103</v>
      </c>
      <c r="B56"/>
    </row>
    <row r="57" spans="1:7" ht="17" x14ac:dyDescent="0.2">
      <c r="A57" s="95" t="s">
        <v>104</v>
      </c>
      <c r="B57"/>
    </row>
    <row r="58" spans="1:7" ht="17" x14ac:dyDescent="0.2">
      <c r="A58" s="99" t="s">
        <v>105</v>
      </c>
      <c r="B58"/>
    </row>
    <row r="59" spans="1:7" ht="17" x14ac:dyDescent="0.2">
      <c r="A59" s="95" t="s">
        <v>106</v>
      </c>
      <c r="B59"/>
    </row>
    <row r="60" spans="1:7" ht="17" x14ac:dyDescent="0.2">
      <c r="A60" s="95" t="s">
        <v>107</v>
      </c>
      <c r="B60"/>
    </row>
    <row r="61" spans="1:7" ht="17" x14ac:dyDescent="0.2">
      <c r="A61" s="99" t="s">
        <v>108</v>
      </c>
      <c r="B61"/>
    </row>
    <row r="62" spans="1:7" ht="17" x14ac:dyDescent="0.2">
      <c r="A62" s="95" t="s">
        <v>109</v>
      </c>
      <c r="B62"/>
    </row>
    <row r="63" spans="1:7" ht="17" x14ac:dyDescent="0.2">
      <c r="A63" s="95" t="s">
        <v>110</v>
      </c>
      <c r="B63"/>
    </row>
    <row r="64" spans="1:7" ht="17" x14ac:dyDescent="0.2">
      <c r="A64" s="95" t="s">
        <v>111</v>
      </c>
      <c r="B64"/>
    </row>
    <row r="65" spans="1:7" ht="17" x14ac:dyDescent="0.2">
      <c r="A65" s="95" t="s">
        <v>112</v>
      </c>
      <c r="B65"/>
    </row>
    <row r="66" spans="1:7" ht="17" x14ac:dyDescent="0.2">
      <c r="A66" s="95" t="s">
        <v>113</v>
      </c>
      <c r="B66"/>
    </row>
    <row r="67" spans="1:7" ht="17" x14ac:dyDescent="0.2">
      <c r="A67" s="95" t="s">
        <v>114</v>
      </c>
      <c r="B67"/>
    </row>
    <row r="68" spans="1:7" ht="17" x14ac:dyDescent="0.2">
      <c r="A68" s="95"/>
      <c r="B68"/>
    </row>
    <row r="69" spans="1:7" ht="17" x14ac:dyDescent="0.2">
      <c r="A69" s="100" t="s">
        <v>115</v>
      </c>
      <c r="B69"/>
    </row>
    <row r="70" spans="1:7" ht="17" x14ac:dyDescent="0.2">
      <c r="A70" s="95" t="s">
        <v>116</v>
      </c>
      <c r="B70" s="95" t="s">
        <v>117</v>
      </c>
      <c r="D70" s="95" t="s">
        <v>118</v>
      </c>
      <c r="F70" s="95" t="s">
        <v>119</v>
      </c>
    </row>
    <row r="71" spans="1:7" ht="17" x14ac:dyDescent="0.2">
      <c r="A71" s="95" t="s">
        <v>120</v>
      </c>
      <c r="B71" s="95" t="s">
        <v>121</v>
      </c>
      <c r="D71" s="95" t="s">
        <v>122</v>
      </c>
      <c r="F71" s="95" t="s">
        <v>123</v>
      </c>
    </row>
    <row r="72" spans="1:7" ht="17" x14ac:dyDescent="0.2">
      <c r="A72" s="95" t="s">
        <v>124</v>
      </c>
      <c r="B72" s="95" t="s">
        <v>125</v>
      </c>
      <c r="D72" s="95" t="s">
        <v>126</v>
      </c>
      <c r="F72" s="95" t="s">
        <v>127</v>
      </c>
    </row>
    <row r="73" spans="1:7" ht="17" x14ac:dyDescent="0.2">
      <c r="A73" s="95" t="s">
        <v>35</v>
      </c>
      <c r="B73" s="95" t="s">
        <v>128</v>
      </c>
      <c r="D73" s="101" t="s">
        <v>129</v>
      </c>
    </row>
    <row r="74" spans="1:7" ht="18" thickBot="1" x14ac:dyDescent="0.25">
      <c r="A74" s="95"/>
      <c r="B74"/>
    </row>
    <row r="75" spans="1:7" ht="16" customHeight="1" x14ac:dyDescent="0.2">
      <c r="A75" s="102" t="s">
        <v>130</v>
      </c>
      <c r="B75" s="103" t="s">
        <v>45</v>
      </c>
      <c r="C75" s="104" t="s">
        <v>131</v>
      </c>
      <c r="D75" s="104" t="s">
        <v>47</v>
      </c>
      <c r="E75" s="104" t="s">
        <v>132</v>
      </c>
      <c r="F75" s="104" t="s">
        <v>133</v>
      </c>
      <c r="G75" s="105" t="s">
        <v>50</v>
      </c>
    </row>
    <row r="76" spans="1:7" ht="16" customHeight="1" x14ac:dyDescent="0.2">
      <c r="A76" s="34" t="s">
        <v>134</v>
      </c>
      <c r="B76" s="106"/>
      <c r="C76" s="37">
        <v>0</v>
      </c>
      <c r="D76" s="37">
        <v>0</v>
      </c>
      <c r="E76" s="107">
        <v>200000</v>
      </c>
      <c r="F76" s="107">
        <f>C76*D76*E76</f>
        <v>0</v>
      </c>
      <c r="G76" s="34" t="s">
        <v>135</v>
      </c>
    </row>
    <row r="77" spans="1:7" ht="16" x14ac:dyDescent="0.2">
      <c r="A77" s="35" t="s">
        <v>136</v>
      </c>
      <c r="B77" s="36"/>
      <c r="C77" s="37">
        <v>0</v>
      </c>
      <c r="D77" s="37">
        <v>0</v>
      </c>
      <c r="E77" s="39">
        <v>12000</v>
      </c>
      <c r="F77" s="39">
        <f t="shared" ref="F77:F98" si="3">C77*D77*E77</f>
        <v>0</v>
      </c>
      <c r="G77" s="34" t="s">
        <v>137</v>
      </c>
    </row>
    <row r="78" spans="1:7" ht="16" x14ac:dyDescent="0.2">
      <c r="A78" s="35" t="s">
        <v>138</v>
      </c>
      <c r="B78" s="36"/>
      <c r="C78" s="37">
        <v>0</v>
      </c>
      <c r="D78" s="37">
        <v>0</v>
      </c>
      <c r="E78" s="39">
        <v>26000</v>
      </c>
      <c r="F78" s="39">
        <f t="shared" si="3"/>
        <v>0</v>
      </c>
      <c r="G78" s="34" t="s">
        <v>139</v>
      </c>
    </row>
    <row r="79" spans="1:7" ht="16" x14ac:dyDescent="0.2">
      <c r="A79" s="35" t="s">
        <v>140</v>
      </c>
      <c r="B79" s="36"/>
      <c r="C79" s="37">
        <v>0</v>
      </c>
      <c r="D79" s="37">
        <v>0</v>
      </c>
      <c r="E79" s="39">
        <v>35000</v>
      </c>
      <c r="F79" s="39">
        <f t="shared" si="3"/>
        <v>0</v>
      </c>
      <c r="G79" s="34" t="s">
        <v>139</v>
      </c>
    </row>
    <row r="80" spans="1:7" ht="16" x14ac:dyDescent="0.2">
      <c r="A80" s="35" t="s">
        <v>141</v>
      </c>
      <c r="B80" s="36"/>
      <c r="C80" s="37">
        <v>0</v>
      </c>
      <c r="D80" s="37">
        <v>0</v>
      </c>
      <c r="E80" s="39">
        <v>10000</v>
      </c>
      <c r="F80" s="39">
        <f t="shared" si="3"/>
        <v>0</v>
      </c>
      <c r="G80" s="34"/>
    </row>
    <row r="81" spans="1:7" ht="16" x14ac:dyDescent="0.2">
      <c r="A81" s="35" t="s">
        <v>142</v>
      </c>
      <c r="B81" s="36"/>
      <c r="C81" s="37">
        <v>0</v>
      </c>
      <c r="D81" s="37">
        <v>0</v>
      </c>
      <c r="E81" s="39">
        <v>4500</v>
      </c>
      <c r="F81" s="39">
        <f t="shared" si="3"/>
        <v>0</v>
      </c>
      <c r="G81" s="34" t="s">
        <v>143</v>
      </c>
    </row>
    <row r="82" spans="1:7" ht="16" x14ac:dyDescent="0.2">
      <c r="A82" s="35" t="s">
        <v>144</v>
      </c>
      <c r="B82" s="36"/>
      <c r="C82" s="37">
        <v>0</v>
      </c>
      <c r="D82" s="37">
        <v>0</v>
      </c>
      <c r="E82" s="39">
        <v>5000</v>
      </c>
      <c r="F82" s="39">
        <f t="shared" si="3"/>
        <v>0</v>
      </c>
      <c r="G82" s="34" t="s">
        <v>145</v>
      </c>
    </row>
    <row r="83" spans="1:7" ht="16" x14ac:dyDescent="0.2">
      <c r="A83" s="35" t="s">
        <v>146</v>
      </c>
      <c r="B83" s="36"/>
      <c r="C83" s="37">
        <v>0</v>
      </c>
      <c r="D83" s="37">
        <v>0</v>
      </c>
      <c r="E83" s="39">
        <v>5000</v>
      </c>
      <c r="F83" s="39">
        <f t="shared" si="3"/>
        <v>0</v>
      </c>
      <c r="G83" s="34" t="s">
        <v>147</v>
      </c>
    </row>
    <row r="84" spans="1:7" ht="16" x14ac:dyDescent="0.2">
      <c r="A84" s="35" t="s">
        <v>148</v>
      </c>
      <c r="B84" s="36"/>
      <c r="C84" s="37">
        <v>0</v>
      </c>
      <c r="D84" s="37">
        <v>0</v>
      </c>
      <c r="E84" s="39">
        <v>3000</v>
      </c>
      <c r="F84" s="39">
        <f t="shared" si="3"/>
        <v>0</v>
      </c>
      <c r="G84" s="34" t="s">
        <v>149</v>
      </c>
    </row>
    <row r="85" spans="1:7" ht="16" x14ac:dyDescent="0.2">
      <c r="A85" s="35" t="s">
        <v>150</v>
      </c>
      <c r="B85" s="36"/>
      <c r="C85" s="37">
        <v>0</v>
      </c>
      <c r="D85" s="37">
        <v>0</v>
      </c>
      <c r="E85" s="39">
        <v>16000</v>
      </c>
      <c r="F85" s="39">
        <f t="shared" si="3"/>
        <v>0</v>
      </c>
      <c r="G85" s="34" t="s">
        <v>151</v>
      </c>
    </row>
    <row r="86" spans="1:7" ht="16" x14ac:dyDescent="0.2">
      <c r="A86" s="35" t="s">
        <v>152</v>
      </c>
      <c r="B86" s="36"/>
      <c r="C86" s="37">
        <v>0</v>
      </c>
      <c r="D86" s="37">
        <v>0</v>
      </c>
      <c r="E86" s="39">
        <v>7000</v>
      </c>
      <c r="F86" s="39">
        <f t="shared" si="3"/>
        <v>0</v>
      </c>
      <c r="G86" s="34" t="s">
        <v>153</v>
      </c>
    </row>
    <row r="87" spans="1:7" ht="16" x14ac:dyDescent="0.2">
      <c r="A87" s="108" t="s">
        <v>58</v>
      </c>
      <c r="B87" s="109"/>
      <c r="C87" s="47">
        <v>0</v>
      </c>
      <c r="D87" s="47">
        <v>0</v>
      </c>
      <c r="E87" s="48">
        <v>1500</v>
      </c>
      <c r="F87" s="48">
        <f t="shared" si="3"/>
        <v>0</v>
      </c>
      <c r="G87" s="45" t="s">
        <v>59</v>
      </c>
    </row>
    <row r="88" spans="1:7" ht="16" x14ac:dyDescent="0.2">
      <c r="A88" s="110" t="s">
        <v>154</v>
      </c>
      <c r="B88" s="111"/>
      <c r="C88" s="47">
        <v>0</v>
      </c>
      <c r="D88" s="47">
        <v>0</v>
      </c>
      <c r="E88" s="48">
        <v>3000</v>
      </c>
      <c r="F88" s="48">
        <f t="shared" si="3"/>
        <v>0</v>
      </c>
      <c r="G88" s="45"/>
    </row>
    <row r="89" spans="1:7" ht="16" x14ac:dyDescent="0.2">
      <c r="A89" s="110" t="s">
        <v>155</v>
      </c>
      <c r="B89" s="111"/>
      <c r="C89" s="47">
        <v>0</v>
      </c>
      <c r="D89" s="47">
        <v>0</v>
      </c>
      <c r="E89" s="48">
        <v>1000</v>
      </c>
      <c r="F89" s="48">
        <f t="shared" si="3"/>
        <v>0</v>
      </c>
      <c r="G89" s="45" t="s">
        <v>156</v>
      </c>
    </row>
    <row r="90" spans="1:7" ht="16" x14ac:dyDescent="0.2">
      <c r="A90" s="110" t="s">
        <v>157</v>
      </c>
      <c r="B90" s="111"/>
      <c r="C90" s="47">
        <v>0</v>
      </c>
      <c r="D90" s="47">
        <v>0</v>
      </c>
      <c r="E90" s="48">
        <v>3000</v>
      </c>
      <c r="F90" s="48">
        <f t="shared" si="3"/>
        <v>0</v>
      </c>
      <c r="G90" s="45" t="s">
        <v>158</v>
      </c>
    </row>
    <row r="91" spans="1:7" ht="16" x14ac:dyDescent="0.2">
      <c r="A91" s="110" t="s">
        <v>159</v>
      </c>
      <c r="B91" s="111"/>
      <c r="C91" s="47">
        <v>0</v>
      </c>
      <c r="D91" s="47">
        <v>0</v>
      </c>
      <c r="E91" s="112">
        <v>150000</v>
      </c>
      <c r="F91" s="48">
        <f t="shared" si="3"/>
        <v>0</v>
      </c>
      <c r="G91" s="45" t="s">
        <v>160</v>
      </c>
    </row>
    <row r="92" spans="1:7" ht="16" x14ac:dyDescent="0.2">
      <c r="A92" s="35" t="s">
        <v>161</v>
      </c>
      <c r="B92" s="36"/>
      <c r="C92" s="37">
        <v>0</v>
      </c>
      <c r="D92" s="37">
        <v>0</v>
      </c>
      <c r="E92" s="38">
        <v>100000</v>
      </c>
      <c r="F92" s="39">
        <f t="shared" si="3"/>
        <v>0</v>
      </c>
      <c r="G92" s="34" t="s">
        <v>162</v>
      </c>
    </row>
    <row r="93" spans="1:7" ht="16" x14ac:dyDescent="0.2">
      <c r="A93" s="113" t="s">
        <v>163</v>
      </c>
      <c r="B93" s="114"/>
      <c r="C93" s="31">
        <v>0</v>
      </c>
      <c r="D93" s="115">
        <v>0</v>
      </c>
      <c r="E93" s="44">
        <v>3850</v>
      </c>
      <c r="F93" s="116">
        <f>E93*D93*C93</f>
        <v>0</v>
      </c>
      <c r="G93" s="117" t="s">
        <v>164</v>
      </c>
    </row>
    <row r="94" spans="1:7" ht="16" x14ac:dyDescent="0.2">
      <c r="A94" s="118" t="s">
        <v>165</v>
      </c>
      <c r="B94" s="119"/>
      <c r="C94" s="37">
        <v>0</v>
      </c>
      <c r="D94" s="37">
        <v>0</v>
      </c>
      <c r="E94" s="38">
        <v>4800</v>
      </c>
      <c r="F94" s="39">
        <f>C94*D94*E94</f>
        <v>0</v>
      </c>
      <c r="G94" s="35" t="s">
        <v>166</v>
      </c>
    </row>
    <row r="95" spans="1:7" ht="16" x14ac:dyDescent="0.2">
      <c r="A95" s="118" t="s">
        <v>167</v>
      </c>
      <c r="B95" s="119"/>
      <c r="C95" s="37">
        <v>0</v>
      </c>
      <c r="D95" s="37">
        <v>0</v>
      </c>
      <c r="E95" s="38">
        <v>5500</v>
      </c>
      <c r="F95" s="39">
        <f>C95*D95*E95</f>
        <v>0</v>
      </c>
      <c r="G95" s="35" t="s">
        <v>168</v>
      </c>
    </row>
    <row r="96" spans="1:7" ht="16" x14ac:dyDescent="0.2">
      <c r="A96" s="118" t="s">
        <v>169</v>
      </c>
      <c r="B96" s="119"/>
      <c r="C96" s="37">
        <v>0</v>
      </c>
      <c r="D96" s="37">
        <v>0</v>
      </c>
      <c r="E96" s="38">
        <v>7500</v>
      </c>
      <c r="F96" s="39">
        <f t="shared" si="3"/>
        <v>0</v>
      </c>
      <c r="G96" s="35" t="s">
        <v>170</v>
      </c>
    </row>
    <row r="97" spans="1:7" ht="15" customHeight="1" x14ac:dyDescent="0.2">
      <c r="A97" s="35" t="s">
        <v>171</v>
      </c>
      <c r="B97" s="36"/>
      <c r="C97" s="37">
        <v>0</v>
      </c>
      <c r="D97" s="37">
        <v>0</v>
      </c>
      <c r="E97" s="39">
        <v>8500</v>
      </c>
      <c r="F97" s="39">
        <f t="shared" si="3"/>
        <v>0</v>
      </c>
      <c r="G97" s="120" t="s">
        <v>172</v>
      </c>
    </row>
    <row r="98" spans="1:7" ht="15" customHeight="1" x14ac:dyDescent="0.2">
      <c r="A98" s="40" t="s">
        <v>173</v>
      </c>
      <c r="B98" s="42"/>
      <c r="C98" s="37">
        <v>0</v>
      </c>
      <c r="D98" s="37">
        <v>0</v>
      </c>
      <c r="E98" s="39">
        <v>13500</v>
      </c>
      <c r="F98" s="39">
        <f t="shared" si="3"/>
        <v>0</v>
      </c>
      <c r="G98" s="121" t="s">
        <v>174</v>
      </c>
    </row>
    <row r="99" spans="1:7" ht="16" x14ac:dyDescent="0.2">
      <c r="A99" s="35" t="s">
        <v>175</v>
      </c>
      <c r="B99" s="36"/>
      <c r="C99" s="37">
        <v>0</v>
      </c>
      <c r="D99" s="37">
        <v>0</v>
      </c>
      <c r="E99" s="39">
        <v>2500</v>
      </c>
      <c r="F99" s="39">
        <f>C99*D99*E99</f>
        <v>0</v>
      </c>
      <c r="G99" s="34" t="s">
        <v>176</v>
      </c>
    </row>
    <row r="100" spans="1:7" ht="16" x14ac:dyDescent="0.2">
      <c r="A100" s="35" t="s">
        <v>177</v>
      </c>
      <c r="B100" s="36"/>
      <c r="C100" s="37">
        <v>0</v>
      </c>
      <c r="D100" s="37">
        <v>0</v>
      </c>
      <c r="E100" s="38">
        <v>300000</v>
      </c>
      <c r="F100" s="39">
        <f>C100*D100*E100</f>
        <v>0</v>
      </c>
      <c r="G100" s="34" t="s">
        <v>90</v>
      </c>
    </row>
    <row r="101" spans="1:7" ht="16" x14ac:dyDescent="0.2">
      <c r="A101" s="35" t="s">
        <v>178</v>
      </c>
      <c r="B101" s="36"/>
      <c r="C101" s="37">
        <v>0</v>
      </c>
      <c r="D101" s="37">
        <v>0</v>
      </c>
      <c r="E101" s="38">
        <v>250000</v>
      </c>
      <c r="F101" s="39">
        <f>C101*D101*E101</f>
        <v>0</v>
      </c>
      <c r="G101" s="34" t="s">
        <v>90</v>
      </c>
    </row>
    <row r="102" spans="1:7" ht="16" x14ac:dyDescent="0.2">
      <c r="A102" s="35" t="s">
        <v>179</v>
      </c>
      <c r="B102" s="36"/>
      <c r="C102" s="37">
        <v>0</v>
      </c>
      <c r="D102" s="37">
        <v>0</v>
      </c>
      <c r="E102" s="38">
        <v>210000</v>
      </c>
      <c r="F102" s="39">
        <f t="shared" ref="F102:F124" si="4">C102*D102*E102</f>
        <v>0</v>
      </c>
      <c r="G102" s="34" t="s">
        <v>90</v>
      </c>
    </row>
    <row r="103" spans="1:7" ht="16" x14ac:dyDescent="0.2">
      <c r="A103" s="35" t="s">
        <v>180</v>
      </c>
      <c r="B103" s="36"/>
      <c r="C103" s="37">
        <v>0</v>
      </c>
      <c r="D103" s="37">
        <v>0</v>
      </c>
      <c r="E103" s="38">
        <v>210000</v>
      </c>
      <c r="F103" s="39">
        <f t="shared" si="4"/>
        <v>0</v>
      </c>
      <c r="G103" s="34" t="s">
        <v>90</v>
      </c>
    </row>
    <row r="104" spans="1:7" ht="16" x14ac:dyDescent="0.2">
      <c r="A104" s="35" t="s">
        <v>181</v>
      </c>
      <c r="B104" s="36"/>
      <c r="C104" s="37">
        <v>0</v>
      </c>
      <c r="D104" s="37">
        <v>0</v>
      </c>
      <c r="E104" s="38">
        <v>180000</v>
      </c>
      <c r="F104" s="39">
        <f t="shared" si="4"/>
        <v>0</v>
      </c>
      <c r="G104" s="34" t="s">
        <v>90</v>
      </c>
    </row>
    <row r="105" spans="1:7" ht="16" x14ac:dyDescent="0.2">
      <c r="A105" s="35" t="s">
        <v>182</v>
      </c>
      <c r="B105" s="36"/>
      <c r="C105" s="37">
        <v>0</v>
      </c>
      <c r="D105" s="37">
        <v>0</v>
      </c>
      <c r="E105" s="38">
        <v>180000</v>
      </c>
      <c r="F105" s="39">
        <f t="shared" si="4"/>
        <v>0</v>
      </c>
      <c r="G105" s="34" t="s">
        <v>90</v>
      </c>
    </row>
    <row r="106" spans="1:7" ht="16" x14ac:dyDescent="0.2">
      <c r="A106" s="35" t="s">
        <v>183</v>
      </c>
      <c r="B106" s="36"/>
      <c r="C106" s="37">
        <v>0</v>
      </c>
      <c r="D106" s="37">
        <v>0</v>
      </c>
      <c r="E106" s="48">
        <v>120000</v>
      </c>
      <c r="F106" s="39">
        <f t="shared" si="4"/>
        <v>0</v>
      </c>
      <c r="G106" s="34" t="s">
        <v>90</v>
      </c>
    </row>
    <row r="107" spans="1:7" ht="16" x14ac:dyDescent="0.2">
      <c r="A107" s="35" t="s">
        <v>184</v>
      </c>
      <c r="B107" s="36"/>
      <c r="C107" s="37">
        <v>0</v>
      </c>
      <c r="D107" s="37">
        <v>0</v>
      </c>
      <c r="E107" s="48">
        <v>90000</v>
      </c>
      <c r="F107" s="39">
        <f t="shared" si="4"/>
        <v>0</v>
      </c>
      <c r="G107" s="34" t="s">
        <v>90</v>
      </c>
    </row>
    <row r="108" spans="1:7" ht="16" x14ac:dyDescent="0.2">
      <c r="A108" s="35" t="s">
        <v>185</v>
      </c>
      <c r="B108" s="36"/>
      <c r="C108" s="37">
        <v>0</v>
      </c>
      <c r="D108" s="37">
        <v>0</v>
      </c>
      <c r="E108" s="48">
        <v>100000</v>
      </c>
      <c r="F108" s="39">
        <f t="shared" si="4"/>
        <v>0</v>
      </c>
      <c r="G108" s="34" t="s">
        <v>186</v>
      </c>
    </row>
    <row r="109" spans="1:7" ht="16" x14ac:dyDescent="0.2">
      <c r="A109" s="35" t="s">
        <v>187</v>
      </c>
      <c r="B109" s="36"/>
      <c r="C109" s="37">
        <v>0</v>
      </c>
      <c r="D109" s="37">
        <v>0</v>
      </c>
      <c r="E109" s="48">
        <v>300000</v>
      </c>
      <c r="F109" s="39">
        <f t="shared" si="4"/>
        <v>0</v>
      </c>
      <c r="G109" s="34" t="s">
        <v>90</v>
      </c>
    </row>
    <row r="110" spans="1:7" ht="16" x14ac:dyDescent="0.2">
      <c r="A110" s="122" t="s">
        <v>188</v>
      </c>
      <c r="B110" s="123"/>
      <c r="C110" s="37">
        <v>0</v>
      </c>
      <c r="D110" s="37">
        <v>0</v>
      </c>
      <c r="E110" s="124">
        <v>25000</v>
      </c>
      <c r="F110" s="125"/>
      <c r="G110" s="34" t="s">
        <v>189</v>
      </c>
    </row>
    <row r="111" spans="1:7" ht="16" x14ac:dyDescent="0.2">
      <c r="A111" s="122" t="s">
        <v>190</v>
      </c>
      <c r="B111" s="123"/>
      <c r="C111" s="37">
        <v>0</v>
      </c>
      <c r="D111" s="37">
        <v>0</v>
      </c>
      <c r="E111" s="126">
        <v>15000</v>
      </c>
      <c r="F111" s="125"/>
      <c r="G111" s="34" t="s">
        <v>189</v>
      </c>
    </row>
    <row r="112" spans="1:7" ht="16" x14ac:dyDescent="0.2">
      <c r="A112" s="122" t="s">
        <v>191</v>
      </c>
      <c r="B112" s="123"/>
      <c r="C112" s="37">
        <v>0</v>
      </c>
      <c r="D112" s="37">
        <v>0</v>
      </c>
      <c r="E112" s="126">
        <v>60000</v>
      </c>
      <c r="F112" s="125"/>
      <c r="G112" s="34"/>
    </row>
    <row r="113" spans="1:7" ht="16" x14ac:dyDescent="0.2">
      <c r="A113" s="122" t="s">
        <v>192</v>
      </c>
      <c r="B113" s="127"/>
      <c r="C113" s="37">
        <v>0</v>
      </c>
      <c r="D113" s="37">
        <v>0</v>
      </c>
      <c r="E113" s="38">
        <v>150000</v>
      </c>
      <c r="F113" s="39">
        <f t="shared" si="4"/>
        <v>0</v>
      </c>
      <c r="G113" s="34" t="s">
        <v>193</v>
      </c>
    </row>
    <row r="114" spans="1:7" ht="16" x14ac:dyDescent="0.2">
      <c r="A114" s="34" t="s">
        <v>194</v>
      </c>
      <c r="B114" s="128"/>
      <c r="C114" s="37">
        <v>0</v>
      </c>
      <c r="D114" s="37">
        <v>0</v>
      </c>
      <c r="E114" s="39">
        <v>100000</v>
      </c>
      <c r="F114" s="39">
        <f t="shared" si="4"/>
        <v>0</v>
      </c>
      <c r="G114" s="34" t="s">
        <v>195</v>
      </c>
    </row>
    <row r="115" spans="1:7" ht="16" x14ac:dyDescent="0.2">
      <c r="A115" s="34" t="s">
        <v>196</v>
      </c>
      <c r="B115" s="128"/>
      <c r="C115" s="37">
        <v>0</v>
      </c>
      <c r="D115" s="37">
        <v>0</v>
      </c>
      <c r="E115" s="48">
        <v>150000</v>
      </c>
      <c r="F115" s="39">
        <f t="shared" si="4"/>
        <v>0</v>
      </c>
      <c r="G115" s="34" t="s">
        <v>197</v>
      </c>
    </row>
    <row r="116" spans="1:7" ht="16" x14ac:dyDescent="0.2">
      <c r="A116" s="34" t="s">
        <v>198</v>
      </c>
      <c r="B116" s="128"/>
      <c r="C116" s="37">
        <v>0</v>
      </c>
      <c r="D116" s="37">
        <v>0</v>
      </c>
      <c r="E116" s="48">
        <v>380000</v>
      </c>
      <c r="F116" s="39">
        <f t="shared" si="4"/>
        <v>0</v>
      </c>
      <c r="G116" s="34" t="s">
        <v>199</v>
      </c>
    </row>
    <row r="117" spans="1:7" ht="16" x14ac:dyDescent="0.2">
      <c r="A117" s="34" t="s">
        <v>200</v>
      </c>
      <c r="B117" s="128"/>
      <c r="C117" s="37">
        <v>0</v>
      </c>
      <c r="D117" s="37">
        <v>0</v>
      </c>
      <c r="E117" s="48">
        <v>280000</v>
      </c>
      <c r="F117" s="39">
        <f t="shared" si="4"/>
        <v>0</v>
      </c>
      <c r="G117" s="34" t="s">
        <v>197</v>
      </c>
    </row>
    <row r="118" spans="1:7" ht="16" x14ac:dyDescent="0.2">
      <c r="A118" s="129" t="s">
        <v>201</v>
      </c>
      <c r="B118" s="130"/>
      <c r="C118" s="37">
        <v>0</v>
      </c>
      <c r="D118" s="37">
        <v>0</v>
      </c>
      <c r="E118" s="48">
        <v>650000</v>
      </c>
      <c r="F118" s="39">
        <f t="shared" si="4"/>
        <v>0</v>
      </c>
      <c r="G118" s="34" t="s">
        <v>202</v>
      </c>
    </row>
    <row r="119" spans="1:7" ht="15" customHeight="1" x14ac:dyDescent="0.2">
      <c r="A119" s="129" t="s">
        <v>203</v>
      </c>
      <c r="B119" s="130"/>
      <c r="C119" s="37">
        <v>0</v>
      </c>
      <c r="D119" s="37">
        <v>0</v>
      </c>
      <c r="E119" s="48">
        <v>450000</v>
      </c>
      <c r="F119" s="107">
        <f t="shared" si="4"/>
        <v>0</v>
      </c>
      <c r="G119" s="34" t="s">
        <v>204</v>
      </c>
    </row>
    <row r="120" spans="1:7" ht="15" customHeight="1" x14ac:dyDescent="0.2">
      <c r="A120" s="129" t="s">
        <v>205</v>
      </c>
      <c r="B120" s="130"/>
      <c r="C120" s="37">
        <v>0</v>
      </c>
      <c r="D120" s="37">
        <v>0</v>
      </c>
      <c r="E120" s="48">
        <v>80000</v>
      </c>
      <c r="F120" s="107">
        <f t="shared" si="4"/>
        <v>0</v>
      </c>
      <c r="G120" s="34"/>
    </row>
    <row r="121" spans="1:7" ht="15" customHeight="1" x14ac:dyDescent="0.2">
      <c r="A121" s="129" t="s">
        <v>206</v>
      </c>
      <c r="B121" s="130"/>
      <c r="C121" s="37">
        <v>0</v>
      </c>
      <c r="D121" s="37">
        <v>0</v>
      </c>
      <c r="E121" s="48">
        <v>300000</v>
      </c>
      <c r="F121" s="107">
        <f t="shared" si="4"/>
        <v>0</v>
      </c>
      <c r="G121" s="34" t="s">
        <v>207</v>
      </c>
    </row>
    <row r="122" spans="1:7" ht="15" customHeight="1" x14ac:dyDescent="0.2">
      <c r="A122" s="129" t="s">
        <v>208</v>
      </c>
      <c r="B122" s="130"/>
      <c r="C122" s="37">
        <v>0</v>
      </c>
      <c r="D122" s="37">
        <v>0</v>
      </c>
      <c r="E122" s="39">
        <v>680000</v>
      </c>
      <c r="F122" s="107">
        <f t="shared" si="4"/>
        <v>0</v>
      </c>
      <c r="G122" s="34" t="s">
        <v>209</v>
      </c>
    </row>
    <row r="123" spans="1:7" ht="15" customHeight="1" x14ac:dyDescent="0.2">
      <c r="A123" s="129" t="s">
        <v>208</v>
      </c>
      <c r="B123" s="130"/>
      <c r="C123" s="37">
        <v>0</v>
      </c>
      <c r="D123" s="37">
        <v>0</v>
      </c>
      <c r="E123" s="39">
        <v>580000</v>
      </c>
      <c r="F123" s="107">
        <f t="shared" si="4"/>
        <v>0</v>
      </c>
      <c r="G123" s="34" t="s">
        <v>210</v>
      </c>
    </row>
    <row r="124" spans="1:7" ht="15" customHeight="1" x14ac:dyDescent="0.2">
      <c r="A124" s="129" t="s">
        <v>211</v>
      </c>
      <c r="B124" s="130"/>
      <c r="C124" s="37">
        <v>0</v>
      </c>
      <c r="D124" s="37">
        <v>0</v>
      </c>
      <c r="E124" s="39">
        <v>580000</v>
      </c>
      <c r="F124" s="107">
        <f t="shared" si="4"/>
        <v>0</v>
      </c>
      <c r="G124" s="34" t="s">
        <v>212</v>
      </c>
    </row>
    <row r="125" spans="1:7" ht="16" x14ac:dyDescent="0.2">
      <c r="A125" s="34" t="s">
        <v>213</v>
      </c>
      <c r="B125" s="128"/>
      <c r="C125" s="37">
        <v>0</v>
      </c>
      <c r="D125" s="37">
        <v>0</v>
      </c>
      <c r="E125" s="39">
        <v>180000</v>
      </c>
      <c r="F125" s="39">
        <f>C125*D125*E125</f>
        <v>0</v>
      </c>
      <c r="G125" s="34" t="s">
        <v>214</v>
      </c>
    </row>
    <row r="126" spans="1:7" ht="16" x14ac:dyDescent="0.2">
      <c r="A126" s="93"/>
      <c r="B126" s="131"/>
      <c r="C126" s="93"/>
      <c r="D126" s="93"/>
      <c r="E126" s="93"/>
      <c r="F126" s="93"/>
      <c r="G126" s="132" t="s">
        <v>215</v>
      </c>
    </row>
    <row r="127" spans="1:7" x14ac:dyDescent="0.2">
      <c r="A127" s="93"/>
      <c r="B127" s="131"/>
      <c r="C127" s="93"/>
      <c r="D127" s="93"/>
      <c r="E127" s="93" t="s">
        <v>26</v>
      </c>
      <c r="F127" s="93" t="s">
        <v>26</v>
      </c>
      <c r="G127" s="93"/>
    </row>
    <row r="128" spans="1:7" ht="17" customHeight="1" x14ac:dyDescent="0.2">
      <c r="A128" s="93"/>
      <c r="B128" s="131"/>
      <c r="C128" s="93"/>
      <c r="D128" s="93"/>
      <c r="E128" s="93" t="s">
        <v>26</v>
      </c>
      <c r="F128" s="93"/>
      <c r="G128" s="93"/>
    </row>
    <row r="129" spans="1:7" ht="17" customHeight="1" x14ac:dyDescent="0.2">
      <c r="A129" s="93"/>
      <c r="B129" s="131"/>
      <c r="C129" s="93"/>
      <c r="D129" s="93"/>
      <c r="E129" s="93"/>
      <c r="F129" s="93"/>
      <c r="G129" s="93"/>
    </row>
    <row r="130" spans="1:7" x14ac:dyDescent="0.2">
      <c r="A130" s="93"/>
      <c r="B130" s="131"/>
      <c r="C130" s="93"/>
      <c r="D130" s="93"/>
      <c r="E130" s="93"/>
      <c r="F130" s="93"/>
      <c r="G130" s="93"/>
    </row>
    <row r="131" spans="1:7" x14ac:dyDescent="0.2">
      <c r="A131" s="93"/>
      <c r="B131" s="131"/>
      <c r="C131" s="93"/>
      <c r="D131" s="93"/>
      <c r="E131" s="93"/>
      <c r="F131" s="93"/>
      <c r="G131" s="93"/>
    </row>
    <row r="132" spans="1:7" ht="17" customHeight="1" x14ac:dyDescent="0.2">
      <c r="A132" s="93"/>
      <c r="B132" s="131"/>
      <c r="C132" s="93"/>
      <c r="D132" s="93"/>
      <c r="E132" s="93"/>
      <c r="F132" s="93"/>
      <c r="G132" s="93"/>
    </row>
    <row r="133" spans="1:7" ht="17" customHeight="1" x14ac:dyDescent="0.2">
      <c r="A133" s="93"/>
      <c r="B133" s="131"/>
      <c r="C133" s="93"/>
      <c r="D133" s="93"/>
      <c r="E133" s="93"/>
      <c r="F133" s="93"/>
      <c r="G133" s="93"/>
    </row>
    <row r="134" spans="1:7" x14ac:dyDescent="0.2">
      <c r="A134" s="93"/>
      <c r="B134" s="131"/>
      <c r="C134" s="93"/>
      <c r="D134" s="93"/>
      <c r="E134" s="93"/>
      <c r="F134" s="93"/>
      <c r="G134" s="93"/>
    </row>
    <row r="135" spans="1:7" x14ac:dyDescent="0.2">
      <c r="A135" s="93"/>
      <c r="B135" s="131"/>
      <c r="C135" s="93"/>
      <c r="D135" s="93"/>
      <c r="E135" s="93"/>
      <c r="F135" s="93"/>
      <c r="G135" s="93"/>
    </row>
    <row r="151" spans="1:7" ht="17" x14ac:dyDescent="0.2">
      <c r="A151" s="133"/>
      <c r="B151" s="134"/>
      <c r="C151" s="71"/>
      <c r="D151" s="71"/>
      <c r="E151" s="71"/>
      <c r="F151" s="71"/>
      <c r="G151" s="71"/>
    </row>
  </sheetData>
  <mergeCells count="2">
    <mergeCell ref="B6:D6"/>
    <mergeCell ref="A7:B7"/>
  </mergeCells>
  <hyperlinks>
    <hyperlink ref="D73" r:id="rId1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2"/>
  <sheetViews>
    <sheetView topLeftCell="A16" workbookViewId="0">
      <selection activeCell="E42" sqref="E42"/>
    </sheetView>
  </sheetViews>
  <sheetFormatPr baseColWidth="10" defaultRowHeight="15" x14ac:dyDescent="0.2"/>
  <cols>
    <col min="1" max="1" width="38.5" customWidth="1"/>
    <col min="2" max="2" width="12.5" style="14" customWidth="1"/>
    <col min="3" max="4" width="7.33203125" customWidth="1"/>
    <col min="5" max="5" width="11.5" customWidth="1"/>
    <col min="6" max="6" width="14.5" customWidth="1"/>
    <col min="7" max="7" width="101.6640625" customWidth="1"/>
    <col min="8" max="8" width="13" bestFit="1" customWidth="1"/>
    <col min="9" max="9" width="114.1640625" customWidth="1"/>
  </cols>
  <sheetData>
    <row r="1" spans="1:7" ht="64" customHeight="1" x14ac:dyDescent="0.3">
      <c r="A1" s="11" t="s">
        <v>26</v>
      </c>
      <c r="B1" s="12"/>
      <c r="C1" s="13" t="s">
        <v>27</v>
      </c>
    </row>
    <row r="2" spans="1:7" x14ac:dyDescent="0.2">
      <c r="G2" t="s">
        <v>28</v>
      </c>
    </row>
    <row r="3" spans="1:7" ht="16" x14ac:dyDescent="0.2">
      <c r="A3" s="15" t="s">
        <v>221</v>
      </c>
      <c r="B3" s="142" t="s">
        <v>30</v>
      </c>
      <c r="C3" s="143"/>
      <c r="E3" t="s">
        <v>31</v>
      </c>
      <c r="F3" s="17" t="s">
        <v>32</v>
      </c>
      <c r="G3" s="18" t="s">
        <v>222</v>
      </c>
    </row>
    <row r="4" spans="1:7" ht="16" x14ac:dyDescent="0.2">
      <c r="A4" t="s">
        <v>34</v>
      </c>
      <c r="C4" s="19"/>
      <c r="E4" t="s">
        <v>35</v>
      </c>
      <c r="F4">
        <v>90827788</v>
      </c>
      <c r="G4" s="20" t="s">
        <v>223</v>
      </c>
    </row>
    <row r="5" spans="1:7" ht="16" x14ac:dyDescent="0.2">
      <c r="A5" t="s">
        <v>37</v>
      </c>
      <c r="E5" t="s">
        <v>39</v>
      </c>
      <c r="F5" s="17">
        <v>28</v>
      </c>
      <c r="G5" s="20" t="s">
        <v>40</v>
      </c>
    </row>
    <row r="6" spans="1:7" ht="16" x14ac:dyDescent="0.2">
      <c r="A6" s="144" t="s">
        <v>41</v>
      </c>
      <c r="B6" s="266" t="s">
        <v>234</v>
      </c>
      <c r="C6" s="266"/>
      <c r="D6" s="266"/>
      <c r="E6" s="145" t="s">
        <v>42</v>
      </c>
      <c r="F6" s="145">
        <v>974961403</v>
      </c>
      <c r="G6" s="20" t="s">
        <v>43</v>
      </c>
    </row>
    <row r="7" spans="1:7" ht="16" x14ac:dyDescent="0.2">
      <c r="A7" s="267" t="s">
        <v>225</v>
      </c>
      <c r="B7" s="267"/>
      <c r="C7" s="146" t="s">
        <v>26</v>
      </c>
      <c r="D7" t="s">
        <v>26</v>
      </c>
      <c r="E7" s="23"/>
      <c r="F7" s="23" t="s">
        <v>26</v>
      </c>
      <c r="G7" s="20"/>
    </row>
    <row r="8" spans="1:7" ht="17" thickBot="1" x14ac:dyDescent="0.25">
      <c r="A8" s="147"/>
      <c r="B8" s="146"/>
      <c r="C8" s="148"/>
      <c r="D8" s="23"/>
      <c r="E8" s="23"/>
      <c r="F8" s="23"/>
      <c r="G8" s="20"/>
    </row>
    <row r="9" spans="1:7" ht="15.75" customHeight="1" x14ac:dyDescent="0.2">
      <c r="A9" s="25" t="s">
        <v>44</v>
      </c>
      <c r="B9" s="26" t="s">
        <v>45</v>
      </c>
      <c r="C9" s="27" t="s">
        <v>46</v>
      </c>
      <c r="D9" s="27" t="s">
        <v>47</v>
      </c>
      <c r="E9" s="27" t="s">
        <v>48</v>
      </c>
      <c r="F9" s="27" t="s">
        <v>49</v>
      </c>
      <c r="G9" s="28" t="s">
        <v>50</v>
      </c>
    </row>
    <row r="10" spans="1:7" ht="16.5" customHeight="1" x14ac:dyDescent="0.2">
      <c r="A10" s="29" t="s">
        <v>51</v>
      </c>
      <c r="B10" s="30" t="s">
        <v>226</v>
      </c>
      <c r="C10" s="31">
        <v>1</v>
      </c>
      <c r="D10" s="31">
        <v>0</v>
      </c>
      <c r="E10" s="32">
        <v>8500</v>
      </c>
      <c r="F10" s="33">
        <f>C10*D10*E10</f>
        <v>0</v>
      </c>
      <c r="G10" s="34" t="s">
        <v>52</v>
      </c>
    </row>
    <row r="11" spans="1:7" ht="16" x14ac:dyDescent="0.2">
      <c r="A11" s="35" t="s">
        <v>182</v>
      </c>
      <c r="B11" s="36"/>
      <c r="C11" s="37">
        <v>1</v>
      </c>
      <c r="D11" s="37">
        <v>1</v>
      </c>
      <c r="E11" s="38">
        <v>180000</v>
      </c>
      <c r="F11" s="39">
        <f t="shared" ref="F11:F17" si="0">C11*D11*E11</f>
        <v>180000</v>
      </c>
      <c r="G11" s="34" t="s">
        <v>90</v>
      </c>
    </row>
    <row r="12" spans="1:7" ht="16.5" customHeight="1" x14ac:dyDescent="0.2">
      <c r="A12" s="40" t="s">
        <v>55</v>
      </c>
      <c r="B12" s="41" t="s">
        <v>56</v>
      </c>
      <c r="C12" s="31">
        <v>1</v>
      </c>
      <c r="D12" s="31">
        <v>28</v>
      </c>
      <c r="E12" s="39">
        <v>15000</v>
      </c>
      <c r="F12" s="39">
        <f t="shared" si="0"/>
        <v>420000</v>
      </c>
      <c r="G12" s="34" t="s">
        <v>57</v>
      </c>
    </row>
    <row r="13" spans="1:7" ht="16" x14ac:dyDescent="0.2">
      <c r="A13" s="40" t="s">
        <v>58</v>
      </c>
      <c r="B13" s="42"/>
      <c r="C13" s="37">
        <v>1</v>
      </c>
      <c r="D13" s="37">
        <v>28</v>
      </c>
      <c r="E13" s="39">
        <v>1500</v>
      </c>
      <c r="F13" s="39">
        <f t="shared" si="0"/>
        <v>42000</v>
      </c>
      <c r="G13" s="34" t="s">
        <v>59</v>
      </c>
    </row>
    <row r="14" spans="1:7" ht="16" x14ac:dyDescent="0.2">
      <c r="A14" s="43" t="s">
        <v>60</v>
      </c>
      <c r="B14" s="41" t="s">
        <v>61</v>
      </c>
      <c r="C14" s="31">
        <v>1</v>
      </c>
      <c r="D14" s="31">
        <v>28</v>
      </c>
      <c r="E14" s="44">
        <v>15000</v>
      </c>
      <c r="F14" s="33">
        <f t="shared" si="0"/>
        <v>420000</v>
      </c>
      <c r="G14" s="34" t="s">
        <v>62</v>
      </c>
    </row>
    <row r="15" spans="1:7" ht="16" x14ac:dyDescent="0.2">
      <c r="A15" s="40" t="s">
        <v>58</v>
      </c>
      <c r="B15" s="42"/>
      <c r="C15" s="37">
        <v>1</v>
      </c>
      <c r="D15" s="37">
        <v>28</v>
      </c>
      <c r="E15" s="39">
        <v>1500</v>
      </c>
      <c r="F15" s="39">
        <f t="shared" si="0"/>
        <v>42000</v>
      </c>
      <c r="G15" s="34" t="s">
        <v>59</v>
      </c>
    </row>
    <row r="16" spans="1:7" ht="16" x14ac:dyDescent="0.2">
      <c r="A16" s="45" t="s">
        <v>63</v>
      </c>
      <c r="B16" s="46"/>
      <c r="C16" s="47">
        <v>1</v>
      </c>
      <c r="D16" s="47">
        <v>2</v>
      </c>
      <c r="E16" s="48">
        <v>99000</v>
      </c>
      <c r="F16" s="48">
        <f t="shared" si="0"/>
        <v>198000</v>
      </c>
      <c r="G16" s="45" t="s">
        <v>64</v>
      </c>
    </row>
    <row r="17" spans="1:7" ht="16" x14ac:dyDescent="0.2">
      <c r="A17" s="45" t="s">
        <v>65</v>
      </c>
      <c r="B17" s="46"/>
      <c r="C17" s="47">
        <v>1</v>
      </c>
      <c r="D17" s="47">
        <v>14</v>
      </c>
      <c r="E17" s="48">
        <v>113500</v>
      </c>
      <c r="F17" s="48">
        <f t="shared" si="0"/>
        <v>1589000</v>
      </c>
      <c r="G17" s="45" t="s">
        <v>66</v>
      </c>
    </row>
    <row r="18" spans="1:7" ht="16.5" customHeight="1" thickBot="1" x14ac:dyDescent="0.25">
      <c r="A18" s="55" t="s">
        <v>85</v>
      </c>
      <c r="B18" s="56"/>
      <c r="C18" s="57"/>
      <c r="D18" s="58"/>
      <c r="E18" s="59"/>
      <c r="F18" s="60">
        <f>SUM(F10:F17)</f>
        <v>2891000</v>
      </c>
      <c r="G18" s="61" t="s">
        <v>26</v>
      </c>
    </row>
    <row r="19" spans="1:7" ht="16.5" customHeight="1" x14ac:dyDescent="0.2">
      <c r="A19" s="25" t="s">
        <v>86</v>
      </c>
      <c r="B19" s="26"/>
      <c r="C19" s="27" t="s">
        <v>46</v>
      </c>
      <c r="D19" s="27" t="s">
        <v>47</v>
      </c>
      <c r="E19" s="27" t="s">
        <v>48</v>
      </c>
      <c r="F19" s="27" t="s">
        <v>49</v>
      </c>
      <c r="G19" s="28" t="s">
        <v>50</v>
      </c>
    </row>
    <row r="20" spans="1:7" ht="16.5" customHeight="1" x14ac:dyDescent="0.2">
      <c r="A20" s="29" t="s">
        <v>87</v>
      </c>
      <c r="B20" s="30"/>
      <c r="C20" s="31">
        <v>1</v>
      </c>
      <c r="D20" s="31">
        <v>28</v>
      </c>
      <c r="E20" s="32">
        <v>8500</v>
      </c>
      <c r="F20" s="33" t="s">
        <v>88</v>
      </c>
      <c r="G20" s="34" t="s">
        <v>52</v>
      </c>
    </row>
    <row r="21" spans="1:7" ht="16" x14ac:dyDescent="0.2">
      <c r="A21" s="35" t="s">
        <v>89</v>
      </c>
      <c r="B21" s="36"/>
      <c r="C21" s="37">
        <v>1</v>
      </c>
      <c r="D21" s="37">
        <v>1</v>
      </c>
      <c r="E21" s="38">
        <v>180000</v>
      </c>
      <c r="F21" s="39">
        <f t="shared" ref="F21" si="1">C21*D21*E21</f>
        <v>180000</v>
      </c>
      <c r="G21" s="34" t="s">
        <v>90</v>
      </c>
    </row>
    <row r="22" spans="1:7" ht="16.5" customHeight="1" x14ac:dyDescent="0.2">
      <c r="A22" s="40" t="s">
        <v>55</v>
      </c>
      <c r="B22" s="41"/>
      <c r="C22" s="31">
        <v>1</v>
      </c>
      <c r="D22" s="31">
        <v>28</v>
      </c>
      <c r="E22" s="39">
        <v>15000</v>
      </c>
      <c r="F22" s="39">
        <f>C22*D22*E22</f>
        <v>420000</v>
      </c>
      <c r="G22" s="34" t="s">
        <v>57</v>
      </c>
    </row>
    <row r="23" spans="1:7" ht="16" x14ac:dyDescent="0.2">
      <c r="A23" s="40" t="s">
        <v>58</v>
      </c>
      <c r="B23" s="42"/>
      <c r="C23" s="37">
        <v>1</v>
      </c>
      <c r="D23" s="37">
        <v>28</v>
      </c>
      <c r="E23" s="39">
        <v>1500</v>
      </c>
      <c r="F23" s="39">
        <f t="shared" ref="F23" si="2">C23*D23*E23</f>
        <v>42000</v>
      </c>
      <c r="G23" s="34" t="s">
        <v>59</v>
      </c>
    </row>
    <row r="24" spans="1:7" ht="16" x14ac:dyDescent="0.2">
      <c r="A24" s="62" t="s">
        <v>67</v>
      </c>
      <c r="B24" s="63" t="s">
        <v>91</v>
      </c>
      <c r="C24" s="64"/>
      <c r="D24" s="64"/>
      <c r="E24" s="65"/>
      <c r="F24" s="65"/>
      <c r="G24" s="62" t="s">
        <v>69</v>
      </c>
    </row>
    <row r="25" spans="1:7" ht="16" x14ac:dyDescent="0.2">
      <c r="A25" s="45" t="s">
        <v>70</v>
      </c>
      <c r="B25" s="46" t="s">
        <v>92</v>
      </c>
      <c r="C25" s="47">
        <v>1</v>
      </c>
      <c r="D25" s="47">
        <v>28</v>
      </c>
      <c r="E25" s="48">
        <v>0</v>
      </c>
      <c r="F25" s="53" t="s">
        <v>72</v>
      </c>
      <c r="G25" s="54" t="s">
        <v>73</v>
      </c>
    </row>
    <row r="26" spans="1:7" ht="16" x14ac:dyDescent="0.2">
      <c r="A26" s="45" t="s">
        <v>74</v>
      </c>
      <c r="B26" s="46" t="s">
        <v>92</v>
      </c>
      <c r="C26" s="47">
        <v>1</v>
      </c>
      <c r="D26" s="47">
        <v>28</v>
      </c>
      <c r="E26" s="48">
        <v>0</v>
      </c>
      <c r="F26" s="53" t="s">
        <v>72</v>
      </c>
      <c r="G26" s="54" t="s">
        <v>75</v>
      </c>
    </row>
    <row r="27" spans="1:7" ht="16" x14ac:dyDescent="0.2">
      <c r="A27" s="45" t="s">
        <v>76</v>
      </c>
      <c r="B27" s="46" t="s">
        <v>77</v>
      </c>
      <c r="C27" s="47">
        <v>1</v>
      </c>
      <c r="D27" s="47">
        <v>28</v>
      </c>
      <c r="E27" s="48">
        <v>0</v>
      </c>
      <c r="F27" s="53" t="s">
        <v>72</v>
      </c>
      <c r="G27" s="54" t="s">
        <v>78</v>
      </c>
    </row>
    <row r="28" spans="1:7" ht="16" x14ac:dyDescent="0.2">
      <c r="A28" s="45" t="s">
        <v>79</v>
      </c>
      <c r="B28" s="46" t="s">
        <v>77</v>
      </c>
      <c r="C28" s="47">
        <v>1</v>
      </c>
      <c r="D28" s="47">
        <v>28</v>
      </c>
      <c r="E28" s="48">
        <v>0</v>
      </c>
      <c r="F28" s="53" t="s">
        <v>72</v>
      </c>
      <c r="G28" s="45" t="s">
        <v>80</v>
      </c>
    </row>
    <row r="29" spans="1:7" ht="16.5" customHeight="1" thickBot="1" x14ac:dyDescent="0.25">
      <c r="A29" s="55" t="s">
        <v>85</v>
      </c>
      <c r="B29" s="56"/>
      <c r="C29" s="57"/>
      <c r="D29" s="58"/>
      <c r="E29" s="59"/>
      <c r="F29" s="60">
        <f>SUM(F20:F23)</f>
        <v>642000</v>
      </c>
      <c r="G29" s="61" t="s">
        <v>26</v>
      </c>
    </row>
    <row r="30" spans="1:7" ht="17" thickBot="1" x14ac:dyDescent="0.25">
      <c r="A30" s="66" t="s">
        <v>93</v>
      </c>
      <c r="B30" s="67"/>
      <c r="C30" s="68"/>
      <c r="D30" s="68"/>
      <c r="E30" s="69"/>
      <c r="F30" s="70">
        <f>F18+F29</f>
        <v>3533000</v>
      </c>
      <c r="G30" s="71" t="s">
        <v>94</v>
      </c>
    </row>
    <row r="31" spans="1:7" ht="16" x14ac:dyDescent="0.2">
      <c r="A31" s="72" t="s">
        <v>95</v>
      </c>
      <c r="B31" s="73"/>
      <c r="C31" s="74"/>
      <c r="D31" s="58"/>
      <c r="E31" s="59"/>
      <c r="F31" s="60">
        <f>F30*1.19-F30</f>
        <v>671270</v>
      </c>
      <c r="G31" s="71"/>
    </row>
    <row r="32" spans="1:7" ht="16" x14ac:dyDescent="0.2">
      <c r="A32" s="149" t="s">
        <v>227</v>
      </c>
      <c r="B32" s="76"/>
      <c r="C32" s="77"/>
      <c r="D32" s="77"/>
      <c r="E32" s="78"/>
      <c r="F32" s="79">
        <f>F30+F31</f>
        <v>4204270</v>
      </c>
      <c r="G32" s="71"/>
    </row>
    <row r="33" spans="1:7" ht="16" x14ac:dyDescent="0.2">
      <c r="A33" s="150" t="s">
        <v>228</v>
      </c>
      <c r="B33" s="151"/>
      <c r="C33" s="152"/>
      <c r="D33" s="152"/>
      <c r="E33" s="153"/>
      <c r="F33" s="154">
        <f>F32*0.64-F32</f>
        <v>-1513537.1999999997</v>
      </c>
      <c r="G33" s="71"/>
    </row>
    <row r="34" spans="1:7" x14ac:dyDescent="0.2">
      <c r="A34" s="155" t="s">
        <v>229</v>
      </c>
      <c r="B34" s="156"/>
      <c r="C34" s="157"/>
      <c r="D34" s="157"/>
      <c r="E34" s="157"/>
      <c r="F34" s="158">
        <f>F32+F33</f>
        <v>2690732.8000000003</v>
      </c>
    </row>
    <row r="35" spans="1:7" ht="16" x14ac:dyDescent="0.2">
      <c r="A35" s="159" t="s">
        <v>230</v>
      </c>
      <c r="B35" s="160"/>
      <c r="C35" s="161"/>
      <c r="D35" s="161"/>
      <c r="E35" s="162"/>
      <c r="F35" s="163">
        <v>95500</v>
      </c>
      <c r="G35" s="141" t="s">
        <v>231</v>
      </c>
    </row>
    <row r="36" spans="1:7" ht="19" x14ac:dyDescent="0.2">
      <c r="A36" s="94"/>
      <c r="B36"/>
      <c r="E36" s="95"/>
      <c r="F36" s="164" t="s">
        <v>26</v>
      </c>
      <c r="G36" s="95"/>
    </row>
    <row r="37" spans="1:7" ht="19" x14ac:dyDescent="0.2">
      <c r="A37" s="94"/>
      <c r="B37"/>
      <c r="E37" s="95"/>
      <c r="F37" s="164"/>
      <c r="G37" s="95"/>
    </row>
    <row r="38" spans="1:7" ht="20" thickBot="1" x14ac:dyDescent="0.25">
      <c r="A38" s="94"/>
      <c r="B38"/>
      <c r="E38" s="135" t="s">
        <v>216</v>
      </c>
      <c r="F38" s="137">
        <v>2672995</v>
      </c>
      <c r="G38" s="95"/>
    </row>
    <row r="39" spans="1:7" ht="19" x14ac:dyDescent="0.2">
      <c r="A39" s="94"/>
      <c r="B39"/>
      <c r="E39" s="135" t="s">
        <v>217</v>
      </c>
      <c r="F39" s="138">
        <v>1107011</v>
      </c>
      <c r="G39" s="95"/>
    </row>
    <row r="40" spans="1:7" ht="19" x14ac:dyDescent="0.2">
      <c r="A40" s="94"/>
      <c r="B40"/>
      <c r="E40" s="95"/>
      <c r="F40" s="164"/>
      <c r="G40" s="95"/>
    </row>
    <row r="41" spans="1:7" ht="19" x14ac:dyDescent="0.2">
      <c r="A41" s="94"/>
      <c r="B41"/>
      <c r="E41" s="95" t="s">
        <v>245</v>
      </c>
      <c r="F41" s="164">
        <f>+F38+F39-F34</f>
        <v>1089273.1999999997</v>
      </c>
      <c r="G41" s="95"/>
    </row>
    <row r="42" spans="1:7" ht="19" x14ac:dyDescent="0.2">
      <c r="A42" s="94"/>
      <c r="B42"/>
      <c r="E42" s="95"/>
      <c r="F42" s="164"/>
      <c r="G42" s="95"/>
    </row>
    <row r="43" spans="1:7" ht="19" x14ac:dyDescent="0.2">
      <c r="A43" s="94"/>
      <c r="B43"/>
      <c r="E43" s="95"/>
      <c r="F43" s="164"/>
      <c r="G43" s="95"/>
    </row>
    <row r="44" spans="1:7" ht="19" x14ac:dyDescent="0.2">
      <c r="A44" s="94"/>
      <c r="B44"/>
      <c r="E44" s="95"/>
      <c r="F44" s="164"/>
      <c r="G44" s="95"/>
    </row>
    <row r="45" spans="1:7" ht="19" x14ac:dyDescent="0.2">
      <c r="A45" s="94"/>
      <c r="B45"/>
      <c r="E45" s="95"/>
      <c r="F45" s="164"/>
      <c r="G45" s="95"/>
    </row>
    <row r="46" spans="1:7" ht="19" x14ac:dyDescent="0.2">
      <c r="A46" s="94"/>
      <c r="B46"/>
      <c r="E46" s="95"/>
      <c r="F46" s="164"/>
      <c r="G46" s="95"/>
    </row>
    <row r="47" spans="1:7" ht="19" x14ac:dyDescent="0.2">
      <c r="A47" s="94"/>
      <c r="B47"/>
      <c r="E47" s="95"/>
      <c r="F47" s="164"/>
      <c r="G47" s="95"/>
    </row>
    <row r="48" spans="1:7" ht="19" x14ac:dyDescent="0.2">
      <c r="A48" s="94"/>
      <c r="B48"/>
      <c r="E48" s="95"/>
      <c r="F48" s="164"/>
      <c r="G48" s="95"/>
    </row>
    <row r="49" spans="1:7" ht="19" x14ac:dyDescent="0.2">
      <c r="A49" s="94"/>
      <c r="B49"/>
      <c r="E49" s="95"/>
      <c r="F49" s="164"/>
      <c r="G49" s="95"/>
    </row>
    <row r="50" spans="1:7" ht="19" x14ac:dyDescent="0.2">
      <c r="A50" s="94"/>
      <c r="B50"/>
      <c r="E50" s="95"/>
      <c r="F50" s="164"/>
      <c r="G50" s="95"/>
    </row>
    <row r="51" spans="1:7" ht="19" x14ac:dyDescent="0.2">
      <c r="A51" s="94" t="s">
        <v>98</v>
      </c>
      <c r="B51"/>
      <c r="E51" s="95"/>
      <c r="F51" s="164"/>
      <c r="G51" s="95"/>
    </row>
    <row r="52" spans="1:7" ht="19" x14ac:dyDescent="0.2">
      <c r="A52" s="97" t="s">
        <v>99</v>
      </c>
      <c r="B52"/>
      <c r="E52" s="98"/>
      <c r="F52" s="98"/>
      <c r="G52" s="98"/>
    </row>
    <row r="53" spans="1:7" ht="17" x14ac:dyDescent="0.2">
      <c r="A53" s="95" t="s">
        <v>100</v>
      </c>
      <c r="B53"/>
    </row>
    <row r="54" spans="1:7" ht="17" x14ac:dyDescent="0.2">
      <c r="A54" s="95"/>
      <c r="B54"/>
    </row>
    <row r="55" spans="1:7" ht="19" x14ac:dyDescent="0.2">
      <c r="A55" s="94" t="s">
        <v>101</v>
      </c>
      <c r="B55"/>
    </row>
    <row r="56" spans="1:7" ht="17" x14ac:dyDescent="0.2">
      <c r="A56" s="95" t="s">
        <v>102</v>
      </c>
      <c r="B56"/>
    </row>
    <row r="57" spans="1:7" ht="17" x14ac:dyDescent="0.2">
      <c r="A57" s="95" t="s">
        <v>103</v>
      </c>
      <c r="B57"/>
    </row>
    <row r="58" spans="1:7" ht="17" x14ac:dyDescent="0.2">
      <c r="A58" s="95" t="s">
        <v>104</v>
      </c>
      <c r="B58"/>
    </row>
    <row r="59" spans="1:7" ht="17" x14ac:dyDescent="0.2">
      <c r="A59" s="99" t="s">
        <v>105</v>
      </c>
      <c r="B59"/>
    </row>
    <row r="60" spans="1:7" ht="17" x14ac:dyDescent="0.2">
      <c r="A60" s="95" t="s">
        <v>106</v>
      </c>
      <c r="B60"/>
    </row>
    <row r="61" spans="1:7" ht="17" x14ac:dyDescent="0.2">
      <c r="A61" s="95" t="s">
        <v>107</v>
      </c>
      <c r="B61"/>
    </row>
    <row r="62" spans="1:7" ht="17" x14ac:dyDescent="0.2">
      <c r="A62" s="99" t="s">
        <v>108</v>
      </c>
      <c r="B62"/>
    </row>
    <row r="63" spans="1:7" ht="17" x14ac:dyDescent="0.2">
      <c r="A63" s="95" t="s">
        <v>109</v>
      </c>
      <c r="B63"/>
    </row>
    <row r="64" spans="1:7" ht="17" x14ac:dyDescent="0.2">
      <c r="A64" s="95" t="s">
        <v>110</v>
      </c>
      <c r="B64"/>
    </row>
    <row r="65" spans="1:7" ht="17" x14ac:dyDescent="0.2">
      <c r="A65" s="95" t="s">
        <v>111</v>
      </c>
      <c r="B65"/>
    </row>
    <row r="66" spans="1:7" ht="17" x14ac:dyDescent="0.2">
      <c r="A66" s="95" t="s">
        <v>112</v>
      </c>
      <c r="B66"/>
    </row>
    <row r="67" spans="1:7" ht="17" x14ac:dyDescent="0.2">
      <c r="A67" s="95" t="s">
        <v>113</v>
      </c>
      <c r="B67"/>
    </row>
    <row r="68" spans="1:7" ht="17" x14ac:dyDescent="0.2">
      <c r="A68" s="95" t="s">
        <v>114</v>
      </c>
      <c r="B68"/>
    </row>
    <row r="69" spans="1:7" ht="17" x14ac:dyDescent="0.2">
      <c r="A69" s="95"/>
      <c r="B69"/>
    </row>
    <row r="70" spans="1:7" ht="17" x14ac:dyDescent="0.2">
      <c r="A70" s="100" t="s">
        <v>115</v>
      </c>
      <c r="B70"/>
    </row>
    <row r="71" spans="1:7" ht="17" x14ac:dyDescent="0.2">
      <c r="A71" s="95" t="s">
        <v>116</v>
      </c>
      <c r="B71" s="95" t="s">
        <v>117</v>
      </c>
      <c r="D71" s="95" t="s">
        <v>118</v>
      </c>
      <c r="F71" s="95" t="s">
        <v>119</v>
      </c>
    </row>
    <row r="72" spans="1:7" ht="17" x14ac:dyDescent="0.2">
      <c r="A72" s="95" t="s">
        <v>120</v>
      </c>
      <c r="B72" s="95" t="s">
        <v>121</v>
      </c>
      <c r="D72" s="95" t="s">
        <v>122</v>
      </c>
      <c r="F72" s="95" t="s">
        <v>123</v>
      </c>
    </row>
    <row r="73" spans="1:7" ht="17" x14ac:dyDescent="0.2">
      <c r="A73" s="95" t="s">
        <v>124</v>
      </c>
      <c r="B73" s="95" t="s">
        <v>125</v>
      </c>
      <c r="D73" s="95" t="s">
        <v>126</v>
      </c>
      <c r="F73" s="95" t="s">
        <v>127</v>
      </c>
    </row>
    <row r="74" spans="1:7" ht="17" x14ac:dyDescent="0.2">
      <c r="A74" s="95" t="s">
        <v>35</v>
      </c>
      <c r="B74" s="95" t="s">
        <v>128</v>
      </c>
      <c r="D74" s="101" t="s">
        <v>129</v>
      </c>
    </row>
    <row r="75" spans="1:7" ht="18" thickBot="1" x14ac:dyDescent="0.25">
      <c r="A75" s="95"/>
      <c r="B75"/>
    </row>
    <row r="76" spans="1:7" ht="16" customHeight="1" x14ac:dyDescent="0.2">
      <c r="A76" s="102" t="s">
        <v>130</v>
      </c>
      <c r="B76" s="103" t="s">
        <v>45</v>
      </c>
      <c r="C76" s="104" t="s">
        <v>131</v>
      </c>
      <c r="D76" s="104" t="s">
        <v>47</v>
      </c>
      <c r="E76" s="104" t="s">
        <v>132</v>
      </c>
      <c r="F76" s="104" t="s">
        <v>133</v>
      </c>
      <c r="G76" s="105" t="s">
        <v>50</v>
      </c>
    </row>
    <row r="77" spans="1:7" ht="16" customHeight="1" x14ac:dyDescent="0.2">
      <c r="A77" s="34" t="s">
        <v>134</v>
      </c>
      <c r="B77" s="106"/>
      <c r="C77" s="37">
        <v>0</v>
      </c>
      <c r="D77" s="37">
        <v>0</v>
      </c>
      <c r="E77" s="107">
        <v>200000</v>
      </c>
      <c r="F77" s="107">
        <f>C77*D77*E77</f>
        <v>0</v>
      </c>
      <c r="G77" s="34" t="s">
        <v>135</v>
      </c>
    </row>
    <row r="78" spans="1:7" ht="16" x14ac:dyDescent="0.2">
      <c r="A78" s="35" t="s">
        <v>136</v>
      </c>
      <c r="B78" s="36"/>
      <c r="C78" s="37">
        <v>0</v>
      </c>
      <c r="D78" s="37">
        <v>0</v>
      </c>
      <c r="E78" s="39">
        <v>12000</v>
      </c>
      <c r="F78" s="39">
        <f t="shared" ref="F78:F99" si="3">C78*D78*E78</f>
        <v>0</v>
      </c>
      <c r="G78" s="34" t="s">
        <v>137</v>
      </c>
    </row>
    <row r="79" spans="1:7" ht="16" x14ac:dyDescent="0.2">
      <c r="A79" s="35" t="s">
        <v>138</v>
      </c>
      <c r="B79" s="36"/>
      <c r="C79" s="37">
        <v>0</v>
      </c>
      <c r="D79" s="37">
        <v>0</v>
      </c>
      <c r="E79" s="39">
        <v>26000</v>
      </c>
      <c r="F79" s="39">
        <f t="shared" si="3"/>
        <v>0</v>
      </c>
      <c r="G79" s="34" t="s">
        <v>139</v>
      </c>
    </row>
    <row r="80" spans="1:7" ht="16" x14ac:dyDescent="0.2">
      <c r="A80" s="35" t="s">
        <v>140</v>
      </c>
      <c r="B80" s="36"/>
      <c r="C80" s="37">
        <v>0</v>
      </c>
      <c r="D80" s="37">
        <v>0</v>
      </c>
      <c r="E80" s="39">
        <v>35000</v>
      </c>
      <c r="F80" s="39">
        <f t="shared" si="3"/>
        <v>0</v>
      </c>
      <c r="G80" s="34" t="s">
        <v>139</v>
      </c>
    </row>
    <row r="81" spans="1:7" ht="16" x14ac:dyDescent="0.2">
      <c r="A81" s="35" t="s">
        <v>141</v>
      </c>
      <c r="B81" s="36"/>
      <c r="C81" s="37">
        <v>0</v>
      </c>
      <c r="D81" s="37">
        <v>0</v>
      </c>
      <c r="E81" s="39">
        <v>10000</v>
      </c>
      <c r="F81" s="39">
        <f t="shared" si="3"/>
        <v>0</v>
      </c>
      <c r="G81" s="34"/>
    </row>
    <row r="82" spans="1:7" ht="16" x14ac:dyDescent="0.2">
      <c r="A82" s="35" t="s">
        <v>142</v>
      </c>
      <c r="B82" s="36"/>
      <c r="C82" s="37">
        <v>0</v>
      </c>
      <c r="D82" s="37">
        <v>0</v>
      </c>
      <c r="E82" s="39">
        <v>4500</v>
      </c>
      <c r="F82" s="39">
        <f t="shared" si="3"/>
        <v>0</v>
      </c>
      <c r="G82" s="34" t="s">
        <v>143</v>
      </c>
    </row>
    <row r="83" spans="1:7" ht="16" x14ac:dyDescent="0.2">
      <c r="A83" s="35" t="s">
        <v>144</v>
      </c>
      <c r="B83" s="36"/>
      <c r="C83" s="37">
        <v>0</v>
      </c>
      <c r="D83" s="37">
        <v>0</v>
      </c>
      <c r="E83" s="39">
        <v>5000</v>
      </c>
      <c r="F83" s="39">
        <f t="shared" si="3"/>
        <v>0</v>
      </c>
      <c r="G83" s="34" t="s">
        <v>145</v>
      </c>
    </row>
    <row r="84" spans="1:7" ht="16" x14ac:dyDescent="0.2">
      <c r="A84" s="35" t="s">
        <v>146</v>
      </c>
      <c r="B84" s="36"/>
      <c r="C84" s="37">
        <v>0</v>
      </c>
      <c r="D84" s="37">
        <v>0</v>
      </c>
      <c r="E84" s="39">
        <v>5000</v>
      </c>
      <c r="F84" s="39">
        <f t="shared" si="3"/>
        <v>0</v>
      </c>
      <c r="G84" s="34" t="s">
        <v>147</v>
      </c>
    </row>
    <row r="85" spans="1:7" ht="16" x14ac:dyDescent="0.2">
      <c r="A85" s="35" t="s">
        <v>148</v>
      </c>
      <c r="B85" s="36"/>
      <c r="C85" s="37">
        <v>0</v>
      </c>
      <c r="D85" s="37">
        <v>0</v>
      </c>
      <c r="E85" s="39">
        <v>3000</v>
      </c>
      <c r="F85" s="39">
        <f t="shared" si="3"/>
        <v>0</v>
      </c>
      <c r="G85" s="34" t="s">
        <v>149</v>
      </c>
    </row>
    <row r="86" spans="1:7" ht="16" x14ac:dyDescent="0.2">
      <c r="A86" s="35" t="s">
        <v>150</v>
      </c>
      <c r="B86" s="36"/>
      <c r="C86" s="37">
        <v>0</v>
      </c>
      <c r="D86" s="37">
        <v>0</v>
      </c>
      <c r="E86" s="39">
        <v>16000</v>
      </c>
      <c r="F86" s="39">
        <f t="shared" si="3"/>
        <v>0</v>
      </c>
      <c r="G86" s="34" t="s">
        <v>151</v>
      </c>
    </row>
    <row r="87" spans="1:7" ht="16" x14ac:dyDescent="0.2">
      <c r="A87" s="35" t="s">
        <v>152</v>
      </c>
      <c r="B87" s="36"/>
      <c r="C87" s="37">
        <v>0</v>
      </c>
      <c r="D87" s="37">
        <v>0</v>
      </c>
      <c r="E87" s="39">
        <v>7000</v>
      </c>
      <c r="F87" s="39">
        <f t="shared" si="3"/>
        <v>0</v>
      </c>
      <c r="G87" s="34" t="s">
        <v>153</v>
      </c>
    </row>
    <row r="88" spans="1:7" ht="16" x14ac:dyDescent="0.2">
      <c r="A88" s="108" t="s">
        <v>58</v>
      </c>
      <c r="B88" s="109"/>
      <c r="C88" s="47">
        <v>0</v>
      </c>
      <c r="D88" s="47">
        <v>0</v>
      </c>
      <c r="E88" s="48">
        <v>1500</v>
      </c>
      <c r="F88" s="48">
        <f t="shared" si="3"/>
        <v>0</v>
      </c>
      <c r="G88" s="45" t="s">
        <v>59</v>
      </c>
    </row>
    <row r="89" spans="1:7" ht="16" x14ac:dyDescent="0.2">
      <c r="A89" s="110" t="s">
        <v>154</v>
      </c>
      <c r="B89" s="111"/>
      <c r="C89" s="47">
        <v>0</v>
      </c>
      <c r="D89" s="47">
        <v>0</v>
      </c>
      <c r="E89" s="48">
        <v>3000</v>
      </c>
      <c r="F89" s="48">
        <f t="shared" si="3"/>
        <v>0</v>
      </c>
      <c r="G89" s="45"/>
    </row>
    <row r="90" spans="1:7" ht="16" x14ac:dyDescent="0.2">
      <c r="A90" s="110" t="s">
        <v>155</v>
      </c>
      <c r="B90" s="111"/>
      <c r="C90" s="47">
        <v>0</v>
      </c>
      <c r="D90" s="47">
        <v>0</v>
      </c>
      <c r="E90" s="48">
        <v>1000</v>
      </c>
      <c r="F90" s="48">
        <f t="shared" si="3"/>
        <v>0</v>
      </c>
      <c r="G90" s="45" t="s">
        <v>156</v>
      </c>
    </row>
    <row r="91" spans="1:7" ht="16" x14ac:dyDescent="0.2">
      <c r="A91" s="110" t="s">
        <v>157</v>
      </c>
      <c r="B91" s="111"/>
      <c r="C91" s="47">
        <v>0</v>
      </c>
      <c r="D91" s="47">
        <v>0</v>
      </c>
      <c r="E91" s="48">
        <v>3000</v>
      </c>
      <c r="F91" s="48">
        <f t="shared" si="3"/>
        <v>0</v>
      </c>
      <c r="G91" s="45" t="s">
        <v>158</v>
      </c>
    </row>
    <row r="92" spans="1:7" ht="16" x14ac:dyDescent="0.2">
      <c r="A92" s="110" t="s">
        <v>159</v>
      </c>
      <c r="B92" s="111"/>
      <c r="C92" s="47">
        <v>0</v>
      </c>
      <c r="D92" s="47">
        <v>0</v>
      </c>
      <c r="E92" s="112">
        <v>150000</v>
      </c>
      <c r="F92" s="48">
        <f t="shared" si="3"/>
        <v>0</v>
      </c>
      <c r="G92" s="45" t="s">
        <v>160</v>
      </c>
    </row>
    <row r="93" spans="1:7" ht="16" x14ac:dyDescent="0.2">
      <c r="A93" s="35" t="s">
        <v>161</v>
      </c>
      <c r="B93" s="36"/>
      <c r="C93" s="37">
        <v>0</v>
      </c>
      <c r="D93" s="37">
        <v>0</v>
      </c>
      <c r="E93" s="38">
        <v>100000</v>
      </c>
      <c r="F93" s="39">
        <f t="shared" si="3"/>
        <v>0</v>
      </c>
      <c r="G93" s="34" t="s">
        <v>162</v>
      </c>
    </row>
    <row r="94" spans="1:7" ht="16" x14ac:dyDescent="0.2">
      <c r="A94" s="113" t="s">
        <v>163</v>
      </c>
      <c r="B94" s="114"/>
      <c r="C94" s="31">
        <v>0</v>
      </c>
      <c r="D94" s="115">
        <v>0</v>
      </c>
      <c r="E94" s="44">
        <v>3850</v>
      </c>
      <c r="F94" s="116">
        <f>E94*D94*C94</f>
        <v>0</v>
      </c>
      <c r="G94" s="117" t="s">
        <v>164</v>
      </c>
    </row>
    <row r="95" spans="1:7" ht="16" x14ac:dyDescent="0.2">
      <c r="A95" s="118" t="s">
        <v>165</v>
      </c>
      <c r="B95" s="119"/>
      <c r="C95" s="37">
        <v>0</v>
      </c>
      <c r="D95" s="37">
        <v>0</v>
      </c>
      <c r="E95" s="38">
        <v>4800</v>
      </c>
      <c r="F95" s="39">
        <f>C95*D95*E95</f>
        <v>0</v>
      </c>
      <c r="G95" s="35" t="s">
        <v>166</v>
      </c>
    </row>
    <row r="96" spans="1:7" ht="16" x14ac:dyDescent="0.2">
      <c r="A96" s="118" t="s">
        <v>167</v>
      </c>
      <c r="B96" s="119"/>
      <c r="C96" s="37">
        <v>0</v>
      </c>
      <c r="D96" s="37">
        <v>0</v>
      </c>
      <c r="E96" s="38">
        <v>5500</v>
      </c>
      <c r="F96" s="39">
        <f>C96*D96*E96</f>
        <v>0</v>
      </c>
      <c r="G96" s="35" t="s">
        <v>168</v>
      </c>
    </row>
    <row r="97" spans="1:7" ht="16" x14ac:dyDescent="0.2">
      <c r="A97" s="118" t="s">
        <v>169</v>
      </c>
      <c r="B97" s="119"/>
      <c r="C97" s="37">
        <v>0</v>
      </c>
      <c r="D97" s="37">
        <v>0</v>
      </c>
      <c r="E97" s="38">
        <v>7500</v>
      </c>
      <c r="F97" s="39">
        <f t="shared" si="3"/>
        <v>0</v>
      </c>
      <c r="G97" s="35" t="s">
        <v>170</v>
      </c>
    </row>
    <row r="98" spans="1:7" ht="15" customHeight="1" x14ac:dyDescent="0.2">
      <c r="A98" s="35" t="s">
        <v>171</v>
      </c>
      <c r="B98" s="36"/>
      <c r="C98" s="37">
        <v>0</v>
      </c>
      <c r="D98" s="37">
        <v>0</v>
      </c>
      <c r="E98" s="39">
        <v>8500</v>
      </c>
      <c r="F98" s="39">
        <f t="shared" si="3"/>
        <v>0</v>
      </c>
      <c r="G98" s="120" t="s">
        <v>172</v>
      </c>
    </row>
    <row r="99" spans="1:7" ht="15" customHeight="1" x14ac:dyDescent="0.2">
      <c r="A99" s="40" t="s">
        <v>173</v>
      </c>
      <c r="B99" s="42"/>
      <c r="C99" s="37">
        <v>0</v>
      </c>
      <c r="D99" s="37">
        <v>0</v>
      </c>
      <c r="E99" s="39">
        <v>13500</v>
      </c>
      <c r="F99" s="39">
        <f t="shared" si="3"/>
        <v>0</v>
      </c>
      <c r="G99" s="121" t="s">
        <v>174</v>
      </c>
    </row>
    <row r="100" spans="1:7" ht="16" x14ac:dyDescent="0.2">
      <c r="A100" s="35" t="s">
        <v>175</v>
      </c>
      <c r="B100" s="36"/>
      <c r="C100" s="37">
        <v>0</v>
      </c>
      <c r="D100" s="37">
        <v>0</v>
      </c>
      <c r="E100" s="39">
        <v>2500</v>
      </c>
      <c r="F100" s="39">
        <f>C100*D100*E100</f>
        <v>0</v>
      </c>
      <c r="G100" s="34" t="s">
        <v>176</v>
      </c>
    </row>
    <row r="101" spans="1:7" ht="16" x14ac:dyDescent="0.2">
      <c r="A101" s="35" t="s">
        <v>177</v>
      </c>
      <c r="B101" s="36"/>
      <c r="C101" s="37">
        <v>0</v>
      </c>
      <c r="D101" s="37">
        <v>0</v>
      </c>
      <c r="E101" s="38">
        <v>300000</v>
      </c>
      <c r="F101" s="39">
        <f>C101*D101*E101</f>
        <v>0</v>
      </c>
      <c r="G101" s="34" t="s">
        <v>90</v>
      </c>
    </row>
    <row r="102" spans="1:7" ht="16" x14ac:dyDescent="0.2">
      <c r="A102" s="35" t="s">
        <v>178</v>
      </c>
      <c r="B102" s="36"/>
      <c r="C102" s="37">
        <v>0</v>
      </c>
      <c r="D102" s="37">
        <v>0</v>
      </c>
      <c r="E102" s="38">
        <v>250000</v>
      </c>
      <c r="F102" s="39">
        <f>C102*D102*E102</f>
        <v>0</v>
      </c>
      <c r="G102" s="34" t="s">
        <v>90</v>
      </c>
    </row>
    <row r="103" spans="1:7" ht="16" x14ac:dyDescent="0.2">
      <c r="A103" s="35" t="s">
        <v>179</v>
      </c>
      <c r="B103" s="36"/>
      <c r="C103" s="37">
        <v>0</v>
      </c>
      <c r="D103" s="37">
        <v>0</v>
      </c>
      <c r="E103" s="38">
        <v>210000</v>
      </c>
      <c r="F103" s="39">
        <f t="shared" ref="F103:F125" si="4">C103*D103*E103</f>
        <v>0</v>
      </c>
      <c r="G103" s="34" t="s">
        <v>90</v>
      </c>
    </row>
    <row r="104" spans="1:7" ht="16" x14ac:dyDescent="0.2">
      <c r="A104" s="35" t="s">
        <v>180</v>
      </c>
      <c r="B104" s="36"/>
      <c r="C104" s="37">
        <v>0</v>
      </c>
      <c r="D104" s="37">
        <v>0</v>
      </c>
      <c r="E104" s="38">
        <v>210000</v>
      </c>
      <c r="F104" s="39">
        <f t="shared" si="4"/>
        <v>0</v>
      </c>
      <c r="G104" s="34" t="s">
        <v>90</v>
      </c>
    </row>
    <row r="105" spans="1:7" ht="16" x14ac:dyDescent="0.2">
      <c r="A105" s="35" t="s">
        <v>181</v>
      </c>
      <c r="B105" s="36"/>
      <c r="C105" s="37">
        <v>0</v>
      </c>
      <c r="D105" s="37">
        <v>0</v>
      </c>
      <c r="E105" s="38">
        <v>180000</v>
      </c>
      <c r="F105" s="39">
        <f t="shared" si="4"/>
        <v>0</v>
      </c>
      <c r="G105" s="34" t="s">
        <v>90</v>
      </c>
    </row>
    <row r="106" spans="1:7" ht="16" x14ac:dyDescent="0.2">
      <c r="A106" s="35" t="s">
        <v>182</v>
      </c>
      <c r="B106" s="36"/>
      <c r="C106" s="37">
        <v>0</v>
      </c>
      <c r="D106" s="37">
        <v>0</v>
      </c>
      <c r="E106" s="38">
        <v>180000</v>
      </c>
      <c r="F106" s="39">
        <f t="shared" si="4"/>
        <v>0</v>
      </c>
      <c r="G106" s="34" t="s">
        <v>90</v>
      </c>
    </row>
    <row r="107" spans="1:7" ht="16" x14ac:dyDescent="0.2">
      <c r="A107" s="35" t="s">
        <v>183</v>
      </c>
      <c r="B107" s="36"/>
      <c r="C107" s="37">
        <v>0</v>
      </c>
      <c r="D107" s="37">
        <v>0</v>
      </c>
      <c r="E107" s="48">
        <v>120000</v>
      </c>
      <c r="F107" s="39">
        <f t="shared" si="4"/>
        <v>0</v>
      </c>
      <c r="G107" s="34" t="s">
        <v>90</v>
      </c>
    </row>
    <row r="108" spans="1:7" ht="16" x14ac:dyDescent="0.2">
      <c r="A108" s="35" t="s">
        <v>184</v>
      </c>
      <c r="B108" s="36"/>
      <c r="C108" s="37">
        <v>0</v>
      </c>
      <c r="D108" s="37">
        <v>0</v>
      </c>
      <c r="E108" s="48">
        <v>90000</v>
      </c>
      <c r="F108" s="39">
        <f t="shared" si="4"/>
        <v>0</v>
      </c>
      <c r="G108" s="34" t="s">
        <v>90</v>
      </c>
    </row>
    <row r="109" spans="1:7" ht="16" x14ac:dyDescent="0.2">
      <c r="A109" s="35" t="s">
        <v>185</v>
      </c>
      <c r="B109" s="36"/>
      <c r="C109" s="37">
        <v>0</v>
      </c>
      <c r="D109" s="37">
        <v>0</v>
      </c>
      <c r="E109" s="48">
        <v>100000</v>
      </c>
      <c r="F109" s="39">
        <f t="shared" si="4"/>
        <v>0</v>
      </c>
      <c r="G109" s="34" t="s">
        <v>186</v>
      </c>
    </row>
    <row r="110" spans="1:7" ht="16" x14ac:dyDescent="0.2">
      <c r="A110" s="35" t="s">
        <v>187</v>
      </c>
      <c r="B110" s="36"/>
      <c r="C110" s="37">
        <v>0</v>
      </c>
      <c r="D110" s="37">
        <v>0</v>
      </c>
      <c r="E110" s="48">
        <v>300000</v>
      </c>
      <c r="F110" s="39">
        <f t="shared" si="4"/>
        <v>0</v>
      </c>
      <c r="G110" s="34" t="s">
        <v>90</v>
      </c>
    </row>
    <row r="111" spans="1:7" ht="16" x14ac:dyDescent="0.2">
      <c r="A111" s="122" t="s">
        <v>188</v>
      </c>
      <c r="B111" s="123"/>
      <c r="C111" s="37">
        <v>0</v>
      </c>
      <c r="D111" s="37">
        <v>0</v>
      </c>
      <c r="E111" s="124">
        <v>25000</v>
      </c>
      <c r="F111" s="125"/>
      <c r="G111" s="34" t="s">
        <v>189</v>
      </c>
    </row>
    <row r="112" spans="1:7" ht="16" x14ac:dyDescent="0.2">
      <c r="A112" s="122" t="s">
        <v>190</v>
      </c>
      <c r="B112" s="123"/>
      <c r="C112" s="37">
        <v>0</v>
      </c>
      <c r="D112" s="37">
        <v>0</v>
      </c>
      <c r="E112" s="126">
        <v>15000</v>
      </c>
      <c r="F112" s="125"/>
      <c r="G112" s="34" t="s">
        <v>189</v>
      </c>
    </row>
    <row r="113" spans="1:7" ht="16" x14ac:dyDescent="0.2">
      <c r="A113" s="122" t="s">
        <v>191</v>
      </c>
      <c r="B113" s="123"/>
      <c r="C113" s="37">
        <v>0</v>
      </c>
      <c r="D113" s="37">
        <v>0</v>
      </c>
      <c r="E113" s="126">
        <v>60000</v>
      </c>
      <c r="F113" s="125"/>
      <c r="G113" s="34"/>
    </row>
    <row r="114" spans="1:7" ht="16" x14ac:dyDescent="0.2">
      <c r="A114" s="122" t="s">
        <v>192</v>
      </c>
      <c r="B114" s="127"/>
      <c r="C114" s="37">
        <v>0</v>
      </c>
      <c r="D114" s="37">
        <v>0</v>
      </c>
      <c r="E114" s="38">
        <v>150000</v>
      </c>
      <c r="F114" s="39">
        <f t="shared" si="4"/>
        <v>0</v>
      </c>
      <c r="G114" s="34" t="s">
        <v>193</v>
      </c>
    </row>
    <row r="115" spans="1:7" ht="16" x14ac:dyDescent="0.2">
      <c r="A115" s="34" t="s">
        <v>194</v>
      </c>
      <c r="B115" s="128"/>
      <c r="C115" s="37">
        <v>0</v>
      </c>
      <c r="D115" s="37">
        <v>0</v>
      </c>
      <c r="E115" s="39">
        <v>100000</v>
      </c>
      <c r="F115" s="39">
        <f t="shared" si="4"/>
        <v>0</v>
      </c>
      <c r="G115" s="34" t="s">
        <v>195</v>
      </c>
    </row>
    <row r="116" spans="1:7" ht="16" x14ac:dyDescent="0.2">
      <c r="A116" s="34" t="s">
        <v>196</v>
      </c>
      <c r="B116" s="128"/>
      <c r="C116" s="37">
        <v>0</v>
      </c>
      <c r="D116" s="37">
        <v>0</v>
      </c>
      <c r="E116" s="48">
        <v>150000</v>
      </c>
      <c r="F116" s="39">
        <f t="shared" si="4"/>
        <v>0</v>
      </c>
      <c r="G116" s="34" t="s">
        <v>197</v>
      </c>
    </row>
    <row r="117" spans="1:7" ht="16" x14ac:dyDescent="0.2">
      <c r="A117" s="34" t="s">
        <v>198</v>
      </c>
      <c r="B117" s="128"/>
      <c r="C117" s="37">
        <v>0</v>
      </c>
      <c r="D117" s="37">
        <v>0</v>
      </c>
      <c r="E117" s="48">
        <v>380000</v>
      </c>
      <c r="F117" s="39">
        <f t="shared" si="4"/>
        <v>0</v>
      </c>
      <c r="G117" s="34" t="s">
        <v>199</v>
      </c>
    </row>
    <row r="118" spans="1:7" ht="16" x14ac:dyDescent="0.2">
      <c r="A118" s="34" t="s">
        <v>200</v>
      </c>
      <c r="B118" s="128"/>
      <c r="C118" s="37">
        <v>0</v>
      </c>
      <c r="D118" s="37">
        <v>0</v>
      </c>
      <c r="E118" s="48">
        <v>280000</v>
      </c>
      <c r="F118" s="39">
        <f t="shared" si="4"/>
        <v>0</v>
      </c>
      <c r="G118" s="34" t="s">
        <v>197</v>
      </c>
    </row>
    <row r="119" spans="1:7" ht="16" x14ac:dyDescent="0.2">
      <c r="A119" s="129" t="s">
        <v>201</v>
      </c>
      <c r="B119" s="130"/>
      <c r="C119" s="37">
        <v>0</v>
      </c>
      <c r="D119" s="37">
        <v>0</v>
      </c>
      <c r="E119" s="48">
        <v>650000</v>
      </c>
      <c r="F119" s="39">
        <f t="shared" si="4"/>
        <v>0</v>
      </c>
      <c r="G119" s="34" t="s">
        <v>202</v>
      </c>
    </row>
    <row r="120" spans="1:7" ht="15" customHeight="1" x14ac:dyDescent="0.2">
      <c r="A120" s="129" t="s">
        <v>203</v>
      </c>
      <c r="B120" s="130"/>
      <c r="C120" s="37">
        <v>0</v>
      </c>
      <c r="D120" s="37">
        <v>0</v>
      </c>
      <c r="E120" s="48">
        <v>450000</v>
      </c>
      <c r="F120" s="107">
        <f t="shared" si="4"/>
        <v>0</v>
      </c>
      <c r="G120" s="34" t="s">
        <v>204</v>
      </c>
    </row>
    <row r="121" spans="1:7" ht="15" customHeight="1" x14ac:dyDescent="0.2">
      <c r="A121" s="129" t="s">
        <v>205</v>
      </c>
      <c r="B121" s="130"/>
      <c r="C121" s="37">
        <v>0</v>
      </c>
      <c r="D121" s="37">
        <v>0</v>
      </c>
      <c r="E121" s="48">
        <v>80000</v>
      </c>
      <c r="F121" s="107">
        <f t="shared" si="4"/>
        <v>0</v>
      </c>
      <c r="G121" s="34"/>
    </row>
    <row r="122" spans="1:7" ht="15" customHeight="1" x14ac:dyDescent="0.2">
      <c r="A122" s="129" t="s">
        <v>206</v>
      </c>
      <c r="B122" s="130"/>
      <c r="C122" s="37">
        <v>0</v>
      </c>
      <c r="D122" s="37">
        <v>0</v>
      </c>
      <c r="E122" s="48">
        <v>300000</v>
      </c>
      <c r="F122" s="107">
        <f t="shared" si="4"/>
        <v>0</v>
      </c>
      <c r="G122" s="34" t="s">
        <v>207</v>
      </c>
    </row>
    <row r="123" spans="1:7" ht="15" customHeight="1" x14ac:dyDescent="0.2">
      <c r="A123" s="129" t="s">
        <v>208</v>
      </c>
      <c r="B123" s="130"/>
      <c r="C123" s="37">
        <v>0</v>
      </c>
      <c r="D123" s="37">
        <v>0</v>
      </c>
      <c r="E123" s="39">
        <v>680000</v>
      </c>
      <c r="F123" s="107">
        <f t="shared" si="4"/>
        <v>0</v>
      </c>
      <c r="G123" s="34" t="s">
        <v>209</v>
      </c>
    </row>
    <row r="124" spans="1:7" ht="15" customHeight="1" x14ac:dyDescent="0.2">
      <c r="A124" s="129" t="s">
        <v>208</v>
      </c>
      <c r="B124" s="130"/>
      <c r="C124" s="37">
        <v>0</v>
      </c>
      <c r="D124" s="37">
        <v>0</v>
      </c>
      <c r="E124" s="39">
        <v>580000</v>
      </c>
      <c r="F124" s="107">
        <f t="shared" si="4"/>
        <v>0</v>
      </c>
      <c r="G124" s="34" t="s">
        <v>210</v>
      </c>
    </row>
    <row r="125" spans="1:7" ht="15" customHeight="1" x14ac:dyDescent="0.2">
      <c r="A125" s="129" t="s">
        <v>211</v>
      </c>
      <c r="B125" s="130"/>
      <c r="C125" s="37">
        <v>0</v>
      </c>
      <c r="D125" s="37">
        <v>0</v>
      </c>
      <c r="E125" s="39">
        <v>580000</v>
      </c>
      <c r="F125" s="107">
        <f t="shared" si="4"/>
        <v>0</v>
      </c>
      <c r="G125" s="34" t="s">
        <v>212</v>
      </c>
    </row>
    <row r="126" spans="1:7" ht="16" x14ac:dyDescent="0.2">
      <c r="A126" s="34" t="s">
        <v>213</v>
      </c>
      <c r="B126" s="128"/>
      <c r="C126" s="37">
        <v>0</v>
      </c>
      <c r="D126" s="37">
        <v>0</v>
      </c>
      <c r="E126" s="39">
        <v>180000</v>
      </c>
      <c r="F126" s="39">
        <f>C126*D126*E126</f>
        <v>0</v>
      </c>
      <c r="G126" s="34" t="s">
        <v>214</v>
      </c>
    </row>
    <row r="127" spans="1:7" ht="16" x14ac:dyDescent="0.2">
      <c r="A127" s="93"/>
      <c r="B127" s="131"/>
      <c r="C127" s="93"/>
      <c r="D127" s="93"/>
      <c r="E127" s="93"/>
      <c r="F127" s="93"/>
      <c r="G127" s="132" t="s">
        <v>215</v>
      </c>
    </row>
    <row r="128" spans="1:7" x14ac:dyDescent="0.2">
      <c r="A128" s="93"/>
      <c r="B128" s="131"/>
      <c r="C128" s="93"/>
      <c r="D128" s="93"/>
      <c r="E128" s="93" t="s">
        <v>26</v>
      </c>
      <c r="F128" s="93" t="s">
        <v>26</v>
      </c>
      <c r="G128" s="93"/>
    </row>
    <row r="129" spans="1:7" ht="17" customHeight="1" x14ac:dyDescent="0.2">
      <c r="A129" s="93"/>
      <c r="B129" s="131"/>
      <c r="C129" s="93"/>
      <c r="D129" s="93"/>
      <c r="E129" s="93" t="s">
        <v>26</v>
      </c>
      <c r="F129" s="93"/>
      <c r="G129" s="93"/>
    </row>
    <row r="130" spans="1:7" ht="17" customHeight="1" x14ac:dyDescent="0.2">
      <c r="A130" s="93"/>
      <c r="B130" s="131"/>
      <c r="C130" s="93"/>
      <c r="D130" s="93"/>
      <c r="E130" s="93"/>
      <c r="F130" s="93"/>
      <c r="G130" s="93"/>
    </row>
    <row r="131" spans="1:7" x14ac:dyDescent="0.2">
      <c r="A131" s="93"/>
      <c r="B131" s="131"/>
      <c r="C131" s="93"/>
      <c r="D131" s="93"/>
      <c r="E131" s="93"/>
      <c r="F131" s="93"/>
      <c r="G131" s="93"/>
    </row>
    <row r="132" spans="1:7" x14ac:dyDescent="0.2">
      <c r="A132" s="93"/>
      <c r="B132" s="131"/>
      <c r="C132" s="93"/>
      <c r="D132" s="93"/>
      <c r="E132" s="93"/>
      <c r="F132" s="93"/>
      <c r="G132" s="93"/>
    </row>
    <row r="133" spans="1:7" ht="17" customHeight="1" x14ac:dyDescent="0.2">
      <c r="A133" s="93"/>
      <c r="B133" s="131"/>
      <c r="C133" s="93"/>
      <c r="D133" s="93"/>
      <c r="E133" s="93"/>
      <c r="F133" s="93"/>
      <c r="G133" s="93"/>
    </row>
    <row r="134" spans="1:7" ht="17" customHeight="1" x14ac:dyDescent="0.2">
      <c r="A134" s="93"/>
      <c r="B134" s="131"/>
      <c r="C134" s="93"/>
      <c r="D134" s="93"/>
      <c r="E134" s="93"/>
      <c r="F134" s="93"/>
      <c r="G134" s="93"/>
    </row>
    <row r="135" spans="1:7" x14ac:dyDescent="0.2">
      <c r="A135" s="93"/>
      <c r="B135" s="131"/>
      <c r="C135" s="93"/>
      <c r="D135" s="93"/>
      <c r="E135" s="93"/>
      <c r="F135" s="93"/>
      <c r="G135" s="93"/>
    </row>
    <row r="136" spans="1:7" x14ac:dyDescent="0.2">
      <c r="A136" s="93"/>
      <c r="B136" s="131"/>
      <c r="C136" s="93"/>
      <c r="D136" s="93"/>
      <c r="E136" s="93"/>
      <c r="F136" s="93"/>
      <c r="G136" s="93"/>
    </row>
    <row r="152" spans="1:7" ht="17" x14ac:dyDescent="0.2">
      <c r="A152" s="133"/>
      <c r="B152" s="134"/>
      <c r="C152" s="71"/>
      <c r="D152" s="71"/>
      <c r="E152" s="71"/>
      <c r="F152" s="71"/>
      <c r="G152" s="71"/>
    </row>
  </sheetData>
  <mergeCells count="2">
    <mergeCell ref="B6:D6"/>
    <mergeCell ref="A7:B7"/>
  </mergeCells>
  <hyperlinks>
    <hyperlink ref="D74" r:id="rId1"/>
  </hyperlink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"/>
  <sheetViews>
    <sheetView topLeftCell="A16" workbookViewId="0">
      <selection activeCell="E43" sqref="E43"/>
    </sheetView>
  </sheetViews>
  <sheetFormatPr baseColWidth="10" defaultRowHeight="15" x14ac:dyDescent="0.2"/>
  <cols>
    <col min="1" max="1" width="38.5" customWidth="1"/>
    <col min="2" max="2" width="12.5" style="14" customWidth="1"/>
    <col min="3" max="4" width="7.33203125" customWidth="1"/>
    <col min="5" max="5" width="11.5" customWidth="1"/>
    <col min="6" max="6" width="14.5" customWidth="1"/>
    <col min="7" max="7" width="101.6640625" customWidth="1"/>
    <col min="8" max="8" width="13" bestFit="1" customWidth="1"/>
    <col min="9" max="9" width="114.1640625" customWidth="1"/>
  </cols>
  <sheetData>
    <row r="1" spans="1:7" ht="64" customHeight="1" x14ac:dyDescent="0.3">
      <c r="A1" s="11" t="s">
        <v>26</v>
      </c>
      <c r="B1" s="12"/>
      <c r="C1" s="13" t="s">
        <v>27</v>
      </c>
    </row>
    <row r="2" spans="1:7" x14ac:dyDescent="0.2">
      <c r="G2" t="s">
        <v>28</v>
      </c>
    </row>
    <row r="3" spans="1:7" ht="16" x14ac:dyDescent="0.2">
      <c r="A3" s="15" t="s">
        <v>221</v>
      </c>
      <c r="B3" s="142" t="s">
        <v>30</v>
      </c>
      <c r="C3" s="143"/>
      <c r="E3" t="s">
        <v>31</v>
      </c>
      <c r="F3" s="17" t="s">
        <v>32</v>
      </c>
      <c r="G3" s="18" t="s">
        <v>222</v>
      </c>
    </row>
    <row r="4" spans="1:7" ht="16" x14ac:dyDescent="0.2">
      <c r="A4" t="s">
        <v>34</v>
      </c>
      <c r="C4" s="19"/>
      <c r="E4" t="s">
        <v>35</v>
      </c>
      <c r="F4">
        <v>90827788</v>
      </c>
      <c r="G4" s="20" t="s">
        <v>223</v>
      </c>
    </row>
    <row r="5" spans="1:7" ht="16" x14ac:dyDescent="0.2">
      <c r="A5" t="s">
        <v>37</v>
      </c>
      <c r="E5" t="s">
        <v>39</v>
      </c>
      <c r="F5" s="17">
        <v>28</v>
      </c>
      <c r="G5" s="20" t="s">
        <v>40</v>
      </c>
    </row>
    <row r="6" spans="1:7" ht="16" x14ac:dyDescent="0.2">
      <c r="A6" s="144" t="s">
        <v>41</v>
      </c>
      <c r="B6" s="266" t="s">
        <v>235</v>
      </c>
      <c r="C6" s="266"/>
      <c r="D6" s="266"/>
      <c r="E6" s="145" t="s">
        <v>42</v>
      </c>
      <c r="F6" s="145">
        <v>974961403</v>
      </c>
      <c r="G6" s="20" t="s">
        <v>43</v>
      </c>
    </row>
    <row r="7" spans="1:7" ht="16" x14ac:dyDescent="0.2">
      <c r="A7" s="267" t="s">
        <v>225</v>
      </c>
      <c r="B7" s="267"/>
      <c r="C7" s="146" t="s">
        <v>26</v>
      </c>
      <c r="D7" t="s">
        <v>26</v>
      </c>
      <c r="E7" s="23"/>
      <c r="F7" s="23" t="s">
        <v>26</v>
      </c>
      <c r="G7" s="20"/>
    </row>
    <row r="8" spans="1:7" ht="17" thickBot="1" x14ac:dyDescent="0.25">
      <c r="A8" s="147"/>
      <c r="B8" s="146"/>
      <c r="C8" s="148"/>
      <c r="D8" s="23"/>
      <c r="E8" s="23"/>
      <c r="F8" s="23"/>
      <c r="G8" s="20"/>
    </row>
    <row r="9" spans="1:7" ht="15.75" customHeight="1" x14ac:dyDescent="0.2">
      <c r="A9" s="25" t="s">
        <v>44</v>
      </c>
      <c r="B9" s="26" t="s">
        <v>45</v>
      </c>
      <c r="C9" s="27" t="s">
        <v>46</v>
      </c>
      <c r="D9" s="27" t="s">
        <v>47</v>
      </c>
      <c r="E9" s="27" t="s">
        <v>48</v>
      </c>
      <c r="F9" s="27" t="s">
        <v>49</v>
      </c>
      <c r="G9" s="28" t="s">
        <v>50</v>
      </c>
    </row>
    <row r="10" spans="1:7" ht="16.5" customHeight="1" x14ac:dyDescent="0.2">
      <c r="A10" s="29" t="s">
        <v>51</v>
      </c>
      <c r="B10" s="30" t="s">
        <v>226</v>
      </c>
      <c r="C10" s="31">
        <v>1</v>
      </c>
      <c r="D10" s="31">
        <v>0</v>
      </c>
      <c r="E10" s="32">
        <v>8500</v>
      </c>
      <c r="F10" s="33">
        <f>C10*D10*E10</f>
        <v>0</v>
      </c>
      <c r="G10" s="34" t="s">
        <v>52</v>
      </c>
    </row>
    <row r="11" spans="1:7" ht="16" x14ac:dyDescent="0.2">
      <c r="A11" s="35" t="s">
        <v>182</v>
      </c>
      <c r="B11" s="36"/>
      <c r="C11" s="37">
        <v>1</v>
      </c>
      <c r="D11" s="37">
        <v>1</v>
      </c>
      <c r="E11" s="38">
        <v>180000</v>
      </c>
      <c r="F11" s="39">
        <f t="shared" ref="F11:F17" si="0">C11*D11*E11</f>
        <v>180000</v>
      </c>
      <c r="G11" s="34" t="s">
        <v>90</v>
      </c>
    </row>
    <row r="12" spans="1:7" ht="16.5" customHeight="1" x14ac:dyDescent="0.2">
      <c r="A12" s="40" t="s">
        <v>55</v>
      </c>
      <c r="B12" s="41" t="s">
        <v>56</v>
      </c>
      <c r="C12" s="31">
        <v>1</v>
      </c>
      <c r="D12" s="31">
        <v>30</v>
      </c>
      <c r="E12" s="39">
        <v>15000</v>
      </c>
      <c r="F12" s="39">
        <f t="shared" si="0"/>
        <v>450000</v>
      </c>
      <c r="G12" s="34" t="s">
        <v>57</v>
      </c>
    </row>
    <row r="13" spans="1:7" ht="16" x14ac:dyDescent="0.2">
      <c r="A13" s="40" t="s">
        <v>58</v>
      </c>
      <c r="B13" s="42"/>
      <c r="C13" s="37">
        <v>1</v>
      </c>
      <c r="D13" s="37">
        <v>30</v>
      </c>
      <c r="E13" s="39">
        <v>1500</v>
      </c>
      <c r="F13" s="39">
        <f t="shared" si="0"/>
        <v>45000</v>
      </c>
      <c r="G13" s="34" t="s">
        <v>59</v>
      </c>
    </row>
    <row r="14" spans="1:7" ht="16" x14ac:dyDescent="0.2">
      <c r="A14" s="43" t="s">
        <v>60</v>
      </c>
      <c r="B14" s="41" t="s">
        <v>61</v>
      </c>
      <c r="C14" s="31">
        <v>1</v>
      </c>
      <c r="D14" s="31">
        <v>30</v>
      </c>
      <c r="E14" s="44">
        <v>15000</v>
      </c>
      <c r="F14" s="33">
        <f t="shared" si="0"/>
        <v>450000</v>
      </c>
      <c r="G14" s="34" t="s">
        <v>62</v>
      </c>
    </row>
    <row r="15" spans="1:7" ht="16" x14ac:dyDescent="0.2">
      <c r="A15" s="40" t="s">
        <v>58</v>
      </c>
      <c r="B15" s="42"/>
      <c r="C15" s="37">
        <v>1</v>
      </c>
      <c r="D15" s="37">
        <v>30</v>
      </c>
      <c r="E15" s="39">
        <v>1500</v>
      </c>
      <c r="F15" s="39">
        <f t="shared" si="0"/>
        <v>45000</v>
      </c>
      <c r="G15" s="34" t="s">
        <v>59</v>
      </c>
    </row>
    <row r="16" spans="1:7" ht="16" x14ac:dyDescent="0.2">
      <c r="A16" s="45" t="s">
        <v>63</v>
      </c>
      <c r="B16" s="46"/>
      <c r="C16" s="47">
        <v>1</v>
      </c>
      <c r="D16" s="47">
        <v>2</v>
      </c>
      <c r="E16" s="48">
        <v>99000</v>
      </c>
      <c r="F16" s="48">
        <f t="shared" si="0"/>
        <v>198000</v>
      </c>
      <c r="G16" s="45" t="s">
        <v>64</v>
      </c>
    </row>
    <row r="17" spans="1:7" ht="16" x14ac:dyDescent="0.2">
      <c r="A17" s="45" t="s">
        <v>65</v>
      </c>
      <c r="B17" s="46"/>
      <c r="C17" s="47">
        <v>1</v>
      </c>
      <c r="D17" s="47">
        <v>15</v>
      </c>
      <c r="E17" s="48">
        <v>113500</v>
      </c>
      <c r="F17" s="48">
        <f t="shared" si="0"/>
        <v>1702500</v>
      </c>
      <c r="G17" s="45" t="s">
        <v>66</v>
      </c>
    </row>
    <row r="18" spans="1:7" ht="16.5" customHeight="1" thickBot="1" x14ac:dyDescent="0.25">
      <c r="A18" s="55" t="s">
        <v>85</v>
      </c>
      <c r="B18" s="56"/>
      <c r="C18" s="57"/>
      <c r="D18" s="58"/>
      <c r="E18" s="59"/>
      <c r="F18" s="60">
        <f>SUM(F10:F17)</f>
        <v>3070500</v>
      </c>
      <c r="G18" s="61" t="s">
        <v>26</v>
      </c>
    </row>
    <row r="19" spans="1:7" ht="16.5" customHeight="1" x14ac:dyDescent="0.2">
      <c r="A19" s="25" t="s">
        <v>86</v>
      </c>
      <c r="B19" s="26"/>
      <c r="C19" s="27" t="s">
        <v>46</v>
      </c>
      <c r="D19" s="27" t="s">
        <v>47</v>
      </c>
      <c r="E19" s="27" t="s">
        <v>48</v>
      </c>
      <c r="F19" s="27" t="s">
        <v>49</v>
      </c>
      <c r="G19" s="28" t="s">
        <v>50</v>
      </c>
    </row>
    <row r="20" spans="1:7" ht="16.5" customHeight="1" x14ac:dyDescent="0.2">
      <c r="A20" s="29" t="s">
        <v>87</v>
      </c>
      <c r="B20" s="30"/>
      <c r="C20" s="31">
        <v>1</v>
      </c>
      <c r="D20" s="31">
        <v>30</v>
      </c>
      <c r="E20" s="32">
        <v>8500</v>
      </c>
      <c r="F20" s="33" t="s">
        <v>88</v>
      </c>
      <c r="G20" s="34" t="s">
        <v>52</v>
      </c>
    </row>
    <row r="21" spans="1:7" ht="16" x14ac:dyDescent="0.2">
      <c r="A21" s="35" t="s">
        <v>89</v>
      </c>
      <c r="B21" s="36"/>
      <c r="C21" s="37">
        <v>1</v>
      </c>
      <c r="D21" s="37">
        <v>1</v>
      </c>
      <c r="E21" s="38">
        <v>180000</v>
      </c>
      <c r="F21" s="39">
        <f t="shared" ref="F21" si="1">C21*D21*E21</f>
        <v>180000</v>
      </c>
      <c r="G21" s="34" t="s">
        <v>90</v>
      </c>
    </row>
    <row r="22" spans="1:7" ht="16.5" customHeight="1" x14ac:dyDescent="0.2">
      <c r="A22" s="40" t="s">
        <v>55</v>
      </c>
      <c r="B22" s="41"/>
      <c r="C22" s="31">
        <v>1</v>
      </c>
      <c r="D22" s="31">
        <v>30</v>
      </c>
      <c r="E22" s="39">
        <v>15000</v>
      </c>
      <c r="F22" s="39">
        <f>C22*D22*E22</f>
        <v>450000</v>
      </c>
      <c r="G22" s="34" t="s">
        <v>57</v>
      </c>
    </row>
    <row r="23" spans="1:7" ht="16" x14ac:dyDescent="0.2">
      <c r="A23" s="40" t="s">
        <v>58</v>
      </c>
      <c r="B23" s="42"/>
      <c r="C23" s="37">
        <v>1</v>
      </c>
      <c r="D23" s="37">
        <v>30</v>
      </c>
      <c r="E23" s="39">
        <v>1500</v>
      </c>
      <c r="F23" s="39">
        <f t="shared" ref="F23" si="2">C23*D23*E23</f>
        <v>45000</v>
      </c>
      <c r="G23" s="34" t="s">
        <v>59</v>
      </c>
    </row>
    <row r="24" spans="1:7" ht="16" x14ac:dyDescent="0.2">
      <c r="A24" s="62" t="s">
        <v>67</v>
      </c>
      <c r="B24" s="63" t="s">
        <v>91</v>
      </c>
      <c r="C24" s="64"/>
      <c r="D24" s="64"/>
      <c r="E24" s="65"/>
      <c r="F24" s="65"/>
      <c r="G24" s="62" t="s">
        <v>69</v>
      </c>
    </row>
    <row r="25" spans="1:7" ht="16" x14ac:dyDescent="0.2">
      <c r="A25" s="45" t="s">
        <v>70</v>
      </c>
      <c r="B25" s="46" t="s">
        <v>92</v>
      </c>
      <c r="C25" s="47">
        <v>1</v>
      </c>
      <c r="D25" s="47">
        <v>30</v>
      </c>
      <c r="E25" s="48">
        <v>0</v>
      </c>
      <c r="F25" s="53" t="s">
        <v>72</v>
      </c>
      <c r="G25" s="54" t="s">
        <v>73</v>
      </c>
    </row>
    <row r="26" spans="1:7" ht="16" x14ac:dyDescent="0.2">
      <c r="A26" s="45" t="s">
        <v>74</v>
      </c>
      <c r="B26" s="46" t="s">
        <v>92</v>
      </c>
      <c r="C26" s="47">
        <v>1</v>
      </c>
      <c r="D26" s="47">
        <v>30</v>
      </c>
      <c r="E26" s="48">
        <v>0</v>
      </c>
      <c r="F26" s="53" t="s">
        <v>72</v>
      </c>
      <c r="G26" s="54" t="s">
        <v>75</v>
      </c>
    </row>
    <row r="27" spans="1:7" ht="16" x14ac:dyDescent="0.2">
      <c r="A27" s="45" t="s">
        <v>76</v>
      </c>
      <c r="B27" s="46" t="s">
        <v>77</v>
      </c>
      <c r="C27" s="47">
        <v>1</v>
      </c>
      <c r="D27" s="47">
        <v>30</v>
      </c>
      <c r="E27" s="48">
        <v>0</v>
      </c>
      <c r="F27" s="53" t="s">
        <v>72</v>
      </c>
      <c r="G27" s="54" t="s">
        <v>78</v>
      </c>
    </row>
    <row r="28" spans="1:7" ht="16" x14ac:dyDescent="0.2">
      <c r="A28" s="45" t="s">
        <v>79</v>
      </c>
      <c r="B28" s="46" t="s">
        <v>77</v>
      </c>
      <c r="C28" s="47">
        <v>1</v>
      </c>
      <c r="D28" s="47">
        <v>30</v>
      </c>
      <c r="E28" s="48">
        <v>0</v>
      </c>
      <c r="F28" s="53" t="s">
        <v>72</v>
      </c>
      <c r="G28" s="45" t="s">
        <v>80</v>
      </c>
    </row>
    <row r="29" spans="1:7" ht="16.5" customHeight="1" thickBot="1" x14ac:dyDescent="0.25">
      <c r="A29" s="55" t="s">
        <v>85</v>
      </c>
      <c r="B29" s="56"/>
      <c r="C29" s="57"/>
      <c r="D29" s="58"/>
      <c r="E29" s="59"/>
      <c r="F29" s="60">
        <f>SUM(F20:F23)</f>
        <v>675000</v>
      </c>
      <c r="G29" s="61" t="s">
        <v>26</v>
      </c>
    </row>
    <row r="30" spans="1:7" ht="17" thickBot="1" x14ac:dyDescent="0.25">
      <c r="A30" s="66" t="s">
        <v>93</v>
      </c>
      <c r="B30" s="67"/>
      <c r="C30" s="68"/>
      <c r="D30" s="68"/>
      <c r="E30" s="69"/>
      <c r="F30" s="70">
        <f>F18+F29</f>
        <v>3745500</v>
      </c>
      <c r="G30" s="71" t="s">
        <v>94</v>
      </c>
    </row>
    <row r="31" spans="1:7" ht="16" x14ac:dyDescent="0.2">
      <c r="A31" s="72" t="s">
        <v>95</v>
      </c>
      <c r="B31" s="73"/>
      <c r="C31" s="74"/>
      <c r="D31" s="58"/>
      <c r="E31" s="59"/>
      <c r="F31" s="60">
        <f>F30*1.19-F30</f>
        <v>711645</v>
      </c>
      <c r="G31" s="71"/>
    </row>
    <row r="32" spans="1:7" ht="16" x14ac:dyDescent="0.2">
      <c r="A32" s="149" t="s">
        <v>227</v>
      </c>
      <c r="B32" s="76"/>
      <c r="C32" s="77"/>
      <c r="D32" s="77"/>
      <c r="E32" s="78"/>
      <c r="F32" s="79">
        <f>F30+F31</f>
        <v>4457145</v>
      </c>
      <c r="G32" s="71"/>
    </row>
    <row r="33" spans="1:7" ht="16" x14ac:dyDescent="0.2">
      <c r="A33" s="150" t="s">
        <v>228</v>
      </c>
      <c r="B33" s="151"/>
      <c r="C33" s="152"/>
      <c r="D33" s="152"/>
      <c r="E33" s="153"/>
      <c r="F33" s="154">
        <f>F32*0.64-F32</f>
        <v>-1604572.1999999997</v>
      </c>
      <c r="G33" s="71"/>
    </row>
    <row r="34" spans="1:7" x14ac:dyDescent="0.2">
      <c r="A34" s="155" t="s">
        <v>229</v>
      </c>
      <c r="B34" s="156"/>
      <c r="C34" s="157"/>
      <c r="D34" s="157"/>
      <c r="E34" s="157"/>
      <c r="F34" s="158">
        <f>F32+F33</f>
        <v>2852572.8000000003</v>
      </c>
    </row>
    <row r="35" spans="1:7" ht="16" x14ac:dyDescent="0.2">
      <c r="A35" s="159" t="s">
        <v>230</v>
      </c>
      <c r="B35" s="160"/>
      <c r="C35" s="161"/>
      <c r="D35" s="161"/>
      <c r="E35" s="162"/>
      <c r="F35" s="163">
        <v>95500</v>
      </c>
      <c r="G35" s="141" t="s">
        <v>231</v>
      </c>
    </row>
    <row r="36" spans="1:7" ht="19" x14ac:dyDescent="0.2">
      <c r="A36" s="94"/>
      <c r="B36"/>
      <c r="E36" s="95"/>
      <c r="F36" s="164" t="s">
        <v>26</v>
      </c>
      <c r="G36" s="95"/>
    </row>
    <row r="37" spans="1:7" ht="19" x14ac:dyDescent="0.2">
      <c r="A37" s="94"/>
      <c r="B37"/>
      <c r="E37" s="95"/>
      <c r="F37" s="164">
        <f>F35*28</f>
        <v>2674000</v>
      </c>
      <c r="G37" s="95"/>
    </row>
    <row r="38" spans="1:7" ht="20" thickBot="1" x14ac:dyDescent="0.25">
      <c r="A38" s="94"/>
      <c r="B38"/>
      <c r="E38" s="135" t="s">
        <v>216</v>
      </c>
      <c r="F38" s="137">
        <v>1819250</v>
      </c>
      <c r="G38" s="95"/>
    </row>
    <row r="39" spans="1:7" ht="19" x14ac:dyDescent="0.2">
      <c r="A39" s="94"/>
      <c r="B39"/>
      <c r="E39" s="135" t="s">
        <v>217</v>
      </c>
      <c r="F39" s="138">
        <v>933750</v>
      </c>
      <c r="G39" s="95"/>
    </row>
    <row r="40" spans="1:7" ht="19" x14ac:dyDescent="0.2">
      <c r="A40" s="94"/>
      <c r="B40"/>
      <c r="E40" s="95"/>
      <c r="F40" s="164"/>
      <c r="G40" s="95"/>
    </row>
    <row r="41" spans="1:7" ht="19" x14ac:dyDescent="0.2">
      <c r="A41" s="94"/>
      <c r="B41"/>
      <c r="E41" s="95"/>
      <c r="F41" s="164">
        <f>+F38+F39-F37</f>
        <v>79000</v>
      </c>
      <c r="G41" s="95"/>
    </row>
    <row r="42" spans="1:7" ht="19" x14ac:dyDescent="0.2">
      <c r="A42" s="94"/>
      <c r="B42"/>
      <c r="E42" s="95"/>
      <c r="F42" s="164"/>
      <c r="G42" s="95"/>
    </row>
    <row r="43" spans="1:7" ht="19" x14ac:dyDescent="0.2">
      <c r="A43" s="94"/>
      <c r="B43"/>
      <c r="E43" s="95"/>
      <c r="F43" s="164"/>
      <c r="G43" s="95"/>
    </row>
    <row r="44" spans="1:7" ht="19" x14ac:dyDescent="0.2">
      <c r="A44" s="94"/>
      <c r="B44"/>
      <c r="E44" s="95"/>
      <c r="F44" s="164"/>
      <c r="G44" s="95"/>
    </row>
    <row r="45" spans="1:7" ht="19" x14ac:dyDescent="0.2">
      <c r="A45" s="94"/>
      <c r="B45"/>
      <c r="E45" s="95"/>
      <c r="F45" s="164"/>
      <c r="G45" s="95"/>
    </row>
    <row r="46" spans="1:7" ht="19" x14ac:dyDescent="0.2">
      <c r="A46" s="94"/>
      <c r="B46"/>
      <c r="E46" s="95"/>
      <c r="F46" s="164"/>
      <c r="G46" s="95"/>
    </row>
    <row r="47" spans="1:7" ht="19" x14ac:dyDescent="0.2">
      <c r="A47" s="94"/>
      <c r="B47"/>
      <c r="E47" s="95"/>
      <c r="F47" s="164"/>
      <c r="G47" s="95"/>
    </row>
    <row r="48" spans="1:7" ht="19" x14ac:dyDescent="0.2">
      <c r="A48" s="94"/>
      <c r="B48"/>
      <c r="E48" s="95"/>
      <c r="F48" s="164"/>
      <c r="G48" s="95"/>
    </row>
    <row r="49" spans="1:7" ht="19" x14ac:dyDescent="0.2">
      <c r="A49" s="94"/>
      <c r="B49"/>
      <c r="E49" s="95"/>
      <c r="F49" s="164"/>
      <c r="G49" s="95"/>
    </row>
    <row r="50" spans="1:7" ht="19" x14ac:dyDescent="0.2">
      <c r="A50" s="94" t="s">
        <v>98</v>
      </c>
      <c r="B50"/>
      <c r="E50" s="95"/>
      <c r="F50" s="164"/>
      <c r="G50" s="95"/>
    </row>
    <row r="51" spans="1:7" ht="19" x14ac:dyDescent="0.2">
      <c r="A51" s="97" t="s">
        <v>99</v>
      </c>
      <c r="B51"/>
      <c r="E51" s="98"/>
      <c r="F51" s="98"/>
      <c r="G51" s="98"/>
    </row>
    <row r="52" spans="1:7" ht="17" x14ac:dyDescent="0.2">
      <c r="A52" s="95" t="s">
        <v>100</v>
      </c>
      <c r="B52"/>
    </row>
    <row r="53" spans="1:7" ht="17" x14ac:dyDescent="0.2">
      <c r="A53" s="95"/>
      <c r="B53"/>
    </row>
    <row r="54" spans="1:7" ht="19" x14ac:dyDescent="0.2">
      <c r="A54" s="94" t="s">
        <v>101</v>
      </c>
      <c r="B54"/>
    </row>
    <row r="55" spans="1:7" ht="17" x14ac:dyDescent="0.2">
      <c r="A55" s="95" t="s">
        <v>102</v>
      </c>
      <c r="B55"/>
    </row>
    <row r="56" spans="1:7" ht="17" x14ac:dyDescent="0.2">
      <c r="A56" s="95" t="s">
        <v>103</v>
      </c>
      <c r="B56"/>
    </row>
    <row r="57" spans="1:7" ht="17" x14ac:dyDescent="0.2">
      <c r="A57" s="95" t="s">
        <v>104</v>
      </c>
      <c r="B57"/>
    </row>
    <row r="58" spans="1:7" ht="17" x14ac:dyDescent="0.2">
      <c r="A58" s="99" t="s">
        <v>105</v>
      </c>
      <c r="B58"/>
    </row>
    <row r="59" spans="1:7" ht="17" x14ac:dyDescent="0.2">
      <c r="A59" s="95" t="s">
        <v>106</v>
      </c>
      <c r="B59"/>
    </row>
    <row r="60" spans="1:7" ht="17" x14ac:dyDescent="0.2">
      <c r="A60" s="95" t="s">
        <v>107</v>
      </c>
      <c r="B60"/>
    </row>
    <row r="61" spans="1:7" ht="17" x14ac:dyDescent="0.2">
      <c r="A61" s="99" t="s">
        <v>108</v>
      </c>
      <c r="B61"/>
    </row>
    <row r="62" spans="1:7" ht="17" x14ac:dyDescent="0.2">
      <c r="A62" s="95" t="s">
        <v>109</v>
      </c>
      <c r="B62"/>
    </row>
    <row r="63" spans="1:7" ht="17" x14ac:dyDescent="0.2">
      <c r="A63" s="95" t="s">
        <v>110</v>
      </c>
      <c r="B63"/>
    </row>
    <row r="64" spans="1:7" ht="17" x14ac:dyDescent="0.2">
      <c r="A64" s="95" t="s">
        <v>111</v>
      </c>
      <c r="B64"/>
    </row>
    <row r="65" spans="1:7" ht="17" x14ac:dyDescent="0.2">
      <c r="A65" s="95" t="s">
        <v>112</v>
      </c>
      <c r="B65"/>
    </row>
    <row r="66" spans="1:7" ht="17" x14ac:dyDescent="0.2">
      <c r="A66" s="95" t="s">
        <v>113</v>
      </c>
      <c r="B66"/>
    </row>
    <row r="67" spans="1:7" ht="17" x14ac:dyDescent="0.2">
      <c r="A67" s="95" t="s">
        <v>114</v>
      </c>
      <c r="B67"/>
    </row>
    <row r="68" spans="1:7" ht="17" x14ac:dyDescent="0.2">
      <c r="A68" s="95"/>
      <c r="B68"/>
    </row>
    <row r="69" spans="1:7" ht="17" x14ac:dyDescent="0.2">
      <c r="A69" s="100" t="s">
        <v>115</v>
      </c>
      <c r="B69"/>
    </row>
    <row r="70" spans="1:7" ht="17" x14ac:dyDescent="0.2">
      <c r="A70" s="95" t="s">
        <v>116</v>
      </c>
      <c r="B70" s="95" t="s">
        <v>117</v>
      </c>
      <c r="D70" s="95" t="s">
        <v>118</v>
      </c>
      <c r="F70" s="95" t="s">
        <v>119</v>
      </c>
    </row>
    <row r="71" spans="1:7" ht="17" x14ac:dyDescent="0.2">
      <c r="A71" s="95" t="s">
        <v>120</v>
      </c>
      <c r="B71" s="95" t="s">
        <v>121</v>
      </c>
      <c r="D71" s="95" t="s">
        <v>122</v>
      </c>
      <c r="F71" s="95" t="s">
        <v>123</v>
      </c>
    </row>
    <row r="72" spans="1:7" ht="17" x14ac:dyDescent="0.2">
      <c r="A72" s="95" t="s">
        <v>124</v>
      </c>
      <c r="B72" s="95" t="s">
        <v>125</v>
      </c>
      <c r="D72" s="95" t="s">
        <v>126</v>
      </c>
      <c r="F72" s="95" t="s">
        <v>127</v>
      </c>
    </row>
    <row r="73" spans="1:7" ht="17" x14ac:dyDescent="0.2">
      <c r="A73" s="95" t="s">
        <v>35</v>
      </c>
      <c r="B73" s="95" t="s">
        <v>128</v>
      </c>
      <c r="D73" s="101" t="s">
        <v>129</v>
      </c>
    </row>
    <row r="74" spans="1:7" ht="18" thickBot="1" x14ac:dyDescent="0.25">
      <c r="A74" s="95"/>
      <c r="B74"/>
    </row>
    <row r="75" spans="1:7" ht="16" customHeight="1" x14ac:dyDescent="0.2">
      <c r="A75" s="102" t="s">
        <v>130</v>
      </c>
      <c r="B75" s="103" t="s">
        <v>45</v>
      </c>
      <c r="C75" s="104" t="s">
        <v>131</v>
      </c>
      <c r="D75" s="104" t="s">
        <v>47</v>
      </c>
      <c r="E75" s="104" t="s">
        <v>132</v>
      </c>
      <c r="F75" s="104" t="s">
        <v>133</v>
      </c>
      <c r="G75" s="105" t="s">
        <v>50</v>
      </c>
    </row>
    <row r="76" spans="1:7" ht="16" customHeight="1" x14ac:dyDescent="0.2">
      <c r="A76" s="34" t="s">
        <v>134</v>
      </c>
      <c r="B76" s="106"/>
      <c r="C76" s="37">
        <v>0</v>
      </c>
      <c r="D76" s="37">
        <v>0</v>
      </c>
      <c r="E76" s="107">
        <v>200000</v>
      </c>
      <c r="F76" s="107">
        <f>C76*D76*E76</f>
        <v>0</v>
      </c>
      <c r="G76" s="34" t="s">
        <v>135</v>
      </c>
    </row>
    <row r="77" spans="1:7" ht="16" x14ac:dyDescent="0.2">
      <c r="A77" s="35" t="s">
        <v>136</v>
      </c>
      <c r="B77" s="36"/>
      <c r="C77" s="37">
        <v>0</v>
      </c>
      <c r="D77" s="37">
        <v>0</v>
      </c>
      <c r="E77" s="39">
        <v>12000</v>
      </c>
      <c r="F77" s="39">
        <f t="shared" ref="F77:F98" si="3">C77*D77*E77</f>
        <v>0</v>
      </c>
      <c r="G77" s="34" t="s">
        <v>137</v>
      </c>
    </row>
    <row r="78" spans="1:7" ht="16" x14ac:dyDescent="0.2">
      <c r="A78" s="35" t="s">
        <v>138</v>
      </c>
      <c r="B78" s="36"/>
      <c r="C78" s="37">
        <v>0</v>
      </c>
      <c r="D78" s="37">
        <v>0</v>
      </c>
      <c r="E78" s="39">
        <v>26000</v>
      </c>
      <c r="F78" s="39">
        <f t="shared" si="3"/>
        <v>0</v>
      </c>
      <c r="G78" s="34" t="s">
        <v>139</v>
      </c>
    </row>
    <row r="79" spans="1:7" ht="16" x14ac:dyDescent="0.2">
      <c r="A79" s="35" t="s">
        <v>140</v>
      </c>
      <c r="B79" s="36"/>
      <c r="C79" s="37">
        <v>0</v>
      </c>
      <c r="D79" s="37">
        <v>0</v>
      </c>
      <c r="E79" s="39">
        <v>35000</v>
      </c>
      <c r="F79" s="39">
        <f t="shared" si="3"/>
        <v>0</v>
      </c>
      <c r="G79" s="34" t="s">
        <v>139</v>
      </c>
    </row>
    <row r="80" spans="1:7" ht="16" x14ac:dyDescent="0.2">
      <c r="A80" s="35" t="s">
        <v>141</v>
      </c>
      <c r="B80" s="36"/>
      <c r="C80" s="37">
        <v>0</v>
      </c>
      <c r="D80" s="37">
        <v>0</v>
      </c>
      <c r="E80" s="39">
        <v>10000</v>
      </c>
      <c r="F80" s="39">
        <f t="shared" si="3"/>
        <v>0</v>
      </c>
      <c r="G80" s="34"/>
    </row>
    <row r="81" spans="1:7" ht="16" x14ac:dyDescent="0.2">
      <c r="A81" s="35" t="s">
        <v>142</v>
      </c>
      <c r="B81" s="36"/>
      <c r="C81" s="37">
        <v>0</v>
      </c>
      <c r="D81" s="37">
        <v>0</v>
      </c>
      <c r="E81" s="39">
        <v>4500</v>
      </c>
      <c r="F81" s="39">
        <f t="shared" si="3"/>
        <v>0</v>
      </c>
      <c r="G81" s="34" t="s">
        <v>143</v>
      </c>
    </row>
    <row r="82" spans="1:7" ht="16" x14ac:dyDescent="0.2">
      <c r="A82" s="35" t="s">
        <v>144</v>
      </c>
      <c r="B82" s="36"/>
      <c r="C82" s="37">
        <v>0</v>
      </c>
      <c r="D82" s="37">
        <v>0</v>
      </c>
      <c r="E82" s="39">
        <v>5000</v>
      </c>
      <c r="F82" s="39">
        <f t="shared" si="3"/>
        <v>0</v>
      </c>
      <c r="G82" s="34" t="s">
        <v>145</v>
      </c>
    </row>
    <row r="83" spans="1:7" ht="16" x14ac:dyDescent="0.2">
      <c r="A83" s="35" t="s">
        <v>146</v>
      </c>
      <c r="B83" s="36"/>
      <c r="C83" s="37">
        <v>0</v>
      </c>
      <c r="D83" s="37">
        <v>0</v>
      </c>
      <c r="E83" s="39">
        <v>5000</v>
      </c>
      <c r="F83" s="39">
        <f t="shared" si="3"/>
        <v>0</v>
      </c>
      <c r="G83" s="34" t="s">
        <v>147</v>
      </c>
    </row>
    <row r="84" spans="1:7" ht="16" x14ac:dyDescent="0.2">
      <c r="A84" s="35" t="s">
        <v>148</v>
      </c>
      <c r="B84" s="36"/>
      <c r="C84" s="37">
        <v>0</v>
      </c>
      <c r="D84" s="37">
        <v>0</v>
      </c>
      <c r="E84" s="39">
        <v>3000</v>
      </c>
      <c r="F84" s="39">
        <f t="shared" si="3"/>
        <v>0</v>
      </c>
      <c r="G84" s="34" t="s">
        <v>149</v>
      </c>
    </row>
    <row r="85" spans="1:7" ht="16" x14ac:dyDescent="0.2">
      <c r="A85" s="35" t="s">
        <v>150</v>
      </c>
      <c r="B85" s="36"/>
      <c r="C85" s="37">
        <v>0</v>
      </c>
      <c r="D85" s="37">
        <v>0</v>
      </c>
      <c r="E85" s="39">
        <v>16000</v>
      </c>
      <c r="F85" s="39">
        <f t="shared" si="3"/>
        <v>0</v>
      </c>
      <c r="G85" s="34" t="s">
        <v>151</v>
      </c>
    </row>
    <row r="86" spans="1:7" ht="16" x14ac:dyDescent="0.2">
      <c r="A86" s="35" t="s">
        <v>152</v>
      </c>
      <c r="B86" s="36"/>
      <c r="C86" s="37">
        <v>0</v>
      </c>
      <c r="D86" s="37">
        <v>0</v>
      </c>
      <c r="E86" s="39">
        <v>7000</v>
      </c>
      <c r="F86" s="39">
        <f t="shared" si="3"/>
        <v>0</v>
      </c>
      <c r="G86" s="34" t="s">
        <v>153</v>
      </c>
    </row>
    <row r="87" spans="1:7" ht="16" x14ac:dyDescent="0.2">
      <c r="A87" s="108" t="s">
        <v>58</v>
      </c>
      <c r="B87" s="109"/>
      <c r="C87" s="47">
        <v>0</v>
      </c>
      <c r="D87" s="47">
        <v>0</v>
      </c>
      <c r="E87" s="48">
        <v>1500</v>
      </c>
      <c r="F87" s="48">
        <f t="shared" si="3"/>
        <v>0</v>
      </c>
      <c r="G87" s="45" t="s">
        <v>59</v>
      </c>
    </row>
    <row r="88" spans="1:7" ht="16" x14ac:dyDescent="0.2">
      <c r="A88" s="110" t="s">
        <v>154</v>
      </c>
      <c r="B88" s="111"/>
      <c r="C88" s="47">
        <v>0</v>
      </c>
      <c r="D88" s="47">
        <v>0</v>
      </c>
      <c r="E88" s="48">
        <v>3000</v>
      </c>
      <c r="F88" s="48">
        <f t="shared" si="3"/>
        <v>0</v>
      </c>
      <c r="G88" s="45"/>
    </row>
    <row r="89" spans="1:7" ht="16" x14ac:dyDescent="0.2">
      <c r="A89" s="110" t="s">
        <v>155</v>
      </c>
      <c r="B89" s="111"/>
      <c r="C89" s="47">
        <v>0</v>
      </c>
      <c r="D89" s="47">
        <v>0</v>
      </c>
      <c r="E89" s="48">
        <v>1000</v>
      </c>
      <c r="F89" s="48">
        <f t="shared" si="3"/>
        <v>0</v>
      </c>
      <c r="G89" s="45" t="s">
        <v>156</v>
      </c>
    </row>
    <row r="90" spans="1:7" ht="16" x14ac:dyDescent="0.2">
      <c r="A90" s="110" t="s">
        <v>157</v>
      </c>
      <c r="B90" s="111"/>
      <c r="C90" s="47">
        <v>0</v>
      </c>
      <c r="D90" s="47">
        <v>0</v>
      </c>
      <c r="E90" s="48">
        <v>3000</v>
      </c>
      <c r="F90" s="48">
        <f t="shared" si="3"/>
        <v>0</v>
      </c>
      <c r="G90" s="45" t="s">
        <v>158</v>
      </c>
    </row>
    <row r="91" spans="1:7" ht="16" x14ac:dyDescent="0.2">
      <c r="A91" s="110" t="s">
        <v>159</v>
      </c>
      <c r="B91" s="111"/>
      <c r="C91" s="47">
        <v>0</v>
      </c>
      <c r="D91" s="47">
        <v>0</v>
      </c>
      <c r="E91" s="112">
        <v>150000</v>
      </c>
      <c r="F91" s="48">
        <f t="shared" si="3"/>
        <v>0</v>
      </c>
      <c r="G91" s="45" t="s">
        <v>160</v>
      </c>
    </row>
    <row r="92" spans="1:7" ht="16" x14ac:dyDescent="0.2">
      <c r="A92" s="35" t="s">
        <v>161</v>
      </c>
      <c r="B92" s="36"/>
      <c r="C92" s="37">
        <v>0</v>
      </c>
      <c r="D92" s="37">
        <v>0</v>
      </c>
      <c r="E92" s="38">
        <v>100000</v>
      </c>
      <c r="F92" s="39">
        <f t="shared" si="3"/>
        <v>0</v>
      </c>
      <c r="G92" s="34" t="s">
        <v>162</v>
      </c>
    </row>
    <row r="93" spans="1:7" ht="16" x14ac:dyDescent="0.2">
      <c r="A93" s="113" t="s">
        <v>163</v>
      </c>
      <c r="B93" s="114"/>
      <c r="C93" s="31">
        <v>0</v>
      </c>
      <c r="D93" s="115">
        <v>0</v>
      </c>
      <c r="E93" s="44">
        <v>3850</v>
      </c>
      <c r="F93" s="116">
        <f>E93*D93*C93</f>
        <v>0</v>
      </c>
      <c r="G93" s="117" t="s">
        <v>164</v>
      </c>
    </row>
    <row r="94" spans="1:7" ht="16" x14ac:dyDescent="0.2">
      <c r="A94" s="118" t="s">
        <v>165</v>
      </c>
      <c r="B94" s="119"/>
      <c r="C94" s="37">
        <v>0</v>
      </c>
      <c r="D94" s="37">
        <v>0</v>
      </c>
      <c r="E94" s="38">
        <v>4800</v>
      </c>
      <c r="F94" s="39">
        <f>C94*D94*E94</f>
        <v>0</v>
      </c>
      <c r="G94" s="35" t="s">
        <v>166</v>
      </c>
    </row>
    <row r="95" spans="1:7" ht="16" x14ac:dyDescent="0.2">
      <c r="A95" s="118" t="s">
        <v>167</v>
      </c>
      <c r="B95" s="119"/>
      <c r="C95" s="37">
        <v>0</v>
      </c>
      <c r="D95" s="37">
        <v>0</v>
      </c>
      <c r="E95" s="38">
        <v>5500</v>
      </c>
      <c r="F95" s="39">
        <f>C95*D95*E95</f>
        <v>0</v>
      </c>
      <c r="G95" s="35" t="s">
        <v>168</v>
      </c>
    </row>
    <row r="96" spans="1:7" ht="16" x14ac:dyDescent="0.2">
      <c r="A96" s="118" t="s">
        <v>169</v>
      </c>
      <c r="B96" s="119"/>
      <c r="C96" s="37">
        <v>0</v>
      </c>
      <c r="D96" s="37">
        <v>0</v>
      </c>
      <c r="E96" s="38">
        <v>7500</v>
      </c>
      <c r="F96" s="39">
        <f t="shared" si="3"/>
        <v>0</v>
      </c>
      <c r="G96" s="35" t="s">
        <v>170</v>
      </c>
    </row>
    <row r="97" spans="1:7" ht="15" customHeight="1" x14ac:dyDescent="0.2">
      <c r="A97" s="35" t="s">
        <v>171</v>
      </c>
      <c r="B97" s="36"/>
      <c r="C97" s="37">
        <v>0</v>
      </c>
      <c r="D97" s="37">
        <v>0</v>
      </c>
      <c r="E97" s="39">
        <v>8500</v>
      </c>
      <c r="F97" s="39">
        <f t="shared" si="3"/>
        <v>0</v>
      </c>
      <c r="G97" s="120" t="s">
        <v>172</v>
      </c>
    </row>
    <row r="98" spans="1:7" ht="15" customHeight="1" x14ac:dyDescent="0.2">
      <c r="A98" s="40" t="s">
        <v>173</v>
      </c>
      <c r="B98" s="42"/>
      <c r="C98" s="37">
        <v>0</v>
      </c>
      <c r="D98" s="37">
        <v>0</v>
      </c>
      <c r="E98" s="39">
        <v>13500</v>
      </c>
      <c r="F98" s="39">
        <f t="shared" si="3"/>
        <v>0</v>
      </c>
      <c r="G98" s="121" t="s">
        <v>174</v>
      </c>
    </row>
    <row r="99" spans="1:7" ht="16" x14ac:dyDescent="0.2">
      <c r="A99" s="35" t="s">
        <v>175</v>
      </c>
      <c r="B99" s="36"/>
      <c r="C99" s="37">
        <v>0</v>
      </c>
      <c r="D99" s="37">
        <v>0</v>
      </c>
      <c r="E99" s="39">
        <v>2500</v>
      </c>
      <c r="F99" s="39">
        <f>C99*D99*E99</f>
        <v>0</v>
      </c>
      <c r="G99" s="34" t="s">
        <v>176</v>
      </c>
    </row>
    <row r="100" spans="1:7" ht="16" x14ac:dyDescent="0.2">
      <c r="A100" s="35" t="s">
        <v>177</v>
      </c>
      <c r="B100" s="36"/>
      <c r="C100" s="37">
        <v>0</v>
      </c>
      <c r="D100" s="37">
        <v>0</v>
      </c>
      <c r="E100" s="38">
        <v>300000</v>
      </c>
      <c r="F100" s="39">
        <f>C100*D100*E100</f>
        <v>0</v>
      </c>
      <c r="G100" s="34" t="s">
        <v>90</v>
      </c>
    </row>
    <row r="101" spans="1:7" ht="16" x14ac:dyDescent="0.2">
      <c r="A101" s="35" t="s">
        <v>178</v>
      </c>
      <c r="B101" s="36"/>
      <c r="C101" s="37">
        <v>0</v>
      </c>
      <c r="D101" s="37">
        <v>0</v>
      </c>
      <c r="E101" s="38">
        <v>250000</v>
      </c>
      <c r="F101" s="39">
        <f>C101*D101*E101</f>
        <v>0</v>
      </c>
      <c r="G101" s="34" t="s">
        <v>90</v>
      </c>
    </row>
    <row r="102" spans="1:7" ht="16" x14ac:dyDescent="0.2">
      <c r="A102" s="35" t="s">
        <v>179</v>
      </c>
      <c r="B102" s="36"/>
      <c r="C102" s="37">
        <v>0</v>
      </c>
      <c r="D102" s="37">
        <v>0</v>
      </c>
      <c r="E102" s="38">
        <v>210000</v>
      </c>
      <c r="F102" s="39">
        <f t="shared" ref="F102:F124" si="4">C102*D102*E102</f>
        <v>0</v>
      </c>
      <c r="G102" s="34" t="s">
        <v>90</v>
      </c>
    </row>
    <row r="103" spans="1:7" ht="16" x14ac:dyDescent="0.2">
      <c r="A103" s="35" t="s">
        <v>180</v>
      </c>
      <c r="B103" s="36"/>
      <c r="C103" s="37">
        <v>0</v>
      </c>
      <c r="D103" s="37">
        <v>0</v>
      </c>
      <c r="E103" s="38">
        <v>210000</v>
      </c>
      <c r="F103" s="39">
        <f t="shared" si="4"/>
        <v>0</v>
      </c>
      <c r="G103" s="34" t="s">
        <v>90</v>
      </c>
    </row>
    <row r="104" spans="1:7" ht="16" x14ac:dyDescent="0.2">
      <c r="A104" s="35" t="s">
        <v>181</v>
      </c>
      <c r="B104" s="36"/>
      <c r="C104" s="37">
        <v>0</v>
      </c>
      <c r="D104" s="37">
        <v>0</v>
      </c>
      <c r="E104" s="38">
        <v>180000</v>
      </c>
      <c r="F104" s="39">
        <f t="shared" si="4"/>
        <v>0</v>
      </c>
      <c r="G104" s="34" t="s">
        <v>90</v>
      </c>
    </row>
    <row r="105" spans="1:7" ht="16" x14ac:dyDescent="0.2">
      <c r="A105" s="35" t="s">
        <v>182</v>
      </c>
      <c r="B105" s="36"/>
      <c r="C105" s="37">
        <v>0</v>
      </c>
      <c r="D105" s="37">
        <v>0</v>
      </c>
      <c r="E105" s="38">
        <v>180000</v>
      </c>
      <c r="F105" s="39">
        <f t="shared" si="4"/>
        <v>0</v>
      </c>
      <c r="G105" s="34" t="s">
        <v>90</v>
      </c>
    </row>
    <row r="106" spans="1:7" ht="16" x14ac:dyDescent="0.2">
      <c r="A106" s="35" t="s">
        <v>183</v>
      </c>
      <c r="B106" s="36"/>
      <c r="C106" s="37">
        <v>0</v>
      </c>
      <c r="D106" s="37">
        <v>0</v>
      </c>
      <c r="E106" s="48">
        <v>120000</v>
      </c>
      <c r="F106" s="39">
        <f t="shared" si="4"/>
        <v>0</v>
      </c>
      <c r="G106" s="34" t="s">
        <v>90</v>
      </c>
    </row>
    <row r="107" spans="1:7" ht="16" x14ac:dyDescent="0.2">
      <c r="A107" s="35" t="s">
        <v>184</v>
      </c>
      <c r="B107" s="36"/>
      <c r="C107" s="37">
        <v>0</v>
      </c>
      <c r="D107" s="37">
        <v>0</v>
      </c>
      <c r="E107" s="48">
        <v>90000</v>
      </c>
      <c r="F107" s="39">
        <f t="shared" si="4"/>
        <v>0</v>
      </c>
      <c r="G107" s="34" t="s">
        <v>90</v>
      </c>
    </row>
    <row r="108" spans="1:7" ht="16" x14ac:dyDescent="0.2">
      <c r="A108" s="35" t="s">
        <v>185</v>
      </c>
      <c r="B108" s="36"/>
      <c r="C108" s="37">
        <v>0</v>
      </c>
      <c r="D108" s="37">
        <v>0</v>
      </c>
      <c r="E108" s="48">
        <v>100000</v>
      </c>
      <c r="F108" s="39">
        <f t="shared" si="4"/>
        <v>0</v>
      </c>
      <c r="G108" s="34" t="s">
        <v>186</v>
      </c>
    </row>
    <row r="109" spans="1:7" ht="16" x14ac:dyDescent="0.2">
      <c r="A109" s="35" t="s">
        <v>187</v>
      </c>
      <c r="B109" s="36"/>
      <c r="C109" s="37">
        <v>0</v>
      </c>
      <c r="D109" s="37">
        <v>0</v>
      </c>
      <c r="E109" s="48">
        <v>300000</v>
      </c>
      <c r="F109" s="39">
        <f t="shared" si="4"/>
        <v>0</v>
      </c>
      <c r="G109" s="34" t="s">
        <v>90</v>
      </c>
    </row>
    <row r="110" spans="1:7" ht="16" x14ac:dyDescent="0.2">
      <c r="A110" s="122" t="s">
        <v>188</v>
      </c>
      <c r="B110" s="123"/>
      <c r="C110" s="37">
        <v>0</v>
      </c>
      <c r="D110" s="37">
        <v>0</v>
      </c>
      <c r="E110" s="124">
        <v>25000</v>
      </c>
      <c r="F110" s="125"/>
      <c r="G110" s="34" t="s">
        <v>189</v>
      </c>
    </row>
    <row r="111" spans="1:7" ht="16" x14ac:dyDescent="0.2">
      <c r="A111" s="122" t="s">
        <v>190</v>
      </c>
      <c r="B111" s="123"/>
      <c r="C111" s="37">
        <v>0</v>
      </c>
      <c r="D111" s="37">
        <v>0</v>
      </c>
      <c r="E111" s="126">
        <v>15000</v>
      </c>
      <c r="F111" s="125"/>
      <c r="G111" s="34" t="s">
        <v>189</v>
      </c>
    </row>
    <row r="112" spans="1:7" ht="16" x14ac:dyDescent="0.2">
      <c r="A112" s="122" t="s">
        <v>191</v>
      </c>
      <c r="B112" s="123"/>
      <c r="C112" s="37">
        <v>0</v>
      </c>
      <c r="D112" s="37">
        <v>0</v>
      </c>
      <c r="E112" s="126">
        <v>60000</v>
      </c>
      <c r="F112" s="125"/>
      <c r="G112" s="34"/>
    </row>
    <row r="113" spans="1:7" ht="16" x14ac:dyDescent="0.2">
      <c r="A113" s="122" t="s">
        <v>192</v>
      </c>
      <c r="B113" s="127"/>
      <c r="C113" s="37">
        <v>0</v>
      </c>
      <c r="D113" s="37">
        <v>0</v>
      </c>
      <c r="E113" s="38">
        <v>150000</v>
      </c>
      <c r="F113" s="39">
        <f t="shared" si="4"/>
        <v>0</v>
      </c>
      <c r="G113" s="34" t="s">
        <v>193</v>
      </c>
    </row>
    <row r="114" spans="1:7" ht="16" x14ac:dyDescent="0.2">
      <c r="A114" s="34" t="s">
        <v>194</v>
      </c>
      <c r="B114" s="128"/>
      <c r="C114" s="37">
        <v>0</v>
      </c>
      <c r="D114" s="37">
        <v>0</v>
      </c>
      <c r="E114" s="39">
        <v>100000</v>
      </c>
      <c r="F114" s="39">
        <f t="shared" si="4"/>
        <v>0</v>
      </c>
      <c r="G114" s="34" t="s">
        <v>195</v>
      </c>
    </row>
    <row r="115" spans="1:7" ht="16" x14ac:dyDescent="0.2">
      <c r="A115" s="34" t="s">
        <v>196</v>
      </c>
      <c r="B115" s="128"/>
      <c r="C115" s="37">
        <v>0</v>
      </c>
      <c r="D115" s="37">
        <v>0</v>
      </c>
      <c r="E115" s="48">
        <v>150000</v>
      </c>
      <c r="F115" s="39">
        <f t="shared" si="4"/>
        <v>0</v>
      </c>
      <c r="G115" s="34" t="s">
        <v>197</v>
      </c>
    </row>
    <row r="116" spans="1:7" ht="16" x14ac:dyDescent="0.2">
      <c r="A116" s="34" t="s">
        <v>198</v>
      </c>
      <c r="B116" s="128"/>
      <c r="C116" s="37">
        <v>0</v>
      </c>
      <c r="D116" s="37">
        <v>0</v>
      </c>
      <c r="E116" s="48">
        <v>380000</v>
      </c>
      <c r="F116" s="39">
        <f t="shared" si="4"/>
        <v>0</v>
      </c>
      <c r="G116" s="34" t="s">
        <v>199</v>
      </c>
    </row>
    <row r="117" spans="1:7" ht="16" x14ac:dyDescent="0.2">
      <c r="A117" s="34" t="s">
        <v>200</v>
      </c>
      <c r="B117" s="128"/>
      <c r="C117" s="37">
        <v>0</v>
      </c>
      <c r="D117" s="37">
        <v>0</v>
      </c>
      <c r="E117" s="48">
        <v>280000</v>
      </c>
      <c r="F117" s="39">
        <f t="shared" si="4"/>
        <v>0</v>
      </c>
      <c r="G117" s="34" t="s">
        <v>197</v>
      </c>
    </row>
    <row r="118" spans="1:7" ht="16" x14ac:dyDescent="0.2">
      <c r="A118" s="129" t="s">
        <v>201</v>
      </c>
      <c r="B118" s="130"/>
      <c r="C118" s="37">
        <v>0</v>
      </c>
      <c r="D118" s="37">
        <v>0</v>
      </c>
      <c r="E118" s="48">
        <v>650000</v>
      </c>
      <c r="F118" s="39">
        <f t="shared" si="4"/>
        <v>0</v>
      </c>
      <c r="G118" s="34" t="s">
        <v>202</v>
      </c>
    </row>
    <row r="119" spans="1:7" ht="15" customHeight="1" x14ac:dyDescent="0.2">
      <c r="A119" s="129" t="s">
        <v>203</v>
      </c>
      <c r="B119" s="130"/>
      <c r="C119" s="37">
        <v>0</v>
      </c>
      <c r="D119" s="37">
        <v>0</v>
      </c>
      <c r="E119" s="48">
        <v>450000</v>
      </c>
      <c r="F119" s="107">
        <f t="shared" si="4"/>
        <v>0</v>
      </c>
      <c r="G119" s="34" t="s">
        <v>204</v>
      </c>
    </row>
    <row r="120" spans="1:7" ht="15" customHeight="1" x14ac:dyDescent="0.2">
      <c r="A120" s="129" t="s">
        <v>205</v>
      </c>
      <c r="B120" s="130"/>
      <c r="C120" s="37">
        <v>0</v>
      </c>
      <c r="D120" s="37">
        <v>0</v>
      </c>
      <c r="E120" s="48">
        <v>80000</v>
      </c>
      <c r="F120" s="107">
        <f t="shared" si="4"/>
        <v>0</v>
      </c>
      <c r="G120" s="34"/>
    </row>
    <row r="121" spans="1:7" ht="15" customHeight="1" x14ac:dyDescent="0.2">
      <c r="A121" s="129" t="s">
        <v>206</v>
      </c>
      <c r="B121" s="130"/>
      <c r="C121" s="37">
        <v>0</v>
      </c>
      <c r="D121" s="37">
        <v>0</v>
      </c>
      <c r="E121" s="48">
        <v>300000</v>
      </c>
      <c r="F121" s="107">
        <f t="shared" si="4"/>
        <v>0</v>
      </c>
      <c r="G121" s="34" t="s">
        <v>207</v>
      </c>
    </row>
    <row r="122" spans="1:7" ht="15" customHeight="1" x14ac:dyDescent="0.2">
      <c r="A122" s="129" t="s">
        <v>208</v>
      </c>
      <c r="B122" s="130"/>
      <c r="C122" s="37">
        <v>0</v>
      </c>
      <c r="D122" s="37">
        <v>0</v>
      </c>
      <c r="E122" s="39">
        <v>680000</v>
      </c>
      <c r="F122" s="107">
        <f t="shared" si="4"/>
        <v>0</v>
      </c>
      <c r="G122" s="34" t="s">
        <v>209</v>
      </c>
    </row>
    <row r="123" spans="1:7" ht="15" customHeight="1" x14ac:dyDescent="0.2">
      <c r="A123" s="129" t="s">
        <v>208</v>
      </c>
      <c r="B123" s="130"/>
      <c r="C123" s="37">
        <v>0</v>
      </c>
      <c r="D123" s="37">
        <v>0</v>
      </c>
      <c r="E123" s="39">
        <v>580000</v>
      </c>
      <c r="F123" s="107">
        <f t="shared" si="4"/>
        <v>0</v>
      </c>
      <c r="G123" s="34" t="s">
        <v>210</v>
      </c>
    </row>
    <row r="124" spans="1:7" ht="15" customHeight="1" x14ac:dyDescent="0.2">
      <c r="A124" s="129" t="s">
        <v>211</v>
      </c>
      <c r="B124" s="130"/>
      <c r="C124" s="37">
        <v>0</v>
      </c>
      <c r="D124" s="37">
        <v>0</v>
      </c>
      <c r="E124" s="39">
        <v>580000</v>
      </c>
      <c r="F124" s="107">
        <f t="shared" si="4"/>
        <v>0</v>
      </c>
      <c r="G124" s="34" t="s">
        <v>212</v>
      </c>
    </row>
    <row r="125" spans="1:7" ht="16" x14ac:dyDescent="0.2">
      <c r="A125" s="34" t="s">
        <v>213</v>
      </c>
      <c r="B125" s="128"/>
      <c r="C125" s="37">
        <v>0</v>
      </c>
      <c r="D125" s="37">
        <v>0</v>
      </c>
      <c r="E125" s="39">
        <v>180000</v>
      </c>
      <c r="F125" s="39">
        <f>C125*D125*E125</f>
        <v>0</v>
      </c>
      <c r="G125" s="34" t="s">
        <v>214</v>
      </c>
    </row>
    <row r="126" spans="1:7" ht="16" x14ac:dyDescent="0.2">
      <c r="A126" s="93"/>
      <c r="B126" s="131"/>
      <c r="C126" s="93"/>
      <c r="D126" s="93"/>
      <c r="E126" s="93"/>
      <c r="F126" s="93"/>
      <c r="G126" s="132" t="s">
        <v>215</v>
      </c>
    </row>
    <row r="127" spans="1:7" x14ac:dyDescent="0.2">
      <c r="A127" s="93"/>
      <c r="B127" s="131"/>
      <c r="C127" s="93"/>
      <c r="D127" s="93"/>
      <c r="E127" s="93" t="s">
        <v>26</v>
      </c>
      <c r="F127" s="93" t="s">
        <v>26</v>
      </c>
      <c r="G127" s="93"/>
    </row>
    <row r="128" spans="1:7" ht="17" customHeight="1" x14ac:dyDescent="0.2">
      <c r="A128" s="93"/>
      <c r="B128" s="131"/>
      <c r="C128" s="93"/>
      <c r="D128" s="93"/>
      <c r="E128" s="93" t="s">
        <v>26</v>
      </c>
      <c r="F128" s="93"/>
      <c r="G128" s="93"/>
    </row>
    <row r="129" spans="1:7" ht="17" customHeight="1" x14ac:dyDescent="0.2">
      <c r="A129" s="93"/>
      <c r="B129" s="131"/>
      <c r="C129" s="93"/>
      <c r="D129" s="93"/>
      <c r="E129" s="93"/>
      <c r="F129" s="93"/>
      <c r="G129" s="93"/>
    </row>
    <row r="130" spans="1:7" x14ac:dyDescent="0.2">
      <c r="A130" s="93"/>
      <c r="B130" s="131"/>
      <c r="C130" s="93"/>
      <c r="D130" s="93"/>
      <c r="E130" s="93"/>
      <c r="F130" s="93"/>
      <c r="G130" s="93"/>
    </row>
    <row r="131" spans="1:7" x14ac:dyDescent="0.2">
      <c r="A131" s="93"/>
      <c r="B131" s="131"/>
      <c r="C131" s="93"/>
      <c r="D131" s="93"/>
      <c r="E131" s="93"/>
      <c r="F131" s="93"/>
      <c r="G131" s="93"/>
    </row>
    <row r="132" spans="1:7" ht="17" customHeight="1" x14ac:dyDescent="0.2">
      <c r="A132" s="93"/>
      <c r="B132" s="131"/>
      <c r="C132" s="93"/>
      <c r="D132" s="93"/>
      <c r="E132" s="93"/>
      <c r="F132" s="93"/>
      <c r="G132" s="93"/>
    </row>
    <row r="133" spans="1:7" ht="17" customHeight="1" x14ac:dyDescent="0.2">
      <c r="A133" s="93"/>
      <c r="B133" s="131"/>
      <c r="C133" s="93"/>
      <c r="D133" s="93"/>
      <c r="E133" s="93"/>
      <c r="F133" s="93"/>
      <c r="G133" s="93"/>
    </row>
    <row r="134" spans="1:7" x14ac:dyDescent="0.2">
      <c r="A134" s="93"/>
      <c r="B134" s="131"/>
      <c r="C134" s="93"/>
      <c r="D134" s="93"/>
      <c r="E134" s="93"/>
      <c r="F134" s="93"/>
      <c r="G134" s="93"/>
    </row>
    <row r="135" spans="1:7" x14ac:dyDescent="0.2">
      <c r="A135" s="93"/>
      <c r="B135" s="131"/>
      <c r="C135" s="93"/>
      <c r="D135" s="93"/>
      <c r="E135" s="93"/>
      <c r="F135" s="93"/>
      <c r="G135" s="93"/>
    </row>
    <row r="151" spans="1:7" ht="17" x14ac:dyDescent="0.2">
      <c r="A151" s="133"/>
      <c r="B151" s="134"/>
      <c r="C151" s="71"/>
      <c r="D151" s="71"/>
      <c r="E151" s="71"/>
      <c r="F151" s="71"/>
      <c r="G151" s="71"/>
    </row>
  </sheetData>
  <mergeCells count="2">
    <mergeCell ref="B6:D6"/>
    <mergeCell ref="A7:B7"/>
  </mergeCells>
  <hyperlinks>
    <hyperlink ref="D73" r:id="rId1"/>
  </hyperlink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7"/>
  <sheetViews>
    <sheetView topLeftCell="A13" workbookViewId="0">
      <selection activeCell="F42" sqref="F42"/>
    </sheetView>
  </sheetViews>
  <sheetFormatPr baseColWidth="10" defaultRowHeight="15" x14ac:dyDescent="0.2"/>
  <cols>
    <col min="1" max="1" width="38.5" customWidth="1"/>
    <col min="2" max="2" width="12.5" style="14" customWidth="1"/>
    <col min="3" max="4" width="7.33203125" customWidth="1"/>
    <col min="5" max="5" width="11.5" customWidth="1"/>
    <col min="6" max="6" width="14.5" customWidth="1"/>
    <col min="7" max="7" width="101.6640625" customWidth="1"/>
    <col min="8" max="8" width="13" bestFit="1" customWidth="1"/>
    <col min="9" max="9" width="114.1640625" customWidth="1"/>
  </cols>
  <sheetData>
    <row r="1" spans="1:7" ht="64" customHeight="1" x14ac:dyDescent="0.3">
      <c r="A1" s="11" t="s">
        <v>26</v>
      </c>
      <c r="B1" s="12"/>
      <c r="C1" s="13" t="s">
        <v>27</v>
      </c>
    </row>
    <row r="2" spans="1:7" x14ac:dyDescent="0.2">
      <c r="G2" t="s">
        <v>28</v>
      </c>
    </row>
    <row r="3" spans="1:7" ht="16" x14ac:dyDescent="0.2">
      <c r="A3" s="15" t="s">
        <v>221</v>
      </c>
      <c r="B3" s="142" t="s">
        <v>30</v>
      </c>
      <c r="C3" s="143"/>
      <c r="E3" t="s">
        <v>31</v>
      </c>
      <c r="F3" s="17" t="s">
        <v>32</v>
      </c>
      <c r="G3" s="18" t="s">
        <v>222</v>
      </c>
    </row>
    <row r="4" spans="1:7" ht="16" x14ac:dyDescent="0.2">
      <c r="A4" t="s">
        <v>34</v>
      </c>
      <c r="C4" s="19"/>
      <c r="E4" t="s">
        <v>35</v>
      </c>
      <c r="F4">
        <v>90827788</v>
      </c>
      <c r="G4" s="20" t="s">
        <v>223</v>
      </c>
    </row>
    <row r="5" spans="1:7" ht="16" x14ac:dyDescent="0.2">
      <c r="A5" t="s">
        <v>37</v>
      </c>
      <c r="E5" t="s">
        <v>39</v>
      </c>
      <c r="F5" s="17">
        <v>28</v>
      </c>
      <c r="G5" s="20" t="s">
        <v>40</v>
      </c>
    </row>
    <row r="6" spans="1:7" ht="16" x14ac:dyDescent="0.2">
      <c r="A6" s="144" t="s">
        <v>41</v>
      </c>
      <c r="B6" s="266" t="s">
        <v>236</v>
      </c>
      <c r="C6" s="266"/>
      <c r="D6" s="266"/>
      <c r="E6" s="145" t="s">
        <v>42</v>
      </c>
      <c r="F6" s="145">
        <v>974961403</v>
      </c>
      <c r="G6" s="20" t="s">
        <v>43</v>
      </c>
    </row>
    <row r="7" spans="1:7" ht="16" x14ac:dyDescent="0.2">
      <c r="A7" s="267" t="s">
        <v>225</v>
      </c>
      <c r="B7" s="267"/>
      <c r="C7" s="146" t="s">
        <v>26</v>
      </c>
      <c r="D7" t="s">
        <v>26</v>
      </c>
      <c r="E7" s="23"/>
      <c r="F7" s="23" t="s">
        <v>26</v>
      </c>
      <c r="G7" s="20"/>
    </row>
    <row r="8" spans="1:7" ht="17" thickBot="1" x14ac:dyDescent="0.25">
      <c r="A8" s="147"/>
      <c r="B8" s="146"/>
      <c r="C8" s="148"/>
      <c r="D8" s="23"/>
      <c r="E8" s="23"/>
      <c r="F8" s="23"/>
      <c r="G8" s="20"/>
    </row>
    <row r="9" spans="1:7" ht="15.75" customHeight="1" x14ac:dyDescent="0.2">
      <c r="A9" s="25" t="s">
        <v>44</v>
      </c>
      <c r="B9" s="26" t="s">
        <v>45</v>
      </c>
      <c r="C9" s="27" t="s">
        <v>46</v>
      </c>
      <c r="D9" s="27" t="s">
        <v>47</v>
      </c>
      <c r="E9" s="27" t="s">
        <v>48</v>
      </c>
      <c r="F9" s="27" t="s">
        <v>49</v>
      </c>
      <c r="G9" s="28" t="s">
        <v>50</v>
      </c>
    </row>
    <row r="10" spans="1:7" ht="16" x14ac:dyDescent="0.2">
      <c r="A10" s="35" t="s">
        <v>182</v>
      </c>
      <c r="B10" s="36"/>
      <c r="C10" s="37">
        <v>1</v>
      </c>
      <c r="D10" s="37">
        <v>1</v>
      </c>
      <c r="E10" s="38">
        <v>180000</v>
      </c>
      <c r="F10" s="39">
        <f t="shared" ref="F10:F16" si="0">C10*D10*E10</f>
        <v>180000</v>
      </c>
      <c r="G10" s="34" t="s">
        <v>90</v>
      </c>
    </row>
    <row r="11" spans="1:7" ht="16.5" customHeight="1" x14ac:dyDescent="0.2">
      <c r="A11" s="40" t="s">
        <v>55</v>
      </c>
      <c r="B11" s="41" t="s">
        <v>56</v>
      </c>
      <c r="C11" s="31">
        <v>1</v>
      </c>
      <c r="D11" s="31">
        <v>28</v>
      </c>
      <c r="E11" s="39">
        <v>15000</v>
      </c>
      <c r="F11" s="39">
        <f t="shared" si="0"/>
        <v>420000</v>
      </c>
      <c r="G11" s="34" t="s">
        <v>57</v>
      </c>
    </row>
    <row r="12" spans="1:7" ht="16" x14ac:dyDescent="0.2">
      <c r="A12" s="40" t="s">
        <v>58</v>
      </c>
      <c r="B12" s="42"/>
      <c r="C12" s="37">
        <v>1</v>
      </c>
      <c r="D12" s="37">
        <v>28</v>
      </c>
      <c r="E12" s="39">
        <v>1500</v>
      </c>
      <c r="F12" s="39">
        <f t="shared" si="0"/>
        <v>42000</v>
      </c>
      <c r="G12" s="34" t="s">
        <v>59</v>
      </c>
    </row>
    <row r="13" spans="1:7" ht="16" x14ac:dyDescent="0.2">
      <c r="A13" s="43" t="s">
        <v>60</v>
      </c>
      <c r="B13" s="41" t="s">
        <v>61</v>
      </c>
      <c r="C13" s="31">
        <v>1</v>
      </c>
      <c r="D13" s="31">
        <v>28</v>
      </c>
      <c r="E13" s="44">
        <v>15000</v>
      </c>
      <c r="F13" s="33">
        <f t="shared" si="0"/>
        <v>420000</v>
      </c>
      <c r="G13" s="34" t="s">
        <v>62</v>
      </c>
    </row>
    <row r="14" spans="1:7" ht="16" x14ac:dyDescent="0.2">
      <c r="A14" s="40" t="s">
        <v>58</v>
      </c>
      <c r="B14" s="42"/>
      <c r="C14" s="37">
        <v>1</v>
      </c>
      <c r="D14" s="37">
        <v>28</v>
      </c>
      <c r="E14" s="39">
        <v>1500</v>
      </c>
      <c r="F14" s="39">
        <f t="shared" si="0"/>
        <v>42000</v>
      </c>
      <c r="G14" s="34" t="s">
        <v>59</v>
      </c>
    </row>
    <row r="15" spans="1:7" ht="16" x14ac:dyDescent="0.2">
      <c r="A15" s="45" t="s">
        <v>63</v>
      </c>
      <c r="B15" s="46"/>
      <c r="C15" s="47">
        <v>1</v>
      </c>
      <c r="D15" s="47">
        <v>0</v>
      </c>
      <c r="E15" s="48">
        <v>99000</v>
      </c>
      <c r="F15" s="48">
        <f t="shared" si="0"/>
        <v>0</v>
      </c>
      <c r="G15" s="45" t="s">
        <v>64</v>
      </c>
    </row>
    <row r="16" spans="1:7" ht="16" x14ac:dyDescent="0.2">
      <c r="A16" s="45" t="s">
        <v>65</v>
      </c>
      <c r="B16" s="46"/>
      <c r="C16" s="47">
        <v>1</v>
      </c>
      <c r="D16" s="47">
        <v>14</v>
      </c>
      <c r="E16" s="48">
        <v>113500</v>
      </c>
      <c r="F16" s="48">
        <f t="shared" si="0"/>
        <v>1589000</v>
      </c>
      <c r="G16" s="45" t="s">
        <v>66</v>
      </c>
    </row>
    <row r="17" spans="1:7" ht="16.5" customHeight="1" thickBot="1" x14ac:dyDescent="0.25">
      <c r="A17" s="55" t="s">
        <v>85</v>
      </c>
      <c r="B17" s="56"/>
      <c r="C17" s="57"/>
      <c r="D17" s="58"/>
      <c r="E17" s="59"/>
      <c r="F17" s="60">
        <f>SUM(F10:F16)</f>
        <v>2693000</v>
      </c>
      <c r="G17" s="61" t="s">
        <v>26</v>
      </c>
    </row>
    <row r="18" spans="1:7" ht="16.5" customHeight="1" x14ac:dyDescent="0.2">
      <c r="A18" s="25" t="s">
        <v>86</v>
      </c>
      <c r="B18" s="26"/>
      <c r="C18" s="27" t="s">
        <v>46</v>
      </c>
      <c r="D18" s="27" t="s">
        <v>47</v>
      </c>
      <c r="E18" s="27" t="s">
        <v>48</v>
      </c>
      <c r="F18" s="27" t="s">
        <v>49</v>
      </c>
      <c r="G18" s="28" t="s">
        <v>50</v>
      </c>
    </row>
    <row r="19" spans="1:7" ht="16.5" customHeight="1" x14ac:dyDescent="0.2">
      <c r="A19" s="29" t="s">
        <v>87</v>
      </c>
      <c r="B19" s="30"/>
      <c r="C19" s="31">
        <v>1</v>
      </c>
      <c r="D19" s="31">
        <v>28</v>
      </c>
      <c r="E19" s="32">
        <v>8500</v>
      </c>
      <c r="F19" s="33" t="s">
        <v>88</v>
      </c>
      <c r="G19" s="34" t="s">
        <v>52</v>
      </c>
    </row>
    <row r="20" spans="1:7" ht="16" x14ac:dyDescent="0.2">
      <c r="A20" s="35" t="s">
        <v>89</v>
      </c>
      <c r="B20" s="36"/>
      <c r="C20" s="37">
        <v>1</v>
      </c>
      <c r="D20" s="37">
        <v>1</v>
      </c>
      <c r="E20" s="38">
        <v>180000</v>
      </c>
      <c r="F20" s="39">
        <f t="shared" ref="F20" si="1">C20*D20*E20</f>
        <v>180000</v>
      </c>
      <c r="G20" s="34" t="s">
        <v>90</v>
      </c>
    </row>
    <row r="21" spans="1:7" ht="16.5" customHeight="1" x14ac:dyDescent="0.2">
      <c r="A21" s="40" t="s">
        <v>55</v>
      </c>
      <c r="B21" s="41"/>
      <c r="C21" s="31">
        <v>1</v>
      </c>
      <c r="D21" s="31">
        <v>28</v>
      </c>
      <c r="E21" s="39">
        <v>15000</v>
      </c>
      <c r="F21" s="39">
        <f>C21*D21*E21</f>
        <v>420000</v>
      </c>
      <c r="G21" s="34" t="s">
        <v>57</v>
      </c>
    </row>
    <row r="22" spans="1:7" ht="16" x14ac:dyDescent="0.2">
      <c r="A22" s="40" t="s">
        <v>58</v>
      </c>
      <c r="B22" s="42"/>
      <c r="C22" s="37">
        <v>1</v>
      </c>
      <c r="D22" s="37">
        <v>28</v>
      </c>
      <c r="E22" s="39">
        <v>1500</v>
      </c>
      <c r="F22" s="39">
        <f t="shared" ref="F22" si="2">C22*D22*E22</f>
        <v>42000</v>
      </c>
      <c r="G22" s="34" t="s">
        <v>59</v>
      </c>
    </row>
    <row r="23" spans="1:7" ht="16" x14ac:dyDescent="0.2">
      <c r="A23" s="62" t="s">
        <v>67</v>
      </c>
      <c r="B23" s="63" t="s">
        <v>91</v>
      </c>
      <c r="C23" s="64"/>
      <c r="D23" s="64"/>
      <c r="E23" s="65"/>
      <c r="F23" s="65"/>
      <c r="G23" s="62" t="s">
        <v>69</v>
      </c>
    </row>
    <row r="24" spans="1:7" ht="16" x14ac:dyDescent="0.2">
      <c r="A24" s="45" t="s">
        <v>70</v>
      </c>
      <c r="B24" s="46" t="s">
        <v>92</v>
      </c>
      <c r="C24" s="47">
        <v>1</v>
      </c>
      <c r="D24" s="47">
        <v>28</v>
      </c>
      <c r="E24" s="48">
        <v>0</v>
      </c>
      <c r="F24" s="53" t="s">
        <v>72</v>
      </c>
      <c r="G24" s="54" t="s">
        <v>73</v>
      </c>
    </row>
    <row r="25" spans="1:7" ht="16" x14ac:dyDescent="0.2">
      <c r="A25" s="45" t="s">
        <v>74</v>
      </c>
      <c r="B25" s="46" t="s">
        <v>92</v>
      </c>
      <c r="C25" s="47">
        <v>1</v>
      </c>
      <c r="D25" s="47">
        <v>28</v>
      </c>
      <c r="E25" s="48">
        <v>0</v>
      </c>
      <c r="F25" s="53" t="s">
        <v>72</v>
      </c>
      <c r="G25" s="54" t="s">
        <v>75</v>
      </c>
    </row>
    <row r="26" spans="1:7" ht="16" x14ac:dyDescent="0.2">
      <c r="A26" s="45" t="s">
        <v>76</v>
      </c>
      <c r="B26" s="46" t="s">
        <v>77</v>
      </c>
      <c r="C26" s="47">
        <v>1</v>
      </c>
      <c r="D26" s="47">
        <v>28</v>
      </c>
      <c r="E26" s="48">
        <v>0</v>
      </c>
      <c r="F26" s="53" t="s">
        <v>72</v>
      </c>
      <c r="G26" s="54" t="s">
        <v>78</v>
      </c>
    </row>
    <row r="27" spans="1:7" ht="16" x14ac:dyDescent="0.2">
      <c r="A27" s="45" t="s">
        <v>79</v>
      </c>
      <c r="B27" s="46" t="s">
        <v>77</v>
      </c>
      <c r="C27" s="47">
        <v>1</v>
      </c>
      <c r="D27" s="47">
        <v>28</v>
      </c>
      <c r="E27" s="48">
        <v>0</v>
      </c>
      <c r="F27" s="53" t="s">
        <v>72</v>
      </c>
      <c r="G27" s="45" t="s">
        <v>80</v>
      </c>
    </row>
    <row r="28" spans="1:7" ht="16.5" customHeight="1" thickBot="1" x14ac:dyDescent="0.25">
      <c r="A28" s="55" t="s">
        <v>85</v>
      </c>
      <c r="B28" s="56"/>
      <c r="C28" s="57"/>
      <c r="D28" s="58"/>
      <c r="E28" s="59"/>
      <c r="F28" s="60">
        <f>SUM(F19:F22)</f>
        <v>642000</v>
      </c>
      <c r="G28" s="61" t="s">
        <v>26</v>
      </c>
    </row>
    <row r="29" spans="1:7" ht="17" thickBot="1" x14ac:dyDescent="0.25">
      <c r="A29" s="66" t="s">
        <v>93</v>
      </c>
      <c r="B29" s="67"/>
      <c r="C29" s="68"/>
      <c r="D29" s="68"/>
      <c r="E29" s="69"/>
      <c r="F29" s="70">
        <f>F17+F28</f>
        <v>3335000</v>
      </c>
      <c r="G29" s="71" t="s">
        <v>94</v>
      </c>
    </row>
    <row r="30" spans="1:7" ht="16" x14ac:dyDescent="0.2">
      <c r="A30" s="72" t="s">
        <v>95</v>
      </c>
      <c r="B30" s="73"/>
      <c r="C30" s="74"/>
      <c r="D30" s="58"/>
      <c r="E30" s="59"/>
      <c r="F30" s="60">
        <f>F29*1.19-F29</f>
        <v>633650</v>
      </c>
      <c r="G30" s="71"/>
    </row>
    <row r="31" spans="1:7" ht="16" x14ac:dyDescent="0.2">
      <c r="A31" s="149" t="s">
        <v>227</v>
      </c>
      <c r="B31" s="76"/>
      <c r="C31" s="77"/>
      <c r="D31" s="77"/>
      <c r="E31" s="78"/>
      <c r="F31" s="79">
        <f>F29+F30</f>
        <v>3968650</v>
      </c>
      <c r="G31" s="71"/>
    </row>
    <row r="32" spans="1:7" ht="16" x14ac:dyDescent="0.2">
      <c r="A32" s="150" t="s">
        <v>228</v>
      </c>
      <c r="B32" s="151"/>
      <c r="C32" s="152"/>
      <c r="D32" s="152"/>
      <c r="E32" s="153"/>
      <c r="F32" s="154">
        <f>F31*0.64-F31</f>
        <v>-1428714</v>
      </c>
      <c r="G32" s="71"/>
    </row>
    <row r="33" spans="1:7" x14ac:dyDescent="0.2">
      <c r="A33" s="155" t="s">
        <v>229</v>
      </c>
      <c r="B33" s="156"/>
      <c r="C33" s="157"/>
      <c r="D33" s="157"/>
      <c r="E33" s="157"/>
      <c r="F33" s="158">
        <f>F31+F32</f>
        <v>2539936</v>
      </c>
    </row>
    <row r="34" spans="1:7" ht="16" x14ac:dyDescent="0.2">
      <c r="A34" s="159" t="s">
        <v>230</v>
      </c>
      <c r="B34" s="160"/>
      <c r="C34" s="161"/>
      <c r="D34" s="161"/>
      <c r="E34" s="162"/>
      <c r="F34" s="163">
        <v>95500</v>
      </c>
      <c r="G34" s="141" t="s">
        <v>231</v>
      </c>
    </row>
    <row r="35" spans="1:7" ht="19" x14ac:dyDescent="0.2">
      <c r="A35" s="94"/>
      <c r="B35"/>
      <c r="E35" s="95"/>
      <c r="F35" s="164" t="s">
        <v>26</v>
      </c>
      <c r="G35" s="95"/>
    </row>
    <row r="36" spans="1:7" ht="19" x14ac:dyDescent="0.2">
      <c r="A36" s="94"/>
      <c r="B36"/>
      <c r="E36" s="95"/>
      <c r="F36" s="164">
        <f>F34*28</f>
        <v>2674000</v>
      </c>
      <c r="G36" s="95"/>
    </row>
    <row r="37" spans="1:7" ht="19" x14ac:dyDescent="0.2">
      <c r="A37" s="94"/>
      <c r="B37"/>
      <c r="E37" s="95"/>
      <c r="F37" s="164"/>
      <c r="G37" s="95"/>
    </row>
    <row r="38" spans="1:7" ht="20" thickBot="1" x14ac:dyDescent="0.25">
      <c r="A38" s="94"/>
      <c r="B38"/>
      <c r="E38" s="135" t="s">
        <v>216</v>
      </c>
      <c r="F38" s="137">
        <v>1786000</v>
      </c>
      <c r="G38" s="95"/>
    </row>
    <row r="39" spans="1:7" ht="19" x14ac:dyDescent="0.2">
      <c r="A39" s="94"/>
      <c r="B39"/>
      <c r="E39" s="135" t="s">
        <v>217</v>
      </c>
      <c r="F39" s="138">
        <v>874000</v>
      </c>
      <c r="G39" s="95"/>
    </row>
    <row r="40" spans="1:7" ht="19" x14ac:dyDescent="0.2">
      <c r="A40" s="94"/>
      <c r="B40"/>
      <c r="E40" s="95"/>
      <c r="F40" s="164"/>
      <c r="G40" s="95"/>
    </row>
    <row r="41" spans="1:7" ht="19" x14ac:dyDescent="0.2">
      <c r="A41" s="94"/>
      <c r="B41"/>
      <c r="E41" s="95"/>
      <c r="F41" s="164">
        <f>+F38+F39-F36</f>
        <v>-14000</v>
      </c>
      <c r="G41" s="95"/>
    </row>
    <row r="42" spans="1:7" ht="19" x14ac:dyDescent="0.2">
      <c r="A42" s="94"/>
      <c r="B42"/>
      <c r="E42" s="95"/>
      <c r="F42" s="164"/>
      <c r="G42" s="95"/>
    </row>
    <row r="43" spans="1:7" ht="19" x14ac:dyDescent="0.2">
      <c r="A43" s="94"/>
      <c r="B43"/>
      <c r="E43" s="95"/>
      <c r="F43" s="164"/>
      <c r="G43" s="95"/>
    </row>
    <row r="44" spans="1:7" ht="19" x14ac:dyDescent="0.2">
      <c r="A44" s="94"/>
      <c r="B44"/>
      <c r="E44" s="95"/>
      <c r="F44" s="164"/>
      <c r="G44" s="95"/>
    </row>
    <row r="45" spans="1:7" ht="19" x14ac:dyDescent="0.2">
      <c r="A45" s="94"/>
      <c r="B45"/>
      <c r="E45" s="95"/>
      <c r="F45" s="164"/>
      <c r="G45" s="95"/>
    </row>
    <row r="46" spans="1:7" ht="19" x14ac:dyDescent="0.2">
      <c r="A46" s="94" t="s">
        <v>98</v>
      </c>
      <c r="B46"/>
      <c r="E46" s="95"/>
      <c r="F46" s="164"/>
      <c r="G46" s="95"/>
    </row>
    <row r="47" spans="1:7" ht="19" x14ac:dyDescent="0.2">
      <c r="A47" s="97" t="s">
        <v>99</v>
      </c>
      <c r="B47"/>
      <c r="E47" s="98"/>
      <c r="F47" s="98"/>
      <c r="G47" s="98"/>
    </row>
    <row r="48" spans="1:7" ht="17" x14ac:dyDescent="0.2">
      <c r="A48" s="95" t="s">
        <v>100</v>
      </c>
      <c r="B48"/>
    </row>
    <row r="49" spans="1:2" ht="17" x14ac:dyDescent="0.2">
      <c r="A49" s="95"/>
      <c r="B49"/>
    </row>
    <row r="50" spans="1:2" ht="19" x14ac:dyDescent="0.2">
      <c r="A50" s="94" t="s">
        <v>101</v>
      </c>
      <c r="B50"/>
    </row>
    <row r="51" spans="1:2" ht="17" x14ac:dyDescent="0.2">
      <c r="A51" s="95" t="s">
        <v>102</v>
      </c>
      <c r="B51"/>
    </row>
    <row r="52" spans="1:2" ht="17" x14ac:dyDescent="0.2">
      <c r="A52" s="95" t="s">
        <v>103</v>
      </c>
      <c r="B52"/>
    </row>
    <row r="53" spans="1:2" ht="17" x14ac:dyDescent="0.2">
      <c r="A53" s="95" t="s">
        <v>104</v>
      </c>
      <c r="B53"/>
    </row>
    <row r="54" spans="1:2" ht="17" x14ac:dyDescent="0.2">
      <c r="A54" s="99" t="s">
        <v>105</v>
      </c>
      <c r="B54"/>
    </row>
    <row r="55" spans="1:2" ht="17" x14ac:dyDescent="0.2">
      <c r="A55" s="95" t="s">
        <v>106</v>
      </c>
      <c r="B55"/>
    </row>
    <row r="56" spans="1:2" ht="17" x14ac:dyDescent="0.2">
      <c r="A56" s="95" t="s">
        <v>107</v>
      </c>
      <c r="B56"/>
    </row>
    <row r="57" spans="1:2" ht="17" x14ac:dyDescent="0.2">
      <c r="A57" s="99" t="s">
        <v>108</v>
      </c>
      <c r="B57"/>
    </row>
    <row r="58" spans="1:2" ht="17" x14ac:dyDescent="0.2">
      <c r="A58" s="95" t="s">
        <v>109</v>
      </c>
      <c r="B58"/>
    </row>
    <row r="59" spans="1:2" ht="17" x14ac:dyDescent="0.2">
      <c r="A59" s="95" t="s">
        <v>110</v>
      </c>
      <c r="B59"/>
    </row>
    <row r="60" spans="1:2" ht="17" x14ac:dyDescent="0.2">
      <c r="A60" s="95" t="s">
        <v>111</v>
      </c>
      <c r="B60"/>
    </row>
    <row r="61" spans="1:2" ht="17" x14ac:dyDescent="0.2">
      <c r="A61" s="95" t="s">
        <v>112</v>
      </c>
      <c r="B61"/>
    </row>
    <row r="62" spans="1:2" ht="17" x14ac:dyDescent="0.2">
      <c r="A62" s="95" t="s">
        <v>113</v>
      </c>
      <c r="B62"/>
    </row>
    <row r="63" spans="1:2" ht="17" x14ac:dyDescent="0.2">
      <c r="A63" s="95" t="s">
        <v>114</v>
      </c>
      <c r="B63"/>
    </row>
    <row r="64" spans="1:2" ht="17" x14ac:dyDescent="0.2">
      <c r="A64" s="95"/>
      <c r="B64"/>
    </row>
    <row r="65" spans="1:7" ht="17" x14ac:dyDescent="0.2">
      <c r="A65" s="100" t="s">
        <v>115</v>
      </c>
      <c r="B65"/>
    </row>
    <row r="66" spans="1:7" ht="17" x14ac:dyDescent="0.2">
      <c r="A66" s="95" t="s">
        <v>116</v>
      </c>
      <c r="B66" s="95" t="s">
        <v>117</v>
      </c>
      <c r="D66" s="95" t="s">
        <v>118</v>
      </c>
      <c r="F66" s="95" t="s">
        <v>119</v>
      </c>
    </row>
    <row r="67" spans="1:7" ht="17" x14ac:dyDescent="0.2">
      <c r="A67" s="95" t="s">
        <v>120</v>
      </c>
      <c r="B67" s="95" t="s">
        <v>121</v>
      </c>
      <c r="D67" s="95" t="s">
        <v>122</v>
      </c>
      <c r="F67" s="95" t="s">
        <v>123</v>
      </c>
    </row>
    <row r="68" spans="1:7" ht="17" x14ac:dyDescent="0.2">
      <c r="A68" s="95" t="s">
        <v>124</v>
      </c>
      <c r="B68" s="95" t="s">
        <v>125</v>
      </c>
      <c r="D68" s="95" t="s">
        <v>126</v>
      </c>
      <c r="F68" s="95" t="s">
        <v>127</v>
      </c>
    </row>
    <row r="69" spans="1:7" ht="17" x14ac:dyDescent="0.2">
      <c r="A69" s="95" t="s">
        <v>35</v>
      </c>
      <c r="B69" s="95" t="s">
        <v>128</v>
      </c>
      <c r="D69" s="101" t="s">
        <v>129</v>
      </c>
    </row>
    <row r="70" spans="1:7" ht="18" thickBot="1" x14ac:dyDescent="0.25">
      <c r="A70" s="95"/>
      <c r="B70"/>
    </row>
    <row r="71" spans="1:7" ht="16" customHeight="1" x14ac:dyDescent="0.2">
      <c r="A71" s="102" t="s">
        <v>130</v>
      </c>
      <c r="B71" s="103" t="s">
        <v>45</v>
      </c>
      <c r="C71" s="104" t="s">
        <v>131</v>
      </c>
      <c r="D71" s="104" t="s">
        <v>47</v>
      </c>
      <c r="E71" s="104" t="s">
        <v>132</v>
      </c>
      <c r="F71" s="104" t="s">
        <v>133</v>
      </c>
      <c r="G71" s="105" t="s">
        <v>50</v>
      </c>
    </row>
    <row r="72" spans="1:7" ht="16" customHeight="1" x14ac:dyDescent="0.2">
      <c r="A72" s="34" t="s">
        <v>134</v>
      </c>
      <c r="B72" s="106"/>
      <c r="C72" s="37">
        <v>0</v>
      </c>
      <c r="D72" s="37">
        <v>0</v>
      </c>
      <c r="E72" s="107">
        <v>200000</v>
      </c>
      <c r="F72" s="107">
        <f>C72*D72*E72</f>
        <v>0</v>
      </c>
      <c r="G72" s="34" t="s">
        <v>135</v>
      </c>
    </row>
    <row r="73" spans="1:7" ht="16" x14ac:dyDescent="0.2">
      <c r="A73" s="35" t="s">
        <v>136</v>
      </c>
      <c r="B73" s="36"/>
      <c r="C73" s="37">
        <v>0</v>
      </c>
      <c r="D73" s="37">
        <v>0</v>
      </c>
      <c r="E73" s="39">
        <v>12000</v>
      </c>
      <c r="F73" s="39">
        <f t="shared" ref="F73:F94" si="3">C73*D73*E73</f>
        <v>0</v>
      </c>
      <c r="G73" s="34" t="s">
        <v>137</v>
      </c>
    </row>
    <row r="74" spans="1:7" ht="16" x14ac:dyDescent="0.2">
      <c r="A74" s="35" t="s">
        <v>138</v>
      </c>
      <c r="B74" s="36"/>
      <c r="C74" s="37">
        <v>0</v>
      </c>
      <c r="D74" s="37">
        <v>0</v>
      </c>
      <c r="E74" s="39">
        <v>26000</v>
      </c>
      <c r="F74" s="39">
        <f t="shared" si="3"/>
        <v>0</v>
      </c>
      <c r="G74" s="34" t="s">
        <v>139</v>
      </c>
    </row>
    <row r="75" spans="1:7" ht="16" x14ac:dyDescent="0.2">
      <c r="A75" s="35" t="s">
        <v>140</v>
      </c>
      <c r="B75" s="36"/>
      <c r="C75" s="37">
        <v>0</v>
      </c>
      <c r="D75" s="37">
        <v>0</v>
      </c>
      <c r="E75" s="39">
        <v>35000</v>
      </c>
      <c r="F75" s="39">
        <f t="shared" si="3"/>
        <v>0</v>
      </c>
      <c r="G75" s="34" t="s">
        <v>139</v>
      </c>
    </row>
    <row r="76" spans="1:7" ht="16" x14ac:dyDescent="0.2">
      <c r="A76" s="35" t="s">
        <v>141</v>
      </c>
      <c r="B76" s="36"/>
      <c r="C76" s="37">
        <v>0</v>
      </c>
      <c r="D76" s="37">
        <v>0</v>
      </c>
      <c r="E76" s="39">
        <v>10000</v>
      </c>
      <c r="F76" s="39">
        <f t="shared" si="3"/>
        <v>0</v>
      </c>
      <c r="G76" s="34"/>
    </row>
    <row r="77" spans="1:7" ht="16" x14ac:dyDescent="0.2">
      <c r="A77" s="35" t="s">
        <v>142</v>
      </c>
      <c r="B77" s="36"/>
      <c r="C77" s="37">
        <v>0</v>
      </c>
      <c r="D77" s="37">
        <v>0</v>
      </c>
      <c r="E77" s="39">
        <v>4500</v>
      </c>
      <c r="F77" s="39">
        <f t="shared" si="3"/>
        <v>0</v>
      </c>
      <c r="G77" s="34" t="s">
        <v>143</v>
      </c>
    </row>
    <row r="78" spans="1:7" ht="16" x14ac:dyDescent="0.2">
      <c r="A78" s="35" t="s">
        <v>144</v>
      </c>
      <c r="B78" s="36"/>
      <c r="C78" s="37">
        <v>0</v>
      </c>
      <c r="D78" s="37">
        <v>0</v>
      </c>
      <c r="E78" s="39">
        <v>5000</v>
      </c>
      <c r="F78" s="39">
        <f t="shared" si="3"/>
        <v>0</v>
      </c>
      <c r="G78" s="34" t="s">
        <v>145</v>
      </c>
    </row>
    <row r="79" spans="1:7" ht="16" x14ac:dyDescent="0.2">
      <c r="A79" s="35" t="s">
        <v>146</v>
      </c>
      <c r="B79" s="36"/>
      <c r="C79" s="37">
        <v>0</v>
      </c>
      <c r="D79" s="37">
        <v>0</v>
      </c>
      <c r="E79" s="39">
        <v>5000</v>
      </c>
      <c r="F79" s="39">
        <f t="shared" si="3"/>
        <v>0</v>
      </c>
      <c r="G79" s="34" t="s">
        <v>147</v>
      </c>
    </row>
    <row r="80" spans="1:7" ht="16" x14ac:dyDescent="0.2">
      <c r="A80" s="35" t="s">
        <v>148</v>
      </c>
      <c r="B80" s="36"/>
      <c r="C80" s="37">
        <v>0</v>
      </c>
      <c r="D80" s="37">
        <v>0</v>
      </c>
      <c r="E80" s="39">
        <v>3000</v>
      </c>
      <c r="F80" s="39">
        <f t="shared" si="3"/>
        <v>0</v>
      </c>
      <c r="G80" s="34" t="s">
        <v>149</v>
      </c>
    </row>
    <row r="81" spans="1:7" ht="16" x14ac:dyDescent="0.2">
      <c r="A81" s="35" t="s">
        <v>150</v>
      </c>
      <c r="B81" s="36"/>
      <c r="C81" s="37">
        <v>0</v>
      </c>
      <c r="D81" s="37">
        <v>0</v>
      </c>
      <c r="E81" s="39">
        <v>16000</v>
      </c>
      <c r="F81" s="39">
        <f t="shared" si="3"/>
        <v>0</v>
      </c>
      <c r="G81" s="34" t="s">
        <v>151</v>
      </c>
    </row>
    <row r="82" spans="1:7" ht="16" x14ac:dyDescent="0.2">
      <c r="A82" s="35" t="s">
        <v>152</v>
      </c>
      <c r="B82" s="36"/>
      <c r="C82" s="37">
        <v>0</v>
      </c>
      <c r="D82" s="37">
        <v>0</v>
      </c>
      <c r="E82" s="39">
        <v>7000</v>
      </c>
      <c r="F82" s="39">
        <f t="shared" si="3"/>
        <v>0</v>
      </c>
      <c r="G82" s="34" t="s">
        <v>153</v>
      </c>
    </row>
    <row r="83" spans="1:7" ht="16" x14ac:dyDescent="0.2">
      <c r="A83" s="108" t="s">
        <v>58</v>
      </c>
      <c r="B83" s="109"/>
      <c r="C83" s="47">
        <v>0</v>
      </c>
      <c r="D83" s="47">
        <v>0</v>
      </c>
      <c r="E83" s="48">
        <v>1500</v>
      </c>
      <c r="F83" s="48">
        <f t="shared" si="3"/>
        <v>0</v>
      </c>
      <c r="G83" s="45" t="s">
        <v>59</v>
      </c>
    </row>
    <row r="84" spans="1:7" ht="16" x14ac:dyDescent="0.2">
      <c r="A84" s="110" t="s">
        <v>154</v>
      </c>
      <c r="B84" s="111"/>
      <c r="C84" s="47">
        <v>0</v>
      </c>
      <c r="D84" s="47">
        <v>0</v>
      </c>
      <c r="E84" s="48">
        <v>3000</v>
      </c>
      <c r="F84" s="48">
        <f t="shared" si="3"/>
        <v>0</v>
      </c>
      <c r="G84" s="45"/>
    </row>
    <row r="85" spans="1:7" ht="16" x14ac:dyDescent="0.2">
      <c r="A85" s="110" t="s">
        <v>155</v>
      </c>
      <c r="B85" s="111"/>
      <c r="C85" s="47">
        <v>0</v>
      </c>
      <c r="D85" s="47">
        <v>0</v>
      </c>
      <c r="E85" s="48">
        <v>1000</v>
      </c>
      <c r="F85" s="48">
        <f t="shared" si="3"/>
        <v>0</v>
      </c>
      <c r="G85" s="45" t="s">
        <v>156</v>
      </c>
    </row>
    <row r="86" spans="1:7" ht="16" x14ac:dyDescent="0.2">
      <c r="A86" s="110" t="s">
        <v>157</v>
      </c>
      <c r="B86" s="111"/>
      <c r="C86" s="47">
        <v>0</v>
      </c>
      <c r="D86" s="47">
        <v>0</v>
      </c>
      <c r="E86" s="48">
        <v>3000</v>
      </c>
      <c r="F86" s="48">
        <f t="shared" si="3"/>
        <v>0</v>
      </c>
      <c r="G86" s="45" t="s">
        <v>158</v>
      </c>
    </row>
    <row r="87" spans="1:7" ht="16" x14ac:dyDescent="0.2">
      <c r="A87" s="110" t="s">
        <v>159</v>
      </c>
      <c r="B87" s="111"/>
      <c r="C87" s="47">
        <v>0</v>
      </c>
      <c r="D87" s="47">
        <v>0</v>
      </c>
      <c r="E87" s="112">
        <v>150000</v>
      </c>
      <c r="F87" s="48">
        <f t="shared" si="3"/>
        <v>0</v>
      </c>
      <c r="G87" s="45" t="s">
        <v>160</v>
      </c>
    </row>
    <row r="88" spans="1:7" ht="16" x14ac:dyDescent="0.2">
      <c r="A88" s="35" t="s">
        <v>161</v>
      </c>
      <c r="B88" s="36"/>
      <c r="C88" s="37">
        <v>0</v>
      </c>
      <c r="D88" s="37">
        <v>0</v>
      </c>
      <c r="E88" s="38">
        <v>100000</v>
      </c>
      <c r="F88" s="39">
        <f t="shared" si="3"/>
        <v>0</v>
      </c>
      <c r="G88" s="34" t="s">
        <v>162</v>
      </c>
    </row>
    <row r="89" spans="1:7" ht="16" x14ac:dyDescent="0.2">
      <c r="A89" s="113" t="s">
        <v>163</v>
      </c>
      <c r="B89" s="114"/>
      <c r="C89" s="31">
        <v>0</v>
      </c>
      <c r="D89" s="115">
        <v>0</v>
      </c>
      <c r="E89" s="44">
        <v>3850</v>
      </c>
      <c r="F89" s="116">
        <f>E89*D89*C89</f>
        <v>0</v>
      </c>
      <c r="G89" s="117" t="s">
        <v>164</v>
      </c>
    </row>
    <row r="90" spans="1:7" ht="16" x14ac:dyDescent="0.2">
      <c r="A90" s="118" t="s">
        <v>165</v>
      </c>
      <c r="B90" s="119"/>
      <c r="C90" s="37">
        <v>0</v>
      </c>
      <c r="D90" s="37">
        <v>0</v>
      </c>
      <c r="E90" s="38">
        <v>4800</v>
      </c>
      <c r="F90" s="39">
        <f>C90*D90*E90</f>
        <v>0</v>
      </c>
      <c r="G90" s="35" t="s">
        <v>166</v>
      </c>
    </row>
    <row r="91" spans="1:7" ht="16" x14ac:dyDescent="0.2">
      <c r="A91" s="118" t="s">
        <v>167</v>
      </c>
      <c r="B91" s="119"/>
      <c r="C91" s="37">
        <v>0</v>
      </c>
      <c r="D91" s="37">
        <v>0</v>
      </c>
      <c r="E91" s="38">
        <v>5500</v>
      </c>
      <c r="F91" s="39">
        <f>C91*D91*E91</f>
        <v>0</v>
      </c>
      <c r="G91" s="35" t="s">
        <v>168</v>
      </c>
    </row>
    <row r="92" spans="1:7" ht="16" x14ac:dyDescent="0.2">
      <c r="A92" s="118" t="s">
        <v>169</v>
      </c>
      <c r="B92" s="119"/>
      <c r="C92" s="37">
        <v>0</v>
      </c>
      <c r="D92" s="37">
        <v>0</v>
      </c>
      <c r="E92" s="38">
        <v>7500</v>
      </c>
      <c r="F92" s="39">
        <f t="shared" si="3"/>
        <v>0</v>
      </c>
      <c r="G92" s="35" t="s">
        <v>170</v>
      </c>
    </row>
    <row r="93" spans="1:7" ht="15" customHeight="1" x14ac:dyDescent="0.2">
      <c r="A93" s="35" t="s">
        <v>171</v>
      </c>
      <c r="B93" s="36"/>
      <c r="C93" s="37">
        <v>0</v>
      </c>
      <c r="D93" s="37">
        <v>0</v>
      </c>
      <c r="E93" s="39">
        <v>8500</v>
      </c>
      <c r="F93" s="39">
        <f t="shared" si="3"/>
        <v>0</v>
      </c>
      <c r="G93" s="120" t="s">
        <v>172</v>
      </c>
    </row>
    <row r="94" spans="1:7" ht="15" customHeight="1" x14ac:dyDescent="0.2">
      <c r="A94" s="40" t="s">
        <v>173</v>
      </c>
      <c r="B94" s="42"/>
      <c r="C94" s="37">
        <v>0</v>
      </c>
      <c r="D94" s="37">
        <v>0</v>
      </c>
      <c r="E94" s="39">
        <v>13500</v>
      </c>
      <c r="F94" s="39">
        <f t="shared" si="3"/>
        <v>0</v>
      </c>
      <c r="G94" s="121" t="s">
        <v>174</v>
      </c>
    </row>
    <row r="95" spans="1:7" ht="16" x14ac:dyDescent="0.2">
      <c r="A95" s="35" t="s">
        <v>175</v>
      </c>
      <c r="B95" s="36"/>
      <c r="C95" s="37">
        <v>0</v>
      </c>
      <c r="D95" s="37">
        <v>0</v>
      </c>
      <c r="E95" s="39">
        <v>2500</v>
      </c>
      <c r="F95" s="39">
        <f>C95*D95*E95</f>
        <v>0</v>
      </c>
      <c r="G95" s="34" t="s">
        <v>176</v>
      </c>
    </row>
    <row r="96" spans="1:7" ht="16" x14ac:dyDescent="0.2">
      <c r="A96" s="35" t="s">
        <v>177</v>
      </c>
      <c r="B96" s="36"/>
      <c r="C96" s="37">
        <v>0</v>
      </c>
      <c r="D96" s="37">
        <v>0</v>
      </c>
      <c r="E96" s="38">
        <v>300000</v>
      </c>
      <c r="F96" s="39">
        <f>C96*D96*E96</f>
        <v>0</v>
      </c>
      <c r="G96" s="34" t="s">
        <v>90</v>
      </c>
    </row>
    <row r="97" spans="1:7" ht="16" x14ac:dyDescent="0.2">
      <c r="A97" s="35" t="s">
        <v>178</v>
      </c>
      <c r="B97" s="36"/>
      <c r="C97" s="37">
        <v>0</v>
      </c>
      <c r="D97" s="37">
        <v>0</v>
      </c>
      <c r="E97" s="38">
        <v>250000</v>
      </c>
      <c r="F97" s="39">
        <f>C97*D97*E97</f>
        <v>0</v>
      </c>
      <c r="G97" s="34" t="s">
        <v>90</v>
      </c>
    </row>
    <row r="98" spans="1:7" ht="16" x14ac:dyDescent="0.2">
      <c r="A98" s="35" t="s">
        <v>179</v>
      </c>
      <c r="B98" s="36"/>
      <c r="C98" s="37">
        <v>0</v>
      </c>
      <c r="D98" s="37">
        <v>0</v>
      </c>
      <c r="E98" s="38">
        <v>210000</v>
      </c>
      <c r="F98" s="39">
        <f t="shared" ref="F98:F120" si="4">C98*D98*E98</f>
        <v>0</v>
      </c>
      <c r="G98" s="34" t="s">
        <v>90</v>
      </c>
    </row>
    <row r="99" spans="1:7" ht="16" x14ac:dyDescent="0.2">
      <c r="A99" s="35" t="s">
        <v>180</v>
      </c>
      <c r="B99" s="36"/>
      <c r="C99" s="37">
        <v>0</v>
      </c>
      <c r="D99" s="37">
        <v>0</v>
      </c>
      <c r="E99" s="38">
        <v>210000</v>
      </c>
      <c r="F99" s="39">
        <f t="shared" si="4"/>
        <v>0</v>
      </c>
      <c r="G99" s="34" t="s">
        <v>90</v>
      </c>
    </row>
    <row r="100" spans="1:7" ht="16" x14ac:dyDescent="0.2">
      <c r="A100" s="35" t="s">
        <v>181</v>
      </c>
      <c r="B100" s="36"/>
      <c r="C100" s="37">
        <v>0</v>
      </c>
      <c r="D100" s="37">
        <v>0</v>
      </c>
      <c r="E100" s="38">
        <v>180000</v>
      </c>
      <c r="F100" s="39">
        <f t="shared" si="4"/>
        <v>0</v>
      </c>
      <c r="G100" s="34" t="s">
        <v>90</v>
      </c>
    </row>
    <row r="101" spans="1:7" ht="16" x14ac:dyDescent="0.2">
      <c r="A101" s="35" t="s">
        <v>182</v>
      </c>
      <c r="B101" s="36"/>
      <c r="C101" s="37">
        <v>0</v>
      </c>
      <c r="D101" s="37">
        <v>0</v>
      </c>
      <c r="E101" s="38">
        <v>180000</v>
      </c>
      <c r="F101" s="39">
        <f t="shared" si="4"/>
        <v>0</v>
      </c>
      <c r="G101" s="34" t="s">
        <v>90</v>
      </c>
    </row>
    <row r="102" spans="1:7" ht="16" x14ac:dyDescent="0.2">
      <c r="A102" s="35" t="s">
        <v>183</v>
      </c>
      <c r="B102" s="36"/>
      <c r="C102" s="37">
        <v>0</v>
      </c>
      <c r="D102" s="37">
        <v>0</v>
      </c>
      <c r="E102" s="48">
        <v>120000</v>
      </c>
      <c r="F102" s="39">
        <f t="shared" si="4"/>
        <v>0</v>
      </c>
      <c r="G102" s="34" t="s">
        <v>90</v>
      </c>
    </row>
    <row r="103" spans="1:7" ht="16" x14ac:dyDescent="0.2">
      <c r="A103" s="35" t="s">
        <v>184</v>
      </c>
      <c r="B103" s="36"/>
      <c r="C103" s="37">
        <v>0</v>
      </c>
      <c r="D103" s="37">
        <v>0</v>
      </c>
      <c r="E103" s="48">
        <v>90000</v>
      </c>
      <c r="F103" s="39">
        <f t="shared" si="4"/>
        <v>0</v>
      </c>
      <c r="G103" s="34" t="s">
        <v>90</v>
      </c>
    </row>
    <row r="104" spans="1:7" ht="16" x14ac:dyDescent="0.2">
      <c r="A104" s="35" t="s">
        <v>185</v>
      </c>
      <c r="B104" s="36"/>
      <c r="C104" s="37">
        <v>0</v>
      </c>
      <c r="D104" s="37">
        <v>0</v>
      </c>
      <c r="E104" s="48">
        <v>100000</v>
      </c>
      <c r="F104" s="39">
        <f t="shared" si="4"/>
        <v>0</v>
      </c>
      <c r="G104" s="34" t="s">
        <v>186</v>
      </c>
    </row>
    <row r="105" spans="1:7" ht="16" x14ac:dyDescent="0.2">
      <c r="A105" s="35" t="s">
        <v>187</v>
      </c>
      <c r="B105" s="36"/>
      <c r="C105" s="37">
        <v>0</v>
      </c>
      <c r="D105" s="37">
        <v>0</v>
      </c>
      <c r="E105" s="48">
        <v>300000</v>
      </c>
      <c r="F105" s="39">
        <f t="shared" si="4"/>
        <v>0</v>
      </c>
      <c r="G105" s="34" t="s">
        <v>90</v>
      </c>
    </row>
    <row r="106" spans="1:7" ht="16" x14ac:dyDescent="0.2">
      <c r="A106" s="122" t="s">
        <v>188</v>
      </c>
      <c r="B106" s="123"/>
      <c r="C106" s="37">
        <v>0</v>
      </c>
      <c r="D106" s="37">
        <v>0</v>
      </c>
      <c r="E106" s="124">
        <v>25000</v>
      </c>
      <c r="F106" s="125"/>
      <c r="G106" s="34" t="s">
        <v>189</v>
      </c>
    </row>
    <row r="107" spans="1:7" ht="16" x14ac:dyDescent="0.2">
      <c r="A107" s="122" t="s">
        <v>190</v>
      </c>
      <c r="B107" s="123"/>
      <c r="C107" s="37">
        <v>0</v>
      </c>
      <c r="D107" s="37">
        <v>0</v>
      </c>
      <c r="E107" s="126">
        <v>15000</v>
      </c>
      <c r="F107" s="125"/>
      <c r="G107" s="34" t="s">
        <v>189</v>
      </c>
    </row>
    <row r="108" spans="1:7" ht="16" x14ac:dyDescent="0.2">
      <c r="A108" s="122" t="s">
        <v>191</v>
      </c>
      <c r="B108" s="123"/>
      <c r="C108" s="37">
        <v>0</v>
      </c>
      <c r="D108" s="37">
        <v>0</v>
      </c>
      <c r="E108" s="126">
        <v>60000</v>
      </c>
      <c r="F108" s="125"/>
      <c r="G108" s="34"/>
    </row>
    <row r="109" spans="1:7" ht="16" x14ac:dyDescent="0.2">
      <c r="A109" s="122" t="s">
        <v>192</v>
      </c>
      <c r="B109" s="127"/>
      <c r="C109" s="37">
        <v>0</v>
      </c>
      <c r="D109" s="37">
        <v>0</v>
      </c>
      <c r="E109" s="38">
        <v>150000</v>
      </c>
      <c r="F109" s="39">
        <f t="shared" si="4"/>
        <v>0</v>
      </c>
      <c r="G109" s="34" t="s">
        <v>193</v>
      </c>
    </row>
    <row r="110" spans="1:7" ht="16" x14ac:dyDescent="0.2">
      <c r="A110" s="34" t="s">
        <v>194</v>
      </c>
      <c r="B110" s="128"/>
      <c r="C110" s="37">
        <v>0</v>
      </c>
      <c r="D110" s="37">
        <v>0</v>
      </c>
      <c r="E110" s="39">
        <v>100000</v>
      </c>
      <c r="F110" s="39">
        <f t="shared" si="4"/>
        <v>0</v>
      </c>
      <c r="G110" s="34" t="s">
        <v>195</v>
      </c>
    </row>
    <row r="111" spans="1:7" ht="16" x14ac:dyDescent="0.2">
      <c r="A111" s="34" t="s">
        <v>196</v>
      </c>
      <c r="B111" s="128"/>
      <c r="C111" s="37">
        <v>0</v>
      </c>
      <c r="D111" s="37">
        <v>0</v>
      </c>
      <c r="E111" s="48">
        <v>150000</v>
      </c>
      <c r="F111" s="39">
        <f t="shared" si="4"/>
        <v>0</v>
      </c>
      <c r="G111" s="34" t="s">
        <v>197</v>
      </c>
    </row>
    <row r="112" spans="1:7" ht="16" x14ac:dyDescent="0.2">
      <c r="A112" s="34" t="s">
        <v>198</v>
      </c>
      <c r="B112" s="128"/>
      <c r="C112" s="37">
        <v>0</v>
      </c>
      <c r="D112" s="37">
        <v>0</v>
      </c>
      <c r="E112" s="48">
        <v>380000</v>
      </c>
      <c r="F112" s="39">
        <f t="shared" si="4"/>
        <v>0</v>
      </c>
      <c r="G112" s="34" t="s">
        <v>199</v>
      </c>
    </row>
    <row r="113" spans="1:7" ht="16" x14ac:dyDescent="0.2">
      <c r="A113" s="34" t="s">
        <v>200</v>
      </c>
      <c r="B113" s="128"/>
      <c r="C113" s="37">
        <v>0</v>
      </c>
      <c r="D113" s="37">
        <v>0</v>
      </c>
      <c r="E113" s="48">
        <v>280000</v>
      </c>
      <c r="F113" s="39">
        <f t="shared" si="4"/>
        <v>0</v>
      </c>
      <c r="G113" s="34" t="s">
        <v>197</v>
      </c>
    </row>
    <row r="114" spans="1:7" ht="16" x14ac:dyDescent="0.2">
      <c r="A114" s="129" t="s">
        <v>201</v>
      </c>
      <c r="B114" s="130"/>
      <c r="C114" s="37">
        <v>0</v>
      </c>
      <c r="D114" s="37">
        <v>0</v>
      </c>
      <c r="E114" s="48">
        <v>650000</v>
      </c>
      <c r="F114" s="39">
        <f t="shared" si="4"/>
        <v>0</v>
      </c>
      <c r="G114" s="34" t="s">
        <v>202</v>
      </c>
    </row>
    <row r="115" spans="1:7" ht="15" customHeight="1" x14ac:dyDescent="0.2">
      <c r="A115" s="129" t="s">
        <v>203</v>
      </c>
      <c r="B115" s="130"/>
      <c r="C115" s="37">
        <v>0</v>
      </c>
      <c r="D115" s="37">
        <v>0</v>
      </c>
      <c r="E115" s="48">
        <v>450000</v>
      </c>
      <c r="F115" s="107">
        <f t="shared" si="4"/>
        <v>0</v>
      </c>
      <c r="G115" s="34" t="s">
        <v>204</v>
      </c>
    </row>
    <row r="116" spans="1:7" ht="15" customHeight="1" x14ac:dyDescent="0.2">
      <c r="A116" s="129" t="s">
        <v>205</v>
      </c>
      <c r="B116" s="130"/>
      <c r="C116" s="37">
        <v>0</v>
      </c>
      <c r="D116" s="37">
        <v>0</v>
      </c>
      <c r="E116" s="48">
        <v>80000</v>
      </c>
      <c r="F116" s="107">
        <f t="shared" si="4"/>
        <v>0</v>
      </c>
      <c r="G116" s="34"/>
    </row>
    <row r="117" spans="1:7" ht="15" customHeight="1" x14ac:dyDescent="0.2">
      <c r="A117" s="129" t="s">
        <v>206</v>
      </c>
      <c r="B117" s="130"/>
      <c r="C117" s="37">
        <v>0</v>
      </c>
      <c r="D117" s="37">
        <v>0</v>
      </c>
      <c r="E117" s="48">
        <v>300000</v>
      </c>
      <c r="F117" s="107">
        <f t="shared" si="4"/>
        <v>0</v>
      </c>
      <c r="G117" s="34" t="s">
        <v>207</v>
      </c>
    </row>
    <row r="118" spans="1:7" ht="15" customHeight="1" x14ac:dyDescent="0.2">
      <c r="A118" s="129" t="s">
        <v>208</v>
      </c>
      <c r="B118" s="130"/>
      <c r="C118" s="37">
        <v>0</v>
      </c>
      <c r="D118" s="37">
        <v>0</v>
      </c>
      <c r="E118" s="39">
        <v>680000</v>
      </c>
      <c r="F118" s="107">
        <f t="shared" si="4"/>
        <v>0</v>
      </c>
      <c r="G118" s="34" t="s">
        <v>209</v>
      </c>
    </row>
    <row r="119" spans="1:7" ht="15" customHeight="1" x14ac:dyDescent="0.2">
      <c r="A119" s="129" t="s">
        <v>208</v>
      </c>
      <c r="B119" s="130"/>
      <c r="C119" s="37">
        <v>0</v>
      </c>
      <c r="D119" s="37">
        <v>0</v>
      </c>
      <c r="E119" s="39">
        <v>580000</v>
      </c>
      <c r="F119" s="107">
        <f t="shared" si="4"/>
        <v>0</v>
      </c>
      <c r="G119" s="34" t="s">
        <v>210</v>
      </c>
    </row>
    <row r="120" spans="1:7" ht="15" customHeight="1" x14ac:dyDescent="0.2">
      <c r="A120" s="129" t="s">
        <v>211</v>
      </c>
      <c r="B120" s="130"/>
      <c r="C120" s="37">
        <v>0</v>
      </c>
      <c r="D120" s="37">
        <v>0</v>
      </c>
      <c r="E120" s="39">
        <v>580000</v>
      </c>
      <c r="F120" s="107">
        <f t="shared" si="4"/>
        <v>0</v>
      </c>
      <c r="G120" s="34" t="s">
        <v>212</v>
      </c>
    </row>
    <row r="121" spans="1:7" ht="16" x14ac:dyDescent="0.2">
      <c r="A121" s="34" t="s">
        <v>213</v>
      </c>
      <c r="B121" s="128"/>
      <c r="C121" s="37">
        <v>0</v>
      </c>
      <c r="D121" s="37">
        <v>0</v>
      </c>
      <c r="E121" s="39">
        <v>180000</v>
      </c>
      <c r="F121" s="39">
        <f>C121*D121*E121</f>
        <v>0</v>
      </c>
      <c r="G121" s="34" t="s">
        <v>214</v>
      </c>
    </row>
    <row r="122" spans="1:7" ht="16" x14ac:dyDescent="0.2">
      <c r="A122" s="93"/>
      <c r="B122" s="131"/>
      <c r="C122" s="93"/>
      <c r="D122" s="93"/>
      <c r="E122" s="93"/>
      <c r="F122" s="93"/>
      <c r="G122" s="132" t="s">
        <v>215</v>
      </c>
    </row>
    <row r="123" spans="1:7" x14ac:dyDescent="0.2">
      <c r="A123" s="93"/>
      <c r="B123" s="131"/>
      <c r="C123" s="93"/>
      <c r="D123" s="93"/>
      <c r="E123" s="93" t="s">
        <v>26</v>
      </c>
      <c r="F123" s="93" t="s">
        <v>26</v>
      </c>
      <c r="G123" s="93"/>
    </row>
    <row r="124" spans="1:7" ht="17" customHeight="1" x14ac:dyDescent="0.2">
      <c r="A124" s="93"/>
      <c r="B124" s="131"/>
      <c r="C124" s="93"/>
      <c r="D124" s="93"/>
      <c r="E124" s="93" t="s">
        <v>26</v>
      </c>
      <c r="F124" s="93"/>
      <c r="G124" s="93"/>
    </row>
    <row r="125" spans="1:7" ht="17" customHeight="1" x14ac:dyDescent="0.2">
      <c r="A125" s="93"/>
      <c r="B125" s="131"/>
      <c r="C125" s="93"/>
      <c r="D125" s="93"/>
      <c r="E125" s="93"/>
      <c r="F125" s="93"/>
      <c r="G125" s="93"/>
    </row>
    <row r="126" spans="1:7" x14ac:dyDescent="0.2">
      <c r="A126" s="93"/>
      <c r="B126" s="131"/>
      <c r="C126" s="93"/>
      <c r="D126" s="93"/>
      <c r="E126" s="93"/>
      <c r="F126" s="93"/>
      <c r="G126" s="93"/>
    </row>
    <row r="127" spans="1:7" x14ac:dyDescent="0.2">
      <c r="A127" s="93"/>
      <c r="B127" s="131"/>
      <c r="C127" s="93"/>
      <c r="D127" s="93"/>
      <c r="E127" s="93"/>
      <c r="F127" s="93"/>
      <c r="G127" s="93"/>
    </row>
    <row r="128" spans="1:7" ht="17" customHeight="1" x14ac:dyDescent="0.2">
      <c r="A128" s="93"/>
      <c r="B128" s="131"/>
      <c r="C128" s="93"/>
      <c r="D128" s="93"/>
      <c r="E128" s="93"/>
      <c r="F128" s="93"/>
      <c r="G128" s="93"/>
    </row>
    <row r="129" spans="1:7" ht="17" customHeight="1" x14ac:dyDescent="0.2">
      <c r="A129" s="93"/>
      <c r="B129" s="131"/>
      <c r="C129" s="93"/>
      <c r="D129" s="93"/>
      <c r="E129" s="93"/>
      <c r="F129" s="93"/>
      <c r="G129" s="93"/>
    </row>
    <row r="130" spans="1:7" x14ac:dyDescent="0.2">
      <c r="A130" s="93"/>
      <c r="B130" s="131"/>
      <c r="C130" s="93"/>
      <c r="D130" s="93"/>
      <c r="E130" s="93"/>
      <c r="F130" s="93"/>
      <c r="G130" s="93"/>
    </row>
    <row r="131" spans="1:7" x14ac:dyDescent="0.2">
      <c r="A131" s="93"/>
      <c r="B131" s="131"/>
      <c r="C131" s="93"/>
      <c r="D131" s="93"/>
      <c r="E131" s="93"/>
      <c r="F131" s="93"/>
      <c r="G131" s="93"/>
    </row>
    <row r="147" spans="1:7" ht="17" x14ac:dyDescent="0.2">
      <c r="A147" s="133"/>
      <c r="B147" s="134"/>
      <c r="C147" s="71"/>
      <c r="D147" s="71"/>
      <c r="E147" s="71"/>
      <c r="F147" s="71"/>
      <c r="G147" s="71"/>
    </row>
  </sheetData>
  <mergeCells count="2">
    <mergeCell ref="B6:D6"/>
    <mergeCell ref="A7:B7"/>
  </mergeCells>
  <hyperlinks>
    <hyperlink ref="D69" r:id="rId1"/>
  </hyperlink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Views>
    <sheetView topLeftCell="A25" workbookViewId="0">
      <selection activeCell="F47" sqref="F47"/>
    </sheetView>
  </sheetViews>
  <sheetFormatPr baseColWidth="10" defaultRowHeight="15" x14ac:dyDescent="0.2"/>
  <cols>
    <col min="1" max="1" width="38.5" customWidth="1"/>
    <col min="2" max="2" width="12.5" style="14" customWidth="1"/>
    <col min="3" max="4" width="7.33203125" customWidth="1"/>
    <col min="5" max="5" width="11.5" customWidth="1"/>
    <col min="6" max="6" width="14.5" customWidth="1"/>
    <col min="7" max="7" width="101.6640625" customWidth="1"/>
    <col min="8" max="8" width="13" bestFit="1" customWidth="1"/>
    <col min="9" max="9" width="114.1640625" customWidth="1"/>
  </cols>
  <sheetData>
    <row r="1" spans="1:7" ht="64" customHeight="1" x14ac:dyDescent="0.3">
      <c r="A1" s="11" t="s">
        <v>26</v>
      </c>
      <c r="B1" s="12"/>
      <c r="C1" s="13" t="s">
        <v>27</v>
      </c>
    </row>
    <row r="2" spans="1:7" x14ac:dyDescent="0.2">
      <c r="G2" t="s">
        <v>28</v>
      </c>
    </row>
    <row r="3" spans="1:7" ht="16" x14ac:dyDescent="0.2">
      <c r="A3" s="15" t="s">
        <v>221</v>
      </c>
      <c r="B3" s="142" t="s">
        <v>30</v>
      </c>
      <c r="C3" s="143"/>
      <c r="E3" t="s">
        <v>31</v>
      </c>
      <c r="F3" s="17" t="s">
        <v>32</v>
      </c>
      <c r="G3" s="18" t="s">
        <v>222</v>
      </c>
    </row>
    <row r="4" spans="1:7" ht="16" x14ac:dyDescent="0.2">
      <c r="A4" t="s">
        <v>34</v>
      </c>
      <c r="C4" s="19"/>
      <c r="E4" t="s">
        <v>35</v>
      </c>
      <c r="F4">
        <v>90827788</v>
      </c>
      <c r="G4" s="20" t="s">
        <v>223</v>
      </c>
    </row>
    <row r="5" spans="1:7" ht="16" x14ac:dyDescent="0.2">
      <c r="A5" t="s">
        <v>37</v>
      </c>
      <c r="E5" t="s">
        <v>39</v>
      </c>
      <c r="F5" s="17">
        <v>30</v>
      </c>
      <c r="G5" s="20" t="s">
        <v>40</v>
      </c>
    </row>
    <row r="6" spans="1:7" ht="16" x14ac:dyDescent="0.2">
      <c r="A6" s="144" t="s">
        <v>41</v>
      </c>
      <c r="B6" s="266" t="s">
        <v>237</v>
      </c>
      <c r="C6" s="266"/>
      <c r="D6" s="266"/>
      <c r="E6" s="145" t="s">
        <v>42</v>
      </c>
      <c r="F6" s="145">
        <v>974961403</v>
      </c>
      <c r="G6" s="20" t="s">
        <v>43</v>
      </c>
    </row>
    <row r="7" spans="1:7" ht="16" x14ac:dyDescent="0.2">
      <c r="A7" s="267" t="s">
        <v>225</v>
      </c>
      <c r="B7" s="267"/>
      <c r="C7" s="146" t="s">
        <v>26</v>
      </c>
      <c r="D7" t="s">
        <v>26</v>
      </c>
      <c r="E7" s="23"/>
      <c r="F7" s="23" t="s">
        <v>26</v>
      </c>
      <c r="G7" s="20"/>
    </row>
    <row r="8" spans="1:7" ht="17" thickBot="1" x14ac:dyDescent="0.25">
      <c r="A8" s="147"/>
      <c r="B8" s="146"/>
      <c r="C8" s="148"/>
      <c r="D8" s="23"/>
      <c r="E8" s="23"/>
      <c r="F8" s="23"/>
      <c r="G8" s="20"/>
    </row>
    <row r="9" spans="1:7" ht="15.75" customHeight="1" x14ac:dyDescent="0.2">
      <c r="A9" s="25" t="s">
        <v>44</v>
      </c>
      <c r="B9" s="26" t="s">
        <v>45</v>
      </c>
      <c r="C9" s="27" t="s">
        <v>46</v>
      </c>
      <c r="D9" s="27" t="s">
        <v>47</v>
      </c>
      <c r="E9" s="27" t="s">
        <v>48</v>
      </c>
      <c r="F9" s="27" t="s">
        <v>49</v>
      </c>
      <c r="G9" s="28" t="s">
        <v>50</v>
      </c>
    </row>
    <row r="10" spans="1:7" ht="16.5" customHeight="1" x14ac:dyDescent="0.2">
      <c r="A10" s="29" t="s">
        <v>87</v>
      </c>
      <c r="B10" s="30"/>
      <c r="C10" s="31">
        <v>1</v>
      </c>
      <c r="D10" s="31">
        <v>32</v>
      </c>
      <c r="E10" s="32">
        <v>10500</v>
      </c>
      <c r="F10" s="33"/>
      <c r="G10" s="34" t="s">
        <v>52</v>
      </c>
    </row>
    <row r="11" spans="1:7" ht="16" x14ac:dyDescent="0.2">
      <c r="A11" s="35" t="s">
        <v>182</v>
      </c>
      <c r="B11" s="36"/>
      <c r="C11" s="37">
        <v>1</v>
      </c>
      <c r="D11" s="37">
        <v>1</v>
      </c>
      <c r="E11" s="38">
        <v>180000</v>
      </c>
      <c r="F11" s="39">
        <f t="shared" ref="F11:F17" si="0">C11*D11*E11</f>
        <v>180000</v>
      </c>
      <c r="G11" s="34" t="s">
        <v>90</v>
      </c>
    </row>
    <row r="12" spans="1:7" ht="16.5" customHeight="1" x14ac:dyDescent="0.2">
      <c r="A12" s="40" t="s">
        <v>55</v>
      </c>
      <c r="B12" s="41" t="s">
        <v>56</v>
      </c>
      <c r="C12" s="31">
        <v>1</v>
      </c>
      <c r="D12" s="31">
        <v>32</v>
      </c>
      <c r="E12" s="39">
        <v>15000</v>
      </c>
      <c r="F12" s="39">
        <f t="shared" si="0"/>
        <v>480000</v>
      </c>
      <c r="G12" s="34" t="s">
        <v>57</v>
      </c>
    </row>
    <row r="13" spans="1:7" ht="16" x14ac:dyDescent="0.2">
      <c r="A13" s="40" t="s">
        <v>58</v>
      </c>
      <c r="B13" s="42"/>
      <c r="C13" s="37">
        <v>1</v>
      </c>
      <c r="D13" s="31">
        <v>32</v>
      </c>
      <c r="E13" s="39">
        <v>1500</v>
      </c>
      <c r="F13" s="39">
        <f t="shared" si="0"/>
        <v>48000</v>
      </c>
      <c r="G13" s="34" t="s">
        <v>59</v>
      </c>
    </row>
    <row r="14" spans="1:7" ht="16" x14ac:dyDescent="0.2">
      <c r="A14" s="43" t="s">
        <v>60</v>
      </c>
      <c r="B14" s="41" t="s">
        <v>61</v>
      </c>
      <c r="C14" s="31">
        <v>1</v>
      </c>
      <c r="D14" s="31">
        <v>32</v>
      </c>
      <c r="E14" s="44">
        <v>15000</v>
      </c>
      <c r="F14" s="33">
        <f t="shared" si="0"/>
        <v>480000</v>
      </c>
      <c r="G14" s="34" t="s">
        <v>62</v>
      </c>
    </row>
    <row r="15" spans="1:7" ht="16" x14ac:dyDescent="0.2">
      <c r="A15" s="40" t="s">
        <v>58</v>
      </c>
      <c r="B15" s="42"/>
      <c r="C15" s="37">
        <v>1</v>
      </c>
      <c r="D15" s="31">
        <v>32</v>
      </c>
      <c r="E15" s="39">
        <v>1500</v>
      </c>
      <c r="F15" s="39">
        <f t="shared" si="0"/>
        <v>48000</v>
      </c>
      <c r="G15" s="34" t="s">
        <v>59</v>
      </c>
    </row>
    <row r="16" spans="1:7" ht="16" x14ac:dyDescent="0.2">
      <c r="A16" s="45" t="s">
        <v>63</v>
      </c>
      <c r="B16" s="46"/>
      <c r="C16" s="47">
        <v>1</v>
      </c>
      <c r="D16" s="47">
        <v>0</v>
      </c>
      <c r="E16" s="48">
        <v>99000</v>
      </c>
      <c r="F16" s="48">
        <f t="shared" si="0"/>
        <v>0</v>
      </c>
      <c r="G16" s="45" t="s">
        <v>64</v>
      </c>
    </row>
    <row r="17" spans="1:7" ht="16" x14ac:dyDescent="0.2">
      <c r="A17" s="45" t="s">
        <v>65</v>
      </c>
      <c r="B17" s="46"/>
      <c r="C17" s="47">
        <v>1</v>
      </c>
      <c r="D17" s="47">
        <v>15</v>
      </c>
      <c r="E17" s="48">
        <v>113500</v>
      </c>
      <c r="F17" s="48">
        <f t="shared" si="0"/>
        <v>1702500</v>
      </c>
      <c r="G17" s="45" t="s">
        <v>66</v>
      </c>
    </row>
    <row r="18" spans="1:7" ht="16.5" customHeight="1" thickBot="1" x14ac:dyDescent="0.25">
      <c r="A18" s="55" t="s">
        <v>85</v>
      </c>
      <c r="B18" s="56"/>
      <c r="C18" s="57"/>
      <c r="D18" s="58"/>
      <c r="E18" s="59"/>
      <c r="F18" s="60">
        <f>SUM(F10:F17)</f>
        <v>2938500</v>
      </c>
      <c r="G18" s="61" t="s">
        <v>26</v>
      </c>
    </row>
    <row r="19" spans="1:7" ht="16.5" customHeight="1" x14ac:dyDescent="0.2">
      <c r="A19" s="25" t="s">
        <v>86</v>
      </c>
      <c r="B19" s="26"/>
      <c r="C19" s="27" t="s">
        <v>46</v>
      </c>
      <c r="D19" s="27" t="s">
        <v>47</v>
      </c>
      <c r="E19" s="27" t="s">
        <v>48</v>
      </c>
      <c r="F19" s="27" t="s">
        <v>49</v>
      </c>
      <c r="G19" s="28" t="s">
        <v>50</v>
      </c>
    </row>
    <row r="20" spans="1:7" ht="16.5" customHeight="1" x14ac:dyDescent="0.2">
      <c r="A20" s="29" t="s">
        <v>87</v>
      </c>
      <c r="B20" s="30"/>
      <c r="C20" s="31">
        <v>1</v>
      </c>
      <c r="D20" s="31">
        <v>32</v>
      </c>
      <c r="E20" s="32">
        <v>10500</v>
      </c>
      <c r="F20" s="33" t="s">
        <v>88</v>
      </c>
      <c r="G20" s="34" t="s">
        <v>52</v>
      </c>
    </row>
    <row r="21" spans="1:7" ht="16" x14ac:dyDescent="0.2">
      <c r="A21" s="35" t="s">
        <v>89</v>
      </c>
      <c r="B21" s="36"/>
      <c r="C21" s="37">
        <v>1</v>
      </c>
      <c r="D21" s="37">
        <v>1</v>
      </c>
      <c r="E21" s="38">
        <v>180000</v>
      </c>
      <c r="F21" s="39">
        <f t="shared" ref="F21" si="1">C21*D21*E21</f>
        <v>180000</v>
      </c>
      <c r="G21" s="34" t="s">
        <v>90</v>
      </c>
    </row>
    <row r="22" spans="1:7" ht="16.5" customHeight="1" x14ac:dyDescent="0.2">
      <c r="A22" s="40" t="s">
        <v>55</v>
      </c>
      <c r="B22" s="41"/>
      <c r="C22" s="31">
        <v>1</v>
      </c>
      <c r="D22" s="31">
        <v>32</v>
      </c>
      <c r="E22" s="39">
        <v>15000</v>
      </c>
      <c r="F22" s="39">
        <f>C22*D22*E22</f>
        <v>480000</v>
      </c>
      <c r="G22" s="34" t="s">
        <v>57</v>
      </c>
    </row>
    <row r="23" spans="1:7" ht="16" x14ac:dyDescent="0.2">
      <c r="A23" s="40" t="s">
        <v>58</v>
      </c>
      <c r="B23" s="42"/>
      <c r="C23" s="37">
        <v>1</v>
      </c>
      <c r="D23" s="31">
        <v>32</v>
      </c>
      <c r="E23" s="39">
        <v>1500</v>
      </c>
      <c r="F23" s="39">
        <f t="shared" ref="F23" si="2">C23*D23*E23</f>
        <v>48000</v>
      </c>
      <c r="G23" s="34" t="s">
        <v>59</v>
      </c>
    </row>
    <row r="24" spans="1:7" ht="16" x14ac:dyDescent="0.2">
      <c r="A24" s="62" t="s">
        <v>67</v>
      </c>
      <c r="B24" s="63" t="s">
        <v>91</v>
      </c>
      <c r="C24" s="64"/>
      <c r="D24" s="64"/>
      <c r="E24" s="65"/>
      <c r="F24" s="65"/>
      <c r="G24" s="62" t="s">
        <v>69</v>
      </c>
    </row>
    <row r="25" spans="1:7" ht="16" x14ac:dyDescent="0.2">
      <c r="A25" s="45" t="s">
        <v>81</v>
      </c>
      <c r="B25" s="46"/>
      <c r="C25" s="47">
        <v>1</v>
      </c>
      <c r="D25" s="47">
        <v>1</v>
      </c>
      <c r="E25" s="48">
        <v>280000</v>
      </c>
      <c r="F25" s="53" t="s">
        <v>72</v>
      </c>
      <c r="G25" s="45" t="s">
        <v>82</v>
      </c>
    </row>
    <row r="26" spans="1:7" ht="16" x14ac:dyDescent="0.2">
      <c r="A26" s="45" t="s">
        <v>83</v>
      </c>
      <c r="B26" s="46"/>
      <c r="C26" s="47">
        <v>1</v>
      </c>
      <c r="D26" s="47">
        <v>32</v>
      </c>
      <c r="E26" s="48"/>
      <c r="F26" s="53" t="s">
        <v>72</v>
      </c>
      <c r="G26" s="45" t="s">
        <v>84</v>
      </c>
    </row>
    <row r="27" spans="1:7" ht="16" x14ac:dyDescent="0.2">
      <c r="A27" s="45" t="s">
        <v>70</v>
      </c>
      <c r="B27" s="46" t="s">
        <v>92</v>
      </c>
      <c r="C27" s="47">
        <v>1</v>
      </c>
      <c r="D27" s="47">
        <v>32</v>
      </c>
      <c r="E27" s="48">
        <v>0</v>
      </c>
      <c r="F27" s="53" t="s">
        <v>72</v>
      </c>
      <c r="G27" s="54" t="s">
        <v>73</v>
      </c>
    </row>
    <row r="28" spans="1:7" ht="16" x14ac:dyDescent="0.2">
      <c r="A28" s="45" t="s">
        <v>74</v>
      </c>
      <c r="B28" s="46" t="s">
        <v>92</v>
      </c>
      <c r="C28" s="47">
        <v>1</v>
      </c>
      <c r="D28" s="47">
        <v>32</v>
      </c>
      <c r="E28" s="48">
        <v>0</v>
      </c>
      <c r="F28" s="53" t="s">
        <v>72</v>
      </c>
      <c r="G28" s="54" t="s">
        <v>75</v>
      </c>
    </row>
    <row r="29" spans="1:7" ht="16" x14ac:dyDescent="0.2">
      <c r="A29" s="45" t="s">
        <v>76</v>
      </c>
      <c r="B29" s="46" t="s">
        <v>77</v>
      </c>
      <c r="C29" s="47">
        <v>1</v>
      </c>
      <c r="D29" s="47">
        <v>32</v>
      </c>
      <c r="E29" s="48">
        <v>0</v>
      </c>
      <c r="F29" s="53" t="s">
        <v>72</v>
      </c>
      <c r="G29" s="54" t="s">
        <v>78</v>
      </c>
    </row>
    <row r="30" spans="1:7" ht="16" x14ac:dyDescent="0.2">
      <c r="A30" s="45" t="s">
        <v>79</v>
      </c>
      <c r="B30" s="46" t="s">
        <v>77</v>
      </c>
      <c r="C30" s="47">
        <v>1</v>
      </c>
      <c r="D30" s="47">
        <v>32</v>
      </c>
      <c r="E30" s="48">
        <v>0</v>
      </c>
      <c r="F30" s="53" t="s">
        <v>72</v>
      </c>
      <c r="G30" s="45" t="s">
        <v>80</v>
      </c>
    </row>
    <row r="31" spans="1:7" ht="16.5" customHeight="1" thickBot="1" x14ac:dyDescent="0.25">
      <c r="A31" s="55" t="s">
        <v>85</v>
      </c>
      <c r="B31" s="56"/>
      <c r="C31" s="57"/>
      <c r="D31" s="58"/>
      <c r="E31" s="59"/>
      <c r="F31" s="60">
        <f>SUM(F20:F23)</f>
        <v>708000</v>
      </c>
      <c r="G31" s="61" t="s">
        <v>26</v>
      </c>
    </row>
    <row r="32" spans="1:7" ht="17" thickBot="1" x14ac:dyDescent="0.25">
      <c r="A32" s="66" t="s">
        <v>93</v>
      </c>
      <c r="B32" s="67"/>
      <c r="C32" s="68"/>
      <c r="D32" s="68"/>
      <c r="E32" s="69"/>
      <c r="F32" s="70">
        <f>F18+F31</f>
        <v>3646500</v>
      </c>
      <c r="G32" s="71" t="s">
        <v>94</v>
      </c>
    </row>
    <row r="33" spans="1:7" ht="16" x14ac:dyDescent="0.2">
      <c r="A33" s="72" t="s">
        <v>95</v>
      </c>
      <c r="B33" s="73"/>
      <c r="C33" s="74"/>
      <c r="D33" s="58"/>
      <c r="E33" s="59"/>
      <c r="F33" s="60">
        <f>F32*1.19-F32</f>
        <v>692835</v>
      </c>
      <c r="G33" s="71"/>
    </row>
    <row r="34" spans="1:7" ht="16" x14ac:dyDescent="0.2">
      <c r="A34" s="149" t="s">
        <v>227</v>
      </c>
      <c r="B34" s="76"/>
      <c r="C34" s="77"/>
      <c r="D34" s="77"/>
      <c r="E34" s="78"/>
      <c r="F34" s="79">
        <f>F32+F33</f>
        <v>4339335</v>
      </c>
      <c r="G34" s="71"/>
    </row>
    <row r="35" spans="1:7" ht="16" x14ac:dyDescent="0.2">
      <c r="A35" s="150" t="s">
        <v>228</v>
      </c>
      <c r="B35" s="151"/>
      <c r="C35" s="152"/>
      <c r="D35" s="152"/>
      <c r="E35" s="153"/>
      <c r="F35" s="154">
        <f>F34*0.7-F34</f>
        <v>-1301800.5</v>
      </c>
      <c r="G35" s="71"/>
    </row>
    <row r="36" spans="1:7" x14ac:dyDescent="0.2">
      <c r="A36" s="155" t="s">
        <v>229</v>
      </c>
      <c r="B36" s="156"/>
      <c r="C36" s="157"/>
      <c r="D36" s="157"/>
      <c r="E36" s="157"/>
      <c r="F36" s="158">
        <f>F34+F35</f>
        <v>3037534.5</v>
      </c>
    </row>
    <row r="37" spans="1:7" ht="16" x14ac:dyDescent="0.2">
      <c r="A37" s="159" t="s">
        <v>230</v>
      </c>
      <c r="B37" s="160"/>
      <c r="C37" s="161"/>
      <c r="D37" s="161"/>
      <c r="E37" s="162"/>
      <c r="F37" s="163">
        <v>135000</v>
      </c>
      <c r="G37" s="141" t="s">
        <v>231</v>
      </c>
    </row>
    <row r="38" spans="1:7" ht="19" x14ac:dyDescent="0.2">
      <c r="A38" s="94"/>
      <c r="B38"/>
      <c r="E38" s="95"/>
      <c r="F38" s="164" t="s">
        <v>26</v>
      </c>
      <c r="G38" s="95"/>
    </row>
    <row r="39" spans="1:7" ht="19" x14ac:dyDescent="0.2">
      <c r="A39" s="94" t="s">
        <v>238</v>
      </c>
      <c r="B39"/>
      <c r="E39" s="95"/>
      <c r="F39" s="164">
        <f>F37*30</f>
        <v>4050000</v>
      </c>
      <c r="G39" s="95"/>
    </row>
    <row r="40" spans="1:7" ht="19" x14ac:dyDescent="0.2">
      <c r="A40" s="165" t="s">
        <v>239</v>
      </c>
      <c r="B40" t="s">
        <v>240</v>
      </c>
      <c r="E40" s="95"/>
      <c r="F40" s="164">
        <f>95500*30</f>
        <v>2865000</v>
      </c>
      <c r="G40" s="95"/>
    </row>
    <row r="41" spans="1:7" ht="19" x14ac:dyDescent="0.2">
      <c r="A41" s="94" t="s">
        <v>241</v>
      </c>
      <c r="B41"/>
      <c r="E41" s="95"/>
      <c r="F41" s="166">
        <f>F39-F40</f>
        <v>1185000</v>
      </c>
      <c r="G41" s="95"/>
    </row>
    <row r="42" spans="1:7" ht="19" x14ac:dyDescent="0.2">
      <c r="A42" s="94"/>
      <c r="B42"/>
      <c r="E42" s="95"/>
      <c r="F42" s="166"/>
      <c r="G42" s="95"/>
    </row>
    <row r="43" spans="1:7" ht="20" thickBot="1" x14ac:dyDescent="0.25">
      <c r="A43" s="94"/>
      <c r="B43"/>
      <c r="E43" s="135" t="s">
        <v>216</v>
      </c>
      <c r="F43" s="137">
        <v>2056750</v>
      </c>
      <c r="G43" s="95"/>
    </row>
    <row r="44" spans="1:7" ht="19" x14ac:dyDescent="0.2">
      <c r="A44" s="94"/>
      <c r="B44"/>
      <c r="E44" s="135" t="s">
        <v>217</v>
      </c>
      <c r="F44" s="138">
        <v>793250</v>
      </c>
      <c r="G44" s="95"/>
    </row>
    <row r="45" spans="1:7" ht="19" x14ac:dyDescent="0.2">
      <c r="A45" s="94"/>
      <c r="B45"/>
      <c r="E45" s="95"/>
      <c r="F45" s="166"/>
      <c r="G45" s="95"/>
    </row>
    <row r="46" spans="1:7" ht="19" x14ac:dyDescent="0.2">
      <c r="A46" s="94"/>
      <c r="B46"/>
      <c r="E46" s="95"/>
      <c r="F46" s="164">
        <f>+F39-F43-F44</f>
        <v>1200000</v>
      </c>
      <c r="G46" s="95"/>
    </row>
    <row r="47" spans="1:7" ht="19" x14ac:dyDescent="0.2">
      <c r="A47" s="94" t="s">
        <v>98</v>
      </c>
      <c r="B47"/>
      <c r="E47" s="95"/>
      <c r="F47" s="164"/>
      <c r="G47" s="95"/>
    </row>
    <row r="48" spans="1:7" ht="19" x14ac:dyDescent="0.2">
      <c r="A48" s="97" t="s">
        <v>99</v>
      </c>
      <c r="B48"/>
      <c r="E48" s="98"/>
      <c r="F48" s="98"/>
      <c r="G48" s="98"/>
    </row>
    <row r="49" spans="1:2" ht="17" x14ac:dyDescent="0.2">
      <c r="A49" s="95" t="s">
        <v>100</v>
      </c>
      <c r="B49"/>
    </row>
    <row r="50" spans="1:2" ht="17" x14ac:dyDescent="0.2">
      <c r="A50" s="95"/>
      <c r="B50"/>
    </row>
    <row r="51" spans="1:2" ht="19" x14ac:dyDescent="0.2">
      <c r="A51" s="94" t="s">
        <v>101</v>
      </c>
      <c r="B51"/>
    </row>
    <row r="52" spans="1:2" ht="17" x14ac:dyDescent="0.2">
      <c r="A52" s="95" t="s">
        <v>102</v>
      </c>
      <c r="B52"/>
    </row>
    <row r="53" spans="1:2" ht="17" x14ac:dyDescent="0.2">
      <c r="A53" s="95" t="s">
        <v>103</v>
      </c>
      <c r="B53"/>
    </row>
    <row r="54" spans="1:2" ht="17" x14ac:dyDescent="0.2">
      <c r="A54" s="95" t="s">
        <v>104</v>
      </c>
      <c r="B54"/>
    </row>
    <row r="55" spans="1:2" ht="17" x14ac:dyDescent="0.2">
      <c r="A55" s="99" t="s">
        <v>105</v>
      </c>
      <c r="B55"/>
    </row>
    <row r="56" spans="1:2" ht="17" x14ac:dyDescent="0.2">
      <c r="A56" s="95" t="s">
        <v>106</v>
      </c>
      <c r="B56"/>
    </row>
    <row r="57" spans="1:2" ht="17" x14ac:dyDescent="0.2">
      <c r="A57" s="95" t="s">
        <v>107</v>
      </c>
      <c r="B57"/>
    </row>
    <row r="58" spans="1:2" ht="17" x14ac:dyDescent="0.2">
      <c r="A58" s="99" t="s">
        <v>108</v>
      </c>
      <c r="B58"/>
    </row>
    <row r="59" spans="1:2" ht="17" x14ac:dyDescent="0.2">
      <c r="A59" s="95" t="s">
        <v>109</v>
      </c>
      <c r="B59"/>
    </row>
    <row r="60" spans="1:2" ht="17" x14ac:dyDescent="0.2">
      <c r="A60" s="95" t="s">
        <v>110</v>
      </c>
      <c r="B60"/>
    </row>
    <row r="61" spans="1:2" ht="17" x14ac:dyDescent="0.2">
      <c r="A61" s="95" t="s">
        <v>111</v>
      </c>
      <c r="B61"/>
    </row>
    <row r="62" spans="1:2" ht="17" x14ac:dyDescent="0.2">
      <c r="A62" s="95" t="s">
        <v>112</v>
      </c>
      <c r="B62"/>
    </row>
    <row r="63" spans="1:2" ht="17" x14ac:dyDescent="0.2">
      <c r="A63" s="95" t="s">
        <v>113</v>
      </c>
      <c r="B63"/>
    </row>
    <row r="64" spans="1:2" ht="17" x14ac:dyDescent="0.2">
      <c r="A64" s="95" t="s">
        <v>114</v>
      </c>
      <c r="B64"/>
    </row>
    <row r="65" spans="1:7" ht="17" x14ac:dyDescent="0.2">
      <c r="A65" s="95"/>
      <c r="B65"/>
    </row>
    <row r="66" spans="1:7" ht="17" x14ac:dyDescent="0.2">
      <c r="A66" s="100" t="s">
        <v>115</v>
      </c>
      <c r="B66"/>
    </row>
    <row r="67" spans="1:7" ht="17" x14ac:dyDescent="0.2">
      <c r="A67" s="95" t="s">
        <v>116</v>
      </c>
      <c r="B67" s="95" t="s">
        <v>117</v>
      </c>
      <c r="D67" s="95" t="s">
        <v>118</v>
      </c>
      <c r="F67" s="95" t="s">
        <v>119</v>
      </c>
    </row>
    <row r="68" spans="1:7" ht="17" x14ac:dyDescent="0.2">
      <c r="A68" s="95" t="s">
        <v>120</v>
      </c>
      <c r="B68" s="95" t="s">
        <v>121</v>
      </c>
      <c r="D68" s="95" t="s">
        <v>122</v>
      </c>
      <c r="F68" s="95" t="s">
        <v>123</v>
      </c>
    </row>
    <row r="69" spans="1:7" ht="17" x14ac:dyDescent="0.2">
      <c r="A69" s="95" t="s">
        <v>124</v>
      </c>
      <c r="B69" s="95" t="s">
        <v>125</v>
      </c>
      <c r="D69" s="95" t="s">
        <v>126</v>
      </c>
      <c r="F69" s="95" t="s">
        <v>127</v>
      </c>
    </row>
    <row r="70" spans="1:7" ht="17" x14ac:dyDescent="0.2">
      <c r="A70" s="95" t="s">
        <v>35</v>
      </c>
      <c r="B70" s="95" t="s">
        <v>128</v>
      </c>
      <c r="D70" s="101" t="s">
        <v>129</v>
      </c>
    </row>
    <row r="71" spans="1:7" ht="18" thickBot="1" x14ac:dyDescent="0.25">
      <c r="A71" s="95"/>
      <c r="B71"/>
    </row>
    <row r="72" spans="1:7" ht="16" customHeight="1" x14ac:dyDescent="0.2">
      <c r="A72" s="102" t="s">
        <v>130</v>
      </c>
      <c r="B72" s="103" t="s">
        <v>45</v>
      </c>
      <c r="C72" s="104" t="s">
        <v>131</v>
      </c>
      <c r="D72" s="104" t="s">
        <v>47</v>
      </c>
      <c r="E72" s="104" t="s">
        <v>132</v>
      </c>
      <c r="F72" s="104" t="s">
        <v>133</v>
      </c>
      <c r="G72" s="105" t="s">
        <v>50</v>
      </c>
    </row>
    <row r="73" spans="1:7" ht="16" customHeight="1" x14ac:dyDescent="0.2">
      <c r="A73" s="34" t="s">
        <v>134</v>
      </c>
      <c r="B73" s="106"/>
      <c r="C73" s="37">
        <v>0</v>
      </c>
      <c r="D73" s="37">
        <v>0</v>
      </c>
      <c r="E73" s="107">
        <v>200000</v>
      </c>
      <c r="F73" s="107">
        <f>C73*D73*E73</f>
        <v>0</v>
      </c>
      <c r="G73" s="34" t="s">
        <v>135</v>
      </c>
    </row>
    <row r="74" spans="1:7" ht="16" x14ac:dyDescent="0.2">
      <c r="A74" s="35" t="s">
        <v>136</v>
      </c>
      <c r="B74" s="36"/>
      <c r="C74" s="37">
        <v>0</v>
      </c>
      <c r="D74" s="37">
        <v>0</v>
      </c>
      <c r="E74" s="39">
        <v>12000</v>
      </c>
      <c r="F74" s="39">
        <f t="shared" ref="F74:F95" si="3">C74*D74*E74</f>
        <v>0</v>
      </c>
      <c r="G74" s="34" t="s">
        <v>137</v>
      </c>
    </row>
    <row r="75" spans="1:7" ht="16" x14ac:dyDescent="0.2">
      <c r="A75" s="35" t="s">
        <v>138</v>
      </c>
      <c r="B75" s="36"/>
      <c r="C75" s="37">
        <v>0</v>
      </c>
      <c r="D75" s="37">
        <v>0</v>
      </c>
      <c r="E75" s="39">
        <v>26000</v>
      </c>
      <c r="F75" s="39">
        <f t="shared" si="3"/>
        <v>0</v>
      </c>
      <c r="G75" s="34" t="s">
        <v>139</v>
      </c>
    </row>
    <row r="76" spans="1:7" ht="16" x14ac:dyDescent="0.2">
      <c r="A76" s="35" t="s">
        <v>140</v>
      </c>
      <c r="B76" s="36"/>
      <c r="C76" s="37">
        <v>0</v>
      </c>
      <c r="D76" s="37">
        <v>0</v>
      </c>
      <c r="E76" s="39">
        <v>35000</v>
      </c>
      <c r="F76" s="39">
        <f t="shared" si="3"/>
        <v>0</v>
      </c>
      <c r="G76" s="34" t="s">
        <v>139</v>
      </c>
    </row>
    <row r="77" spans="1:7" ht="16" x14ac:dyDescent="0.2">
      <c r="A77" s="35" t="s">
        <v>141</v>
      </c>
      <c r="B77" s="36"/>
      <c r="C77" s="37">
        <v>0</v>
      </c>
      <c r="D77" s="37">
        <v>0</v>
      </c>
      <c r="E77" s="39">
        <v>10000</v>
      </c>
      <c r="F77" s="39">
        <f t="shared" si="3"/>
        <v>0</v>
      </c>
      <c r="G77" s="34"/>
    </row>
    <row r="78" spans="1:7" ht="16" x14ac:dyDescent="0.2">
      <c r="A78" s="35" t="s">
        <v>142</v>
      </c>
      <c r="B78" s="36"/>
      <c r="C78" s="37">
        <v>0</v>
      </c>
      <c r="D78" s="37">
        <v>0</v>
      </c>
      <c r="E78" s="39">
        <v>4500</v>
      </c>
      <c r="F78" s="39">
        <f t="shared" si="3"/>
        <v>0</v>
      </c>
      <c r="G78" s="34" t="s">
        <v>143</v>
      </c>
    </row>
    <row r="79" spans="1:7" ht="16" x14ac:dyDescent="0.2">
      <c r="A79" s="35" t="s">
        <v>144</v>
      </c>
      <c r="B79" s="36"/>
      <c r="C79" s="37">
        <v>0</v>
      </c>
      <c r="D79" s="37">
        <v>0</v>
      </c>
      <c r="E79" s="39">
        <v>5000</v>
      </c>
      <c r="F79" s="39">
        <f t="shared" si="3"/>
        <v>0</v>
      </c>
      <c r="G79" s="34" t="s">
        <v>145</v>
      </c>
    </row>
    <row r="80" spans="1:7" ht="16" x14ac:dyDescent="0.2">
      <c r="A80" s="35" t="s">
        <v>146</v>
      </c>
      <c r="B80" s="36"/>
      <c r="C80" s="37">
        <v>0</v>
      </c>
      <c r="D80" s="37">
        <v>0</v>
      </c>
      <c r="E80" s="39">
        <v>5000</v>
      </c>
      <c r="F80" s="39">
        <f t="shared" si="3"/>
        <v>0</v>
      </c>
      <c r="G80" s="34" t="s">
        <v>147</v>
      </c>
    </row>
    <row r="81" spans="1:7" ht="16" x14ac:dyDescent="0.2">
      <c r="A81" s="35" t="s">
        <v>148</v>
      </c>
      <c r="B81" s="36"/>
      <c r="C81" s="37">
        <v>0</v>
      </c>
      <c r="D81" s="37">
        <v>0</v>
      </c>
      <c r="E81" s="39">
        <v>3000</v>
      </c>
      <c r="F81" s="39">
        <f t="shared" si="3"/>
        <v>0</v>
      </c>
      <c r="G81" s="34" t="s">
        <v>149</v>
      </c>
    </row>
    <row r="82" spans="1:7" ht="16" x14ac:dyDescent="0.2">
      <c r="A82" s="35" t="s">
        <v>150</v>
      </c>
      <c r="B82" s="36"/>
      <c r="C82" s="37">
        <v>0</v>
      </c>
      <c r="D82" s="37">
        <v>0</v>
      </c>
      <c r="E82" s="39">
        <v>16000</v>
      </c>
      <c r="F82" s="39">
        <f t="shared" si="3"/>
        <v>0</v>
      </c>
      <c r="G82" s="34" t="s">
        <v>151</v>
      </c>
    </row>
    <row r="83" spans="1:7" ht="16" x14ac:dyDescent="0.2">
      <c r="A83" s="35" t="s">
        <v>152</v>
      </c>
      <c r="B83" s="36"/>
      <c r="C83" s="37">
        <v>0</v>
      </c>
      <c r="D83" s="37">
        <v>0</v>
      </c>
      <c r="E83" s="39">
        <v>7000</v>
      </c>
      <c r="F83" s="39">
        <f t="shared" si="3"/>
        <v>0</v>
      </c>
      <c r="G83" s="34" t="s">
        <v>153</v>
      </c>
    </row>
    <row r="84" spans="1:7" ht="16" x14ac:dyDescent="0.2">
      <c r="A84" s="108" t="s">
        <v>58</v>
      </c>
      <c r="B84" s="109"/>
      <c r="C84" s="47">
        <v>0</v>
      </c>
      <c r="D84" s="47">
        <v>0</v>
      </c>
      <c r="E84" s="48">
        <v>1500</v>
      </c>
      <c r="F84" s="48">
        <f t="shared" si="3"/>
        <v>0</v>
      </c>
      <c r="G84" s="45" t="s">
        <v>59</v>
      </c>
    </row>
    <row r="85" spans="1:7" ht="16" x14ac:dyDescent="0.2">
      <c r="A85" s="110" t="s">
        <v>154</v>
      </c>
      <c r="B85" s="111"/>
      <c r="C85" s="47">
        <v>0</v>
      </c>
      <c r="D85" s="47">
        <v>0</v>
      </c>
      <c r="E85" s="48">
        <v>3000</v>
      </c>
      <c r="F85" s="48">
        <f t="shared" si="3"/>
        <v>0</v>
      </c>
      <c r="G85" s="45"/>
    </row>
    <row r="86" spans="1:7" ht="16" x14ac:dyDescent="0.2">
      <c r="A86" s="110" t="s">
        <v>155</v>
      </c>
      <c r="B86" s="111"/>
      <c r="C86" s="47">
        <v>0</v>
      </c>
      <c r="D86" s="47">
        <v>0</v>
      </c>
      <c r="E86" s="48">
        <v>1000</v>
      </c>
      <c r="F86" s="48">
        <f t="shared" si="3"/>
        <v>0</v>
      </c>
      <c r="G86" s="45" t="s">
        <v>156</v>
      </c>
    </row>
    <row r="87" spans="1:7" ht="16" x14ac:dyDescent="0.2">
      <c r="A87" s="110" t="s">
        <v>157</v>
      </c>
      <c r="B87" s="111"/>
      <c r="C87" s="47">
        <v>0</v>
      </c>
      <c r="D87" s="47">
        <v>0</v>
      </c>
      <c r="E87" s="48">
        <v>3000</v>
      </c>
      <c r="F87" s="48">
        <f t="shared" si="3"/>
        <v>0</v>
      </c>
      <c r="G87" s="45" t="s">
        <v>158</v>
      </c>
    </row>
    <row r="88" spans="1:7" ht="16" x14ac:dyDescent="0.2">
      <c r="A88" s="110" t="s">
        <v>159</v>
      </c>
      <c r="B88" s="111"/>
      <c r="C88" s="47">
        <v>0</v>
      </c>
      <c r="D88" s="47">
        <v>0</v>
      </c>
      <c r="E88" s="112">
        <v>150000</v>
      </c>
      <c r="F88" s="48">
        <f t="shared" si="3"/>
        <v>0</v>
      </c>
      <c r="G88" s="45" t="s">
        <v>160</v>
      </c>
    </row>
    <row r="89" spans="1:7" ht="16" x14ac:dyDescent="0.2">
      <c r="A89" s="35" t="s">
        <v>161</v>
      </c>
      <c r="B89" s="36"/>
      <c r="C89" s="37">
        <v>0</v>
      </c>
      <c r="D89" s="37">
        <v>0</v>
      </c>
      <c r="E89" s="38">
        <v>100000</v>
      </c>
      <c r="F89" s="39">
        <f t="shared" si="3"/>
        <v>0</v>
      </c>
      <c r="G89" s="34" t="s">
        <v>162</v>
      </c>
    </row>
    <row r="90" spans="1:7" ht="16" x14ac:dyDescent="0.2">
      <c r="A90" s="113" t="s">
        <v>163</v>
      </c>
      <c r="B90" s="114"/>
      <c r="C90" s="31">
        <v>0</v>
      </c>
      <c r="D90" s="115">
        <v>0</v>
      </c>
      <c r="E90" s="44">
        <v>3850</v>
      </c>
      <c r="F90" s="116">
        <f>E90*D90*C90</f>
        <v>0</v>
      </c>
      <c r="G90" s="117" t="s">
        <v>164</v>
      </c>
    </row>
    <row r="91" spans="1:7" ht="16" x14ac:dyDescent="0.2">
      <c r="A91" s="118" t="s">
        <v>165</v>
      </c>
      <c r="B91" s="119"/>
      <c r="C91" s="37">
        <v>0</v>
      </c>
      <c r="D91" s="37">
        <v>0</v>
      </c>
      <c r="E91" s="38">
        <v>4800</v>
      </c>
      <c r="F91" s="39">
        <f>C91*D91*E91</f>
        <v>0</v>
      </c>
      <c r="G91" s="35" t="s">
        <v>166</v>
      </c>
    </row>
    <row r="92" spans="1:7" ht="16" x14ac:dyDescent="0.2">
      <c r="A92" s="118" t="s">
        <v>167</v>
      </c>
      <c r="B92" s="119"/>
      <c r="C92" s="37">
        <v>0</v>
      </c>
      <c r="D92" s="37">
        <v>0</v>
      </c>
      <c r="E92" s="38">
        <v>5500</v>
      </c>
      <c r="F92" s="39">
        <f>C92*D92*E92</f>
        <v>0</v>
      </c>
      <c r="G92" s="35" t="s">
        <v>168</v>
      </c>
    </row>
    <row r="93" spans="1:7" ht="16" x14ac:dyDescent="0.2">
      <c r="A93" s="118" t="s">
        <v>169</v>
      </c>
      <c r="B93" s="119"/>
      <c r="C93" s="37">
        <v>0</v>
      </c>
      <c r="D93" s="37">
        <v>0</v>
      </c>
      <c r="E93" s="38">
        <v>7500</v>
      </c>
      <c r="F93" s="39">
        <f t="shared" si="3"/>
        <v>0</v>
      </c>
      <c r="G93" s="35" t="s">
        <v>170</v>
      </c>
    </row>
    <row r="94" spans="1:7" ht="15" customHeight="1" x14ac:dyDescent="0.2">
      <c r="A94" s="35" t="s">
        <v>171</v>
      </c>
      <c r="B94" s="36"/>
      <c r="C94" s="37">
        <v>0</v>
      </c>
      <c r="D94" s="37">
        <v>0</v>
      </c>
      <c r="E94" s="39">
        <v>8500</v>
      </c>
      <c r="F94" s="39">
        <f t="shared" si="3"/>
        <v>0</v>
      </c>
      <c r="G94" s="120" t="s">
        <v>172</v>
      </c>
    </row>
    <row r="95" spans="1:7" ht="15" customHeight="1" x14ac:dyDescent="0.2">
      <c r="A95" s="40" t="s">
        <v>173</v>
      </c>
      <c r="B95" s="42"/>
      <c r="C95" s="37">
        <v>0</v>
      </c>
      <c r="D95" s="37">
        <v>0</v>
      </c>
      <c r="E95" s="39">
        <v>13500</v>
      </c>
      <c r="F95" s="39">
        <f t="shared" si="3"/>
        <v>0</v>
      </c>
      <c r="G95" s="121" t="s">
        <v>174</v>
      </c>
    </row>
    <row r="96" spans="1:7" ht="16" x14ac:dyDescent="0.2">
      <c r="A96" s="35" t="s">
        <v>175</v>
      </c>
      <c r="B96" s="36"/>
      <c r="C96" s="37">
        <v>0</v>
      </c>
      <c r="D96" s="37">
        <v>0</v>
      </c>
      <c r="E96" s="39">
        <v>2500</v>
      </c>
      <c r="F96" s="39">
        <f>C96*D96*E96</f>
        <v>0</v>
      </c>
      <c r="G96" s="34" t="s">
        <v>176</v>
      </c>
    </row>
    <row r="97" spans="1:7" ht="16" x14ac:dyDescent="0.2">
      <c r="A97" s="35" t="s">
        <v>177</v>
      </c>
      <c r="B97" s="36"/>
      <c r="C97" s="37">
        <v>0</v>
      </c>
      <c r="D97" s="37">
        <v>0</v>
      </c>
      <c r="E97" s="38">
        <v>300000</v>
      </c>
      <c r="F97" s="39">
        <f>C97*D97*E97</f>
        <v>0</v>
      </c>
      <c r="G97" s="34" t="s">
        <v>90</v>
      </c>
    </row>
    <row r="98" spans="1:7" ht="16" x14ac:dyDescent="0.2">
      <c r="A98" s="35" t="s">
        <v>178</v>
      </c>
      <c r="B98" s="36"/>
      <c r="C98" s="37">
        <v>0</v>
      </c>
      <c r="D98" s="37">
        <v>0</v>
      </c>
      <c r="E98" s="38">
        <v>250000</v>
      </c>
      <c r="F98" s="39">
        <f>C98*D98*E98</f>
        <v>0</v>
      </c>
      <c r="G98" s="34" t="s">
        <v>90</v>
      </c>
    </row>
    <row r="99" spans="1:7" ht="16" x14ac:dyDescent="0.2">
      <c r="A99" s="35" t="s">
        <v>179</v>
      </c>
      <c r="B99" s="36"/>
      <c r="C99" s="37">
        <v>0</v>
      </c>
      <c r="D99" s="37">
        <v>0</v>
      </c>
      <c r="E99" s="38">
        <v>210000</v>
      </c>
      <c r="F99" s="39">
        <f t="shared" ref="F99:F121" si="4">C99*D99*E99</f>
        <v>0</v>
      </c>
      <c r="G99" s="34" t="s">
        <v>90</v>
      </c>
    </row>
    <row r="100" spans="1:7" ht="16" x14ac:dyDescent="0.2">
      <c r="A100" s="35" t="s">
        <v>180</v>
      </c>
      <c r="B100" s="36"/>
      <c r="C100" s="37">
        <v>0</v>
      </c>
      <c r="D100" s="37">
        <v>0</v>
      </c>
      <c r="E100" s="38">
        <v>210000</v>
      </c>
      <c r="F100" s="39">
        <f t="shared" si="4"/>
        <v>0</v>
      </c>
      <c r="G100" s="34" t="s">
        <v>90</v>
      </c>
    </row>
    <row r="101" spans="1:7" ht="16" x14ac:dyDescent="0.2">
      <c r="A101" s="35" t="s">
        <v>181</v>
      </c>
      <c r="B101" s="36"/>
      <c r="C101" s="37">
        <v>0</v>
      </c>
      <c r="D101" s="37">
        <v>0</v>
      </c>
      <c r="E101" s="38">
        <v>180000</v>
      </c>
      <c r="F101" s="39">
        <f t="shared" si="4"/>
        <v>0</v>
      </c>
      <c r="G101" s="34" t="s">
        <v>90</v>
      </c>
    </row>
    <row r="102" spans="1:7" ht="16" x14ac:dyDescent="0.2">
      <c r="A102" s="35" t="s">
        <v>182</v>
      </c>
      <c r="B102" s="36"/>
      <c r="C102" s="37">
        <v>0</v>
      </c>
      <c r="D102" s="37">
        <v>0</v>
      </c>
      <c r="E102" s="38">
        <v>180000</v>
      </c>
      <c r="F102" s="39">
        <f t="shared" si="4"/>
        <v>0</v>
      </c>
      <c r="G102" s="34" t="s">
        <v>90</v>
      </c>
    </row>
    <row r="103" spans="1:7" ht="16" x14ac:dyDescent="0.2">
      <c r="A103" s="35" t="s">
        <v>183</v>
      </c>
      <c r="B103" s="36"/>
      <c r="C103" s="37">
        <v>0</v>
      </c>
      <c r="D103" s="37">
        <v>0</v>
      </c>
      <c r="E103" s="48">
        <v>120000</v>
      </c>
      <c r="F103" s="39">
        <f t="shared" si="4"/>
        <v>0</v>
      </c>
      <c r="G103" s="34" t="s">
        <v>90</v>
      </c>
    </row>
    <row r="104" spans="1:7" ht="16" x14ac:dyDescent="0.2">
      <c r="A104" s="35" t="s">
        <v>184</v>
      </c>
      <c r="B104" s="36"/>
      <c r="C104" s="37">
        <v>0</v>
      </c>
      <c r="D104" s="37">
        <v>0</v>
      </c>
      <c r="E104" s="48">
        <v>90000</v>
      </c>
      <c r="F104" s="39">
        <f t="shared" si="4"/>
        <v>0</v>
      </c>
      <c r="G104" s="34" t="s">
        <v>90</v>
      </c>
    </row>
    <row r="105" spans="1:7" ht="16" x14ac:dyDescent="0.2">
      <c r="A105" s="35" t="s">
        <v>185</v>
      </c>
      <c r="B105" s="36"/>
      <c r="C105" s="37">
        <v>0</v>
      </c>
      <c r="D105" s="37">
        <v>0</v>
      </c>
      <c r="E105" s="48">
        <v>100000</v>
      </c>
      <c r="F105" s="39">
        <f t="shared" si="4"/>
        <v>0</v>
      </c>
      <c r="G105" s="34" t="s">
        <v>186</v>
      </c>
    </row>
    <row r="106" spans="1:7" ht="16" x14ac:dyDescent="0.2">
      <c r="A106" s="35" t="s">
        <v>187</v>
      </c>
      <c r="B106" s="36"/>
      <c r="C106" s="37">
        <v>0</v>
      </c>
      <c r="D106" s="37">
        <v>0</v>
      </c>
      <c r="E106" s="48">
        <v>300000</v>
      </c>
      <c r="F106" s="39">
        <f t="shared" si="4"/>
        <v>0</v>
      </c>
      <c r="G106" s="34" t="s">
        <v>90</v>
      </c>
    </row>
    <row r="107" spans="1:7" ht="16" x14ac:dyDescent="0.2">
      <c r="A107" s="122" t="s">
        <v>188</v>
      </c>
      <c r="B107" s="123"/>
      <c r="C107" s="37">
        <v>0</v>
      </c>
      <c r="D107" s="37">
        <v>0</v>
      </c>
      <c r="E107" s="124">
        <v>25000</v>
      </c>
      <c r="F107" s="125"/>
      <c r="G107" s="34" t="s">
        <v>189</v>
      </c>
    </row>
    <row r="108" spans="1:7" ht="16" x14ac:dyDescent="0.2">
      <c r="A108" s="122" t="s">
        <v>190</v>
      </c>
      <c r="B108" s="123"/>
      <c r="C108" s="37">
        <v>0</v>
      </c>
      <c r="D108" s="37">
        <v>0</v>
      </c>
      <c r="E108" s="126">
        <v>15000</v>
      </c>
      <c r="F108" s="125"/>
      <c r="G108" s="34" t="s">
        <v>189</v>
      </c>
    </row>
    <row r="109" spans="1:7" ht="16" x14ac:dyDescent="0.2">
      <c r="A109" s="122" t="s">
        <v>191</v>
      </c>
      <c r="B109" s="123"/>
      <c r="C109" s="37">
        <v>0</v>
      </c>
      <c r="D109" s="37">
        <v>0</v>
      </c>
      <c r="E109" s="126">
        <v>60000</v>
      </c>
      <c r="F109" s="125"/>
      <c r="G109" s="34"/>
    </row>
    <row r="110" spans="1:7" ht="16" x14ac:dyDescent="0.2">
      <c r="A110" s="122" t="s">
        <v>192</v>
      </c>
      <c r="B110" s="127"/>
      <c r="C110" s="37">
        <v>0</v>
      </c>
      <c r="D110" s="37">
        <v>0</v>
      </c>
      <c r="E110" s="38">
        <v>150000</v>
      </c>
      <c r="F110" s="39">
        <f t="shared" si="4"/>
        <v>0</v>
      </c>
      <c r="G110" s="34" t="s">
        <v>193</v>
      </c>
    </row>
    <row r="111" spans="1:7" ht="16" x14ac:dyDescent="0.2">
      <c r="A111" s="34" t="s">
        <v>194</v>
      </c>
      <c r="B111" s="128"/>
      <c r="C111" s="37">
        <v>0</v>
      </c>
      <c r="D111" s="37">
        <v>0</v>
      </c>
      <c r="E111" s="39">
        <v>100000</v>
      </c>
      <c r="F111" s="39">
        <f t="shared" si="4"/>
        <v>0</v>
      </c>
      <c r="G111" s="34" t="s">
        <v>195</v>
      </c>
    </row>
    <row r="112" spans="1:7" ht="16" x14ac:dyDescent="0.2">
      <c r="A112" s="34" t="s">
        <v>196</v>
      </c>
      <c r="B112" s="128"/>
      <c r="C112" s="37">
        <v>0</v>
      </c>
      <c r="D112" s="37">
        <v>0</v>
      </c>
      <c r="E112" s="48">
        <v>150000</v>
      </c>
      <c r="F112" s="39">
        <f t="shared" si="4"/>
        <v>0</v>
      </c>
      <c r="G112" s="34" t="s">
        <v>197</v>
      </c>
    </row>
    <row r="113" spans="1:7" ht="16" x14ac:dyDescent="0.2">
      <c r="A113" s="34" t="s">
        <v>198</v>
      </c>
      <c r="B113" s="128"/>
      <c r="C113" s="37">
        <v>0</v>
      </c>
      <c r="D113" s="37">
        <v>0</v>
      </c>
      <c r="E113" s="48">
        <v>380000</v>
      </c>
      <c r="F113" s="39">
        <f t="shared" si="4"/>
        <v>0</v>
      </c>
      <c r="G113" s="34" t="s">
        <v>199</v>
      </c>
    </row>
    <row r="114" spans="1:7" ht="16" x14ac:dyDescent="0.2">
      <c r="A114" s="34" t="s">
        <v>200</v>
      </c>
      <c r="B114" s="128"/>
      <c r="C114" s="37">
        <v>0</v>
      </c>
      <c r="D114" s="37">
        <v>0</v>
      </c>
      <c r="E114" s="48">
        <v>280000</v>
      </c>
      <c r="F114" s="39">
        <f t="shared" si="4"/>
        <v>0</v>
      </c>
      <c r="G114" s="34" t="s">
        <v>197</v>
      </c>
    </row>
    <row r="115" spans="1:7" ht="16" x14ac:dyDescent="0.2">
      <c r="A115" s="129" t="s">
        <v>201</v>
      </c>
      <c r="B115" s="130"/>
      <c r="C115" s="37">
        <v>0</v>
      </c>
      <c r="D115" s="37">
        <v>0</v>
      </c>
      <c r="E115" s="48">
        <v>650000</v>
      </c>
      <c r="F115" s="39">
        <f t="shared" si="4"/>
        <v>0</v>
      </c>
      <c r="G115" s="34" t="s">
        <v>202</v>
      </c>
    </row>
    <row r="116" spans="1:7" ht="15" customHeight="1" x14ac:dyDescent="0.2">
      <c r="A116" s="129" t="s">
        <v>203</v>
      </c>
      <c r="B116" s="130"/>
      <c r="C116" s="37">
        <v>0</v>
      </c>
      <c r="D116" s="37">
        <v>0</v>
      </c>
      <c r="E116" s="48">
        <v>450000</v>
      </c>
      <c r="F116" s="107">
        <f t="shared" si="4"/>
        <v>0</v>
      </c>
      <c r="G116" s="34" t="s">
        <v>204</v>
      </c>
    </row>
    <row r="117" spans="1:7" ht="15" customHeight="1" x14ac:dyDescent="0.2">
      <c r="A117" s="129" t="s">
        <v>205</v>
      </c>
      <c r="B117" s="130"/>
      <c r="C117" s="37">
        <v>0</v>
      </c>
      <c r="D117" s="37">
        <v>0</v>
      </c>
      <c r="E117" s="48">
        <v>80000</v>
      </c>
      <c r="F117" s="107">
        <f t="shared" si="4"/>
        <v>0</v>
      </c>
      <c r="G117" s="34"/>
    </row>
    <row r="118" spans="1:7" ht="15" customHeight="1" x14ac:dyDescent="0.2">
      <c r="A118" s="129" t="s">
        <v>206</v>
      </c>
      <c r="B118" s="130"/>
      <c r="C118" s="37">
        <v>0</v>
      </c>
      <c r="D118" s="37">
        <v>0</v>
      </c>
      <c r="E118" s="48">
        <v>300000</v>
      </c>
      <c r="F118" s="107">
        <f t="shared" si="4"/>
        <v>0</v>
      </c>
      <c r="G118" s="34" t="s">
        <v>207</v>
      </c>
    </row>
    <row r="119" spans="1:7" ht="15" customHeight="1" x14ac:dyDescent="0.2">
      <c r="A119" s="129" t="s">
        <v>208</v>
      </c>
      <c r="B119" s="130"/>
      <c r="C119" s="37">
        <v>0</v>
      </c>
      <c r="D119" s="37">
        <v>0</v>
      </c>
      <c r="E119" s="39">
        <v>680000</v>
      </c>
      <c r="F119" s="107">
        <f t="shared" si="4"/>
        <v>0</v>
      </c>
      <c r="G119" s="34" t="s">
        <v>209</v>
      </c>
    </row>
    <row r="120" spans="1:7" ht="15" customHeight="1" x14ac:dyDescent="0.2">
      <c r="A120" s="129" t="s">
        <v>208</v>
      </c>
      <c r="B120" s="130"/>
      <c r="C120" s="37">
        <v>0</v>
      </c>
      <c r="D120" s="37">
        <v>0</v>
      </c>
      <c r="E120" s="39">
        <v>580000</v>
      </c>
      <c r="F120" s="107">
        <f t="shared" si="4"/>
        <v>0</v>
      </c>
      <c r="G120" s="34" t="s">
        <v>210</v>
      </c>
    </row>
    <row r="121" spans="1:7" ht="15" customHeight="1" x14ac:dyDescent="0.2">
      <c r="A121" s="129" t="s">
        <v>211</v>
      </c>
      <c r="B121" s="130"/>
      <c r="C121" s="37">
        <v>0</v>
      </c>
      <c r="D121" s="37">
        <v>0</v>
      </c>
      <c r="E121" s="39">
        <v>580000</v>
      </c>
      <c r="F121" s="107">
        <f t="shared" si="4"/>
        <v>0</v>
      </c>
      <c r="G121" s="34" t="s">
        <v>212</v>
      </c>
    </row>
    <row r="122" spans="1:7" ht="16" x14ac:dyDescent="0.2">
      <c r="A122" s="34" t="s">
        <v>213</v>
      </c>
      <c r="B122" s="128"/>
      <c r="C122" s="37">
        <v>0</v>
      </c>
      <c r="D122" s="37">
        <v>0</v>
      </c>
      <c r="E122" s="39">
        <v>180000</v>
      </c>
      <c r="F122" s="39">
        <f>C122*D122*E122</f>
        <v>0</v>
      </c>
      <c r="G122" s="34" t="s">
        <v>214</v>
      </c>
    </row>
    <row r="123" spans="1:7" ht="16" x14ac:dyDescent="0.2">
      <c r="A123" s="93"/>
      <c r="B123" s="131"/>
      <c r="C123" s="93"/>
      <c r="D123" s="93"/>
      <c r="E123" s="93"/>
      <c r="F123" s="93"/>
      <c r="G123" s="132" t="s">
        <v>215</v>
      </c>
    </row>
    <row r="124" spans="1:7" x14ac:dyDescent="0.2">
      <c r="A124" s="93"/>
      <c r="B124" s="131"/>
      <c r="C124" s="93"/>
      <c r="D124" s="93"/>
      <c r="E124" s="93" t="s">
        <v>26</v>
      </c>
      <c r="F124" s="93" t="s">
        <v>26</v>
      </c>
      <c r="G124" s="93"/>
    </row>
    <row r="125" spans="1:7" ht="17" customHeight="1" x14ac:dyDescent="0.2">
      <c r="A125" s="93"/>
      <c r="B125" s="131"/>
      <c r="C125" s="93"/>
      <c r="D125" s="93"/>
      <c r="E125" s="93" t="s">
        <v>26</v>
      </c>
      <c r="F125" s="93"/>
      <c r="G125" s="93"/>
    </row>
    <row r="126" spans="1:7" ht="17" customHeight="1" x14ac:dyDescent="0.2">
      <c r="A126" s="93"/>
      <c r="B126" s="131"/>
      <c r="C126" s="93"/>
      <c r="D126" s="93"/>
      <c r="E126" s="93"/>
      <c r="F126" s="93"/>
      <c r="G126" s="93"/>
    </row>
    <row r="127" spans="1:7" x14ac:dyDescent="0.2">
      <c r="A127" s="93"/>
      <c r="B127" s="131"/>
      <c r="C127" s="93"/>
      <c r="D127" s="93"/>
      <c r="E127" s="93"/>
      <c r="F127" s="93"/>
      <c r="G127" s="93"/>
    </row>
    <row r="128" spans="1:7" x14ac:dyDescent="0.2">
      <c r="A128" s="93"/>
      <c r="B128" s="131"/>
      <c r="C128" s="93"/>
      <c r="D128" s="93"/>
      <c r="E128" s="93"/>
      <c r="F128" s="93"/>
      <c r="G128" s="93"/>
    </row>
    <row r="131" spans="1:7" x14ac:dyDescent="0.2">
      <c r="A131" s="93"/>
      <c r="B131" s="131"/>
      <c r="C131" s="93"/>
      <c r="D131" s="93"/>
      <c r="E131" s="93"/>
      <c r="F131" s="93"/>
      <c r="G131" s="93"/>
    </row>
    <row r="132" spans="1:7" x14ac:dyDescent="0.2">
      <c r="A132" s="93"/>
      <c r="B132" s="131"/>
      <c r="C132" s="93"/>
      <c r="D132" s="93"/>
      <c r="E132" s="93"/>
      <c r="F132" s="93"/>
      <c r="G132" s="93"/>
    </row>
    <row r="148" spans="1:7" ht="17" x14ac:dyDescent="0.2">
      <c r="A148" s="133"/>
      <c r="B148" s="134"/>
      <c r="C148" s="71"/>
      <c r="D148" s="71"/>
      <c r="E148" s="71"/>
      <c r="F148" s="71"/>
      <c r="G148" s="71"/>
    </row>
  </sheetData>
  <mergeCells count="2">
    <mergeCell ref="B6:D6"/>
    <mergeCell ref="A7:B7"/>
  </mergeCells>
  <hyperlinks>
    <hyperlink ref="D70" r:id="rId1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G142"/>
  <sheetViews>
    <sheetView workbookViewId="0">
      <selection activeCell="F34" sqref="F34"/>
    </sheetView>
  </sheetViews>
  <sheetFormatPr baseColWidth="10" defaultColWidth="10.83203125" defaultRowHeight="15" x14ac:dyDescent="0.2"/>
  <cols>
    <col min="1" max="1" width="38.5" style="174" customWidth="1"/>
    <col min="2" max="2" width="12.5" style="175" customWidth="1"/>
    <col min="3" max="4" width="7.33203125" style="174" customWidth="1"/>
    <col min="5" max="5" width="11.5" style="174" customWidth="1"/>
    <col min="6" max="6" width="14.5" style="174" customWidth="1"/>
    <col min="7" max="7" width="101.6640625" style="174" customWidth="1"/>
    <col min="8" max="8" width="13" style="174" bestFit="1" customWidth="1"/>
    <col min="9" max="9" width="114.1640625" style="174" customWidth="1"/>
    <col min="10" max="16384" width="10.83203125" style="174"/>
  </cols>
  <sheetData>
    <row r="1" spans="1:7" ht="64" customHeight="1" x14ac:dyDescent="0.3">
      <c r="A1" s="171"/>
      <c r="B1" s="172"/>
      <c r="C1" s="173"/>
    </row>
    <row r="3" spans="1:7" ht="16" x14ac:dyDescent="0.2">
      <c r="A3" s="176"/>
      <c r="B3" s="177"/>
      <c r="C3" s="178"/>
      <c r="F3" s="179"/>
      <c r="G3" s="180"/>
    </row>
    <row r="4" spans="1:7" ht="16" x14ac:dyDescent="0.2">
      <c r="C4" s="181"/>
      <c r="G4" s="182"/>
    </row>
    <row r="5" spans="1:7" ht="16" x14ac:dyDescent="0.2">
      <c r="F5" s="179"/>
      <c r="G5" s="182"/>
    </row>
    <row r="6" spans="1:7" ht="16" x14ac:dyDescent="0.2">
      <c r="A6" s="183"/>
      <c r="B6" s="268"/>
      <c r="C6" s="268"/>
      <c r="D6" s="268"/>
      <c r="E6" s="184"/>
      <c r="F6" s="184"/>
      <c r="G6" s="182"/>
    </row>
    <row r="7" spans="1:7" ht="16" x14ac:dyDescent="0.2">
      <c r="A7" s="269"/>
      <c r="B7" s="269"/>
      <c r="C7" s="185"/>
      <c r="E7" s="186"/>
      <c r="F7" s="186"/>
      <c r="G7" s="182"/>
    </row>
    <row r="8" spans="1:7" ht="16" x14ac:dyDescent="0.2">
      <c r="A8" s="187"/>
      <c r="B8" s="185"/>
      <c r="C8" s="188"/>
      <c r="D8" s="186"/>
      <c r="E8" s="186"/>
      <c r="F8" s="186"/>
      <c r="G8" s="182"/>
    </row>
    <row r="9" spans="1:7" ht="15.75" customHeight="1" x14ac:dyDescent="0.2">
      <c r="A9" s="189"/>
      <c r="B9" s="190"/>
      <c r="C9" s="189"/>
      <c r="D9" s="189"/>
      <c r="E9" s="189"/>
      <c r="F9" s="189"/>
      <c r="G9" s="189"/>
    </row>
    <row r="10" spans="1:7" ht="16.5" customHeight="1" x14ac:dyDescent="0.2">
      <c r="A10" s="191"/>
      <c r="B10" s="192"/>
      <c r="C10" s="193"/>
      <c r="D10" s="193"/>
      <c r="E10" s="194"/>
      <c r="F10" s="195"/>
      <c r="G10" s="196"/>
    </row>
    <row r="11" spans="1:7" ht="16" x14ac:dyDescent="0.2">
      <c r="A11" s="197"/>
      <c r="B11" s="198"/>
      <c r="C11" s="193"/>
      <c r="D11" s="193"/>
      <c r="E11" s="199"/>
      <c r="F11" s="195"/>
      <c r="G11" s="196"/>
    </row>
    <row r="12" spans="1:7" ht="16.5" customHeight="1" x14ac:dyDescent="0.2">
      <c r="A12" s="197"/>
      <c r="B12" s="198"/>
      <c r="C12" s="193"/>
      <c r="D12" s="193"/>
      <c r="E12" s="195"/>
      <c r="F12" s="195"/>
      <c r="G12" s="196"/>
    </row>
    <row r="13" spans="1:7" ht="16" x14ac:dyDescent="0.2">
      <c r="A13" s="197"/>
      <c r="B13" s="198"/>
      <c r="C13" s="193"/>
      <c r="D13" s="193"/>
      <c r="E13" s="195"/>
      <c r="F13" s="195"/>
      <c r="G13" s="196"/>
    </row>
    <row r="14" spans="1:7" ht="16" x14ac:dyDescent="0.2">
      <c r="A14" s="197"/>
      <c r="B14" s="198"/>
      <c r="C14" s="193"/>
      <c r="D14" s="193"/>
      <c r="E14" s="199"/>
      <c r="F14" s="195"/>
      <c r="G14" s="196"/>
    </row>
    <row r="15" spans="1:7" ht="16" x14ac:dyDescent="0.2">
      <c r="A15" s="197"/>
      <c r="B15" s="198"/>
      <c r="C15" s="193"/>
      <c r="D15" s="193"/>
      <c r="E15" s="195"/>
      <c r="F15" s="195"/>
      <c r="G15" s="196"/>
    </row>
    <row r="16" spans="1:7" ht="16" x14ac:dyDescent="0.2">
      <c r="A16" s="200"/>
      <c r="B16" s="201"/>
      <c r="C16" s="202"/>
      <c r="D16" s="202"/>
      <c r="E16" s="203"/>
      <c r="F16" s="203"/>
      <c r="G16" s="200"/>
    </row>
    <row r="17" spans="1:7" ht="16" x14ac:dyDescent="0.2">
      <c r="A17" s="200"/>
      <c r="B17" s="201"/>
      <c r="C17" s="202"/>
      <c r="D17" s="202"/>
      <c r="E17" s="203"/>
      <c r="F17" s="203"/>
      <c r="G17" s="200"/>
    </row>
    <row r="18" spans="1:7" ht="16.5" customHeight="1" x14ac:dyDescent="0.2">
      <c r="A18" s="139"/>
      <c r="B18" s="87"/>
      <c r="C18" s="88"/>
      <c r="D18" s="88"/>
      <c r="E18" s="140"/>
      <c r="F18" s="140"/>
      <c r="G18" s="204"/>
    </row>
    <row r="19" spans="1:7" ht="16.5" customHeight="1" x14ac:dyDescent="0.2">
      <c r="A19" s="189"/>
      <c r="B19" s="190"/>
      <c r="C19" s="189"/>
      <c r="D19" s="189"/>
      <c r="E19" s="189"/>
      <c r="F19" s="189"/>
      <c r="G19" s="189"/>
    </row>
    <row r="20" spans="1:7" ht="16.5" customHeight="1" x14ac:dyDescent="0.2">
      <c r="A20" s="191"/>
      <c r="B20" s="192"/>
      <c r="C20" s="193"/>
      <c r="D20" s="193"/>
      <c r="E20" s="194"/>
      <c r="F20" s="195"/>
      <c r="G20" s="196"/>
    </row>
    <row r="21" spans="1:7" ht="16" x14ac:dyDescent="0.2">
      <c r="A21" s="197"/>
      <c r="B21" s="198"/>
      <c r="C21" s="193"/>
      <c r="D21" s="193"/>
      <c r="E21" s="199"/>
      <c r="F21" s="195"/>
      <c r="G21" s="196"/>
    </row>
    <row r="22" spans="1:7" ht="16.5" customHeight="1" x14ac:dyDescent="0.2">
      <c r="A22" s="197"/>
      <c r="B22" s="198"/>
      <c r="C22" s="193"/>
      <c r="D22" s="193"/>
      <c r="E22" s="195"/>
      <c r="F22" s="195"/>
      <c r="G22" s="196"/>
    </row>
    <row r="23" spans="1:7" ht="16" x14ac:dyDescent="0.2">
      <c r="A23" s="197"/>
      <c r="B23" s="198"/>
      <c r="C23" s="193"/>
      <c r="D23" s="193"/>
      <c r="E23" s="195"/>
      <c r="F23" s="195"/>
      <c r="G23" s="196"/>
    </row>
    <row r="24" spans="1:7" ht="16" x14ac:dyDescent="0.2">
      <c r="A24" s="205"/>
      <c r="B24" s="206"/>
      <c r="C24" s="207"/>
      <c r="D24" s="207"/>
      <c r="E24" s="208"/>
      <c r="F24" s="208"/>
      <c r="G24" s="205"/>
    </row>
    <row r="25" spans="1:7" ht="16" x14ac:dyDescent="0.2">
      <c r="A25" s="200"/>
      <c r="B25" s="201"/>
      <c r="C25" s="202"/>
      <c r="D25" s="202"/>
      <c r="E25" s="203"/>
      <c r="F25" s="209"/>
      <c r="G25" s="200"/>
    </row>
    <row r="26" spans="1:7" ht="16" x14ac:dyDescent="0.2">
      <c r="A26" s="200"/>
      <c r="B26" s="201"/>
      <c r="C26" s="202"/>
      <c r="D26" s="202"/>
      <c r="E26" s="203"/>
      <c r="F26" s="209"/>
      <c r="G26" s="200"/>
    </row>
    <row r="27" spans="1:7" ht="16" x14ac:dyDescent="0.2">
      <c r="A27" s="200"/>
      <c r="B27" s="201"/>
      <c r="C27" s="202"/>
      <c r="D27" s="202"/>
      <c r="E27" s="203"/>
      <c r="F27" s="209"/>
      <c r="G27" s="184"/>
    </row>
    <row r="28" spans="1:7" ht="16" x14ac:dyDescent="0.2">
      <c r="A28" s="200"/>
      <c r="B28" s="201"/>
      <c r="C28" s="202"/>
      <c r="D28" s="202"/>
      <c r="E28" s="203"/>
      <c r="F28" s="209"/>
      <c r="G28" s="184"/>
    </row>
    <row r="29" spans="1:7" ht="16" x14ac:dyDescent="0.2">
      <c r="A29" s="200"/>
      <c r="B29" s="201"/>
      <c r="C29" s="202"/>
      <c r="D29" s="202"/>
      <c r="E29" s="203"/>
      <c r="F29" s="209"/>
      <c r="G29" s="184"/>
    </row>
    <row r="30" spans="1:7" ht="16" x14ac:dyDescent="0.2">
      <c r="A30" s="200"/>
      <c r="B30" s="201"/>
      <c r="C30" s="202"/>
      <c r="D30" s="202"/>
      <c r="E30" s="203"/>
      <c r="F30" s="209"/>
      <c r="G30" s="200"/>
    </row>
    <row r="31" spans="1:7" ht="16.5" customHeight="1" x14ac:dyDescent="0.2">
      <c r="A31" s="139"/>
      <c r="B31" s="87"/>
      <c r="C31" s="88"/>
      <c r="D31" s="88"/>
      <c r="E31" s="140"/>
      <c r="F31" s="140"/>
      <c r="G31" s="204"/>
    </row>
    <row r="32" spans="1:7" ht="16" x14ac:dyDescent="0.2">
      <c r="A32" s="210"/>
      <c r="B32" s="211"/>
      <c r="C32" s="88"/>
      <c r="D32" s="88"/>
      <c r="E32" s="139"/>
      <c r="F32" s="140"/>
      <c r="G32" s="212"/>
    </row>
    <row r="33" spans="1:7" ht="16" x14ac:dyDescent="0.2">
      <c r="A33" s="139"/>
      <c r="B33" s="87"/>
      <c r="C33" s="88"/>
      <c r="D33" s="88"/>
      <c r="E33" s="140"/>
      <c r="F33" s="140"/>
      <c r="G33" s="212"/>
    </row>
    <row r="34" spans="1:7" ht="16" x14ac:dyDescent="0.2">
      <c r="A34" s="86"/>
      <c r="B34" s="87"/>
      <c r="C34" s="88"/>
      <c r="D34" s="88"/>
      <c r="E34" s="140"/>
      <c r="F34" s="140"/>
      <c r="G34" s="212"/>
    </row>
    <row r="35" spans="1:7" ht="16" x14ac:dyDescent="0.2">
      <c r="A35" s="213"/>
      <c r="B35" s="214"/>
      <c r="C35" s="215"/>
      <c r="D35" s="215"/>
      <c r="E35" s="216"/>
      <c r="F35" s="216"/>
      <c r="G35" s="212"/>
    </row>
    <row r="36" spans="1:7" ht="19" x14ac:dyDescent="0.2">
      <c r="A36" s="217"/>
      <c r="B36" s="174"/>
      <c r="E36" s="218"/>
      <c r="F36" s="219"/>
      <c r="G36" s="218"/>
    </row>
    <row r="37" spans="1:7" ht="19" x14ac:dyDescent="0.2">
      <c r="A37" s="217"/>
      <c r="B37" s="174"/>
      <c r="E37" s="218"/>
      <c r="F37" s="219"/>
      <c r="G37" s="218"/>
    </row>
    <row r="38" spans="1:7" ht="19" x14ac:dyDescent="0.2">
      <c r="A38" s="220"/>
      <c r="B38" s="174"/>
      <c r="E38" s="218"/>
      <c r="F38" s="219"/>
      <c r="G38" s="218"/>
    </row>
    <row r="39" spans="1:7" ht="19" x14ac:dyDescent="0.2">
      <c r="A39" s="217"/>
      <c r="B39" s="174"/>
      <c r="E39" s="218"/>
      <c r="F39" s="221"/>
      <c r="G39" s="218"/>
    </row>
    <row r="40" spans="1:7" ht="19" x14ac:dyDescent="0.2">
      <c r="A40" s="217"/>
      <c r="B40" s="174"/>
      <c r="E40" s="218"/>
      <c r="F40" s="219"/>
      <c r="G40" s="218"/>
    </row>
    <row r="41" spans="1:7" ht="19" x14ac:dyDescent="0.2">
      <c r="A41" s="217"/>
      <c r="B41" s="174"/>
      <c r="E41" s="218"/>
      <c r="F41" s="219"/>
      <c r="G41" s="218"/>
    </row>
    <row r="42" spans="1:7" ht="19" x14ac:dyDescent="0.2">
      <c r="A42" s="222"/>
      <c r="B42" s="174"/>
      <c r="E42" s="223"/>
      <c r="F42" s="223"/>
      <c r="G42" s="223"/>
    </row>
    <row r="43" spans="1:7" ht="17" x14ac:dyDescent="0.2">
      <c r="A43" s="218"/>
      <c r="B43" s="174"/>
    </row>
    <row r="44" spans="1:7" ht="17" x14ac:dyDescent="0.2">
      <c r="A44" s="218"/>
      <c r="B44" s="174"/>
    </row>
    <row r="45" spans="1:7" ht="19" x14ac:dyDescent="0.2">
      <c r="A45" s="217"/>
      <c r="B45" s="174"/>
    </row>
    <row r="46" spans="1:7" ht="17" x14ac:dyDescent="0.2">
      <c r="A46" s="218"/>
      <c r="B46" s="174"/>
    </row>
    <row r="47" spans="1:7" ht="17" x14ac:dyDescent="0.2">
      <c r="A47" s="218"/>
      <c r="B47" s="174"/>
    </row>
    <row r="48" spans="1:7" ht="17" x14ac:dyDescent="0.2">
      <c r="A48" s="218"/>
      <c r="B48" s="174"/>
    </row>
    <row r="49" spans="1:6" ht="17" x14ac:dyDescent="0.2">
      <c r="A49" s="224"/>
      <c r="B49" s="174"/>
    </row>
    <row r="50" spans="1:6" ht="17" x14ac:dyDescent="0.2">
      <c r="A50" s="218"/>
      <c r="B50" s="174"/>
    </row>
    <row r="51" spans="1:6" ht="17" x14ac:dyDescent="0.2">
      <c r="A51" s="218"/>
      <c r="B51" s="174"/>
    </row>
    <row r="52" spans="1:6" ht="17" x14ac:dyDescent="0.2">
      <c r="A52" s="224"/>
      <c r="B52" s="174"/>
    </row>
    <row r="53" spans="1:6" ht="17" x14ac:dyDescent="0.2">
      <c r="A53" s="218"/>
      <c r="B53" s="174"/>
    </row>
    <row r="54" spans="1:6" ht="17" x14ac:dyDescent="0.2">
      <c r="A54" s="218"/>
      <c r="B54" s="174"/>
    </row>
    <row r="55" spans="1:6" ht="17" x14ac:dyDescent="0.2">
      <c r="A55" s="218"/>
      <c r="B55" s="174"/>
    </row>
    <row r="56" spans="1:6" ht="17" x14ac:dyDescent="0.2">
      <c r="A56" s="218"/>
      <c r="B56" s="174"/>
    </row>
    <row r="57" spans="1:6" ht="17" x14ac:dyDescent="0.2">
      <c r="A57" s="218"/>
      <c r="B57" s="174"/>
    </row>
    <row r="58" spans="1:6" ht="17" x14ac:dyDescent="0.2">
      <c r="A58" s="218"/>
      <c r="B58" s="174"/>
    </row>
    <row r="59" spans="1:6" ht="17" x14ac:dyDescent="0.2">
      <c r="A59" s="218"/>
      <c r="B59" s="174"/>
    </row>
    <row r="60" spans="1:6" ht="17" x14ac:dyDescent="0.2">
      <c r="A60" s="225"/>
      <c r="B60" s="174"/>
    </row>
    <row r="61" spans="1:6" ht="17" x14ac:dyDescent="0.2">
      <c r="A61" s="218"/>
      <c r="B61" s="218"/>
      <c r="D61" s="218"/>
      <c r="F61" s="218"/>
    </row>
    <row r="62" spans="1:6" ht="17" x14ac:dyDescent="0.2">
      <c r="A62" s="218"/>
      <c r="B62" s="218"/>
      <c r="D62" s="218"/>
      <c r="F62" s="218"/>
    </row>
    <row r="63" spans="1:6" ht="17" x14ac:dyDescent="0.2">
      <c r="A63" s="218"/>
      <c r="B63" s="218"/>
      <c r="D63" s="218"/>
      <c r="F63" s="218"/>
    </row>
    <row r="64" spans="1:6" ht="17" x14ac:dyDescent="0.2">
      <c r="A64" s="218"/>
      <c r="B64" s="218"/>
      <c r="D64" s="226"/>
    </row>
    <row r="65" spans="1:7" ht="17" x14ac:dyDescent="0.2">
      <c r="A65" s="218"/>
      <c r="B65" s="174"/>
    </row>
    <row r="66" spans="1:7" ht="16" customHeight="1" x14ac:dyDescent="0.2">
      <c r="A66" s="189"/>
      <c r="B66" s="190"/>
      <c r="C66" s="189"/>
      <c r="D66" s="189"/>
      <c r="E66" s="189"/>
      <c r="F66" s="189"/>
      <c r="G66" s="189"/>
    </row>
    <row r="67" spans="1:7" ht="16" customHeight="1" x14ac:dyDescent="0.2">
      <c r="A67" s="196"/>
      <c r="B67" s="227"/>
      <c r="C67" s="193"/>
      <c r="D67" s="193"/>
      <c r="E67" s="228"/>
      <c r="F67" s="228"/>
      <c r="G67" s="196"/>
    </row>
    <row r="68" spans="1:7" ht="16" x14ac:dyDescent="0.2">
      <c r="A68" s="197"/>
      <c r="B68" s="198"/>
      <c r="C68" s="193"/>
      <c r="D68" s="193"/>
      <c r="E68" s="195"/>
      <c r="F68" s="195"/>
      <c r="G68" s="196"/>
    </row>
    <row r="69" spans="1:7" ht="16" x14ac:dyDescent="0.2">
      <c r="A69" s="197"/>
      <c r="B69" s="198"/>
      <c r="C69" s="193"/>
      <c r="D69" s="193"/>
      <c r="E69" s="195"/>
      <c r="F69" s="195"/>
      <c r="G69" s="196"/>
    </row>
    <row r="70" spans="1:7" ht="16" x14ac:dyDescent="0.2">
      <c r="A70" s="197"/>
      <c r="B70" s="198"/>
      <c r="C70" s="193"/>
      <c r="D70" s="193"/>
      <c r="E70" s="195"/>
      <c r="F70" s="195"/>
      <c r="G70" s="196"/>
    </row>
    <row r="71" spans="1:7" ht="16" x14ac:dyDescent="0.2">
      <c r="A71" s="197"/>
      <c r="B71" s="198"/>
      <c r="C71" s="193"/>
      <c r="D71" s="193"/>
      <c r="E71" s="195"/>
      <c r="F71" s="195"/>
      <c r="G71" s="196"/>
    </row>
    <row r="72" spans="1:7" ht="16" x14ac:dyDescent="0.2">
      <c r="A72" s="197"/>
      <c r="B72" s="198"/>
      <c r="C72" s="193"/>
      <c r="D72" s="193"/>
      <c r="E72" s="195"/>
      <c r="F72" s="195"/>
      <c r="G72" s="196"/>
    </row>
    <row r="73" spans="1:7" ht="16" x14ac:dyDescent="0.2">
      <c r="A73" s="197"/>
      <c r="B73" s="198"/>
      <c r="C73" s="193"/>
      <c r="D73" s="193"/>
      <c r="E73" s="195"/>
      <c r="F73" s="195"/>
      <c r="G73" s="196"/>
    </row>
    <row r="74" spans="1:7" ht="16" x14ac:dyDescent="0.2">
      <c r="A74" s="197"/>
      <c r="B74" s="198"/>
      <c r="C74" s="193"/>
      <c r="D74" s="193"/>
      <c r="E74" s="195"/>
      <c r="F74" s="195"/>
      <c r="G74" s="196"/>
    </row>
    <row r="75" spans="1:7" ht="16" x14ac:dyDescent="0.2">
      <c r="A75" s="197"/>
      <c r="B75" s="198"/>
      <c r="C75" s="193"/>
      <c r="D75" s="193"/>
      <c r="E75" s="195"/>
      <c r="F75" s="195"/>
      <c r="G75" s="196"/>
    </row>
    <row r="76" spans="1:7" ht="16" x14ac:dyDescent="0.2">
      <c r="A76" s="197"/>
      <c r="B76" s="198"/>
      <c r="C76" s="193"/>
      <c r="D76" s="193"/>
      <c r="E76" s="195"/>
      <c r="F76" s="195"/>
      <c r="G76" s="196"/>
    </row>
    <row r="77" spans="1:7" ht="16" x14ac:dyDescent="0.2">
      <c r="A77" s="197"/>
      <c r="B77" s="198"/>
      <c r="C77" s="193"/>
      <c r="D77" s="193"/>
      <c r="E77" s="195"/>
      <c r="F77" s="195"/>
      <c r="G77" s="196"/>
    </row>
    <row r="78" spans="1:7" ht="16" x14ac:dyDescent="0.2">
      <c r="A78" s="229"/>
      <c r="B78" s="230"/>
      <c r="C78" s="202"/>
      <c r="D78" s="202"/>
      <c r="E78" s="203"/>
      <c r="F78" s="203"/>
      <c r="G78" s="200"/>
    </row>
    <row r="79" spans="1:7" ht="16" x14ac:dyDescent="0.2">
      <c r="A79" s="229"/>
      <c r="B79" s="230"/>
      <c r="C79" s="202"/>
      <c r="D79" s="202"/>
      <c r="E79" s="203"/>
      <c r="F79" s="203"/>
      <c r="G79" s="200"/>
    </row>
    <row r="80" spans="1:7" ht="16" x14ac:dyDescent="0.2">
      <c r="A80" s="229"/>
      <c r="B80" s="230"/>
      <c r="C80" s="202"/>
      <c r="D80" s="202"/>
      <c r="E80" s="203"/>
      <c r="F80" s="203"/>
      <c r="G80" s="200"/>
    </row>
    <row r="81" spans="1:7" ht="16" x14ac:dyDescent="0.2">
      <c r="A81" s="229"/>
      <c r="B81" s="230"/>
      <c r="C81" s="202"/>
      <c r="D81" s="202"/>
      <c r="E81" s="203"/>
      <c r="F81" s="203"/>
      <c r="G81" s="200"/>
    </row>
    <row r="82" spans="1:7" ht="16" x14ac:dyDescent="0.2">
      <c r="A82" s="229"/>
      <c r="B82" s="230"/>
      <c r="C82" s="202"/>
      <c r="D82" s="202"/>
      <c r="E82" s="231"/>
      <c r="F82" s="203"/>
      <c r="G82" s="200"/>
    </row>
    <row r="83" spans="1:7" ht="16" x14ac:dyDescent="0.2">
      <c r="A83" s="197"/>
      <c r="B83" s="198"/>
      <c r="C83" s="193"/>
      <c r="D83" s="193"/>
      <c r="E83" s="199"/>
      <c r="F83" s="195"/>
      <c r="G83" s="196"/>
    </row>
    <row r="84" spans="1:7" ht="16" x14ac:dyDescent="0.2">
      <c r="A84" s="232"/>
      <c r="B84" s="233"/>
      <c r="C84" s="193"/>
      <c r="D84" s="234"/>
      <c r="E84" s="199"/>
      <c r="F84" s="140"/>
      <c r="G84" s="197"/>
    </row>
    <row r="85" spans="1:7" ht="16" x14ac:dyDescent="0.2">
      <c r="A85" s="232"/>
      <c r="B85" s="233"/>
      <c r="C85" s="193"/>
      <c r="D85" s="193"/>
      <c r="E85" s="199"/>
      <c r="F85" s="195"/>
      <c r="G85" s="197"/>
    </row>
    <row r="86" spans="1:7" ht="16" x14ac:dyDescent="0.2">
      <c r="A86" s="232"/>
      <c r="B86" s="233"/>
      <c r="C86" s="193"/>
      <c r="D86" s="193"/>
      <c r="E86" s="199"/>
      <c r="F86" s="195"/>
      <c r="G86" s="197"/>
    </row>
    <row r="87" spans="1:7" ht="16" x14ac:dyDescent="0.2">
      <c r="A87" s="232"/>
      <c r="B87" s="233"/>
      <c r="C87" s="193"/>
      <c r="D87" s="193"/>
      <c r="E87" s="199"/>
      <c r="F87" s="195"/>
      <c r="G87" s="197"/>
    </row>
    <row r="88" spans="1:7" ht="15" customHeight="1" x14ac:dyDescent="0.2">
      <c r="A88" s="197"/>
      <c r="B88" s="198"/>
      <c r="C88" s="193"/>
      <c r="D88" s="193"/>
      <c r="E88" s="195"/>
      <c r="F88" s="195"/>
      <c r="G88" s="235"/>
    </row>
    <row r="89" spans="1:7" ht="15" customHeight="1" x14ac:dyDescent="0.2">
      <c r="A89" s="197"/>
      <c r="B89" s="198"/>
      <c r="C89" s="193"/>
      <c r="D89" s="193"/>
      <c r="E89" s="195"/>
      <c r="F89" s="195"/>
      <c r="G89" s="236"/>
    </row>
    <row r="90" spans="1:7" ht="16" x14ac:dyDescent="0.2">
      <c r="A90" s="197"/>
      <c r="B90" s="198"/>
      <c r="C90" s="193"/>
      <c r="D90" s="193"/>
      <c r="E90" s="195"/>
      <c r="F90" s="195"/>
      <c r="G90" s="196"/>
    </row>
    <row r="91" spans="1:7" ht="16" x14ac:dyDescent="0.2">
      <c r="A91" s="197"/>
      <c r="B91" s="198"/>
      <c r="C91" s="193"/>
      <c r="D91" s="193"/>
      <c r="E91" s="199"/>
      <c r="F91" s="195"/>
      <c r="G91" s="196"/>
    </row>
    <row r="92" spans="1:7" ht="16" x14ac:dyDescent="0.2">
      <c r="A92" s="197"/>
      <c r="B92" s="198"/>
      <c r="C92" s="193"/>
      <c r="D92" s="193"/>
      <c r="E92" s="199"/>
      <c r="F92" s="195"/>
      <c r="G92" s="196"/>
    </row>
    <row r="93" spans="1:7" ht="16" x14ac:dyDescent="0.2">
      <c r="A93" s="197"/>
      <c r="B93" s="198"/>
      <c r="C93" s="193"/>
      <c r="D93" s="193"/>
      <c r="E93" s="199"/>
      <c r="F93" s="195"/>
      <c r="G93" s="196"/>
    </row>
    <row r="94" spans="1:7" ht="16" x14ac:dyDescent="0.2">
      <c r="A94" s="197"/>
      <c r="B94" s="198"/>
      <c r="C94" s="193"/>
      <c r="D94" s="193"/>
      <c r="E94" s="199"/>
      <c r="F94" s="195"/>
      <c r="G94" s="196"/>
    </row>
    <row r="95" spans="1:7" ht="16" x14ac:dyDescent="0.2">
      <c r="A95" s="197"/>
      <c r="B95" s="198"/>
      <c r="C95" s="193"/>
      <c r="D95" s="193"/>
      <c r="E95" s="199"/>
      <c r="F95" s="195"/>
      <c r="G95" s="196"/>
    </row>
    <row r="96" spans="1:7" ht="16" x14ac:dyDescent="0.2">
      <c r="A96" s="197"/>
      <c r="B96" s="198"/>
      <c r="C96" s="193"/>
      <c r="D96" s="193"/>
      <c r="E96" s="199"/>
      <c r="F96" s="195"/>
      <c r="G96" s="196"/>
    </row>
    <row r="97" spans="1:7" ht="16" x14ac:dyDescent="0.2">
      <c r="A97" s="197"/>
      <c r="B97" s="198"/>
      <c r="C97" s="193"/>
      <c r="D97" s="193"/>
      <c r="E97" s="203"/>
      <c r="F97" s="195"/>
      <c r="G97" s="196"/>
    </row>
    <row r="98" spans="1:7" ht="16" x14ac:dyDescent="0.2">
      <c r="A98" s="197"/>
      <c r="B98" s="198"/>
      <c r="C98" s="193"/>
      <c r="D98" s="193"/>
      <c r="E98" s="203"/>
      <c r="F98" s="195"/>
      <c r="G98" s="196"/>
    </row>
    <row r="99" spans="1:7" ht="16" x14ac:dyDescent="0.2">
      <c r="A99" s="197"/>
      <c r="B99" s="198"/>
      <c r="C99" s="193"/>
      <c r="D99" s="193"/>
      <c r="E99" s="203"/>
      <c r="F99" s="195"/>
      <c r="G99" s="196"/>
    </row>
    <row r="100" spans="1:7" ht="16" x14ac:dyDescent="0.2">
      <c r="A100" s="197"/>
      <c r="B100" s="198"/>
      <c r="C100" s="193"/>
      <c r="D100" s="193"/>
      <c r="E100" s="203"/>
      <c r="F100" s="195"/>
      <c r="G100" s="196"/>
    </row>
    <row r="101" spans="1:7" ht="16" x14ac:dyDescent="0.2">
      <c r="A101" s="237"/>
      <c r="C101" s="193"/>
      <c r="D101" s="193"/>
      <c r="E101" s="238"/>
      <c r="G101" s="196"/>
    </row>
    <row r="102" spans="1:7" ht="16" x14ac:dyDescent="0.2">
      <c r="A102" s="237"/>
      <c r="C102" s="193"/>
      <c r="D102" s="193"/>
      <c r="E102" s="239"/>
      <c r="G102" s="196"/>
    </row>
    <row r="103" spans="1:7" ht="16" x14ac:dyDescent="0.2">
      <c r="A103" s="237"/>
      <c r="C103" s="193"/>
      <c r="D103" s="193"/>
      <c r="E103" s="239"/>
      <c r="G103" s="196"/>
    </row>
    <row r="104" spans="1:7" ht="16" x14ac:dyDescent="0.2">
      <c r="A104" s="237"/>
      <c r="B104" s="240"/>
      <c r="C104" s="193"/>
      <c r="D104" s="193"/>
      <c r="E104" s="199"/>
      <c r="F104" s="195"/>
      <c r="G104" s="196"/>
    </row>
    <row r="105" spans="1:7" ht="16" x14ac:dyDescent="0.2">
      <c r="A105" s="196"/>
      <c r="B105" s="241"/>
      <c r="C105" s="193"/>
      <c r="D105" s="193"/>
      <c r="E105" s="195"/>
      <c r="F105" s="195"/>
      <c r="G105" s="196"/>
    </row>
    <row r="106" spans="1:7" ht="16" x14ac:dyDescent="0.2">
      <c r="A106" s="196"/>
      <c r="B106" s="241"/>
      <c r="C106" s="193"/>
      <c r="D106" s="193"/>
      <c r="E106" s="203"/>
      <c r="F106" s="195"/>
      <c r="G106" s="196"/>
    </row>
    <row r="107" spans="1:7" ht="16" x14ac:dyDescent="0.2">
      <c r="A107" s="196"/>
      <c r="B107" s="241"/>
      <c r="C107" s="193"/>
      <c r="D107" s="193"/>
      <c r="E107" s="203"/>
      <c r="F107" s="195"/>
      <c r="G107" s="196"/>
    </row>
    <row r="108" spans="1:7" ht="16" x14ac:dyDescent="0.2">
      <c r="A108" s="196"/>
      <c r="B108" s="241"/>
      <c r="C108" s="193"/>
      <c r="D108" s="193"/>
      <c r="E108" s="203"/>
      <c r="F108" s="195"/>
      <c r="G108" s="196"/>
    </row>
    <row r="109" spans="1:7" ht="16" x14ac:dyDescent="0.2">
      <c r="A109" s="191"/>
      <c r="B109" s="192"/>
      <c r="C109" s="193"/>
      <c r="D109" s="193"/>
      <c r="E109" s="203"/>
      <c r="F109" s="195"/>
      <c r="G109" s="196"/>
    </row>
    <row r="110" spans="1:7" ht="15" customHeight="1" x14ac:dyDescent="0.2">
      <c r="A110" s="191"/>
      <c r="B110" s="192"/>
      <c r="C110" s="193"/>
      <c r="D110" s="193"/>
      <c r="E110" s="203"/>
      <c r="F110" s="228"/>
      <c r="G110" s="196"/>
    </row>
    <row r="111" spans="1:7" ht="15" customHeight="1" x14ac:dyDescent="0.2">
      <c r="A111" s="191"/>
      <c r="B111" s="192"/>
      <c r="C111" s="193"/>
      <c r="D111" s="193"/>
      <c r="E111" s="203"/>
      <c r="F111" s="228"/>
      <c r="G111" s="196"/>
    </row>
    <row r="112" spans="1:7" ht="15" customHeight="1" x14ac:dyDescent="0.2">
      <c r="A112" s="191"/>
      <c r="B112" s="192"/>
      <c r="C112" s="193"/>
      <c r="D112" s="193"/>
      <c r="E112" s="203"/>
      <c r="F112" s="228"/>
      <c r="G112" s="196"/>
    </row>
    <row r="113" spans="1:7" ht="15" customHeight="1" x14ac:dyDescent="0.2">
      <c r="A113" s="191"/>
      <c r="B113" s="192"/>
      <c r="C113" s="193"/>
      <c r="D113" s="193"/>
      <c r="E113" s="195"/>
      <c r="F113" s="228"/>
      <c r="G113" s="196"/>
    </row>
    <row r="114" spans="1:7" ht="15" customHeight="1" x14ac:dyDescent="0.2">
      <c r="A114" s="191"/>
      <c r="B114" s="192"/>
      <c r="C114" s="193"/>
      <c r="D114" s="193"/>
      <c r="E114" s="195"/>
      <c r="F114" s="228"/>
      <c r="G114" s="196"/>
    </row>
    <row r="115" spans="1:7" ht="15" customHeight="1" x14ac:dyDescent="0.2">
      <c r="A115" s="191"/>
      <c r="B115" s="192"/>
      <c r="C115" s="193"/>
      <c r="D115" s="193"/>
      <c r="E115" s="195"/>
      <c r="F115" s="228"/>
      <c r="G115" s="196"/>
    </row>
    <row r="116" spans="1:7" ht="16" x14ac:dyDescent="0.2">
      <c r="A116" s="196"/>
      <c r="B116" s="241"/>
      <c r="C116" s="193"/>
      <c r="D116" s="193"/>
      <c r="E116" s="195"/>
      <c r="F116" s="195"/>
      <c r="G116" s="196"/>
    </row>
    <row r="117" spans="1:7" ht="16" x14ac:dyDescent="0.2">
      <c r="G117" s="196"/>
    </row>
    <row r="119" spans="1:7" ht="17" customHeight="1" x14ac:dyDescent="0.2"/>
    <row r="120" spans="1:7" ht="17" customHeight="1" x14ac:dyDescent="0.2"/>
    <row r="142" spans="1:7" ht="17" x14ac:dyDescent="0.2">
      <c r="A142" s="242"/>
      <c r="B142" s="243"/>
      <c r="C142" s="212"/>
      <c r="D142" s="212"/>
      <c r="E142" s="212"/>
      <c r="F142" s="212"/>
      <c r="G142" s="212"/>
    </row>
  </sheetData>
  <mergeCells count="2">
    <mergeCell ref="B6:D6"/>
    <mergeCell ref="A7:B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2"/>
  <sheetViews>
    <sheetView topLeftCell="A16" workbookViewId="0">
      <selection activeCell="F46" sqref="F46"/>
    </sheetView>
  </sheetViews>
  <sheetFormatPr baseColWidth="10" defaultRowHeight="15" x14ac:dyDescent="0.2"/>
  <cols>
    <col min="1" max="1" width="38.5" customWidth="1"/>
    <col min="2" max="2" width="12.5" style="14" customWidth="1"/>
    <col min="3" max="4" width="7.33203125" customWidth="1"/>
    <col min="5" max="5" width="13" bestFit="1" customWidth="1"/>
    <col min="6" max="6" width="14.5" customWidth="1"/>
    <col min="7" max="7" width="101.6640625" customWidth="1"/>
    <col min="8" max="8" width="13" bestFit="1" customWidth="1"/>
    <col min="9" max="9" width="114.1640625" customWidth="1"/>
  </cols>
  <sheetData>
    <row r="1" spans="1:7" ht="64" customHeight="1" x14ac:dyDescent="0.3">
      <c r="A1" s="11" t="s">
        <v>26</v>
      </c>
      <c r="B1" s="12"/>
      <c r="C1" s="13" t="s">
        <v>27</v>
      </c>
    </row>
    <row r="2" spans="1:7" x14ac:dyDescent="0.2">
      <c r="G2" t="s">
        <v>28</v>
      </c>
    </row>
    <row r="3" spans="1:7" ht="16" x14ac:dyDescent="0.2">
      <c r="A3" s="15" t="s">
        <v>221</v>
      </c>
      <c r="B3" s="142" t="s">
        <v>30</v>
      </c>
      <c r="C3" s="143"/>
      <c r="E3" t="s">
        <v>31</v>
      </c>
      <c r="F3" s="17" t="s">
        <v>32</v>
      </c>
      <c r="G3" s="18" t="s">
        <v>222</v>
      </c>
    </row>
    <row r="4" spans="1:7" ht="16" x14ac:dyDescent="0.2">
      <c r="A4" t="s">
        <v>34</v>
      </c>
      <c r="C4" s="19"/>
      <c r="E4" t="s">
        <v>35</v>
      </c>
      <c r="F4">
        <v>90827788</v>
      </c>
      <c r="G4" s="20" t="s">
        <v>223</v>
      </c>
    </row>
    <row r="5" spans="1:7" ht="16" x14ac:dyDescent="0.2">
      <c r="A5" t="s">
        <v>37</v>
      </c>
      <c r="E5" t="s">
        <v>39</v>
      </c>
      <c r="F5" s="17">
        <v>23</v>
      </c>
      <c r="G5" s="20" t="s">
        <v>40</v>
      </c>
    </row>
    <row r="6" spans="1:7" ht="16" x14ac:dyDescent="0.2">
      <c r="A6" s="144" t="s">
        <v>41</v>
      </c>
      <c r="B6" s="266" t="s">
        <v>242</v>
      </c>
      <c r="C6" s="266"/>
      <c r="D6" s="266"/>
      <c r="E6" s="145" t="s">
        <v>42</v>
      </c>
      <c r="F6" s="145">
        <v>974961403</v>
      </c>
      <c r="G6" s="20" t="s">
        <v>43</v>
      </c>
    </row>
    <row r="7" spans="1:7" ht="16" x14ac:dyDescent="0.2">
      <c r="A7" s="267" t="s">
        <v>225</v>
      </c>
      <c r="B7" s="267"/>
      <c r="C7" s="146" t="s">
        <v>26</v>
      </c>
      <c r="D7" t="s">
        <v>26</v>
      </c>
      <c r="E7" s="23"/>
      <c r="F7" s="23" t="s">
        <v>26</v>
      </c>
      <c r="G7" s="20"/>
    </row>
    <row r="8" spans="1:7" ht="17" thickBot="1" x14ac:dyDescent="0.25">
      <c r="A8" s="147"/>
      <c r="B8" s="146"/>
      <c r="C8" s="148"/>
      <c r="D8" s="23"/>
      <c r="E8" s="23"/>
      <c r="F8" s="23"/>
      <c r="G8" s="20"/>
    </row>
    <row r="9" spans="1:7" ht="15.75" customHeight="1" x14ac:dyDescent="0.2">
      <c r="A9" s="25" t="s">
        <v>44</v>
      </c>
      <c r="B9" s="26" t="s">
        <v>45</v>
      </c>
      <c r="C9" s="27" t="s">
        <v>46</v>
      </c>
      <c r="D9" s="27" t="s">
        <v>47</v>
      </c>
      <c r="E9" s="27" t="s">
        <v>48</v>
      </c>
      <c r="F9" s="27" t="s">
        <v>49</v>
      </c>
      <c r="G9" s="28" t="s">
        <v>50</v>
      </c>
    </row>
    <row r="10" spans="1:7" ht="16.5" customHeight="1" x14ac:dyDescent="0.2">
      <c r="A10" s="29" t="s">
        <v>87</v>
      </c>
      <c r="B10" s="30"/>
      <c r="C10" s="31">
        <v>1</v>
      </c>
      <c r="D10" s="31">
        <v>23</v>
      </c>
      <c r="E10" s="32">
        <v>10500</v>
      </c>
      <c r="F10" s="33" t="s">
        <v>88</v>
      </c>
      <c r="G10" s="34" t="s">
        <v>52</v>
      </c>
    </row>
    <row r="11" spans="1:7" ht="16" x14ac:dyDescent="0.2">
      <c r="A11" s="35" t="s">
        <v>182</v>
      </c>
      <c r="B11" s="36"/>
      <c r="C11" s="37">
        <v>1</v>
      </c>
      <c r="D11" s="37">
        <v>1</v>
      </c>
      <c r="E11" s="38">
        <v>180000</v>
      </c>
      <c r="F11" s="39">
        <f t="shared" ref="F11:F16" si="0">C11*D11*E11</f>
        <v>180000</v>
      </c>
      <c r="G11" s="34" t="s">
        <v>90</v>
      </c>
    </row>
    <row r="12" spans="1:7" ht="16.5" customHeight="1" x14ac:dyDescent="0.2">
      <c r="A12" s="40" t="s">
        <v>55</v>
      </c>
      <c r="B12" s="41" t="s">
        <v>56</v>
      </c>
      <c r="C12" s="31">
        <v>1</v>
      </c>
      <c r="D12" s="31">
        <v>23</v>
      </c>
      <c r="E12" s="39">
        <v>15000</v>
      </c>
      <c r="F12" s="39">
        <f t="shared" si="0"/>
        <v>345000</v>
      </c>
      <c r="G12" s="34" t="s">
        <v>57</v>
      </c>
    </row>
    <row r="13" spans="1:7" ht="16" x14ac:dyDescent="0.2">
      <c r="A13" s="40" t="s">
        <v>58</v>
      </c>
      <c r="B13" s="42"/>
      <c r="C13" s="37">
        <v>1</v>
      </c>
      <c r="D13" s="31">
        <v>23</v>
      </c>
      <c r="E13" s="39">
        <v>1500</v>
      </c>
      <c r="F13" s="39">
        <f t="shared" si="0"/>
        <v>34500</v>
      </c>
      <c r="G13" s="34" t="s">
        <v>59</v>
      </c>
    </row>
    <row r="14" spans="1:7" ht="16" x14ac:dyDescent="0.2">
      <c r="A14" s="43" t="s">
        <v>60</v>
      </c>
      <c r="B14" s="41" t="s">
        <v>61</v>
      </c>
      <c r="C14" s="31">
        <v>1</v>
      </c>
      <c r="D14" s="31">
        <v>23</v>
      </c>
      <c r="E14" s="44">
        <v>15000</v>
      </c>
      <c r="F14" s="33">
        <f t="shared" si="0"/>
        <v>345000</v>
      </c>
      <c r="G14" s="34" t="s">
        <v>62</v>
      </c>
    </row>
    <row r="15" spans="1:7" ht="16" x14ac:dyDescent="0.2">
      <c r="A15" s="40" t="s">
        <v>58</v>
      </c>
      <c r="B15" s="42"/>
      <c r="C15" s="37">
        <v>1</v>
      </c>
      <c r="D15" s="31">
        <v>23</v>
      </c>
      <c r="E15" s="39">
        <v>1500</v>
      </c>
      <c r="F15" s="39">
        <f t="shared" si="0"/>
        <v>34500</v>
      </c>
      <c r="G15" s="34" t="s">
        <v>59</v>
      </c>
    </row>
    <row r="16" spans="1:7" ht="16" x14ac:dyDescent="0.2">
      <c r="A16" s="45" t="s">
        <v>63</v>
      </c>
      <c r="B16" s="46"/>
      <c r="C16" s="47">
        <v>1</v>
      </c>
      <c r="D16" s="47">
        <v>0</v>
      </c>
      <c r="E16" s="48">
        <v>99000</v>
      </c>
      <c r="F16" s="48">
        <f t="shared" si="0"/>
        <v>0</v>
      </c>
      <c r="G16" s="45" t="s">
        <v>64</v>
      </c>
    </row>
    <row r="17" spans="1:7" ht="16" x14ac:dyDescent="0.2">
      <c r="A17" s="45" t="s">
        <v>65</v>
      </c>
      <c r="B17" s="46"/>
      <c r="C17" s="47">
        <v>1</v>
      </c>
      <c r="D17" s="47">
        <v>12</v>
      </c>
      <c r="E17" s="48">
        <v>113500</v>
      </c>
      <c r="F17" s="48">
        <f>C17*D17*E17</f>
        <v>1362000</v>
      </c>
      <c r="G17" s="45" t="s">
        <v>66</v>
      </c>
    </row>
    <row r="18" spans="1:7" ht="16.5" customHeight="1" thickBot="1" x14ac:dyDescent="0.25">
      <c r="A18" s="55" t="s">
        <v>85</v>
      </c>
      <c r="B18" s="56"/>
      <c r="C18" s="57"/>
      <c r="D18" s="58"/>
      <c r="E18" s="59"/>
      <c r="F18" s="60">
        <f>SUM(F11:F17)</f>
        <v>2301000</v>
      </c>
      <c r="G18" s="61" t="s">
        <v>26</v>
      </c>
    </row>
    <row r="19" spans="1:7" ht="16.5" customHeight="1" x14ac:dyDescent="0.2">
      <c r="A19" s="25" t="s">
        <v>86</v>
      </c>
      <c r="B19" s="26"/>
      <c r="C19" s="27" t="s">
        <v>46</v>
      </c>
      <c r="D19" s="27" t="s">
        <v>47</v>
      </c>
      <c r="E19" s="27" t="s">
        <v>48</v>
      </c>
      <c r="F19" s="27" t="s">
        <v>49</v>
      </c>
      <c r="G19" s="28" t="s">
        <v>50</v>
      </c>
    </row>
    <row r="20" spans="1:7" ht="16.5" customHeight="1" x14ac:dyDescent="0.2">
      <c r="A20" s="29" t="s">
        <v>87</v>
      </c>
      <c r="B20" s="30"/>
      <c r="C20" s="31">
        <v>1</v>
      </c>
      <c r="D20" s="31">
        <v>23</v>
      </c>
      <c r="E20" s="32">
        <v>10500</v>
      </c>
      <c r="F20" s="33" t="s">
        <v>88</v>
      </c>
      <c r="G20" s="34" t="s">
        <v>52</v>
      </c>
    </row>
    <row r="21" spans="1:7" ht="16" x14ac:dyDescent="0.2">
      <c r="A21" s="35" t="s">
        <v>89</v>
      </c>
      <c r="B21" s="36"/>
      <c r="C21" s="37">
        <v>1</v>
      </c>
      <c r="D21" s="37">
        <v>1</v>
      </c>
      <c r="E21" s="38">
        <v>180000</v>
      </c>
      <c r="F21" s="39">
        <f t="shared" ref="F21" si="1">C21*D21*E21</f>
        <v>180000</v>
      </c>
      <c r="G21" s="34" t="s">
        <v>90</v>
      </c>
    </row>
    <row r="22" spans="1:7" ht="16.5" customHeight="1" x14ac:dyDescent="0.2">
      <c r="A22" s="40" t="s">
        <v>55</v>
      </c>
      <c r="B22" s="41"/>
      <c r="C22" s="31">
        <v>1</v>
      </c>
      <c r="D22" s="31">
        <v>23</v>
      </c>
      <c r="E22" s="39">
        <v>15000</v>
      </c>
      <c r="F22" s="39">
        <f>C22*D22*E22</f>
        <v>345000</v>
      </c>
      <c r="G22" s="34" t="s">
        <v>57</v>
      </c>
    </row>
    <row r="23" spans="1:7" ht="16" x14ac:dyDescent="0.2">
      <c r="A23" s="40" t="s">
        <v>58</v>
      </c>
      <c r="B23" s="42"/>
      <c r="C23" s="37">
        <v>1</v>
      </c>
      <c r="D23" s="31">
        <v>23</v>
      </c>
      <c r="E23" s="39">
        <v>1500</v>
      </c>
      <c r="F23" s="39">
        <f t="shared" ref="F23" si="2">C23*D23*E23</f>
        <v>34500</v>
      </c>
      <c r="G23" s="34" t="s">
        <v>59</v>
      </c>
    </row>
    <row r="24" spans="1:7" ht="16" x14ac:dyDescent="0.2">
      <c r="A24" s="62" t="s">
        <v>67</v>
      </c>
      <c r="B24" s="63" t="s">
        <v>91</v>
      </c>
      <c r="C24" s="64"/>
      <c r="D24" s="64"/>
      <c r="E24" s="65"/>
      <c r="F24" s="65"/>
      <c r="G24" s="62" t="s">
        <v>69</v>
      </c>
    </row>
    <row r="25" spans="1:7" ht="16" x14ac:dyDescent="0.2">
      <c r="A25" s="45" t="s">
        <v>81</v>
      </c>
      <c r="B25" s="46"/>
      <c r="C25" s="47">
        <v>1</v>
      </c>
      <c r="D25" s="47">
        <v>1</v>
      </c>
      <c r="E25" s="48">
        <v>280000</v>
      </c>
      <c r="F25" s="53" t="s">
        <v>72</v>
      </c>
      <c r="G25" s="45" t="s">
        <v>82</v>
      </c>
    </row>
    <row r="26" spans="1:7" ht="16" x14ac:dyDescent="0.2">
      <c r="A26" s="45" t="s">
        <v>83</v>
      </c>
      <c r="B26" s="46"/>
      <c r="C26" s="47">
        <v>1</v>
      </c>
      <c r="D26" s="47">
        <v>23</v>
      </c>
      <c r="E26" s="48"/>
      <c r="F26" s="53" t="s">
        <v>72</v>
      </c>
      <c r="G26" s="45" t="s">
        <v>84</v>
      </c>
    </row>
    <row r="27" spans="1:7" ht="16" x14ac:dyDescent="0.2">
      <c r="A27" s="45" t="s">
        <v>70</v>
      </c>
      <c r="B27" s="46" t="s">
        <v>92</v>
      </c>
      <c r="C27" s="47">
        <v>1</v>
      </c>
      <c r="D27" s="47">
        <v>23</v>
      </c>
      <c r="E27" s="48">
        <v>0</v>
      </c>
      <c r="F27" s="53" t="s">
        <v>72</v>
      </c>
      <c r="G27" s="54" t="s">
        <v>73</v>
      </c>
    </row>
    <row r="28" spans="1:7" ht="16" x14ac:dyDescent="0.2">
      <c r="A28" s="45" t="s">
        <v>74</v>
      </c>
      <c r="B28" s="46" t="s">
        <v>92</v>
      </c>
      <c r="C28" s="47">
        <v>1</v>
      </c>
      <c r="D28" s="47">
        <v>23</v>
      </c>
      <c r="E28" s="48">
        <v>0</v>
      </c>
      <c r="F28" s="53" t="s">
        <v>72</v>
      </c>
      <c r="G28" s="54" t="s">
        <v>75</v>
      </c>
    </row>
    <row r="29" spans="1:7" ht="16" x14ac:dyDescent="0.2">
      <c r="A29" s="45" t="s">
        <v>76</v>
      </c>
      <c r="B29" s="46" t="s">
        <v>77</v>
      </c>
      <c r="C29" s="47">
        <v>1</v>
      </c>
      <c r="D29" s="47">
        <v>23</v>
      </c>
      <c r="E29" s="48">
        <v>0</v>
      </c>
      <c r="F29" s="53" t="s">
        <v>72</v>
      </c>
      <c r="G29" s="54" t="s">
        <v>78</v>
      </c>
    </row>
    <row r="30" spans="1:7" ht="16" x14ac:dyDescent="0.2">
      <c r="A30" s="45" t="s">
        <v>79</v>
      </c>
      <c r="B30" s="46" t="s">
        <v>77</v>
      </c>
      <c r="C30" s="47">
        <v>1</v>
      </c>
      <c r="D30" s="47">
        <v>23</v>
      </c>
      <c r="E30" s="48">
        <v>0</v>
      </c>
      <c r="F30" s="53" t="s">
        <v>72</v>
      </c>
      <c r="G30" s="45" t="s">
        <v>80</v>
      </c>
    </row>
    <row r="31" spans="1:7" ht="16.5" customHeight="1" thickBot="1" x14ac:dyDescent="0.25">
      <c r="A31" s="55" t="s">
        <v>85</v>
      </c>
      <c r="B31" s="56"/>
      <c r="C31" s="57"/>
      <c r="D31" s="58"/>
      <c r="E31" s="59"/>
      <c r="F31" s="60">
        <f>SUM(F20:F23)</f>
        <v>559500</v>
      </c>
      <c r="G31" s="61" t="s">
        <v>26</v>
      </c>
    </row>
    <row r="32" spans="1:7" ht="17" thickBot="1" x14ac:dyDescent="0.25">
      <c r="A32" s="66" t="s">
        <v>93</v>
      </c>
      <c r="B32" s="67"/>
      <c r="C32" s="68"/>
      <c r="D32" s="68"/>
      <c r="E32" s="69"/>
      <c r="F32" s="70">
        <f>F18+F31</f>
        <v>2860500</v>
      </c>
      <c r="G32" s="71" t="s">
        <v>94</v>
      </c>
    </row>
    <row r="33" spans="1:7" ht="16" x14ac:dyDescent="0.2">
      <c r="A33" s="72" t="s">
        <v>95</v>
      </c>
      <c r="B33" s="73"/>
      <c r="C33" s="74"/>
      <c r="D33" s="58"/>
      <c r="E33" s="59"/>
      <c r="F33" s="60">
        <f>F32*1.19-F32</f>
        <v>543495</v>
      </c>
      <c r="G33" s="71"/>
    </row>
    <row r="34" spans="1:7" ht="16" x14ac:dyDescent="0.2">
      <c r="A34" s="149" t="s">
        <v>227</v>
      </c>
      <c r="B34" s="76"/>
      <c r="C34" s="77"/>
      <c r="D34" s="77"/>
      <c r="E34" s="78"/>
      <c r="F34" s="79">
        <f>F32+F33</f>
        <v>3403995</v>
      </c>
      <c r="G34" s="71"/>
    </row>
    <row r="35" spans="1:7" ht="16" x14ac:dyDescent="0.2">
      <c r="A35" s="159" t="s">
        <v>243</v>
      </c>
      <c r="B35" s="160"/>
      <c r="C35" s="161"/>
      <c r="D35" s="161"/>
      <c r="E35" s="162"/>
      <c r="F35" s="163">
        <v>135000</v>
      </c>
      <c r="G35" s="141" t="s">
        <v>231</v>
      </c>
    </row>
    <row r="36" spans="1:7" ht="19" x14ac:dyDescent="0.2">
      <c r="A36" s="94"/>
      <c r="B36"/>
      <c r="E36" s="95"/>
      <c r="F36" s="164" t="s">
        <v>26</v>
      </c>
      <c r="G36" s="95"/>
    </row>
    <row r="37" spans="1:7" ht="19" x14ac:dyDescent="0.2">
      <c r="A37" s="94" t="s">
        <v>238</v>
      </c>
      <c r="B37"/>
      <c r="E37" s="95"/>
      <c r="F37" s="164">
        <f>F35*23</f>
        <v>3105000</v>
      </c>
      <c r="G37" s="95"/>
    </row>
    <row r="38" spans="1:7" ht="19" x14ac:dyDescent="0.2">
      <c r="A38" s="167" t="s">
        <v>244</v>
      </c>
      <c r="B38" t="s">
        <v>26</v>
      </c>
      <c r="C38" t="s">
        <v>26</v>
      </c>
      <c r="E38" s="95"/>
      <c r="F38" s="164">
        <v>1760000</v>
      </c>
      <c r="G38" s="95"/>
    </row>
    <row r="39" spans="1:7" ht="19" x14ac:dyDescent="0.2">
      <c r="A39" s="168" t="s">
        <v>241</v>
      </c>
      <c r="B39" s="169"/>
      <c r="C39" s="169"/>
      <c r="D39" s="169"/>
      <c r="E39" s="170"/>
      <c r="F39" s="136">
        <f>F37-F38</f>
        <v>1345000</v>
      </c>
      <c r="G39" s="95"/>
    </row>
    <row r="40" spans="1:7" ht="19" x14ac:dyDescent="0.2">
      <c r="A40" s="94"/>
      <c r="B40"/>
      <c r="E40" s="95"/>
      <c r="F40" s="164"/>
      <c r="G40" s="95"/>
    </row>
    <row r="41" spans="1:7" ht="20" thickBot="1" x14ac:dyDescent="0.25">
      <c r="A41" s="94"/>
      <c r="B41"/>
      <c r="E41" s="135" t="s">
        <v>216</v>
      </c>
      <c r="F41" s="137">
        <v>1520000</v>
      </c>
      <c r="G41" s="95"/>
    </row>
    <row r="42" spans="1:7" ht="19" x14ac:dyDescent="0.2">
      <c r="A42" s="94"/>
      <c r="B42"/>
      <c r="E42" s="135" t="s">
        <v>217</v>
      </c>
      <c r="F42" s="138">
        <v>570000</v>
      </c>
      <c r="G42" s="95"/>
    </row>
    <row r="43" spans="1:7" ht="19" x14ac:dyDescent="0.2">
      <c r="A43" s="94"/>
      <c r="B43"/>
      <c r="E43" s="95"/>
      <c r="F43" s="164"/>
      <c r="G43" s="95"/>
    </row>
    <row r="44" spans="1:7" ht="19" x14ac:dyDescent="0.2">
      <c r="A44" s="94"/>
      <c r="B44"/>
      <c r="E44" s="95"/>
      <c r="F44" s="164"/>
      <c r="G44" s="95"/>
    </row>
    <row r="45" spans="1:7" ht="19" x14ac:dyDescent="0.2">
      <c r="A45" s="94"/>
      <c r="B45"/>
      <c r="E45" s="95"/>
      <c r="F45" s="164">
        <f>+F41+F42-F37</f>
        <v>-1015000</v>
      </c>
      <c r="G45" s="95"/>
    </row>
    <row r="46" spans="1:7" ht="19" x14ac:dyDescent="0.2">
      <c r="A46" s="94"/>
      <c r="B46"/>
      <c r="E46" s="95"/>
      <c r="F46" s="164"/>
      <c r="G46" s="95"/>
    </row>
    <row r="47" spans="1:7" ht="19" x14ac:dyDescent="0.2">
      <c r="A47" s="94"/>
      <c r="B47"/>
      <c r="E47" s="95"/>
      <c r="F47" s="164"/>
      <c r="G47" s="95"/>
    </row>
    <row r="48" spans="1:7" ht="19" x14ac:dyDescent="0.2">
      <c r="A48" s="94"/>
      <c r="B48"/>
      <c r="E48" s="95"/>
      <c r="F48" s="164"/>
      <c r="G48" s="95"/>
    </row>
    <row r="49" spans="1:7" ht="19" x14ac:dyDescent="0.2">
      <c r="A49" s="94"/>
      <c r="B49"/>
      <c r="E49" s="95"/>
      <c r="F49" s="164"/>
      <c r="G49" s="95"/>
    </row>
    <row r="50" spans="1:7" ht="19" x14ac:dyDescent="0.2">
      <c r="A50" s="94"/>
      <c r="B50"/>
      <c r="E50" s="95"/>
      <c r="F50" s="164"/>
      <c r="G50" s="95"/>
    </row>
    <row r="51" spans="1:7" ht="19" x14ac:dyDescent="0.2">
      <c r="A51" s="94" t="s">
        <v>98</v>
      </c>
      <c r="B51"/>
      <c r="E51" s="95"/>
      <c r="F51" s="164"/>
      <c r="G51" s="95"/>
    </row>
    <row r="52" spans="1:7" ht="19" x14ac:dyDescent="0.2">
      <c r="A52" s="97" t="s">
        <v>99</v>
      </c>
      <c r="B52"/>
      <c r="E52" s="98"/>
      <c r="F52" s="98"/>
      <c r="G52" s="98"/>
    </row>
    <row r="53" spans="1:7" ht="17" x14ac:dyDescent="0.2">
      <c r="A53" s="95" t="s">
        <v>100</v>
      </c>
      <c r="B53"/>
    </row>
    <row r="54" spans="1:7" ht="17" x14ac:dyDescent="0.2">
      <c r="A54" s="95"/>
      <c r="B54"/>
    </row>
    <row r="55" spans="1:7" ht="19" x14ac:dyDescent="0.2">
      <c r="A55" s="94" t="s">
        <v>101</v>
      </c>
      <c r="B55"/>
    </row>
    <row r="56" spans="1:7" ht="17" x14ac:dyDescent="0.2">
      <c r="A56" s="95" t="s">
        <v>102</v>
      </c>
      <c r="B56"/>
    </row>
    <row r="57" spans="1:7" ht="17" x14ac:dyDescent="0.2">
      <c r="A57" s="95" t="s">
        <v>103</v>
      </c>
      <c r="B57"/>
    </row>
    <row r="58" spans="1:7" ht="17" x14ac:dyDescent="0.2">
      <c r="A58" s="95" t="s">
        <v>104</v>
      </c>
      <c r="B58"/>
    </row>
    <row r="59" spans="1:7" ht="17" x14ac:dyDescent="0.2">
      <c r="A59" s="99" t="s">
        <v>105</v>
      </c>
      <c r="B59"/>
    </row>
    <row r="60" spans="1:7" ht="17" x14ac:dyDescent="0.2">
      <c r="A60" s="95" t="s">
        <v>106</v>
      </c>
      <c r="B60"/>
    </row>
    <row r="61" spans="1:7" ht="17" x14ac:dyDescent="0.2">
      <c r="A61" s="95" t="s">
        <v>107</v>
      </c>
      <c r="B61"/>
    </row>
    <row r="62" spans="1:7" ht="17" x14ac:dyDescent="0.2">
      <c r="A62" s="99" t="s">
        <v>108</v>
      </c>
      <c r="B62"/>
    </row>
    <row r="63" spans="1:7" ht="17" x14ac:dyDescent="0.2">
      <c r="A63" s="95" t="s">
        <v>109</v>
      </c>
      <c r="B63"/>
    </row>
    <row r="64" spans="1:7" ht="17" x14ac:dyDescent="0.2">
      <c r="A64" s="95" t="s">
        <v>110</v>
      </c>
      <c r="B64"/>
    </row>
    <row r="65" spans="1:7" ht="17" x14ac:dyDescent="0.2">
      <c r="A65" s="95" t="s">
        <v>111</v>
      </c>
      <c r="B65"/>
    </row>
    <row r="66" spans="1:7" ht="17" x14ac:dyDescent="0.2">
      <c r="A66" s="95" t="s">
        <v>112</v>
      </c>
      <c r="B66"/>
    </row>
    <row r="67" spans="1:7" ht="17" x14ac:dyDescent="0.2">
      <c r="A67" s="95" t="s">
        <v>113</v>
      </c>
      <c r="B67"/>
    </row>
    <row r="68" spans="1:7" ht="17" x14ac:dyDescent="0.2">
      <c r="A68" s="95" t="s">
        <v>114</v>
      </c>
      <c r="B68"/>
    </row>
    <row r="69" spans="1:7" ht="17" x14ac:dyDescent="0.2">
      <c r="A69" s="95"/>
      <c r="B69"/>
    </row>
    <row r="70" spans="1:7" ht="17" x14ac:dyDescent="0.2">
      <c r="A70" s="100" t="s">
        <v>115</v>
      </c>
      <c r="B70"/>
    </row>
    <row r="71" spans="1:7" ht="17" x14ac:dyDescent="0.2">
      <c r="A71" s="95" t="s">
        <v>116</v>
      </c>
      <c r="B71" s="95" t="s">
        <v>117</v>
      </c>
      <c r="D71" s="95" t="s">
        <v>118</v>
      </c>
      <c r="F71" s="95" t="s">
        <v>119</v>
      </c>
    </row>
    <row r="72" spans="1:7" ht="17" x14ac:dyDescent="0.2">
      <c r="A72" s="95" t="s">
        <v>120</v>
      </c>
      <c r="B72" s="95" t="s">
        <v>121</v>
      </c>
      <c r="D72" s="95" t="s">
        <v>122</v>
      </c>
      <c r="F72" s="95" t="s">
        <v>123</v>
      </c>
    </row>
    <row r="73" spans="1:7" ht="17" x14ac:dyDescent="0.2">
      <c r="A73" s="95" t="s">
        <v>124</v>
      </c>
      <c r="B73" s="95" t="s">
        <v>125</v>
      </c>
      <c r="D73" s="95" t="s">
        <v>126</v>
      </c>
      <c r="F73" s="95" t="s">
        <v>127</v>
      </c>
    </row>
    <row r="74" spans="1:7" ht="17" x14ac:dyDescent="0.2">
      <c r="A74" s="95" t="s">
        <v>35</v>
      </c>
      <c r="B74" s="95" t="s">
        <v>128</v>
      </c>
      <c r="D74" s="101" t="s">
        <v>129</v>
      </c>
    </row>
    <row r="75" spans="1:7" ht="18" thickBot="1" x14ac:dyDescent="0.25">
      <c r="A75" s="95"/>
      <c r="B75"/>
    </row>
    <row r="76" spans="1:7" ht="16" customHeight="1" x14ac:dyDescent="0.2">
      <c r="A76" s="102" t="s">
        <v>130</v>
      </c>
      <c r="B76" s="103" t="s">
        <v>45</v>
      </c>
      <c r="C76" s="104" t="s">
        <v>131</v>
      </c>
      <c r="D76" s="104" t="s">
        <v>47</v>
      </c>
      <c r="E76" s="104" t="s">
        <v>132</v>
      </c>
      <c r="F76" s="104" t="s">
        <v>133</v>
      </c>
      <c r="G76" s="105" t="s">
        <v>50</v>
      </c>
    </row>
    <row r="77" spans="1:7" ht="16" customHeight="1" x14ac:dyDescent="0.2">
      <c r="A77" s="34" t="s">
        <v>134</v>
      </c>
      <c r="B77" s="106"/>
      <c r="C77" s="37">
        <v>0</v>
      </c>
      <c r="D77" s="37">
        <v>0</v>
      </c>
      <c r="E77" s="107">
        <v>200000</v>
      </c>
      <c r="F77" s="107">
        <f>C77*D77*E77</f>
        <v>0</v>
      </c>
      <c r="G77" s="34" t="s">
        <v>135</v>
      </c>
    </row>
    <row r="78" spans="1:7" ht="16" x14ac:dyDescent="0.2">
      <c r="A78" s="35" t="s">
        <v>136</v>
      </c>
      <c r="B78" s="36"/>
      <c r="C78" s="37">
        <v>0</v>
      </c>
      <c r="D78" s="37">
        <v>0</v>
      </c>
      <c r="E78" s="39">
        <v>12000</v>
      </c>
      <c r="F78" s="39">
        <f t="shared" ref="F78:F99" si="3">C78*D78*E78</f>
        <v>0</v>
      </c>
      <c r="G78" s="34" t="s">
        <v>137</v>
      </c>
    </row>
    <row r="79" spans="1:7" ht="16" x14ac:dyDescent="0.2">
      <c r="A79" s="35" t="s">
        <v>138</v>
      </c>
      <c r="B79" s="36"/>
      <c r="C79" s="37">
        <v>0</v>
      </c>
      <c r="D79" s="37">
        <v>0</v>
      </c>
      <c r="E79" s="39">
        <v>26000</v>
      </c>
      <c r="F79" s="39">
        <f t="shared" si="3"/>
        <v>0</v>
      </c>
      <c r="G79" s="34" t="s">
        <v>139</v>
      </c>
    </row>
    <row r="80" spans="1:7" ht="16" x14ac:dyDescent="0.2">
      <c r="A80" s="35" t="s">
        <v>140</v>
      </c>
      <c r="B80" s="36"/>
      <c r="C80" s="37">
        <v>0</v>
      </c>
      <c r="D80" s="37">
        <v>0</v>
      </c>
      <c r="E80" s="39">
        <v>35000</v>
      </c>
      <c r="F80" s="39">
        <f t="shared" si="3"/>
        <v>0</v>
      </c>
      <c r="G80" s="34" t="s">
        <v>139</v>
      </c>
    </row>
    <row r="81" spans="1:7" ht="16" x14ac:dyDescent="0.2">
      <c r="A81" s="35" t="s">
        <v>141</v>
      </c>
      <c r="B81" s="36"/>
      <c r="C81" s="37">
        <v>0</v>
      </c>
      <c r="D81" s="37">
        <v>0</v>
      </c>
      <c r="E81" s="39">
        <v>10000</v>
      </c>
      <c r="F81" s="39">
        <f t="shared" si="3"/>
        <v>0</v>
      </c>
      <c r="G81" s="34"/>
    </row>
    <row r="82" spans="1:7" ht="16" x14ac:dyDescent="0.2">
      <c r="A82" s="35" t="s">
        <v>142</v>
      </c>
      <c r="B82" s="36"/>
      <c r="C82" s="37">
        <v>0</v>
      </c>
      <c r="D82" s="37">
        <v>0</v>
      </c>
      <c r="E82" s="39">
        <v>4500</v>
      </c>
      <c r="F82" s="39">
        <f t="shared" si="3"/>
        <v>0</v>
      </c>
      <c r="G82" s="34" t="s">
        <v>143</v>
      </c>
    </row>
    <row r="83" spans="1:7" ht="16" x14ac:dyDescent="0.2">
      <c r="A83" s="35" t="s">
        <v>144</v>
      </c>
      <c r="B83" s="36"/>
      <c r="C83" s="37">
        <v>0</v>
      </c>
      <c r="D83" s="37">
        <v>0</v>
      </c>
      <c r="E83" s="39">
        <v>5000</v>
      </c>
      <c r="F83" s="39">
        <f t="shared" si="3"/>
        <v>0</v>
      </c>
      <c r="G83" s="34" t="s">
        <v>145</v>
      </c>
    </row>
    <row r="84" spans="1:7" ht="16" x14ac:dyDescent="0.2">
      <c r="A84" s="35" t="s">
        <v>146</v>
      </c>
      <c r="B84" s="36"/>
      <c r="C84" s="37">
        <v>0</v>
      </c>
      <c r="D84" s="37">
        <v>0</v>
      </c>
      <c r="E84" s="39">
        <v>5000</v>
      </c>
      <c r="F84" s="39">
        <f t="shared" si="3"/>
        <v>0</v>
      </c>
      <c r="G84" s="34" t="s">
        <v>147</v>
      </c>
    </row>
    <row r="85" spans="1:7" ht="16" x14ac:dyDescent="0.2">
      <c r="A85" s="35" t="s">
        <v>148</v>
      </c>
      <c r="B85" s="36"/>
      <c r="C85" s="37">
        <v>0</v>
      </c>
      <c r="D85" s="37">
        <v>0</v>
      </c>
      <c r="E85" s="39">
        <v>3000</v>
      </c>
      <c r="F85" s="39">
        <f t="shared" si="3"/>
        <v>0</v>
      </c>
      <c r="G85" s="34" t="s">
        <v>149</v>
      </c>
    </row>
    <row r="86" spans="1:7" ht="16" x14ac:dyDescent="0.2">
      <c r="A86" s="35" t="s">
        <v>150</v>
      </c>
      <c r="B86" s="36"/>
      <c r="C86" s="37">
        <v>0</v>
      </c>
      <c r="D86" s="37">
        <v>0</v>
      </c>
      <c r="E86" s="39">
        <v>16000</v>
      </c>
      <c r="F86" s="39">
        <f t="shared" si="3"/>
        <v>0</v>
      </c>
      <c r="G86" s="34" t="s">
        <v>151</v>
      </c>
    </row>
    <row r="87" spans="1:7" ht="16" x14ac:dyDescent="0.2">
      <c r="A87" s="35" t="s">
        <v>152</v>
      </c>
      <c r="B87" s="36"/>
      <c r="C87" s="37">
        <v>0</v>
      </c>
      <c r="D87" s="37">
        <v>0</v>
      </c>
      <c r="E87" s="39">
        <v>7000</v>
      </c>
      <c r="F87" s="39">
        <f t="shared" si="3"/>
        <v>0</v>
      </c>
      <c r="G87" s="34" t="s">
        <v>153</v>
      </c>
    </row>
    <row r="88" spans="1:7" ht="16" x14ac:dyDescent="0.2">
      <c r="A88" s="108" t="s">
        <v>58</v>
      </c>
      <c r="B88" s="109"/>
      <c r="C88" s="47">
        <v>0</v>
      </c>
      <c r="D88" s="47">
        <v>0</v>
      </c>
      <c r="E88" s="48">
        <v>1500</v>
      </c>
      <c r="F88" s="48">
        <f t="shared" si="3"/>
        <v>0</v>
      </c>
      <c r="G88" s="45" t="s">
        <v>59</v>
      </c>
    </row>
    <row r="89" spans="1:7" ht="16" x14ac:dyDescent="0.2">
      <c r="A89" s="110" t="s">
        <v>154</v>
      </c>
      <c r="B89" s="111"/>
      <c r="C89" s="47">
        <v>0</v>
      </c>
      <c r="D89" s="47">
        <v>0</v>
      </c>
      <c r="E89" s="48">
        <v>3000</v>
      </c>
      <c r="F89" s="48">
        <f t="shared" si="3"/>
        <v>0</v>
      </c>
      <c r="G89" s="45"/>
    </row>
    <row r="90" spans="1:7" ht="16" x14ac:dyDescent="0.2">
      <c r="A90" s="110" t="s">
        <v>155</v>
      </c>
      <c r="B90" s="111"/>
      <c r="C90" s="47">
        <v>0</v>
      </c>
      <c r="D90" s="47">
        <v>0</v>
      </c>
      <c r="E90" s="48">
        <v>1000</v>
      </c>
      <c r="F90" s="48">
        <f t="shared" si="3"/>
        <v>0</v>
      </c>
      <c r="G90" s="45" t="s">
        <v>156</v>
      </c>
    </row>
    <row r="91" spans="1:7" ht="16" x14ac:dyDescent="0.2">
      <c r="A91" s="110" t="s">
        <v>157</v>
      </c>
      <c r="B91" s="111"/>
      <c r="C91" s="47">
        <v>0</v>
      </c>
      <c r="D91" s="47">
        <v>0</v>
      </c>
      <c r="E91" s="48">
        <v>3000</v>
      </c>
      <c r="F91" s="48">
        <f t="shared" si="3"/>
        <v>0</v>
      </c>
      <c r="G91" s="45" t="s">
        <v>158</v>
      </c>
    </row>
    <row r="92" spans="1:7" ht="16" x14ac:dyDescent="0.2">
      <c r="A92" s="110" t="s">
        <v>159</v>
      </c>
      <c r="B92" s="111"/>
      <c r="C92" s="47">
        <v>0</v>
      </c>
      <c r="D92" s="47">
        <v>0</v>
      </c>
      <c r="E92" s="112">
        <v>150000</v>
      </c>
      <c r="F92" s="48">
        <f t="shared" si="3"/>
        <v>0</v>
      </c>
      <c r="G92" s="45" t="s">
        <v>160</v>
      </c>
    </row>
    <row r="93" spans="1:7" ht="16" x14ac:dyDescent="0.2">
      <c r="A93" s="35" t="s">
        <v>161</v>
      </c>
      <c r="B93" s="36"/>
      <c r="C93" s="37">
        <v>0</v>
      </c>
      <c r="D93" s="37">
        <v>0</v>
      </c>
      <c r="E93" s="38">
        <v>100000</v>
      </c>
      <c r="F93" s="39">
        <f t="shared" si="3"/>
        <v>0</v>
      </c>
      <c r="G93" s="34" t="s">
        <v>162</v>
      </c>
    </row>
    <row r="94" spans="1:7" ht="16" x14ac:dyDescent="0.2">
      <c r="A94" s="113" t="s">
        <v>163</v>
      </c>
      <c r="B94" s="114"/>
      <c r="C94" s="31">
        <v>0</v>
      </c>
      <c r="D94" s="115">
        <v>0</v>
      </c>
      <c r="E94" s="44">
        <v>3850</v>
      </c>
      <c r="F94" s="116">
        <f>E94*D94*C94</f>
        <v>0</v>
      </c>
      <c r="G94" s="117" t="s">
        <v>164</v>
      </c>
    </row>
    <row r="95" spans="1:7" ht="16" x14ac:dyDescent="0.2">
      <c r="A95" s="118" t="s">
        <v>165</v>
      </c>
      <c r="B95" s="119"/>
      <c r="C95" s="37">
        <v>0</v>
      </c>
      <c r="D95" s="37">
        <v>0</v>
      </c>
      <c r="E95" s="38">
        <v>4800</v>
      </c>
      <c r="F95" s="39">
        <f>C95*D95*E95</f>
        <v>0</v>
      </c>
      <c r="G95" s="35" t="s">
        <v>166</v>
      </c>
    </row>
    <row r="96" spans="1:7" ht="16" x14ac:dyDescent="0.2">
      <c r="A96" s="118" t="s">
        <v>167</v>
      </c>
      <c r="B96" s="119"/>
      <c r="C96" s="37">
        <v>0</v>
      </c>
      <c r="D96" s="37">
        <v>0</v>
      </c>
      <c r="E96" s="38">
        <v>5500</v>
      </c>
      <c r="F96" s="39">
        <f>C96*D96*E96</f>
        <v>0</v>
      </c>
      <c r="G96" s="35" t="s">
        <v>168</v>
      </c>
    </row>
    <row r="97" spans="1:7" ht="16" x14ac:dyDescent="0.2">
      <c r="A97" s="118" t="s">
        <v>169</v>
      </c>
      <c r="B97" s="119"/>
      <c r="C97" s="37">
        <v>0</v>
      </c>
      <c r="D97" s="37">
        <v>0</v>
      </c>
      <c r="E97" s="38">
        <v>7500</v>
      </c>
      <c r="F97" s="39">
        <f t="shared" si="3"/>
        <v>0</v>
      </c>
      <c r="G97" s="35" t="s">
        <v>170</v>
      </c>
    </row>
    <row r="98" spans="1:7" ht="15" customHeight="1" x14ac:dyDescent="0.2">
      <c r="A98" s="35" t="s">
        <v>171</v>
      </c>
      <c r="B98" s="36"/>
      <c r="C98" s="37">
        <v>0</v>
      </c>
      <c r="D98" s="37">
        <v>0</v>
      </c>
      <c r="E98" s="39">
        <v>8500</v>
      </c>
      <c r="F98" s="39">
        <f t="shared" si="3"/>
        <v>0</v>
      </c>
      <c r="G98" s="120" t="s">
        <v>172</v>
      </c>
    </row>
    <row r="99" spans="1:7" ht="15" customHeight="1" x14ac:dyDescent="0.2">
      <c r="A99" s="40" t="s">
        <v>173</v>
      </c>
      <c r="B99" s="42"/>
      <c r="C99" s="37">
        <v>0</v>
      </c>
      <c r="D99" s="37">
        <v>0</v>
      </c>
      <c r="E99" s="39">
        <v>13500</v>
      </c>
      <c r="F99" s="39">
        <f t="shared" si="3"/>
        <v>0</v>
      </c>
      <c r="G99" s="121" t="s">
        <v>174</v>
      </c>
    </row>
    <row r="100" spans="1:7" ht="16" x14ac:dyDescent="0.2">
      <c r="A100" s="35" t="s">
        <v>175</v>
      </c>
      <c r="B100" s="36"/>
      <c r="C100" s="37">
        <v>0</v>
      </c>
      <c r="D100" s="37">
        <v>0</v>
      </c>
      <c r="E100" s="39">
        <v>2500</v>
      </c>
      <c r="F100" s="39">
        <f>C100*D100*E100</f>
        <v>0</v>
      </c>
      <c r="G100" s="34" t="s">
        <v>176</v>
      </c>
    </row>
    <row r="101" spans="1:7" ht="16" x14ac:dyDescent="0.2">
      <c r="A101" s="35" t="s">
        <v>177</v>
      </c>
      <c r="B101" s="36"/>
      <c r="C101" s="37">
        <v>0</v>
      </c>
      <c r="D101" s="37">
        <v>0</v>
      </c>
      <c r="E101" s="38">
        <v>300000</v>
      </c>
      <c r="F101" s="39">
        <f>C101*D101*E101</f>
        <v>0</v>
      </c>
      <c r="G101" s="34" t="s">
        <v>90</v>
      </c>
    </row>
    <row r="102" spans="1:7" ht="16" x14ac:dyDescent="0.2">
      <c r="A102" s="35" t="s">
        <v>178</v>
      </c>
      <c r="B102" s="36"/>
      <c r="C102" s="37">
        <v>0</v>
      </c>
      <c r="D102" s="37">
        <v>0</v>
      </c>
      <c r="E102" s="38">
        <v>250000</v>
      </c>
      <c r="F102" s="39">
        <f>C102*D102*E102</f>
        <v>0</v>
      </c>
      <c r="G102" s="34" t="s">
        <v>90</v>
      </c>
    </row>
    <row r="103" spans="1:7" ht="16" x14ac:dyDescent="0.2">
      <c r="A103" s="35" t="s">
        <v>179</v>
      </c>
      <c r="B103" s="36"/>
      <c r="C103" s="37">
        <v>0</v>
      </c>
      <c r="D103" s="37">
        <v>0</v>
      </c>
      <c r="E103" s="38">
        <v>210000</v>
      </c>
      <c r="F103" s="39">
        <f t="shared" ref="F103:F125" si="4">C103*D103*E103</f>
        <v>0</v>
      </c>
      <c r="G103" s="34" t="s">
        <v>90</v>
      </c>
    </row>
    <row r="104" spans="1:7" ht="16" x14ac:dyDescent="0.2">
      <c r="A104" s="35" t="s">
        <v>180</v>
      </c>
      <c r="B104" s="36"/>
      <c r="C104" s="37">
        <v>0</v>
      </c>
      <c r="D104" s="37">
        <v>0</v>
      </c>
      <c r="E104" s="38">
        <v>210000</v>
      </c>
      <c r="F104" s="39">
        <f t="shared" si="4"/>
        <v>0</v>
      </c>
      <c r="G104" s="34" t="s">
        <v>90</v>
      </c>
    </row>
    <row r="105" spans="1:7" ht="16" x14ac:dyDescent="0.2">
      <c r="A105" s="35" t="s">
        <v>181</v>
      </c>
      <c r="B105" s="36"/>
      <c r="C105" s="37">
        <v>0</v>
      </c>
      <c r="D105" s="37">
        <v>0</v>
      </c>
      <c r="E105" s="38">
        <v>180000</v>
      </c>
      <c r="F105" s="39">
        <f t="shared" si="4"/>
        <v>0</v>
      </c>
      <c r="G105" s="34" t="s">
        <v>90</v>
      </c>
    </row>
    <row r="106" spans="1:7" ht="16" x14ac:dyDescent="0.2">
      <c r="A106" s="35" t="s">
        <v>182</v>
      </c>
      <c r="B106" s="36"/>
      <c r="C106" s="37">
        <v>0</v>
      </c>
      <c r="D106" s="37">
        <v>0</v>
      </c>
      <c r="E106" s="38">
        <v>180000</v>
      </c>
      <c r="F106" s="39">
        <f t="shared" si="4"/>
        <v>0</v>
      </c>
      <c r="G106" s="34" t="s">
        <v>90</v>
      </c>
    </row>
    <row r="107" spans="1:7" ht="16" x14ac:dyDescent="0.2">
      <c r="A107" s="35" t="s">
        <v>183</v>
      </c>
      <c r="B107" s="36"/>
      <c r="C107" s="37">
        <v>0</v>
      </c>
      <c r="D107" s="37">
        <v>0</v>
      </c>
      <c r="E107" s="48">
        <v>120000</v>
      </c>
      <c r="F107" s="39">
        <f t="shared" si="4"/>
        <v>0</v>
      </c>
      <c r="G107" s="34" t="s">
        <v>90</v>
      </c>
    </row>
    <row r="108" spans="1:7" ht="16" x14ac:dyDescent="0.2">
      <c r="A108" s="35" t="s">
        <v>184</v>
      </c>
      <c r="B108" s="36"/>
      <c r="C108" s="37">
        <v>0</v>
      </c>
      <c r="D108" s="37">
        <v>0</v>
      </c>
      <c r="E108" s="48">
        <v>90000</v>
      </c>
      <c r="F108" s="39">
        <f t="shared" si="4"/>
        <v>0</v>
      </c>
      <c r="G108" s="34" t="s">
        <v>90</v>
      </c>
    </row>
    <row r="109" spans="1:7" ht="16" x14ac:dyDescent="0.2">
      <c r="A109" s="35" t="s">
        <v>185</v>
      </c>
      <c r="B109" s="36"/>
      <c r="C109" s="37">
        <v>0</v>
      </c>
      <c r="D109" s="37">
        <v>0</v>
      </c>
      <c r="E109" s="48">
        <v>100000</v>
      </c>
      <c r="F109" s="39">
        <f t="shared" si="4"/>
        <v>0</v>
      </c>
      <c r="G109" s="34" t="s">
        <v>186</v>
      </c>
    </row>
    <row r="110" spans="1:7" ht="16" x14ac:dyDescent="0.2">
      <c r="A110" s="35" t="s">
        <v>187</v>
      </c>
      <c r="B110" s="36"/>
      <c r="C110" s="37">
        <v>0</v>
      </c>
      <c r="D110" s="37">
        <v>0</v>
      </c>
      <c r="E110" s="48">
        <v>300000</v>
      </c>
      <c r="F110" s="39">
        <f t="shared" si="4"/>
        <v>0</v>
      </c>
      <c r="G110" s="34" t="s">
        <v>90</v>
      </c>
    </row>
    <row r="111" spans="1:7" ht="16" x14ac:dyDescent="0.2">
      <c r="A111" s="122" t="s">
        <v>188</v>
      </c>
      <c r="B111" s="123"/>
      <c r="C111" s="37">
        <v>0</v>
      </c>
      <c r="D111" s="37">
        <v>0</v>
      </c>
      <c r="E111" s="124">
        <v>25000</v>
      </c>
      <c r="F111" s="125"/>
      <c r="G111" s="34" t="s">
        <v>189</v>
      </c>
    </row>
    <row r="112" spans="1:7" ht="16" x14ac:dyDescent="0.2">
      <c r="A112" s="122" t="s">
        <v>190</v>
      </c>
      <c r="B112" s="123"/>
      <c r="C112" s="37">
        <v>0</v>
      </c>
      <c r="D112" s="37">
        <v>0</v>
      </c>
      <c r="E112" s="126">
        <v>15000</v>
      </c>
      <c r="F112" s="125"/>
      <c r="G112" s="34" t="s">
        <v>189</v>
      </c>
    </row>
    <row r="113" spans="1:7" ht="16" x14ac:dyDescent="0.2">
      <c r="A113" s="122" t="s">
        <v>191</v>
      </c>
      <c r="B113" s="123"/>
      <c r="C113" s="37">
        <v>0</v>
      </c>
      <c r="D113" s="37">
        <v>0</v>
      </c>
      <c r="E113" s="126">
        <v>60000</v>
      </c>
      <c r="F113" s="125"/>
      <c r="G113" s="34"/>
    </row>
    <row r="114" spans="1:7" ht="16" x14ac:dyDescent="0.2">
      <c r="A114" s="122" t="s">
        <v>192</v>
      </c>
      <c r="B114" s="127"/>
      <c r="C114" s="37">
        <v>0</v>
      </c>
      <c r="D114" s="37">
        <v>0</v>
      </c>
      <c r="E114" s="38">
        <v>150000</v>
      </c>
      <c r="F114" s="39">
        <f t="shared" si="4"/>
        <v>0</v>
      </c>
      <c r="G114" s="34" t="s">
        <v>193</v>
      </c>
    </row>
    <row r="115" spans="1:7" ht="16" x14ac:dyDescent="0.2">
      <c r="A115" s="34" t="s">
        <v>194</v>
      </c>
      <c r="B115" s="128"/>
      <c r="C115" s="37">
        <v>0</v>
      </c>
      <c r="D115" s="37">
        <v>0</v>
      </c>
      <c r="E115" s="39">
        <v>100000</v>
      </c>
      <c r="F115" s="39">
        <f t="shared" si="4"/>
        <v>0</v>
      </c>
      <c r="G115" s="34" t="s">
        <v>195</v>
      </c>
    </row>
    <row r="116" spans="1:7" ht="16" x14ac:dyDescent="0.2">
      <c r="A116" s="34" t="s">
        <v>196</v>
      </c>
      <c r="B116" s="128"/>
      <c r="C116" s="37">
        <v>0</v>
      </c>
      <c r="D116" s="37">
        <v>0</v>
      </c>
      <c r="E116" s="48">
        <v>150000</v>
      </c>
      <c r="F116" s="39">
        <f t="shared" si="4"/>
        <v>0</v>
      </c>
      <c r="G116" s="34" t="s">
        <v>197</v>
      </c>
    </row>
    <row r="117" spans="1:7" ht="16" x14ac:dyDescent="0.2">
      <c r="A117" s="34" t="s">
        <v>198</v>
      </c>
      <c r="B117" s="128"/>
      <c r="C117" s="37">
        <v>0</v>
      </c>
      <c r="D117" s="37">
        <v>0</v>
      </c>
      <c r="E117" s="48">
        <v>380000</v>
      </c>
      <c r="F117" s="39">
        <f t="shared" si="4"/>
        <v>0</v>
      </c>
      <c r="G117" s="34" t="s">
        <v>199</v>
      </c>
    </row>
    <row r="118" spans="1:7" ht="16" x14ac:dyDescent="0.2">
      <c r="A118" s="34" t="s">
        <v>200</v>
      </c>
      <c r="B118" s="128"/>
      <c r="C118" s="37">
        <v>0</v>
      </c>
      <c r="D118" s="37">
        <v>0</v>
      </c>
      <c r="E118" s="48">
        <v>280000</v>
      </c>
      <c r="F118" s="39">
        <f t="shared" si="4"/>
        <v>0</v>
      </c>
      <c r="G118" s="34" t="s">
        <v>197</v>
      </c>
    </row>
    <row r="119" spans="1:7" ht="16" x14ac:dyDescent="0.2">
      <c r="A119" s="129" t="s">
        <v>201</v>
      </c>
      <c r="B119" s="130"/>
      <c r="C119" s="37">
        <v>0</v>
      </c>
      <c r="D119" s="37">
        <v>0</v>
      </c>
      <c r="E119" s="48">
        <v>650000</v>
      </c>
      <c r="F119" s="39">
        <f t="shared" si="4"/>
        <v>0</v>
      </c>
      <c r="G119" s="34" t="s">
        <v>202</v>
      </c>
    </row>
    <row r="120" spans="1:7" ht="15" customHeight="1" x14ac:dyDescent="0.2">
      <c r="A120" s="129" t="s">
        <v>203</v>
      </c>
      <c r="B120" s="130"/>
      <c r="C120" s="37">
        <v>0</v>
      </c>
      <c r="D120" s="37">
        <v>0</v>
      </c>
      <c r="E120" s="48">
        <v>450000</v>
      </c>
      <c r="F120" s="107">
        <f t="shared" si="4"/>
        <v>0</v>
      </c>
      <c r="G120" s="34" t="s">
        <v>204</v>
      </c>
    </row>
    <row r="121" spans="1:7" ht="15" customHeight="1" x14ac:dyDescent="0.2">
      <c r="A121" s="129" t="s">
        <v>205</v>
      </c>
      <c r="B121" s="130"/>
      <c r="C121" s="37">
        <v>0</v>
      </c>
      <c r="D121" s="37">
        <v>0</v>
      </c>
      <c r="E121" s="48">
        <v>80000</v>
      </c>
      <c r="F121" s="107">
        <f t="shared" si="4"/>
        <v>0</v>
      </c>
      <c r="G121" s="34"/>
    </row>
    <row r="122" spans="1:7" ht="15" customHeight="1" x14ac:dyDescent="0.2">
      <c r="A122" s="129" t="s">
        <v>206</v>
      </c>
      <c r="B122" s="130"/>
      <c r="C122" s="37">
        <v>0</v>
      </c>
      <c r="D122" s="37">
        <v>0</v>
      </c>
      <c r="E122" s="48">
        <v>300000</v>
      </c>
      <c r="F122" s="107">
        <f t="shared" si="4"/>
        <v>0</v>
      </c>
      <c r="G122" s="34" t="s">
        <v>207</v>
      </c>
    </row>
    <row r="123" spans="1:7" ht="15" customHeight="1" x14ac:dyDescent="0.2">
      <c r="A123" s="129" t="s">
        <v>208</v>
      </c>
      <c r="B123" s="130"/>
      <c r="C123" s="37">
        <v>0</v>
      </c>
      <c r="D123" s="37">
        <v>0</v>
      </c>
      <c r="E123" s="39">
        <v>680000</v>
      </c>
      <c r="F123" s="107">
        <f t="shared" si="4"/>
        <v>0</v>
      </c>
      <c r="G123" s="34" t="s">
        <v>209</v>
      </c>
    </row>
    <row r="124" spans="1:7" ht="15" customHeight="1" x14ac:dyDescent="0.2">
      <c r="A124" s="129" t="s">
        <v>208</v>
      </c>
      <c r="B124" s="130"/>
      <c r="C124" s="37">
        <v>0</v>
      </c>
      <c r="D124" s="37">
        <v>0</v>
      </c>
      <c r="E124" s="39">
        <v>580000</v>
      </c>
      <c r="F124" s="107">
        <f t="shared" si="4"/>
        <v>0</v>
      </c>
      <c r="G124" s="34" t="s">
        <v>210</v>
      </c>
    </row>
    <row r="125" spans="1:7" ht="15" customHeight="1" x14ac:dyDescent="0.2">
      <c r="A125" s="129" t="s">
        <v>211</v>
      </c>
      <c r="B125" s="130"/>
      <c r="C125" s="37">
        <v>0</v>
      </c>
      <c r="D125" s="37">
        <v>0</v>
      </c>
      <c r="E125" s="39">
        <v>580000</v>
      </c>
      <c r="F125" s="107">
        <f t="shared" si="4"/>
        <v>0</v>
      </c>
      <c r="G125" s="34" t="s">
        <v>212</v>
      </c>
    </row>
    <row r="126" spans="1:7" ht="16" x14ac:dyDescent="0.2">
      <c r="A126" s="34" t="s">
        <v>213</v>
      </c>
      <c r="B126" s="128"/>
      <c r="C126" s="37">
        <v>0</v>
      </c>
      <c r="D126" s="37">
        <v>0</v>
      </c>
      <c r="E126" s="39">
        <v>180000</v>
      </c>
      <c r="F126" s="39">
        <f>C126*D126*E126</f>
        <v>0</v>
      </c>
      <c r="G126" s="34" t="s">
        <v>214</v>
      </c>
    </row>
    <row r="127" spans="1:7" ht="16" x14ac:dyDescent="0.2">
      <c r="A127" s="93"/>
      <c r="B127" s="131"/>
      <c r="C127" s="93"/>
      <c r="D127" s="93"/>
      <c r="E127" s="93"/>
      <c r="F127" s="93"/>
      <c r="G127" s="132" t="s">
        <v>215</v>
      </c>
    </row>
    <row r="128" spans="1:7" x14ac:dyDescent="0.2">
      <c r="A128" s="93"/>
      <c r="B128" s="131"/>
      <c r="C128" s="93"/>
      <c r="D128" s="93"/>
      <c r="E128" s="93" t="s">
        <v>26</v>
      </c>
      <c r="F128" s="93" t="s">
        <v>26</v>
      </c>
      <c r="G128" s="93"/>
    </row>
    <row r="129" spans="1:7" ht="17" customHeight="1" x14ac:dyDescent="0.2">
      <c r="A129" s="93"/>
      <c r="B129" s="131"/>
      <c r="C129" s="93"/>
      <c r="D129" s="93"/>
      <c r="E129" s="93" t="s">
        <v>26</v>
      </c>
      <c r="F129" s="93"/>
      <c r="G129" s="93"/>
    </row>
    <row r="130" spans="1:7" ht="17" customHeight="1" x14ac:dyDescent="0.2">
      <c r="A130" s="93"/>
      <c r="B130" s="131"/>
      <c r="C130" s="93"/>
      <c r="D130" s="93"/>
      <c r="E130" s="93"/>
      <c r="F130" s="93"/>
      <c r="G130" s="93"/>
    </row>
    <row r="131" spans="1:7" x14ac:dyDescent="0.2">
      <c r="A131" s="93"/>
      <c r="B131" s="131"/>
      <c r="C131" s="93"/>
      <c r="D131" s="93"/>
      <c r="E131" s="93"/>
      <c r="F131" s="93"/>
      <c r="G131" s="93"/>
    </row>
    <row r="132" spans="1:7" x14ac:dyDescent="0.2">
      <c r="A132" s="93"/>
      <c r="B132" s="131"/>
      <c r="C132" s="93"/>
      <c r="D132" s="93"/>
      <c r="E132" s="93"/>
      <c r="F132" s="93"/>
      <c r="G132" s="93"/>
    </row>
    <row r="135" spans="1:7" x14ac:dyDescent="0.2">
      <c r="A135" s="93"/>
      <c r="B135" s="131"/>
      <c r="C135" s="93"/>
      <c r="D135" s="93"/>
      <c r="E135" s="93"/>
      <c r="F135" s="93"/>
      <c r="G135" s="93"/>
    </row>
    <row r="136" spans="1:7" x14ac:dyDescent="0.2">
      <c r="A136" s="93"/>
      <c r="B136" s="131"/>
      <c r="C136" s="93"/>
      <c r="D136" s="93"/>
      <c r="E136" s="93"/>
      <c r="F136" s="93"/>
      <c r="G136" s="93"/>
    </row>
    <row r="152" spans="1:7" ht="17" x14ac:dyDescent="0.2">
      <c r="A152" s="133"/>
      <c r="B152" s="134"/>
      <c r="C152" s="71"/>
      <c r="D152" s="71"/>
      <c r="E152" s="71"/>
      <c r="F152" s="71"/>
      <c r="G152" s="71"/>
    </row>
  </sheetData>
  <mergeCells count="2">
    <mergeCell ref="B6:D6"/>
    <mergeCell ref="A7:B7"/>
  </mergeCells>
  <hyperlinks>
    <hyperlink ref="D74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Hoja1</vt:lpstr>
      <vt:lpstr>04-05 de Enero 2018</vt:lpstr>
      <vt:lpstr>11-12 de Enero 2018</vt:lpstr>
      <vt:lpstr>18-19 de Enero 2018</vt:lpstr>
      <vt:lpstr>23-24 de Enero 2018</vt:lpstr>
      <vt:lpstr>25-26 de Enero 2018</vt:lpstr>
      <vt:lpstr>2-3 Abril 2018</vt:lpstr>
      <vt:lpstr>5-6 Abril 2018</vt:lpstr>
      <vt:lpstr>5-6 Abril 2018(2)</vt:lpstr>
      <vt:lpstr>9-10 Abril 2018</vt:lpstr>
      <vt:lpstr>12-13 Abril 2018</vt:lpstr>
      <vt:lpstr>23-24 Abril 2018 </vt:lpstr>
      <vt:lpstr>26-27 Abril 2018</vt:lpstr>
      <vt:lpstr>5 de mayo 2018</vt:lpstr>
      <vt:lpstr>10 y 11 de mayo 2018</vt:lpstr>
    </vt:vector>
  </TitlesOfParts>
  <Company>SoftPack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Olidata</dc:creator>
  <cp:lastModifiedBy>Usuario de Microsoft Office</cp:lastModifiedBy>
  <cp:lastPrinted>2018-06-19T16:15:10Z</cp:lastPrinted>
  <dcterms:created xsi:type="dcterms:W3CDTF">2018-06-05T20:22:46Z</dcterms:created>
  <dcterms:modified xsi:type="dcterms:W3CDTF">2018-06-27T20:32:29Z</dcterms:modified>
</cp:coreProperties>
</file>