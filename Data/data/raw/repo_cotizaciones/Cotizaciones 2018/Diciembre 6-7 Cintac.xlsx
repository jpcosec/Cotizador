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"/>
    </mc:Choice>
  </mc:AlternateContent>
  <bookViews>
    <workbookView xWindow="40" yWindow="460" windowWidth="25600" windowHeight="141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2" i="1" l="1"/>
  <c r="F12" i="1"/>
  <c r="F13" i="1"/>
  <c r="E17" i="1"/>
  <c r="F17" i="1"/>
  <c r="F9" i="1"/>
  <c r="F10" i="1"/>
  <c r="E11" i="1"/>
  <c r="F11" i="1"/>
  <c r="F14" i="1"/>
  <c r="E15" i="1"/>
  <c r="F15" i="1"/>
  <c r="F16" i="1"/>
  <c r="F18" i="1"/>
  <c r="F19" i="1"/>
  <c r="F22" i="1"/>
  <c r="F23" i="1"/>
  <c r="F29" i="1"/>
  <c r="F30" i="1"/>
  <c r="F26" i="1"/>
  <c r="F27" i="1"/>
  <c r="F28" i="1"/>
  <c r="F60" i="1"/>
  <c r="F25" i="1"/>
  <c r="F67" i="1"/>
  <c r="F66" i="1"/>
  <c r="F68" i="1"/>
  <c r="F71" i="1"/>
  <c r="F89" i="1"/>
  <c r="F85" i="1"/>
  <c r="F83" i="1"/>
  <c r="F84" i="1"/>
  <c r="F86" i="1"/>
  <c r="F87" i="1"/>
  <c r="F88" i="1"/>
  <c r="F90" i="1"/>
  <c r="F82" i="1"/>
  <c r="F79" i="1"/>
  <c r="F74" i="1"/>
  <c r="F81" i="1"/>
  <c r="F64" i="1"/>
  <c r="F69" i="1"/>
  <c r="F65" i="1"/>
  <c r="F77" i="1"/>
  <c r="F72" i="1"/>
  <c r="F73" i="1"/>
  <c r="F75" i="1"/>
  <c r="F76" i="1"/>
  <c r="F78" i="1"/>
  <c r="F80" i="1"/>
  <c r="F61" i="1"/>
  <c r="F62" i="1"/>
  <c r="F63" i="1"/>
  <c r="F70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/>
</calcChain>
</file>

<file path=xl/sharedStrings.xml><?xml version="1.0" encoding="utf-8"?>
<sst xmlns="http://schemas.openxmlformats.org/spreadsheetml/2006/main" count="574" uniqueCount="383">
  <si>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</si>
  <si>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</si>
  <si>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</si>
  <si>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</si>
  <si>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</si>
  <si>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</si>
  <si>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</si>
  <si>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</si>
  <si>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</si>
  <si>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</si>
  <si>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</si>
  <si>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</si>
  <si>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</si>
  <si>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</si>
  <si>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</si>
  <si>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</si>
  <si>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</si>
  <si>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</si>
  <si>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</si>
  <si>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</si>
  <si>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</si>
  <si>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</si>
  <si>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</si>
  <si>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</si>
  <si>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</si>
  <si>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</si>
  <si>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</si>
  <si>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</si>
  <si>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</si>
  <si>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</si>
  <si>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</si>
  <si>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</si>
  <si>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</si>
  <si>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</si>
  <si>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</si>
  <si>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</si>
  <si>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</si>
  <si>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</si>
  <si>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</si>
  <si>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</si>
  <si>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</si>
  <si>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</si>
  <si>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</si>
  <si>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</si>
  <si>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</si>
  <si>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</si>
  <si>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</si>
  <si>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</si>
  <si>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</si>
  <si>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</si>
  <si>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</si>
  <si>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</si>
  <si>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</si>
  <si>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</si>
  <si>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</si>
  <si>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</si>
  <si>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</si>
  <si>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</si>
  <si>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</si>
  <si>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</si>
  <si>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</si>
  <si>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</si>
  <si>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</si>
  <si>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</si>
  <si>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</si>
  <si>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</si>
  <si>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</si>
  <si>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</si>
  <si>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</si>
  <si>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</si>
  <si>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</si>
  <si>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</si>
  <si>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</si>
  <si>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</si>
  <si>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</si>
  <si>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</si>
  <si>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</si>
  <si>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</si>
  <si>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</si>
  <si>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</si>
  <si>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</si>
  <si>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</si>
  <si>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</si>
  <si>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</si>
  <si>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</si>
  <si>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</si>
  <si>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</si>
  <si>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</si>
  <si>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</si>
  <si>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</si>
  <si>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</si>
  <si>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</si>
  <si>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</si>
  <si>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</si>
  <si>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</si>
  <si>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</si>
  <si>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</si>
  <si>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</si>
  <si>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</si>
  <si>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</si>
  <si>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</si>
  <si>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</si>
  <si>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</si>
  <si>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</si>
  <si>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</si>
  <si>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</si>
  <si>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</si>
  <si>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</si>
  <si>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</si>
  <si>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</si>
  <si>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</si>
  <si>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</si>
  <si>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</si>
  <si>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</si>
  <si>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</si>
  <si>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</si>
  <si>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</si>
  <si>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</si>
  <si>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</si>
  <si>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</si>
  <si>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</si>
  <si>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</si>
  <si>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</si>
  <si>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</si>
  <si>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</si>
  <si>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</si>
  <si>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</si>
  <si>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</si>
  <si>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</si>
  <si>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</si>
  <si>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</si>
  <si>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</si>
  <si>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</si>
  <si>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</si>
  <si>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</si>
  <si>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</si>
  <si>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</si>
  <si>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</si>
  <si>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</si>
  <si>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</si>
  <si>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</si>
  <si>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</si>
  <si>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</si>
  <si>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</si>
  <si>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</si>
  <si>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</si>
  <si>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</si>
  <si>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</si>
  <si>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</si>
  <si>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</si>
  <si>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</si>
  <si>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</si>
  <si>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</si>
  <si>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</si>
  <si>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</si>
  <si>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</si>
  <si>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</si>
  <si>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</si>
  <si>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</si>
  <si>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</si>
  <si>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</si>
  <si>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</si>
  <si>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</si>
  <si>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</si>
  <si>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</si>
  <si>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</si>
  <si>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</si>
  <si>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</si>
  <si>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</si>
  <si>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</si>
  <si>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</si>
  <si>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</si>
  <si>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</si>
  <si>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</si>
  <si>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</si>
  <si>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</si>
  <si>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</si>
  <si>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</si>
  <si>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</si>
  <si>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</si>
  <si>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</si>
  <si>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</si>
  <si>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</si>
  <si>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</si>
  <si>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</si>
  <si>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</si>
  <si>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</si>
  <si>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</si>
  <si>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</si>
  <si>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</si>
  <si>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</si>
  <si>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</si>
  <si>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</si>
  <si>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</si>
  <si>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</si>
  <si>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</si>
  <si>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</si>
  <si>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</si>
  <si>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</si>
  <si>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</si>
  <si>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</si>
  <si>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</si>
  <si>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</si>
  <si>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</si>
  <si>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</si>
  <si>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</si>
  <si>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</si>
  <si>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</si>
  <si>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</si>
  <si>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Café, té, leche, yogurt, jamón, queso, huevos, mermeladas, mantequilla, panes, minipastelitos y cereales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</si>
  <si>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</si>
  <si>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</si>
  <si>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</si>
  <si>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</si>
  <si>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</si>
  <si>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</si>
  <si>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</si>
  <si>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</si>
  <si>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</si>
  <si>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</si>
  <si>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</si>
  <si>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</si>
  <si>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</si>
  <si>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</si>
  <si>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</si>
  <si>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</si>
  <si>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</si>
  <si>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</si>
  <si>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</si>
  <si>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</si>
  <si>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</si>
  <si>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</si>
  <si>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</si>
  <si>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</si>
  <si>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</si>
  <si>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</si>
  <si>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</si>
  <si>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</si>
  <si>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</si>
  <si>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</si>
  <si>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</si>
  <si>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</si>
  <si>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</si>
  <si>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</si>
  <si>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</si>
  <si>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</si>
  <si>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</si>
  <si>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</si>
  <si>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</si>
  <si>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</si>
  <si>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</si>
  <si>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</si>
  <si>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</si>
  <si>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</si>
  <si>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</si>
  <si>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</si>
  <si>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</si>
  <si>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</si>
  <si>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</si>
  <si>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</si>
  <si>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</si>
  <si>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</si>
  <si>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</si>
  <si>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</si>
  <si>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</si>
  <si>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</si>
  <si>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</si>
  <si>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</si>
  <si>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</si>
  <si>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</si>
  <si>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</si>
  <si>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</si>
  <si>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</si>
  <si>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</si>
  <si>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</si>
  <si>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</si>
  <si>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</si>
  <si>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</si>
  <si>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</si>
  <si>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</si>
  <si>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</si>
  <si>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</si>
  <si>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</si>
  <si>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</si>
  <si>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</si>
  <si>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</si>
  <si>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</si>
  <si>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</si>
  <si>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</si>
  <si>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</si>
  <si>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</si>
  <si>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</si>
  <si>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</si>
  <si>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</si>
  <si>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</si>
  <si>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</si>
  <si>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</si>
  <si>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</si>
  <si>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</si>
  <si>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</si>
  <si>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</si>
  <si>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</si>
  <si>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</si>
  <si>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</si>
  <si>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</si>
  <si>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</si>
  <si>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</si>
  <si>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</si>
  <si>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</si>
  <si>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</si>
  <si>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</si>
  <si>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</si>
  <si>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</si>
  <si>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</si>
  <si>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</si>
  <si>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</si>
  <si>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</si>
  <si>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</si>
  <si>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</si>
  <si>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</si>
  <si>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</si>
  <si>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</si>
  <si>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</si>
  <si>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</si>
  <si>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</si>
  <si>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</si>
  <si>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</si>
  <si>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</si>
  <si>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</si>
  <si>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</si>
  <si>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</si>
  <si>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</si>
  <si>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</si>
  <si>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</si>
  <si>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</si>
  <si>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</si>
  <si>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</si>
  <si>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</si>
  <si>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</si>
  <si>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</si>
  <si>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</si>
  <si>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</si>
  <si>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</si>
  <si>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</si>
  <si>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</si>
  <si>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</si>
  <si>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</si>
  <si>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</si>
  <si>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</si>
  <si>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</si>
  <si>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</si>
  <si>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</si>
  <si>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</si>
  <si>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</si>
  <si>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</si>
  <si>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</si>
  <si>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</si>
  <si>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</si>
  <si>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</si>
  <si>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</si>
  <si>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</si>
  <si>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</si>
  <si>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</si>
  <si>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</si>
  <si>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</si>
  <si>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CINTAC</t>
  </si>
  <si>
    <t>9 74961403</t>
  </si>
  <si>
    <t>Carmen Rodriguez D.</t>
  </si>
  <si>
    <t>DJ, karaoke</t>
  </si>
  <si>
    <t>Cada trago</t>
  </si>
  <si>
    <t>Salón para fiestas 4 horas.</t>
  </si>
  <si>
    <t>4 horas</t>
  </si>
  <si>
    <t>Roncola piscola, mojito, Pisco Sour, copa de vino</t>
  </si>
  <si>
    <t>gsoissa@cintac.cl</t>
  </si>
  <si>
    <t>Gabriel Soissa</t>
  </si>
  <si>
    <t>Sandwich acompañado de papas</t>
  </si>
  <si>
    <t>6-7  de diciembre</t>
  </si>
  <si>
    <t>Parrilla pollo, vacuno, cerdo, chorizo, prietas, acompañamientos, salad bar,  postres, líquidos en autoservicio ****</t>
  </si>
  <si>
    <t xml:space="preserve">Chinook para fiesta en la noche </t>
  </si>
  <si>
    <t>Adicional  parrilla terraza Chinook</t>
  </si>
  <si>
    <t>Preparacion de parrilla exclusiva en terraza de Chinook</t>
  </si>
  <si>
    <t>Sandwich de carne mechada en pan amasado, acompañado de papas fritas y un postre(frutas enteras manzanas, platanos)</t>
  </si>
  <si>
    <t>Total menos descuento 5%  por pago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</si>
</sst>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</font>
    <font>
      <sz val="10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8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0" fillId="0" borderId="0" xfId="0" applyFont="1" applyFill="1" applyBorder="1"/>
    <xf numFmtId="0" fontId="6" fillId="3" borderId="3" xfId="0" applyFont="1" applyFill="1" applyBorder="1" applyAlignment="1">
      <alignment horizontal="left"/>
    </xf>
    <xf numFmtId="165" fontId="6" fillId="3" borderId="4" xfId="0" applyNumberFormat="1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6" fontId="6" fillId="3" borderId="4" xfId="0" applyNumberFormat="1" applyFont="1" applyFill="1" applyBorder="1" applyAlignment="1">
      <alignment horizontal="right"/>
    </xf>
    <xf numFmtId="6" fontId="6" fillId="3" borderId="15" xfId="0" applyNumberFormat="1" applyFont="1" applyFill="1" applyBorder="1" applyAlignment="1">
      <alignment horizontal="right"/>
    </xf>
    <xf numFmtId="0" fontId="2" fillId="11" borderId="0" xfId="0" applyFont="1" applyFill="1" applyBorder="1" applyAlignment="1">
      <alignment horizontal="left"/>
    </xf>
    <xf numFmtId="165" fontId="2" fillId="11" borderId="0" xfId="0" applyNumberFormat="1" applyFont="1" applyFill="1" applyBorder="1" applyAlignment="1">
      <alignment horizontal="left"/>
    </xf>
    <xf numFmtId="0" fontId="2" fillId="11" borderId="0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6" fontId="2" fillId="11" borderId="0" xfId="0" applyNumberFormat="1" applyFont="1" applyFill="1" applyAlignment="1">
      <alignment horizontal="right"/>
    </xf>
    <xf numFmtId="6" fontId="2" fillId="11" borderId="0" xfId="0" applyNumberFormat="1" applyFont="1" applyFill="1" applyBorder="1" applyAlignment="1">
      <alignment horizontal="righ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Relationship Id="rId2" Type="http://schemas.openxmlformats.org/officeDocument/2006/relationships/hyperlink" Target="mailto:gsoissa@cinta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275"/>
  <sheetViews>
    <sheetView tabSelected="1" topLeftCell="A18" zoomScale="109" zoomScaleNormal="109" zoomScalePageLayoutView="109" workbookViewId="0">
      <selection activeCell="A32" sqref="A32"/>
    </sheetView>
  </sheetViews>
  <sheetFormatPr baseColWidth="10" defaultRowHeight="16" x14ac:dyDescent="0.2"/>
  <cols>
    <col min="1" max="1" width="32.1640625" customWidth="1"/>
    <col min="2" max="2" width="10.83203125" style="77" customWidth="1"/>
    <col min="3" max="3" width="12" customWidth="1"/>
    <col min="4" max="4" width="10.164062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222</v>
      </c>
    </row>
    <row r="2" spans="1:7" x14ac:dyDescent="0.2">
      <c r="G2" t="s">
        <v>186</v>
      </c>
    </row>
    <row r="3" spans="1:7" x14ac:dyDescent="0.2">
      <c r="A3" s="70" t="s">
        <v>135</v>
      </c>
      <c r="B3" s="128" t="s">
        <v>374</v>
      </c>
      <c r="E3" t="s">
        <v>3</v>
      </c>
      <c r="F3" s="34" t="s">
        <v>365</v>
      </c>
      <c r="G3" s="81" t="s">
        <v>187</v>
      </c>
    </row>
    <row r="4" spans="1:7" x14ac:dyDescent="0.2">
      <c r="A4" t="s">
        <v>136</v>
      </c>
      <c r="B4" s="151" t="s">
        <v>373</v>
      </c>
      <c r="C4" s="74"/>
      <c r="E4" t="s">
        <v>5</v>
      </c>
      <c r="F4">
        <v>224849112</v>
      </c>
      <c r="G4" s="82" t="s">
        <v>188</v>
      </c>
    </row>
    <row r="5" spans="1:7" x14ac:dyDescent="0.2">
      <c r="A5" t="s">
        <v>137</v>
      </c>
      <c r="B5" s="128" t="s">
        <v>376</v>
      </c>
      <c r="E5" t="s">
        <v>4</v>
      </c>
      <c r="F5" s="34">
        <v>60</v>
      </c>
      <c r="G5" s="82" t="s">
        <v>189</v>
      </c>
    </row>
    <row r="6" spans="1:7" x14ac:dyDescent="0.2">
      <c r="A6" s="72" t="s">
        <v>139</v>
      </c>
      <c r="B6" s="129" t="s">
        <v>367</v>
      </c>
      <c r="C6" s="71"/>
      <c r="D6" s="71"/>
      <c r="E6" s="71" t="s">
        <v>138</v>
      </c>
      <c r="F6" s="71" t="s">
        <v>366</v>
      </c>
      <c r="G6" s="82" t="s">
        <v>190</v>
      </c>
    </row>
    <row r="7" spans="1:7" ht="17" thickBot="1" x14ac:dyDescent="0.25">
      <c r="A7" s="71"/>
      <c r="B7" s="129"/>
      <c r="C7" s="71"/>
      <c r="D7" s="71"/>
      <c r="E7" s="71"/>
      <c r="F7" s="71"/>
      <c r="G7" s="82"/>
    </row>
    <row r="8" spans="1:7" ht="15.75" customHeight="1" x14ac:dyDescent="0.2">
      <c r="A8" s="108" t="s">
        <v>122</v>
      </c>
      <c r="B8" s="109" t="s">
        <v>157</v>
      </c>
      <c r="C8" s="110" t="s">
        <v>121</v>
      </c>
      <c r="D8" s="110" t="s">
        <v>7</v>
      </c>
      <c r="E8" s="110" t="s">
        <v>0</v>
      </c>
      <c r="F8" s="110" t="s">
        <v>1</v>
      </c>
      <c r="G8" s="111" t="s">
        <v>8</v>
      </c>
    </row>
    <row r="9" spans="1:7" x14ac:dyDescent="0.2">
      <c r="A9" s="98" t="s">
        <v>163</v>
      </c>
      <c r="B9" s="99"/>
      <c r="C9" s="90">
        <v>1</v>
      </c>
      <c r="D9" s="90">
        <v>1</v>
      </c>
      <c r="E9" s="100">
        <v>180000</v>
      </c>
      <c r="F9" s="89">
        <f>C9*E9</f>
        <v>180000</v>
      </c>
      <c r="G9" s="88" t="s">
        <v>217</v>
      </c>
    </row>
    <row r="10" spans="1:7" ht="16.5" customHeight="1" x14ac:dyDescent="0.2">
      <c r="A10" s="98" t="s">
        <v>375</v>
      </c>
      <c r="B10" s="99" t="s">
        <v>170</v>
      </c>
      <c r="C10" s="90">
        <v>1</v>
      </c>
      <c r="D10" s="90">
        <v>60</v>
      </c>
      <c r="E10" s="89">
        <v>8950</v>
      </c>
      <c r="F10" s="89">
        <f t="shared" ref="F10" si="0">D10*E10</f>
        <v>537000</v>
      </c>
      <c r="G10" s="176" t="s">
        <v>381</v>
      </c>
    </row>
    <row r="11" spans="1:7" x14ac:dyDescent="0.2">
      <c r="A11" s="98" t="s">
        <v>242</v>
      </c>
      <c r="B11" s="99"/>
      <c r="C11" s="90">
        <v>2</v>
      </c>
      <c r="D11" s="90">
        <v>60</v>
      </c>
      <c r="E11" s="89">
        <f>1800/1.19</f>
        <v>1512.6050420168067</v>
      </c>
      <c r="F11" s="89">
        <f>D11*E11</f>
        <v>90756.302521008402</v>
      </c>
      <c r="G11" s="88" t="s">
        <v>243</v>
      </c>
    </row>
    <row r="12" spans="1:7" x14ac:dyDescent="0.2">
      <c r="A12" s="98" t="s">
        <v>378</v>
      </c>
      <c r="B12" s="99"/>
      <c r="C12" s="90">
        <v>1</v>
      </c>
      <c r="D12" s="90">
        <v>1</v>
      </c>
      <c r="E12" s="89">
        <v>300000</v>
      </c>
      <c r="F12" s="89">
        <f t="shared" ref="F12:F17" si="1">D12*E12</f>
        <v>300000</v>
      </c>
      <c r="G12" s="88" t="s">
        <v>370</v>
      </c>
    </row>
    <row r="13" spans="1:7" x14ac:dyDescent="0.2">
      <c r="A13" s="98" t="s">
        <v>368</v>
      </c>
      <c r="B13" s="99"/>
      <c r="C13" s="90">
        <v>1</v>
      </c>
      <c r="D13" s="90">
        <v>1</v>
      </c>
      <c r="E13" s="89">
        <v>300000</v>
      </c>
      <c r="F13" s="89">
        <f t="shared" si="1"/>
        <v>300000</v>
      </c>
      <c r="G13" s="88" t="s">
        <v>371</v>
      </c>
    </row>
    <row r="14" spans="1:7" x14ac:dyDescent="0.2">
      <c r="A14" s="98" t="s">
        <v>369</v>
      </c>
      <c r="B14" s="99"/>
      <c r="C14" s="90">
        <v>4</v>
      </c>
      <c r="D14" s="90">
        <v>60</v>
      </c>
      <c r="E14" s="89">
        <v>3850</v>
      </c>
      <c r="F14" s="89">
        <f>C14*D14*E14</f>
        <v>924000</v>
      </c>
      <c r="G14" s="88" t="s">
        <v>372</v>
      </c>
    </row>
    <row r="15" spans="1:7" x14ac:dyDescent="0.2">
      <c r="A15" s="98" t="s">
        <v>379</v>
      </c>
      <c r="B15" s="99"/>
      <c r="C15" s="90">
        <v>1</v>
      </c>
      <c r="D15" s="90">
        <v>1</v>
      </c>
      <c r="E15" s="89">
        <f>3500*60</f>
        <v>210000</v>
      </c>
      <c r="F15" s="89">
        <f t="shared" ref="F15:F16" si="2">C15*D15*E15</f>
        <v>210000</v>
      </c>
      <c r="G15" s="88" t="s">
        <v>380</v>
      </c>
    </row>
    <row r="16" spans="1:7" x14ac:dyDescent="0.2">
      <c r="A16" s="98" t="s">
        <v>119</v>
      </c>
      <c r="B16" s="99" t="s">
        <v>171</v>
      </c>
      <c r="C16" s="90">
        <v>1</v>
      </c>
      <c r="D16" s="90">
        <v>60</v>
      </c>
      <c r="E16" s="100">
        <v>15000</v>
      </c>
      <c r="F16" s="89">
        <f t="shared" si="2"/>
        <v>900000</v>
      </c>
      <c r="G16" s="88" t="s">
        <v>377</v>
      </c>
    </row>
    <row r="17" spans="1:7" x14ac:dyDescent="0.2">
      <c r="A17" s="98" t="s">
        <v>213</v>
      </c>
      <c r="B17" s="99"/>
      <c r="C17" s="90">
        <v>2</v>
      </c>
      <c r="D17" s="90">
        <v>60</v>
      </c>
      <c r="E17" s="89">
        <f>1800/1.19</f>
        <v>1512.6050420168067</v>
      </c>
      <c r="F17" s="89">
        <f t="shared" si="1"/>
        <v>90756.302521008402</v>
      </c>
      <c r="G17" s="88" t="s">
        <v>243</v>
      </c>
    </row>
    <row r="18" spans="1:7" ht="16.5" customHeight="1" x14ac:dyDescent="0.2">
      <c r="A18" s="125" t="s">
        <v>146</v>
      </c>
      <c r="B18" s="126"/>
      <c r="C18" s="90">
        <v>30</v>
      </c>
      <c r="D18" s="90">
        <v>60</v>
      </c>
      <c r="E18" s="127">
        <v>99000</v>
      </c>
      <c r="F18" s="89">
        <f>C18*E18</f>
        <v>2970000</v>
      </c>
      <c r="G18" s="125" t="s">
        <v>221</v>
      </c>
    </row>
    <row r="19" spans="1:7" ht="16.5" customHeight="1" thickBot="1" x14ac:dyDescent="0.25">
      <c r="A19" s="2" t="s">
        <v>91</v>
      </c>
      <c r="B19" s="78"/>
      <c r="C19" s="33"/>
      <c r="D19" s="23"/>
      <c r="E19" s="7"/>
      <c r="F19" s="5">
        <f>SUM(F9:F18)</f>
        <v>6502512.6050420171</v>
      </c>
      <c r="G19" s="32" t="s">
        <v>2</v>
      </c>
    </row>
    <row r="20" spans="1:7" ht="16.5" customHeight="1" x14ac:dyDescent="0.2">
      <c r="A20" s="108" t="s">
        <v>123</v>
      </c>
      <c r="B20" s="109"/>
      <c r="C20" s="110" t="s">
        <v>121</v>
      </c>
      <c r="D20" s="110" t="s">
        <v>7</v>
      </c>
      <c r="E20" s="110" t="s">
        <v>0</v>
      </c>
      <c r="F20" s="110" t="s">
        <v>1</v>
      </c>
      <c r="G20" s="111" t="s">
        <v>8</v>
      </c>
    </row>
    <row r="21" spans="1:7" x14ac:dyDescent="0.2">
      <c r="A21" s="104" t="s">
        <v>9</v>
      </c>
      <c r="B21" s="105"/>
      <c r="C21" s="90">
        <v>0</v>
      </c>
      <c r="D21" s="90">
        <v>0</v>
      </c>
      <c r="E21" s="130">
        <v>10500</v>
      </c>
      <c r="F21" s="89" t="s">
        <v>124</v>
      </c>
      <c r="G21" s="88" t="s">
        <v>209</v>
      </c>
    </row>
    <row r="22" spans="1:7" x14ac:dyDescent="0.2">
      <c r="A22" s="98" t="s">
        <v>163</v>
      </c>
      <c r="B22" s="99"/>
      <c r="C22" s="90">
        <v>1</v>
      </c>
      <c r="D22" s="90">
        <v>1</v>
      </c>
      <c r="E22" s="100">
        <v>180000</v>
      </c>
      <c r="F22" s="89">
        <f>C22*E22</f>
        <v>180000</v>
      </c>
      <c r="G22" s="88" t="s">
        <v>217</v>
      </c>
    </row>
    <row r="23" spans="1:7" x14ac:dyDescent="0.2">
      <c r="A23" s="119"/>
      <c r="B23" s="120"/>
      <c r="C23" s="121"/>
      <c r="D23" s="121"/>
      <c r="E23" s="122" t="s">
        <v>2</v>
      </c>
      <c r="F23" s="123">
        <f>SUM(F22:F22)</f>
        <v>180000</v>
      </c>
      <c r="G23" s="124"/>
    </row>
    <row r="24" spans="1:7" x14ac:dyDescent="0.2">
      <c r="A24" s="112" t="s">
        <v>205</v>
      </c>
      <c r="B24" s="113" t="s">
        <v>223</v>
      </c>
      <c r="C24" s="114"/>
      <c r="D24" s="114"/>
      <c r="E24" s="115"/>
      <c r="F24" s="115" t="s">
        <v>2</v>
      </c>
      <c r="G24" s="112" t="s">
        <v>206</v>
      </c>
    </row>
    <row r="25" spans="1:7" x14ac:dyDescent="0.2">
      <c r="A25" s="91" t="s">
        <v>201</v>
      </c>
      <c r="B25" s="92" t="s">
        <v>2</v>
      </c>
      <c r="C25" s="93">
        <v>0</v>
      </c>
      <c r="D25" s="93">
        <v>0</v>
      </c>
      <c r="E25" s="94">
        <v>0</v>
      </c>
      <c r="F25" s="94">
        <f t="shared" ref="F25:F28" si="3">C25*D25*E25</f>
        <v>0</v>
      </c>
      <c r="G25" s="95" t="s">
        <v>203</v>
      </c>
    </row>
    <row r="26" spans="1:7" x14ac:dyDescent="0.2">
      <c r="A26" s="91" t="s">
        <v>197</v>
      </c>
      <c r="B26" s="92" t="s">
        <v>2</v>
      </c>
      <c r="C26" s="93">
        <v>0</v>
      </c>
      <c r="D26" s="93">
        <v>0</v>
      </c>
      <c r="E26" s="94">
        <v>0</v>
      </c>
      <c r="F26" s="94">
        <f t="shared" si="3"/>
        <v>0</v>
      </c>
      <c r="G26" s="95" t="s">
        <v>204</v>
      </c>
    </row>
    <row r="27" spans="1:7" ht="16.5" customHeight="1" x14ac:dyDescent="0.2">
      <c r="A27" s="91" t="s">
        <v>198</v>
      </c>
      <c r="B27" s="92" t="s">
        <v>2</v>
      </c>
      <c r="C27" s="93">
        <v>0</v>
      </c>
      <c r="D27" s="93">
        <v>0</v>
      </c>
      <c r="E27" s="94">
        <v>0</v>
      </c>
      <c r="F27" s="94">
        <f t="shared" si="3"/>
        <v>0</v>
      </c>
      <c r="G27" s="95" t="s">
        <v>202</v>
      </c>
    </row>
    <row r="28" spans="1:7" ht="17" thickBot="1" x14ac:dyDescent="0.25">
      <c r="A28" s="91" t="s">
        <v>199</v>
      </c>
      <c r="B28" s="92" t="s">
        <v>2</v>
      </c>
      <c r="C28" s="93">
        <v>0</v>
      </c>
      <c r="D28" s="93">
        <v>0</v>
      </c>
      <c r="E28" s="94">
        <v>0</v>
      </c>
      <c r="F28" s="94">
        <f t="shared" si="3"/>
        <v>0</v>
      </c>
      <c r="G28" s="91" t="s">
        <v>200</v>
      </c>
    </row>
    <row r="29" spans="1:7" ht="17" thickBot="1" x14ac:dyDescent="0.25">
      <c r="A29" s="36" t="s">
        <v>207</v>
      </c>
      <c r="B29" s="80"/>
      <c r="C29" s="37"/>
      <c r="D29" s="37"/>
      <c r="E29" s="38"/>
      <c r="F29" s="39">
        <f>F19+F23</f>
        <v>6682512.6050420171</v>
      </c>
      <c r="G29" s="6" t="s">
        <v>144</v>
      </c>
    </row>
    <row r="30" spans="1:7" x14ac:dyDescent="0.2">
      <c r="A30" s="3" t="s">
        <v>145</v>
      </c>
      <c r="B30" s="79"/>
      <c r="C30" s="31"/>
      <c r="D30" s="23"/>
      <c r="E30" s="7"/>
      <c r="F30" s="5">
        <f>F29*1.19-F29</f>
        <v>1269677.3949579829</v>
      </c>
      <c r="G30" s="6"/>
    </row>
    <row r="31" spans="1:7" x14ac:dyDescent="0.2">
      <c r="A31" s="177" t="s">
        <v>220</v>
      </c>
      <c r="B31" s="178"/>
      <c r="C31" s="179"/>
      <c r="D31" s="179"/>
      <c r="E31" s="180"/>
      <c r="F31" s="181">
        <f>F29+F30</f>
        <v>7952190</v>
      </c>
      <c r="G31" s="6"/>
    </row>
    <row r="32" spans="1:7" x14ac:dyDescent="0.2">
      <c r="A32" s="182" t="s">
        <v>382</v>
      </c>
      <c r="B32" s="183"/>
      <c r="C32" s="184"/>
      <c r="D32" s="185"/>
      <c r="E32" s="186"/>
      <c r="F32" s="187">
        <f>F31-F31*0.05</f>
        <v>7554580.5</v>
      </c>
      <c r="G32" s="6"/>
    </row>
    <row r="33" spans="1:7" x14ac:dyDescent="0.2">
      <c r="A33" s="3"/>
      <c r="B33" s="79"/>
      <c r="C33" s="31"/>
      <c r="D33" s="23"/>
      <c r="E33" s="7"/>
      <c r="F33" s="4"/>
      <c r="G33" s="6"/>
    </row>
    <row r="34" spans="1:7" ht="17" x14ac:dyDescent="0.2">
      <c r="A34" s="132" t="s">
        <v>174</v>
      </c>
      <c r="B34"/>
      <c r="E34" s="75"/>
      <c r="F34" s="75"/>
      <c r="G34" s="75"/>
    </row>
    <row r="35" spans="1:7" x14ac:dyDescent="0.2">
      <c r="A35" s="134" t="s">
        <v>236</v>
      </c>
      <c r="B35"/>
    </row>
    <row r="36" spans="1:7" x14ac:dyDescent="0.2">
      <c r="A36" s="134" t="s">
        <v>237</v>
      </c>
      <c r="B36"/>
    </row>
    <row r="38" spans="1:7" x14ac:dyDescent="0.2">
      <c r="A38" s="132" t="s">
        <v>238</v>
      </c>
      <c r="B38"/>
    </row>
    <row r="39" spans="1:7" x14ac:dyDescent="0.2">
      <c r="A39" s="132" t="s">
        <v>224</v>
      </c>
      <c r="B39"/>
      <c r="F39" s="132" t="s">
        <v>228</v>
      </c>
    </row>
    <row r="40" spans="1:7" x14ac:dyDescent="0.2">
      <c r="A40" s="134" t="s">
        <v>225</v>
      </c>
      <c r="B40"/>
      <c r="F40" s="134" t="s">
        <v>225</v>
      </c>
    </row>
    <row r="41" spans="1:7" x14ac:dyDescent="0.2">
      <c r="A41" s="134" t="s">
        <v>226</v>
      </c>
      <c r="B41"/>
      <c r="F41" s="134" t="s">
        <v>226</v>
      </c>
    </row>
    <row r="42" spans="1:7" x14ac:dyDescent="0.2">
      <c r="A42" s="134" t="s">
        <v>227</v>
      </c>
      <c r="B42"/>
      <c r="F42" s="134" t="s">
        <v>229</v>
      </c>
    </row>
    <row r="43" spans="1:7" x14ac:dyDescent="0.2">
      <c r="F43" s="134" t="s">
        <v>230</v>
      </c>
    </row>
    <row r="44" spans="1:7" x14ac:dyDescent="0.2">
      <c r="A44" s="132" t="s">
        <v>239</v>
      </c>
      <c r="B44"/>
    </row>
    <row r="45" spans="1:7" x14ac:dyDescent="0.2">
      <c r="A45" s="133" t="s">
        <v>147</v>
      </c>
      <c r="B45"/>
    </row>
    <row r="46" spans="1:7" x14ac:dyDescent="0.2">
      <c r="A46" s="133" t="s">
        <v>148</v>
      </c>
      <c r="B46"/>
    </row>
    <row r="47" spans="1:7" ht="17" x14ac:dyDescent="0.2">
      <c r="A47" s="133" t="s">
        <v>149</v>
      </c>
      <c r="B47"/>
      <c r="F47" s="75" t="s">
        <v>2</v>
      </c>
    </row>
    <row r="48" spans="1:7" ht="17" x14ac:dyDescent="0.2">
      <c r="A48" s="133" t="s">
        <v>150</v>
      </c>
      <c r="B48"/>
      <c r="F48" s="75" t="s">
        <v>2</v>
      </c>
    </row>
    <row r="49" spans="1:7" ht="17" x14ac:dyDescent="0.2">
      <c r="A49" s="133"/>
      <c r="B49"/>
      <c r="F49" s="75" t="s">
        <v>2</v>
      </c>
    </row>
    <row r="50" spans="1:7" ht="16" customHeight="1" x14ac:dyDescent="0.2">
      <c r="A50" s="133" t="s">
        <v>233</v>
      </c>
      <c r="B50"/>
    </row>
    <row r="51" spans="1:7" ht="16" customHeight="1" x14ac:dyDescent="0.2">
      <c r="A51" s="133" t="s">
        <v>231</v>
      </c>
      <c r="B51"/>
    </row>
    <row r="52" spans="1:7" ht="16" customHeight="1" x14ac:dyDescent="0.2">
      <c r="B52"/>
    </row>
    <row r="53" spans="1:7" ht="16" customHeight="1" x14ac:dyDescent="0.2">
      <c r="A53" s="132" t="s">
        <v>232</v>
      </c>
      <c r="B53"/>
      <c r="E53" s="133" t="s">
        <v>180</v>
      </c>
      <c r="F53" s="133" t="s">
        <v>181</v>
      </c>
    </row>
    <row r="54" spans="1:7" ht="16" customHeight="1" x14ac:dyDescent="0.2">
      <c r="A54" s="133" t="s">
        <v>175</v>
      </c>
      <c r="B54" s="133" t="s">
        <v>176</v>
      </c>
      <c r="E54" s="133" t="s">
        <v>182</v>
      </c>
      <c r="F54" s="133" t="s">
        <v>183</v>
      </c>
    </row>
    <row r="55" spans="1:7" ht="16" customHeight="1" x14ac:dyDescent="0.2">
      <c r="A55" s="133" t="s">
        <v>177</v>
      </c>
      <c r="B55" s="133" t="s">
        <v>178</v>
      </c>
      <c r="E55" s="133" t="s">
        <v>184</v>
      </c>
      <c r="F55" s="133" t="s">
        <v>185</v>
      </c>
    </row>
    <row r="56" spans="1:7" ht="16" customHeight="1" x14ac:dyDescent="0.2">
      <c r="A56" s="133" t="s">
        <v>179</v>
      </c>
      <c r="B56" s="133" t="s">
        <v>234</v>
      </c>
      <c r="E56" s="133" t="s">
        <v>5</v>
      </c>
      <c r="F56" s="133">
        <v>29539311</v>
      </c>
    </row>
    <row r="57" spans="1:7" ht="16" customHeight="1" x14ac:dyDescent="0.2">
      <c r="A57" s="135" t="s">
        <v>235</v>
      </c>
    </row>
    <row r="58" spans="1:7" ht="16" customHeight="1" x14ac:dyDescent="0.2">
      <c r="A58" s="75"/>
      <c r="B58"/>
    </row>
    <row r="59" spans="1:7" x14ac:dyDescent="0.2">
      <c r="A59" s="136" t="s">
        <v>120</v>
      </c>
      <c r="B59" s="137" t="s">
        <v>157</v>
      </c>
      <c r="C59" s="136" t="s">
        <v>88</v>
      </c>
      <c r="D59" s="136" t="s">
        <v>7</v>
      </c>
      <c r="E59" s="136" t="s">
        <v>6</v>
      </c>
      <c r="F59" s="136" t="s">
        <v>89</v>
      </c>
      <c r="G59" s="136" t="s">
        <v>8</v>
      </c>
    </row>
    <row r="60" spans="1:7" x14ac:dyDescent="0.2">
      <c r="A60" s="88" t="s">
        <v>173</v>
      </c>
      <c r="B60" s="96"/>
      <c r="C60" s="90">
        <v>0</v>
      </c>
      <c r="D60" s="90">
        <v>0</v>
      </c>
      <c r="E60" s="97">
        <v>200000</v>
      </c>
      <c r="F60" s="97">
        <f>C60*D60*E60</f>
        <v>0</v>
      </c>
      <c r="G60" s="88" t="s">
        <v>208</v>
      </c>
    </row>
    <row r="61" spans="1:7" x14ac:dyDescent="0.2">
      <c r="A61" s="98" t="s">
        <v>90</v>
      </c>
      <c r="B61" s="99"/>
      <c r="C61" s="90">
        <v>0</v>
      </c>
      <c r="D61" s="90">
        <v>0</v>
      </c>
      <c r="E61" s="89">
        <v>12000</v>
      </c>
      <c r="F61" s="89">
        <f t="shared" ref="F61:F70" si="4">C61*D61*E61</f>
        <v>0</v>
      </c>
      <c r="G61" s="88" t="s">
        <v>210</v>
      </c>
    </row>
    <row r="62" spans="1:7" x14ac:dyDescent="0.2">
      <c r="A62" s="98" t="s">
        <v>92</v>
      </c>
      <c r="B62" s="99"/>
      <c r="C62" s="90">
        <v>0</v>
      </c>
      <c r="D62" s="90">
        <v>0</v>
      </c>
      <c r="E62" s="89">
        <v>26000</v>
      </c>
      <c r="F62" s="89">
        <f t="shared" si="4"/>
        <v>0</v>
      </c>
      <c r="G62" s="88" t="s">
        <v>116</v>
      </c>
    </row>
    <row r="63" spans="1:7" x14ac:dyDescent="0.2">
      <c r="A63" s="98" t="s">
        <v>93</v>
      </c>
      <c r="B63" s="99"/>
      <c r="C63" s="90">
        <v>0</v>
      </c>
      <c r="D63" s="90">
        <v>0</v>
      </c>
      <c r="E63" s="89">
        <v>35000</v>
      </c>
      <c r="F63" s="89">
        <f t="shared" si="4"/>
        <v>0</v>
      </c>
      <c r="G63" s="88" t="s">
        <v>116</v>
      </c>
    </row>
    <row r="64" spans="1:7" x14ac:dyDescent="0.2">
      <c r="A64" s="98" t="s">
        <v>118</v>
      </c>
      <c r="B64" s="99"/>
      <c r="C64" s="90">
        <v>0</v>
      </c>
      <c r="D64" s="90">
        <v>0</v>
      </c>
      <c r="E64" s="89">
        <v>10000</v>
      </c>
      <c r="F64" s="89">
        <f t="shared" si="4"/>
        <v>0</v>
      </c>
      <c r="G64" s="88"/>
    </row>
    <row r="65" spans="1:7" x14ac:dyDescent="0.2">
      <c r="A65" s="98" t="s">
        <v>155</v>
      </c>
      <c r="B65" s="99"/>
      <c r="C65" s="90">
        <v>0</v>
      </c>
      <c r="D65" s="90">
        <v>0</v>
      </c>
      <c r="E65" s="89">
        <v>4500</v>
      </c>
      <c r="F65" s="89">
        <f t="shared" si="4"/>
        <v>0</v>
      </c>
      <c r="G65" s="88" t="s">
        <v>156</v>
      </c>
    </row>
    <row r="66" spans="1:7" x14ac:dyDescent="0.2">
      <c r="A66" s="98" t="s">
        <v>168</v>
      </c>
      <c r="B66" s="99"/>
      <c r="C66" s="90">
        <v>0</v>
      </c>
      <c r="D66" s="90">
        <v>0</v>
      </c>
      <c r="E66" s="89">
        <v>5000</v>
      </c>
      <c r="F66" s="89">
        <f t="shared" ref="F66:F67" si="5">C66*D66*E66</f>
        <v>0</v>
      </c>
      <c r="G66" s="88" t="s">
        <v>364</v>
      </c>
    </row>
    <row r="67" spans="1:7" x14ac:dyDescent="0.2">
      <c r="A67" s="98" t="s">
        <v>169</v>
      </c>
      <c r="B67" s="99"/>
      <c r="C67" s="90">
        <v>0</v>
      </c>
      <c r="D67" s="90">
        <v>0</v>
      </c>
      <c r="E67" s="89">
        <v>5000</v>
      </c>
      <c r="F67" s="89">
        <f t="shared" si="5"/>
        <v>0</v>
      </c>
      <c r="G67" s="88" t="s">
        <v>211</v>
      </c>
    </row>
    <row r="68" spans="1:7" x14ac:dyDescent="0.2">
      <c r="A68" s="98" t="s">
        <v>154</v>
      </c>
      <c r="B68" s="99"/>
      <c r="C68" s="90">
        <v>0</v>
      </c>
      <c r="D68" s="90">
        <v>0</v>
      </c>
      <c r="E68" s="89">
        <v>3000</v>
      </c>
      <c r="F68" s="89">
        <f t="shared" ref="F68" si="6">C68*D68*E68</f>
        <v>0</v>
      </c>
      <c r="G68" s="88" t="s">
        <v>212</v>
      </c>
    </row>
    <row r="69" spans="1:7" x14ac:dyDescent="0.2">
      <c r="A69" s="98" t="s">
        <v>117</v>
      </c>
      <c r="B69" s="99"/>
      <c r="C69" s="90">
        <v>0</v>
      </c>
      <c r="D69" s="90">
        <v>0</v>
      </c>
      <c r="E69" s="89">
        <v>16000</v>
      </c>
      <c r="F69" s="89">
        <f t="shared" si="4"/>
        <v>0</v>
      </c>
      <c r="G69" s="88" t="s">
        <v>143</v>
      </c>
    </row>
    <row r="70" spans="1:7" x14ac:dyDescent="0.2">
      <c r="A70" s="98" t="s">
        <v>10</v>
      </c>
      <c r="B70" s="99"/>
      <c r="C70" s="90">
        <v>0</v>
      </c>
      <c r="D70" s="90">
        <v>0</v>
      </c>
      <c r="E70" s="89">
        <v>7000</v>
      </c>
      <c r="F70" s="89">
        <f t="shared" si="4"/>
        <v>0</v>
      </c>
      <c r="G70" s="88" t="s">
        <v>158</v>
      </c>
    </row>
    <row r="71" spans="1:7" x14ac:dyDescent="0.2">
      <c r="A71" s="116" t="s">
        <v>214</v>
      </c>
      <c r="B71" s="117"/>
      <c r="C71" s="93">
        <v>0</v>
      </c>
      <c r="D71" s="93">
        <v>0</v>
      </c>
      <c r="E71" s="94">
        <v>1000</v>
      </c>
      <c r="F71" s="94">
        <f t="shared" ref="F71" si="7">C71*D71*E71</f>
        <v>0</v>
      </c>
      <c r="G71" s="91" t="s">
        <v>159</v>
      </c>
    </row>
    <row r="72" spans="1:7" x14ac:dyDescent="0.2">
      <c r="A72" s="116" t="s">
        <v>95</v>
      </c>
      <c r="B72" s="117"/>
      <c r="C72" s="93">
        <v>0</v>
      </c>
      <c r="D72" s="93">
        <v>0</v>
      </c>
      <c r="E72" s="118">
        <v>150000</v>
      </c>
      <c r="F72" s="94">
        <f t="shared" ref="F72:F79" si="8">C72*D72*E72</f>
        <v>0</v>
      </c>
      <c r="G72" s="91" t="s">
        <v>96</v>
      </c>
    </row>
    <row r="73" spans="1:7" x14ac:dyDescent="0.2">
      <c r="A73" s="98" t="s">
        <v>97</v>
      </c>
      <c r="B73" s="99"/>
      <c r="C73" s="90">
        <v>0</v>
      </c>
      <c r="D73" s="90">
        <v>0</v>
      </c>
      <c r="E73" s="100">
        <v>120000</v>
      </c>
      <c r="F73" s="89">
        <f t="shared" si="8"/>
        <v>0</v>
      </c>
      <c r="G73" s="88" t="s">
        <v>98</v>
      </c>
    </row>
    <row r="74" spans="1:7" x14ac:dyDescent="0.2">
      <c r="A74" s="101" t="s">
        <v>215</v>
      </c>
      <c r="B74" s="102"/>
      <c r="C74" s="90">
        <v>0</v>
      </c>
      <c r="D74" s="138">
        <v>0</v>
      </c>
      <c r="E74" s="100">
        <v>3850</v>
      </c>
      <c r="F74" s="131">
        <f>E74*D74*C74</f>
        <v>0</v>
      </c>
      <c r="G74" s="98" t="s">
        <v>151</v>
      </c>
    </row>
    <row r="75" spans="1:7" x14ac:dyDescent="0.2">
      <c r="A75" s="101" t="s">
        <v>113</v>
      </c>
      <c r="B75" s="102"/>
      <c r="C75" s="90">
        <v>0</v>
      </c>
      <c r="D75" s="90">
        <v>0</v>
      </c>
      <c r="E75" s="100">
        <v>4800</v>
      </c>
      <c r="F75" s="89">
        <f>C75*D75*E75</f>
        <v>0</v>
      </c>
      <c r="G75" s="98" t="s">
        <v>216</v>
      </c>
    </row>
    <row r="76" spans="1:7" ht="15" customHeight="1" x14ac:dyDescent="0.2">
      <c r="A76" s="101" t="s">
        <v>114</v>
      </c>
      <c r="B76" s="102"/>
      <c r="C76" s="90">
        <v>0</v>
      </c>
      <c r="D76" s="90">
        <v>0</v>
      </c>
      <c r="E76" s="100">
        <v>5500</v>
      </c>
      <c r="F76" s="89">
        <f>C76*D76*E76</f>
        <v>0</v>
      </c>
      <c r="G76" s="98" t="s">
        <v>153</v>
      </c>
    </row>
    <row r="77" spans="1:7" ht="15" customHeight="1" x14ac:dyDescent="0.2">
      <c r="A77" s="101" t="s">
        <v>115</v>
      </c>
      <c r="B77" s="102"/>
      <c r="C77" s="90">
        <v>0</v>
      </c>
      <c r="D77" s="90">
        <v>0</v>
      </c>
      <c r="E77" s="100">
        <v>7500</v>
      </c>
      <c r="F77" s="89">
        <f t="shared" si="8"/>
        <v>0</v>
      </c>
      <c r="G77" s="98" t="s">
        <v>152</v>
      </c>
    </row>
    <row r="78" spans="1:7" x14ac:dyDescent="0.2">
      <c r="A78" s="98" t="s">
        <v>167</v>
      </c>
      <c r="B78" s="99"/>
      <c r="C78" s="90">
        <v>0</v>
      </c>
      <c r="D78" s="90">
        <v>0</v>
      </c>
      <c r="E78" s="89">
        <v>8500</v>
      </c>
      <c r="F78" s="89">
        <f t="shared" si="8"/>
        <v>0</v>
      </c>
      <c r="G78" s="103" t="s">
        <v>240</v>
      </c>
    </row>
    <row r="79" spans="1:7" ht="32" x14ac:dyDescent="0.2">
      <c r="A79" s="98" t="s">
        <v>160</v>
      </c>
      <c r="B79" s="99"/>
      <c r="C79" s="90">
        <v>0</v>
      </c>
      <c r="D79" s="90">
        <v>0</v>
      </c>
      <c r="E79" s="89">
        <v>13500</v>
      </c>
      <c r="F79" s="89">
        <f t="shared" si="8"/>
        <v>0</v>
      </c>
      <c r="G79" s="139" t="s">
        <v>241</v>
      </c>
    </row>
    <row r="80" spans="1:7" x14ac:dyDescent="0.2">
      <c r="A80" s="98" t="s">
        <v>94</v>
      </c>
      <c r="B80" s="99"/>
      <c r="C80" s="90">
        <v>0</v>
      </c>
      <c r="D80" s="90">
        <v>0</v>
      </c>
      <c r="E80" s="89">
        <v>2500</v>
      </c>
      <c r="F80" s="89">
        <f>C80*D80*E80</f>
        <v>0</v>
      </c>
      <c r="G80" s="88" t="s">
        <v>218</v>
      </c>
    </row>
    <row r="81" spans="1:7" x14ac:dyDescent="0.2">
      <c r="A81" s="98" t="s">
        <v>161</v>
      </c>
      <c r="B81" s="99"/>
      <c r="C81" s="90">
        <v>0</v>
      </c>
      <c r="D81" s="90">
        <v>0</v>
      </c>
      <c r="E81" s="100">
        <v>300000</v>
      </c>
      <c r="F81" s="89">
        <f>C81*D81*E81</f>
        <v>0</v>
      </c>
      <c r="G81" s="88" t="s">
        <v>217</v>
      </c>
    </row>
    <row r="82" spans="1:7" x14ac:dyDescent="0.2">
      <c r="A82" s="98" t="s">
        <v>162</v>
      </c>
      <c r="B82" s="99"/>
      <c r="C82" s="90">
        <v>0</v>
      </c>
      <c r="D82" s="90">
        <v>0</v>
      </c>
      <c r="E82" s="100">
        <v>250000</v>
      </c>
      <c r="F82" s="89">
        <f>C82*D82*E82</f>
        <v>0</v>
      </c>
      <c r="G82" s="88" t="s">
        <v>217</v>
      </c>
    </row>
    <row r="83" spans="1:7" x14ac:dyDescent="0.2">
      <c r="A83" s="98" t="s">
        <v>141</v>
      </c>
      <c r="B83" s="99"/>
      <c r="C83" s="90">
        <v>0</v>
      </c>
      <c r="D83" s="90">
        <v>0</v>
      </c>
      <c r="E83" s="100">
        <v>210000</v>
      </c>
      <c r="F83" s="89">
        <f t="shared" ref="F83:F90" si="9">C83*D83*E83</f>
        <v>0</v>
      </c>
      <c r="G83" s="88" t="s">
        <v>217</v>
      </c>
    </row>
    <row r="84" spans="1:7" x14ac:dyDescent="0.2">
      <c r="A84" s="98" t="s">
        <v>142</v>
      </c>
      <c r="B84" s="99"/>
      <c r="C84" s="90">
        <v>0</v>
      </c>
      <c r="D84" s="90">
        <v>0</v>
      </c>
      <c r="E84" s="100">
        <v>210000</v>
      </c>
      <c r="F84" s="89">
        <f t="shared" si="9"/>
        <v>0</v>
      </c>
      <c r="G84" s="88" t="s">
        <v>217</v>
      </c>
    </row>
    <row r="85" spans="1:7" x14ac:dyDescent="0.2">
      <c r="A85" s="98" t="s">
        <v>163</v>
      </c>
      <c r="B85" s="99"/>
      <c r="C85" s="90">
        <v>0</v>
      </c>
      <c r="D85" s="90">
        <v>0</v>
      </c>
      <c r="E85" s="100">
        <v>180000</v>
      </c>
      <c r="F85" s="89">
        <f t="shared" si="9"/>
        <v>0</v>
      </c>
      <c r="G85" s="88" t="s">
        <v>217</v>
      </c>
    </row>
    <row r="86" spans="1:7" x14ac:dyDescent="0.2">
      <c r="A86" s="98" t="s">
        <v>140</v>
      </c>
      <c r="B86" s="99"/>
      <c r="C86" s="90">
        <v>0</v>
      </c>
      <c r="D86" s="90">
        <v>0</v>
      </c>
      <c r="E86" s="100">
        <v>180000</v>
      </c>
      <c r="F86" s="89">
        <f t="shared" si="9"/>
        <v>0</v>
      </c>
      <c r="G86" s="88" t="s">
        <v>217</v>
      </c>
    </row>
    <row r="87" spans="1:7" x14ac:dyDescent="0.2">
      <c r="A87" s="98" t="s">
        <v>165</v>
      </c>
      <c r="B87" s="99"/>
      <c r="C87" s="90">
        <v>0</v>
      </c>
      <c r="D87" s="90">
        <v>0</v>
      </c>
      <c r="E87" s="94">
        <v>120000</v>
      </c>
      <c r="F87" s="89">
        <f t="shared" si="9"/>
        <v>0</v>
      </c>
      <c r="G87" s="88" t="s">
        <v>217</v>
      </c>
    </row>
    <row r="88" spans="1:7" x14ac:dyDescent="0.2">
      <c r="A88" s="98" t="s">
        <v>164</v>
      </c>
      <c r="B88" s="99"/>
      <c r="C88" s="90">
        <v>0</v>
      </c>
      <c r="D88" s="90">
        <v>0</v>
      </c>
      <c r="E88" s="94">
        <v>90000</v>
      </c>
      <c r="F88" s="89">
        <f t="shared" si="9"/>
        <v>0</v>
      </c>
      <c r="G88" s="88" t="s">
        <v>217</v>
      </c>
    </row>
    <row r="89" spans="1:7" x14ac:dyDescent="0.2">
      <c r="A89" s="98" t="s">
        <v>172</v>
      </c>
      <c r="B89" s="99"/>
      <c r="C89" s="90">
        <v>0</v>
      </c>
      <c r="D89" s="90">
        <v>0</v>
      </c>
      <c r="E89" s="94">
        <v>150000</v>
      </c>
      <c r="F89" s="89">
        <f t="shared" si="9"/>
        <v>0</v>
      </c>
      <c r="G89" s="88" t="s">
        <v>219</v>
      </c>
    </row>
    <row r="90" spans="1:7" x14ac:dyDescent="0.2">
      <c r="A90" s="98" t="s">
        <v>166</v>
      </c>
      <c r="B90" s="99"/>
      <c r="C90" s="90">
        <v>0</v>
      </c>
      <c r="D90" s="90">
        <v>0</v>
      </c>
      <c r="E90" s="94">
        <v>300000</v>
      </c>
      <c r="F90" s="89">
        <f t="shared" si="9"/>
        <v>0</v>
      </c>
      <c r="G90" s="88" t="s">
        <v>217</v>
      </c>
    </row>
    <row r="91" spans="1:7" x14ac:dyDescent="0.2">
      <c r="A91" s="106"/>
      <c r="B91" s="107"/>
      <c r="C91" s="106"/>
      <c r="D91" s="106"/>
      <c r="E91" s="106"/>
      <c r="F91" s="106"/>
    </row>
    <row r="92" spans="1:7" x14ac:dyDescent="0.2">
      <c r="A92" s="106"/>
      <c r="B92" s="107"/>
      <c r="C92" s="106"/>
      <c r="D92" s="106"/>
      <c r="E92" s="106"/>
      <c r="F92" s="106"/>
    </row>
    <row r="93" spans="1:7" ht="24" x14ac:dyDescent="0.3">
      <c r="A93" s="143" t="s">
        <v>244</v>
      </c>
      <c r="B93" s="144"/>
      <c r="C93" s="145" t="s">
        <v>245</v>
      </c>
      <c r="D93" s="145" t="s">
        <v>246</v>
      </c>
      <c r="E93" s="106"/>
      <c r="F93" s="106"/>
    </row>
    <row r="94" spans="1:7" x14ac:dyDescent="0.2">
      <c r="A94" s="144"/>
      <c r="B94" s="144"/>
      <c r="C94" s="144"/>
      <c r="D94" s="144"/>
      <c r="E94" s="106"/>
      <c r="F94" s="106"/>
    </row>
    <row r="95" spans="1:7" x14ac:dyDescent="0.2">
      <c r="A95" s="146" t="s">
        <v>247</v>
      </c>
      <c r="B95" s="144"/>
      <c r="C95" s="147">
        <v>2500</v>
      </c>
      <c r="D95" s="147">
        <v>2100.8000000000002</v>
      </c>
      <c r="E95" s="106"/>
      <c r="F95" s="106"/>
    </row>
    <row r="96" spans="1:7" x14ac:dyDescent="0.2">
      <c r="A96" s="144" t="s">
        <v>248</v>
      </c>
      <c r="B96" s="144"/>
      <c r="C96" s="147"/>
      <c r="D96" s="148"/>
      <c r="E96" s="106"/>
      <c r="F96" s="106"/>
    </row>
    <row r="97" spans="1:7" x14ac:dyDescent="0.2">
      <c r="A97" s="146" t="s">
        <v>249</v>
      </c>
      <c r="B97" s="144"/>
      <c r="C97" s="147">
        <v>2800</v>
      </c>
      <c r="D97" s="147">
        <v>2352.9</v>
      </c>
      <c r="E97" s="106"/>
      <c r="F97" s="106"/>
    </row>
    <row r="98" spans="1:7" x14ac:dyDescent="0.2">
      <c r="A98" s="144" t="s">
        <v>250</v>
      </c>
      <c r="B98" s="144"/>
      <c r="C98" s="148"/>
      <c r="D98" s="148"/>
      <c r="E98" s="106"/>
      <c r="F98" s="106"/>
    </row>
    <row r="99" spans="1:7" x14ac:dyDescent="0.2">
      <c r="A99" s="146" t="s">
        <v>251</v>
      </c>
      <c r="B99" s="144"/>
      <c r="C99" s="147">
        <v>3200</v>
      </c>
      <c r="D99" s="147">
        <v>2689.1</v>
      </c>
      <c r="E99" s="106"/>
      <c r="F99" s="106"/>
    </row>
    <row r="100" spans="1:7" x14ac:dyDescent="0.2">
      <c r="A100" s="144" t="s">
        <v>252</v>
      </c>
      <c r="B100" s="144"/>
      <c r="C100" s="148"/>
      <c r="D100" s="148"/>
      <c r="E100" s="106"/>
      <c r="F100" s="106"/>
    </row>
    <row r="101" spans="1:7" x14ac:dyDescent="0.2">
      <c r="A101" s="146" t="s">
        <v>253</v>
      </c>
      <c r="B101" s="144"/>
      <c r="C101" s="147">
        <v>1800</v>
      </c>
      <c r="D101" s="147">
        <v>1512.6</v>
      </c>
      <c r="E101" s="106"/>
      <c r="F101" s="106"/>
    </row>
    <row r="102" spans="1:7" x14ac:dyDescent="0.2">
      <c r="A102" s="144" t="s">
        <v>254</v>
      </c>
      <c r="B102" s="144"/>
      <c r="C102" s="148"/>
      <c r="D102" s="148"/>
      <c r="E102" s="106"/>
      <c r="F102" s="106"/>
    </row>
    <row r="103" spans="1:7" x14ac:dyDescent="0.2">
      <c r="A103" s="144"/>
      <c r="B103" s="144"/>
      <c r="C103" s="148"/>
      <c r="D103" s="148"/>
      <c r="E103" s="106"/>
      <c r="F103" s="106"/>
    </row>
    <row r="104" spans="1:7" x14ac:dyDescent="0.2">
      <c r="A104" s="146" t="s">
        <v>255</v>
      </c>
      <c r="B104" s="144"/>
      <c r="C104" s="147">
        <v>1800</v>
      </c>
      <c r="D104" s="147">
        <v>1512.6</v>
      </c>
      <c r="E104" s="106"/>
      <c r="F104" s="106"/>
    </row>
    <row r="105" spans="1:7" x14ac:dyDescent="0.2">
      <c r="A105" s="146" t="s">
        <v>256</v>
      </c>
      <c r="B105" s="144"/>
      <c r="C105" s="147">
        <v>1800</v>
      </c>
      <c r="D105" s="147">
        <v>1512.6</v>
      </c>
      <c r="E105" s="106"/>
      <c r="F105" s="106"/>
    </row>
    <row r="106" spans="1:7" x14ac:dyDescent="0.2">
      <c r="A106" s="146" t="s">
        <v>257</v>
      </c>
      <c r="B106" s="144"/>
      <c r="C106" s="147">
        <v>1800</v>
      </c>
      <c r="D106" s="147">
        <v>1512.6</v>
      </c>
      <c r="E106" s="106"/>
      <c r="F106" s="106"/>
    </row>
    <row r="107" spans="1:7" x14ac:dyDescent="0.2">
      <c r="A107" s="146" t="s">
        <v>258</v>
      </c>
      <c r="B107" s="144"/>
      <c r="C107" s="147">
        <v>2500</v>
      </c>
      <c r="D107" s="147">
        <v>2100.8000000000002</v>
      </c>
      <c r="E107" s="106"/>
      <c r="F107" s="106"/>
    </row>
    <row r="108" spans="1:7" x14ac:dyDescent="0.2">
      <c r="A108" s="146" t="s">
        <v>259</v>
      </c>
      <c r="B108" s="144"/>
      <c r="C108" s="147">
        <v>8500</v>
      </c>
      <c r="D108" s="147">
        <v>7142.9</v>
      </c>
      <c r="E108" s="106"/>
      <c r="F108" s="106"/>
      <c r="G108" s="6"/>
    </row>
    <row r="109" spans="1:7" x14ac:dyDescent="0.2">
      <c r="A109" s="146" t="s">
        <v>260</v>
      </c>
      <c r="B109" s="144"/>
      <c r="C109" s="147">
        <v>3000</v>
      </c>
      <c r="D109" s="147">
        <v>2521</v>
      </c>
      <c r="E109" s="106"/>
      <c r="F109" s="106"/>
    </row>
    <row r="110" spans="1:7" x14ac:dyDescent="0.2">
      <c r="A110" s="146" t="s">
        <v>261</v>
      </c>
      <c r="B110" s="144"/>
      <c r="C110" s="147">
        <v>3600</v>
      </c>
      <c r="D110" s="147">
        <v>3025.2</v>
      </c>
      <c r="E110" s="106"/>
      <c r="F110" s="106"/>
    </row>
    <row r="111" spans="1:7" x14ac:dyDescent="0.2">
      <c r="A111" s="146" t="s">
        <v>262</v>
      </c>
      <c r="B111" s="144"/>
      <c r="C111" s="147">
        <v>2500</v>
      </c>
      <c r="D111" s="147">
        <v>2100.8000000000002</v>
      </c>
      <c r="E111" s="106"/>
      <c r="F111" s="106"/>
    </row>
    <row r="112" spans="1:7" x14ac:dyDescent="0.2">
      <c r="A112" s="144"/>
      <c r="B112" s="144"/>
      <c r="C112" s="148"/>
      <c r="D112" s="148"/>
      <c r="E112" s="106"/>
      <c r="F112" s="106"/>
    </row>
    <row r="113" spans="1:6" x14ac:dyDescent="0.2">
      <c r="A113" s="149" t="s">
        <v>263</v>
      </c>
      <c r="B113" s="144"/>
      <c r="C113" s="148"/>
      <c r="D113" s="148"/>
      <c r="E113" s="106"/>
      <c r="F113" s="106"/>
    </row>
    <row r="114" spans="1:6" x14ac:dyDescent="0.2">
      <c r="A114" s="146" t="s">
        <v>264</v>
      </c>
      <c r="B114" s="144"/>
      <c r="C114" s="147">
        <v>3600</v>
      </c>
      <c r="D114" s="147">
        <v>3025.2</v>
      </c>
      <c r="E114" s="106"/>
      <c r="F114" s="106"/>
    </row>
    <row r="115" spans="1:6" x14ac:dyDescent="0.2">
      <c r="A115" s="146" t="s">
        <v>265</v>
      </c>
      <c r="B115" s="144"/>
      <c r="C115" s="147">
        <v>4800</v>
      </c>
      <c r="D115" s="147">
        <v>4033.6</v>
      </c>
      <c r="E115" s="106"/>
      <c r="F115" s="106"/>
    </row>
    <row r="116" spans="1:6" x14ac:dyDescent="0.2">
      <c r="A116" s="149" t="s">
        <v>266</v>
      </c>
      <c r="B116" s="144"/>
      <c r="C116" s="148"/>
      <c r="D116" s="148"/>
      <c r="E116" s="106"/>
      <c r="F116" s="106"/>
    </row>
    <row r="117" spans="1:6" x14ac:dyDescent="0.2">
      <c r="A117" s="146" t="s">
        <v>267</v>
      </c>
      <c r="B117" s="144"/>
      <c r="C117" s="147">
        <v>3600</v>
      </c>
      <c r="D117" s="147">
        <v>3025.2</v>
      </c>
      <c r="E117" s="106"/>
      <c r="F117" s="106"/>
    </row>
    <row r="118" spans="1:6" x14ac:dyDescent="0.2">
      <c r="A118" s="146" t="s">
        <v>268</v>
      </c>
      <c r="B118" s="144"/>
      <c r="C118" s="147">
        <v>4500</v>
      </c>
      <c r="D118" s="147">
        <v>3781.5</v>
      </c>
      <c r="E118" s="106"/>
      <c r="F118" s="106"/>
    </row>
    <row r="119" spans="1:6" x14ac:dyDescent="0.2">
      <c r="A119" s="146" t="s">
        <v>269</v>
      </c>
      <c r="B119" s="144"/>
      <c r="C119" s="147">
        <v>4800</v>
      </c>
      <c r="D119" s="147">
        <v>4033.6</v>
      </c>
      <c r="E119" s="106"/>
      <c r="F119" s="106"/>
    </row>
    <row r="120" spans="1:6" x14ac:dyDescent="0.2">
      <c r="A120" s="149" t="s">
        <v>270</v>
      </c>
      <c r="B120" s="144"/>
      <c r="C120" s="148"/>
      <c r="D120" s="148"/>
      <c r="E120" s="106"/>
      <c r="F120" s="106"/>
    </row>
    <row r="121" spans="1:6" x14ac:dyDescent="0.2">
      <c r="A121" s="146" t="s">
        <v>271</v>
      </c>
      <c r="B121" s="144"/>
      <c r="C121" s="147">
        <v>4500</v>
      </c>
      <c r="D121" s="147">
        <v>3781.5</v>
      </c>
      <c r="E121" s="106"/>
      <c r="F121" s="106"/>
    </row>
    <row r="122" spans="1:6" x14ac:dyDescent="0.2">
      <c r="A122" s="146" t="s">
        <v>272</v>
      </c>
      <c r="B122" s="144"/>
      <c r="C122" s="147">
        <v>8000</v>
      </c>
      <c r="D122" s="147">
        <v>6722.7</v>
      </c>
      <c r="E122" s="106"/>
      <c r="F122" s="106"/>
    </row>
    <row r="123" spans="1:6" x14ac:dyDescent="0.2">
      <c r="A123" s="146" t="s">
        <v>273</v>
      </c>
      <c r="B123" s="144"/>
      <c r="C123" s="147">
        <v>4500</v>
      </c>
      <c r="D123" s="147">
        <v>3781.5</v>
      </c>
      <c r="E123" s="106"/>
      <c r="F123" s="106"/>
    </row>
    <row r="124" spans="1:6" x14ac:dyDescent="0.2">
      <c r="A124" s="146" t="s">
        <v>274</v>
      </c>
      <c r="B124" s="144"/>
      <c r="C124" s="147">
        <v>6500</v>
      </c>
      <c r="D124" s="147">
        <v>5462.2</v>
      </c>
      <c r="E124" s="106"/>
      <c r="F124" s="106"/>
    </row>
    <row r="125" spans="1:6" x14ac:dyDescent="0.2">
      <c r="A125" s="146" t="s">
        <v>275</v>
      </c>
      <c r="B125" s="144"/>
      <c r="C125" s="147">
        <v>7500</v>
      </c>
      <c r="D125" s="147">
        <v>6302.5</v>
      </c>
      <c r="E125" s="106"/>
      <c r="F125" s="106"/>
    </row>
    <row r="126" spans="1:6" x14ac:dyDescent="0.2">
      <c r="A126" s="149" t="s">
        <v>276</v>
      </c>
      <c r="B126" s="144"/>
      <c r="C126" s="148"/>
      <c r="D126" s="148"/>
      <c r="E126" s="106"/>
      <c r="F126" s="106"/>
    </row>
    <row r="127" spans="1:6" x14ac:dyDescent="0.2">
      <c r="A127" s="146" t="s">
        <v>277</v>
      </c>
      <c r="B127" s="144"/>
      <c r="C127" s="147">
        <v>4800</v>
      </c>
      <c r="D127" s="147">
        <v>4033.6</v>
      </c>
      <c r="E127" s="106"/>
      <c r="F127" s="106"/>
    </row>
    <row r="128" spans="1:6" x14ac:dyDescent="0.2">
      <c r="A128" s="146" t="s">
        <v>278</v>
      </c>
      <c r="B128" s="144"/>
      <c r="C128" s="147">
        <v>6000</v>
      </c>
      <c r="D128" s="147">
        <v>5042</v>
      </c>
      <c r="E128" s="106"/>
      <c r="F128" s="106"/>
    </row>
    <row r="129" spans="1:6" x14ac:dyDescent="0.2">
      <c r="A129" s="146" t="s">
        <v>279</v>
      </c>
      <c r="B129" s="144"/>
      <c r="C129" s="147">
        <v>4500</v>
      </c>
      <c r="D129" s="147">
        <v>3781.5</v>
      </c>
      <c r="E129" s="106"/>
      <c r="F129" s="106"/>
    </row>
    <row r="130" spans="1:6" x14ac:dyDescent="0.2">
      <c r="A130" s="149" t="s">
        <v>280</v>
      </c>
      <c r="B130" s="144"/>
      <c r="C130" s="148"/>
      <c r="D130" s="148"/>
      <c r="E130" s="106"/>
      <c r="F130" s="106"/>
    </row>
    <row r="131" spans="1:6" x14ac:dyDescent="0.2">
      <c r="A131" s="146" t="s">
        <v>281</v>
      </c>
      <c r="B131" s="144"/>
      <c r="C131" s="147">
        <v>3000</v>
      </c>
      <c r="D131" s="147">
        <v>2521</v>
      </c>
      <c r="E131" s="106"/>
      <c r="F131" s="106"/>
    </row>
    <row r="132" spans="1:6" x14ac:dyDescent="0.2">
      <c r="A132" s="146" t="s">
        <v>282</v>
      </c>
      <c r="B132" s="144"/>
      <c r="C132" s="147">
        <v>3200</v>
      </c>
      <c r="D132" s="147">
        <v>2689.1</v>
      </c>
      <c r="E132" s="106"/>
      <c r="F132" s="106"/>
    </row>
    <row r="133" spans="1:6" x14ac:dyDescent="0.2">
      <c r="A133" s="149" t="s">
        <v>283</v>
      </c>
      <c r="B133" s="144"/>
      <c r="C133" s="148"/>
      <c r="D133" s="148"/>
      <c r="E133" s="106"/>
      <c r="F133" s="106"/>
    </row>
    <row r="134" spans="1:6" x14ac:dyDescent="0.2">
      <c r="A134" s="146" t="s">
        <v>284</v>
      </c>
      <c r="B134" s="144"/>
      <c r="C134" s="147">
        <v>4800</v>
      </c>
      <c r="D134" s="147">
        <v>4033.6</v>
      </c>
      <c r="E134" s="106"/>
      <c r="F134" s="106"/>
    </row>
    <row r="135" spans="1:6" x14ac:dyDescent="0.2">
      <c r="A135" s="146" t="s">
        <v>285</v>
      </c>
      <c r="B135" s="144"/>
      <c r="C135" s="147">
        <v>4800</v>
      </c>
      <c r="D135" s="147">
        <v>4033.6</v>
      </c>
      <c r="E135" s="106"/>
      <c r="F135" s="106"/>
    </row>
    <row r="136" spans="1:6" x14ac:dyDescent="0.2">
      <c r="A136" s="146" t="s">
        <v>286</v>
      </c>
      <c r="B136" s="144"/>
      <c r="C136" s="147">
        <v>6000</v>
      </c>
      <c r="D136" s="147">
        <v>5042</v>
      </c>
      <c r="E136" s="106"/>
      <c r="F136" s="106"/>
    </row>
    <row r="137" spans="1:6" x14ac:dyDescent="0.2">
      <c r="A137" s="146" t="s">
        <v>287</v>
      </c>
      <c r="B137" s="144"/>
      <c r="C137" s="147">
        <v>6000</v>
      </c>
      <c r="D137" s="147">
        <v>5042</v>
      </c>
      <c r="E137" s="106"/>
      <c r="F137" s="106"/>
    </row>
    <row r="138" spans="1:6" x14ac:dyDescent="0.2">
      <c r="A138" s="146" t="s">
        <v>288</v>
      </c>
      <c r="B138" s="144"/>
      <c r="C138" s="147">
        <v>4500</v>
      </c>
      <c r="D138" s="147">
        <v>3781.5</v>
      </c>
      <c r="E138" s="106"/>
      <c r="F138" s="106"/>
    </row>
    <row r="139" spans="1:6" x14ac:dyDescent="0.2">
      <c r="A139" s="146" t="s">
        <v>289</v>
      </c>
      <c r="B139" s="144"/>
      <c r="C139" s="147">
        <v>4800</v>
      </c>
      <c r="D139" s="147">
        <v>4033.6</v>
      </c>
      <c r="E139" s="106"/>
      <c r="F139" s="106"/>
    </row>
    <row r="140" spans="1:6" x14ac:dyDescent="0.2">
      <c r="A140" s="146" t="s">
        <v>290</v>
      </c>
      <c r="B140" s="144"/>
      <c r="C140" s="147">
        <v>3600</v>
      </c>
      <c r="D140" s="147">
        <v>3025.2</v>
      </c>
      <c r="E140" s="106"/>
      <c r="F140" s="106"/>
    </row>
    <row r="141" spans="1:6" x14ac:dyDescent="0.2">
      <c r="A141" s="146" t="s">
        <v>291</v>
      </c>
      <c r="B141" s="144"/>
      <c r="C141" s="147">
        <v>6000</v>
      </c>
      <c r="D141" s="147">
        <v>5042</v>
      </c>
      <c r="E141" s="106"/>
      <c r="F141" s="106"/>
    </row>
    <row r="142" spans="1:6" x14ac:dyDescent="0.2">
      <c r="A142" s="149" t="s">
        <v>292</v>
      </c>
      <c r="B142" s="144"/>
      <c r="C142" s="148"/>
      <c r="D142" s="148"/>
      <c r="E142" s="106"/>
      <c r="F142" s="106"/>
    </row>
    <row r="143" spans="1:6" x14ac:dyDescent="0.2">
      <c r="A143" s="146" t="s">
        <v>293</v>
      </c>
      <c r="B143" s="144"/>
      <c r="C143" s="147">
        <v>2400</v>
      </c>
      <c r="D143" s="147">
        <v>2016.8</v>
      </c>
      <c r="E143" s="106"/>
      <c r="F143" s="106"/>
    </row>
    <row r="144" spans="1:6" x14ac:dyDescent="0.2">
      <c r="A144" s="146" t="s">
        <v>294</v>
      </c>
      <c r="B144" s="144"/>
      <c r="C144" s="147">
        <v>2400</v>
      </c>
      <c r="D144" s="147">
        <v>2016.8</v>
      </c>
      <c r="E144" s="106"/>
      <c r="F144" s="106"/>
    </row>
    <row r="145" spans="1:6" x14ac:dyDescent="0.2">
      <c r="A145" s="146" t="s">
        <v>295</v>
      </c>
      <c r="B145" s="144"/>
      <c r="C145" s="147">
        <v>2400</v>
      </c>
      <c r="D145" s="147">
        <v>2016.8</v>
      </c>
      <c r="E145" s="106"/>
      <c r="F145" s="106"/>
    </row>
    <row r="146" spans="1:6" x14ac:dyDescent="0.2">
      <c r="A146" s="144"/>
      <c r="B146" s="144"/>
      <c r="C146" s="148"/>
      <c r="D146" s="148"/>
      <c r="E146" s="106"/>
      <c r="F146" s="106"/>
    </row>
    <row r="147" spans="1:6" x14ac:dyDescent="0.2">
      <c r="A147" s="146" t="s">
        <v>296</v>
      </c>
      <c r="B147" s="144"/>
      <c r="C147" s="147">
        <v>3600</v>
      </c>
      <c r="D147" s="147">
        <v>3025.2</v>
      </c>
      <c r="E147" s="106"/>
      <c r="F147" s="106"/>
    </row>
    <row r="148" spans="1:6" x14ac:dyDescent="0.2">
      <c r="A148" s="144" t="s">
        <v>297</v>
      </c>
      <c r="B148" s="144"/>
      <c r="C148" s="148"/>
      <c r="D148" s="148"/>
      <c r="E148" s="106"/>
      <c r="F148" s="106"/>
    </row>
    <row r="149" spans="1:6" x14ac:dyDescent="0.2">
      <c r="A149" s="146" t="s">
        <v>298</v>
      </c>
      <c r="B149" s="144"/>
      <c r="C149" s="147">
        <v>3600</v>
      </c>
      <c r="D149" s="147">
        <v>3025.2</v>
      </c>
      <c r="E149" s="106"/>
      <c r="F149" s="106"/>
    </row>
    <row r="150" spans="1:6" x14ac:dyDescent="0.2">
      <c r="A150" s="144" t="s">
        <v>299</v>
      </c>
      <c r="B150" s="144"/>
      <c r="C150" s="148"/>
      <c r="D150" s="148"/>
      <c r="E150" s="106"/>
      <c r="F150" s="106"/>
    </row>
    <row r="151" spans="1:6" x14ac:dyDescent="0.2">
      <c r="A151" s="146" t="s">
        <v>300</v>
      </c>
      <c r="B151" s="144"/>
      <c r="C151" s="147">
        <v>4500</v>
      </c>
      <c r="D151" s="147">
        <v>3781.5</v>
      </c>
      <c r="E151" s="106"/>
      <c r="F151" s="106"/>
    </row>
    <row r="152" spans="1:6" x14ac:dyDescent="0.2">
      <c r="A152" s="144" t="s">
        <v>301</v>
      </c>
      <c r="B152" s="144"/>
      <c r="C152" s="148"/>
      <c r="D152" s="148"/>
      <c r="E152" s="106"/>
      <c r="F152" s="106"/>
    </row>
    <row r="153" spans="1:6" x14ac:dyDescent="0.2">
      <c r="A153" s="146" t="s">
        <v>302</v>
      </c>
      <c r="B153" s="144"/>
      <c r="C153" s="147">
        <v>4500</v>
      </c>
      <c r="D153" s="147">
        <v>3781.5</v>
      </c>
      <c r="E153" s="106"/>
      <c r="F153" s="106"/>
    </row>
    <row r="154" spans="1:6" x14ac:dyDescent="0.2">
      <c r="A154" s="150" t="s">
        <v>303</v>
      </c>
      <c r="B154" s="144"/>
      <c r="C154" s="148"/>
      <c r="D154" s="148"/>
      <c r="E154" s="106"/>
      <c r="F154" s="106"/>
    </row>
    <row r="155" spans="1:6" x14ac:dyDescent="0.2">
      <c r="A155" s="146" t="s">
        <v>304</v>
      </c>
      <c r="B155" s="144"/>
      <c r="C155" s="147">
        <v>4800</v>
      </c>
      <c r="D155" s="147">
        <v>4033.6</v>
      </c>
      <c r="E155" s="106"/>
      <c r="F155" s="106"/>
    </row>
    <row r="156" spans="1:6" x14ac:dyDescent="0.2">
      <c r="A156" s="144" t="s">
        <v>305</v>
      </c>
      <c r="B156" s="144"/>
      <c r="C156" s="148"/>
      <c r="D156" s="148"/>
      <c r="E156" s="106"/>
      <c r="F156" s="106"/>
    </row>
    <row r="157" spans="1:6" x14ac:dyDescent="0.2">
      <c r="A157" s="146" t="s">
        <v>306</v>
      </c>
      <c r="B157" s="144"/>
      <c r="C157" s="147">
        <v>4500</v>
      </c>
      <c r="D157" s="147">
        <v>3781.5</v>
      </c>
      <c r="E157" s="106"/>
      <c r="F157" s="106"/>
    </row>
    <row r="158" spans="1:6" x14ac:dyDescent="0.2">
      <c r="A158" s="144" t="s">
        <v>307</v>
      </c>
      <c r="B158" s="144"/>
      <c r="C158" s="148"/>
      <c r="D158" s="148"/>
      <c r="E158" s="106"/>
      <c r="F158" s="106"/>
    </row>
    <row r="159" spans="1:6" x14ac:dyDescent="0.2">
      <c r="A159" s="146" t="s">
        <v>308</v>
      </c>
      <c r="B159" s="144"/>
      <c r="C159" s="147">
        <v>5400</v>
      </c>
      <c r="D159" s="147">
        <v>4537.8</v>
      </c>
      <c r="E159" s="106"/>
      <c r="F159" s="106"/>
    </row>
    <row r="160" spans="1:6" x14ac:dyDescent="0.2">
      <c r="A160" s="144" t="s">
        <v>309</v>
      </c>
      <c r="B160" s="144"/>
      <c r="C160" s="148"/>
      <c r="D160" s="148"/>
      <c r="E160" s="106"/>
      <c r="F160" s="106"/>
    </row>
    <row r="161" spans="1:6" x14ac:dyDescent="0.2">
      <c r="A161" s="146" t="s">
        <v>310</v>
      </c>
      <c r="B161" s="144"/>
      <c r="C161" s="147">
        <v>4500</v>
      </c>
      <c r="D161" s="147">
        <v>3781.5</v>
      </c>
      <c r="E161" s="106"/>
      <c r="F161" s="106"/>
    </row>
    <row r="162" spans="1:6" x14ac:dyDescent="0.2">
      <c r="A162" s="144" t="s">
        <v>311</v>
      </c>
      <c r="B162" s="144"/>
      <c r="C162" s="148"/>
      <c r="D162" s="148"/>
      <c r="E162" s="106"/>
      <c r="F162" s="106"/>
    </row>
    <row r="163" spans="1:6" x14ac:dyDescent="0.2">
      <c r="A163" s="146" t="s">
        <v>312</v>
      </c>
      <c r="B163" s="144"/>
      <c r="C163" s="147">
        <v>4500</v>
      </c>
      <c r="D163" s="147">
        <v>3781.5</v>
      </c>
      <c r="E163" s="106"/>
      <c r="F163" s="106"/>
    </row>
    <row r="164" spans="1:6" x14ac:dyDescent="0.2">
      <c r="A164" s="144" t="s">
        <v>313</v>
      </c>
      <c r="B164" s="144"/>
      <c r="C164" s="148"/>
      <c r="D164" s="148"/>
      <c r="E164" s="106"/>
      <c r="F164" s="106"/>
    </row>
    <row r="165" spans="1:6" x14ac:dyDescent="0.2">
      <c r="A165" s="146" t="s">
        <v>314</v>
      </c>
      <c r="B165" s="144"/>
      <c r="C165" s="147">
        <v>4500</v>
      </c>
      <c r="D165" s="147">
        <v>3781.5</v>
      </c>
      <c r="E165" s="106"/>
      <c r="F165" s="106"/>
    </row>
    <row r="166" spans="1:6" x14ac:dyDescent="0.2">
      <c r="A166" s="144" t="s">
        <v>315</v>
      </c>
      <c r="B166" s="144"/>
      <c r="C166" s="148"/>
      <c r="D166" s="148"/>
      <c r="E166" s="106"/>
      <c r="F166" s="106"/>
    </row>
    <row r="167" spans="1:6" x14ac:dyDescent="0.2">
      <c r="A167" s="146" t="s">
        <v>316</v>
      </c>
      <c r="B167" s="144"/>
      <c r="C167" s="147">
        <v>4500</v>
      </c>
      <c r="D167" s="147">
        <v>3781.5</v>
      </c>
      <c r="E167" s="106"/>
      <c r="F167" s="106"/>
    </row>
    <row r="168" spans="1:6" x14ac:dyDescent="0.2">
      <c r="A168" s="144" t="s">
        <v>317</v>
      </c>
      <c r="B168" s="144"/>
      <c r="C168" s="148"/>
      <c r="D168" s="148"/>
      <c r="E168" s="106"/>
      <c r="F168" s="106"/>
    </row>
    <row r="169" spans="1:6" x14ac:dyDescent="0.2">
      <c r="A169" s="146" t="s">
        <v>318</v>
      </c>
      <c r="B169" s="144"/>
      <c r="C169" s="147">
        <v>4500</v>
      </c>
      <c r="D169" s="147">
        <v>3781.5</v>
      </c>
      <c r="E169" s="106"/>
      <c r="F169" s="106"/>
    </row>
    <row r="170" spans="1:6" x14ac:dyDescent="0.2">
      <c r="A170" s="144" t="s">
        <v>319</v>
      </c>
      <c r="B170" s="144"/>
      <c r="C170" s="148"/>
      <c r="D170" s="148"/>
      <c r="E170" s="106"/>
      <c r="F170" s="106"/>
    </row>
    <row r="171" spans="1:6" x14ac:dyDescent="0.2">
      <c r="A171" s="146" t="s">
        <v>320</v>
      </c>
      <c r="B171" s="144"/>
      <c r="C171" s="147">
        <v>6000</v>
      </c>
      <c r="D171" s="147">
        <v>5042</v>
      </c>
      <c r="E171" s="106"/>
      <c r="F171" s="106"/>
    </row>
    <row r="172" spans="1:6" x14ac:dyDescent="0.2">
      <c r="A172" s="144" t="s">
        <v>321</v>
      </c>
      <c r="B172" s="144"/>
      <c r="C172" s="148"/>
      <c r="D172" s="148"/>
      <c r="E172" s="106"/>
      <c r="F172" s="106"/>
    </row>
    <row r="173" spans="1:6" x14ac:dyDescent="0.2">
      <c r="A173" s="146" t="s">
        <v>322</v>
      </c>
      <c r="B173" s="144"/>
      <c r="C173" s="147">
        <v>4500</v>
      </c>
      <c r="D173" s="147">
        <v>3781.5</v>
      </c>
      <c r="E173" s="106"/>
      <c r="F173" s="106"/>
    </row>
    <row r="174" spans="1:6" x14ac:dyDescent="0.2">
      <c r="A174" s="144" t="s">
        <v>323</v>
      </c>
      <c r="B174" s="144"/>
      <c r="C174" s="148"/>
      <c r="D174" s="148"/>
      <c r="E174" s="106"/>
      <c r="F174" s="106"/>
    </row>
    <row r="175" spans="1:6" x14ac:dyDescent="0.2">
      <c r="A175" s="144"/>
      <c r="B175" s="144"/>
      <c r="C175" s="148"/>
      <c r="D175" s="148"/>
      <c r="E175" s="106"/>
      <c r="F175" s="106"/>
    </row>
    <row r="176" spans="1:6" x14ac:dyDescent="0.2">
      <c r="A176" s="146" t="s">
        <v>324</v>
      </c>
      <c r="B176" s="144"/>
      <c r="C176" s="147">
        <v>9000</v>
      </c>
      <c r="D176" s="147">
        <v>7563</v>
      </c>
      <c r="E176" s="106"/>
      <c r="F176" s="106"/>
    </row>
    <row r="177" spans="1:6" x14ac:dyDescent="0.2">
      <c r="A177" s="144" t="s">
        <v>325</v>
      </c>
      <c r="B177" s="144"/>
      <c r="C177" s="148"/>
      <c r="D177" s="148"/>
      <c r="E177" s="106"/>
      <c r="F177" s="106"/>
    </row>
    <row r="178" spans="1:6" x14ac:dyDescent="0.2">
      <c r="A178" s="146" t="s">
        <v>326</v>
      </c>
      <c r="B178" s="144"/>
      <c r="C178" s="147">
        <v>12000</v>
      </c>
      <c r="D178" s="147">
        <v>10084</v>
      </c>
      <c r="E178" s="106"/>
      <c r="F178" s="106"/>
    </row>
    <row r="179" spans="1:6" x14ac:dyDescent="0.2">
      <c r="A179" s="144" t="s">
        <v>325</v>
      </c>
      <c r="B179" s="144"/>
      <c r="C179" s="148"/>
      <c r="D179" s="148"/>
      <c r="E179" s="106"/>
      <c r="F179" s="106"/>
    </row>
    <row r="180" spans="1:6" x14ac:dyDescent="0.2">
      <c r="A180" s="146" t="s">
        <v>327</v>
      </c>
      <c r="B180" s="144"/>
      <c r="C180" s="147">
        <v>12000</v>
      </c>
      <c r="D180" s="147">
        <v>10084</v>
      </c>
      <c r="E180" s="106"/>
      <c r="F180" s="106"/>
    </row>
    <row r="181" spans="1:6" x14ac:dyDescent="0.2">
      <c r="A181" s="144" t="s">
        <v>328</v>
      </c>
      <c r="B181" s="144"/>
      <c r="C181" s="148"/>
      <c r="D181" s="148"/>
      <c r="E181" s="106"/>
      <c r="F181" s="106"/>
    </row>
    <row r="182" spans="1:6" x14ac:dyDescent="0.2">
      <c r="A182" s="146" t="s">
        <v>329</v>
      </c>
      <c r="B182" s="144"/>
      <c r="C182" s="147">
        <v>12000</v>
      </c>
      <c r="D182" s="147">
        <v>10084</v>
      </c>
      <c r="E182" s="106"/>
      <c r="F182" s="106"/>
    </row>
    <row r="183" spans="1:6" x14ac:dyDescent="0.2">
      <c r="A183" s="144" t="s">
        <v>330</v>
      </c>
      <c r="B183" s="144"/>
      <c r="C183" s="148"/>
      <c r="D183" s="148"/>
      <c r="E183" s="106"/>
      <c r="F183" s="106"/>
    </row>
    <row r="184" spans="1:6" x14ac:dyDescent="0.2">
      <c r="A184" s="146" t="s">
        <v>331</v>
      </c>
      <c r="B184" s="144"/>
      <c r="C184" s="147">
        <v>12000</v>
      </c>
      <c r="D184" s="147">
        <v>10084</v>
      </c>
      <c r="E184" s="106"/>
      <c r="F184" s="106"/>
    </row>
    <row r="185" spans="1:6" x14ac:dyDescent="0.2">
      <c r="A185" s="144" t="s">
        <v>332</v>
      </c>
      <c r="B185" s="144"/>
      <c r="C185" s="148"/>
      <c r="D185" s="148"/>
      <c r="E185" s="106"/>
      <c r="F185" s="106"/>
    </row>
    <row r="186" spans="1:6" x14ac:dyDescent="0.2">
      <c r="A186" s="146" t="s">
        <v>333</v>
      </c>
      <c r="B186" s="144"/>
      <c r="C186" s="147">
        <v>14000</v>
      </c>
      <c r="D186" s="147">
        <v>11764.7</v>
      </c>
      <c r="E186" s="106"/>
      <c r="F186" s="106"/>
    </row>
    <row r="187" spans="1:6" x14ac:dyDescent="0.2">
      <c r="A187" s="144" t="s">
        <v>325</v>
      </c>
      <c r="B187" s="144"/>
      <c r="C187" s="148"/>
      <c r="D187" s="148"/>
      <c r="E187" s="106"/>
      <c r="F187" s="106"/>
    </row>
    <row r="188" spans="1:6" x14ac:dyDescent="0.2">
      <c r="A188" s="146" t="s">
        <v>334</v>
      </c>
      <c r="B188" s="144"/>
      <c r="C188" s="147">
        <v>14000</v>
      </c>
      <c r="D188" s="147">
        <v>11764.7</v>
      </c>
      <c r="E188" s="106"/>
      <c r="F188" s="106"/>
    </row>
    <row r="189" spans="1:6" x14ac:dyDescent="0.2">
      <c r="A189" s="144" t="s">
        <v>335</v>
      </c>
      <c r="B189" s="144"/>
      <c r="C189" s="148"/>
      <c r="D189" s="148"/>
      <c r="E189" s="106"/>
      <c r="F189" s="106"/>
    </row>
    <row r="190" spans="1:6" x14ac:dyDescent="0.2">
      <c r="A190" s="146" t="s">
        <v>336</v>
      </c>
      <c r="B190" s="144"/>
      <c r="C190" s="147">
        <v>16000</v>
      </c>
      <c r="D190" s="147">
        <v>13445.4</v>
      </c>
      <c r="E190" s="106"/>
      <c r="F190" s="106"/>
    </row>
    <row r="191" spans="1:6" x14ac:dyDescent="0.2">
      <c r="A191" s="144" t="s">
        <v>337</v>
      </c>
      <c r="B191" s="144"/>
      <c r="C191" s="148"/>
      <c r="D191" s="148"/>
      <c r="E191" s="106"/>
      <c r="F191" s="106"/>
    </row>
    <row r="192" spans="1:6" x14ac:dyDescent="0.2">
      <c r="A192" s="146" t="s">
        <v>338</v>
      </c>
      <c r="B192" s="144"/>
      <c r="C192" s="147">
        <v>18000</v>
      </c>
      <c r="D192" s="147">
        <v>15126.1</v>
      </c>
      <c r="E192" s="106"/>
      <c r="F192" s="106"/>
    </row>
    <row r="193" spans="1:6" x14ac:dyDescent="0.2">
      <c r="A193" s="144" t="s">
        <v>325</v>
      </c>
      <c r="B193" s="144"/>
      <c r="C193" s="148"/>
      <c r="D193" s="148"/>
      <c r="E193" s="106"/>
      <c r="F193" s="106"/>
    </row>
    <row r="194" spans="1:6" x14ac:dyDescent="0.2">
      <c r="A194" s="146" t="s">
        <v>339</v>
      </c>
      <c r="B194" s="144"/>
      <c r="C194" s="147">
        <v>18000</v>
      </c>
      <c r="D194" s="147">
        <v>15126.1</v>
      </c>
      <c r="E194" s="106"/>
      <c r="F194" s="106"/>
    </row>
    <row r="195" spans="1:6" x14ac:dyDescent="0.2">
      <c r="A195" s="144" t="s">
        <v>340</v>
      </c>
      <c r="B195" s="144"/>
      <c r="C195" s="148"/>
      <c r="D195" s="148"/>
      <c r="E195" s="106"/>
      <c r="F195" s="106"/>
    </row>
    <row r="196" spans="1:6" x14ac:dyDescent="0.2">
      <c r="A196" s="144" t="s">
        <v>341</v>
      </c>
      <c r="B196" s="144"/>
      <c r="C196" s="148"/>
      <c r="D196" s="148"/>
      <c r="E196" s="106"/>
      <c r="F196" s="106"/>
    </row>
    <row r="197" spans="1:6" x14ac:dyDescent="0.2">
      <c r="A197" s="146" t="s">
        <v>342</v>
      </c>
      <c r="B197" s="144"/>
      <c r="C197" s="147">
        <v>21000</v>
      </c>
      <c r="D197" s="147">
        <v>17647.099999999999</v>
      </c>
      <c r="E197" s="106"/>
      <c r="F197" s="106"/>
    </row>
    <row r="198" spans="1:6" x14ac:dyDescent="0.2">
      <c r="A198" s="144" t="s">
        <v>343</v>
      </c>
      <c r="B198" s="144"/>
      <c r="C198" s="148"/>
      <c r="D198" s="148"/>
      <c r="E198" s="106"/>
      <c r="F198" s="106"/>
    </row>
    <row r="199" spans="1:6" x14ac:dyDescent="0.2">
      <c r="A199" s="146" t="s">
        <v>344</v>
      </c>
      <c r="B199" s="144"/>
      <c r="C199" s="147">
        <v>24000</v>
      </c>
      <c r="D199" s="147">
        <v>20168.099999999999</v>
      </c>
      <c r="E199" s="106"/>
      <c r="F199" s="106"/>
    </row>
    <row r="200" spans="1:6" x14ac:dyDescent="0.2">
      <c r="A200" s="144" t="s">
        <v>325</v>
      </c>
      <c r="B200" s="144"/>
      <c r="C200" s="148"/>
      <c r="D200" s="148"/>
      <c r="E200" s="106"/>
      <c r="F200" s="106"/>
    </row>
    <row r="201" spans="1:6" x14ac:dyDescent="0.2">
      <c r="A201" s="146" t="s">
        <v>345</v>
      </c>
      <c r="B201" s="144"/>
      <c r="C201" s="147">
        <v>6000</v>
      </c>
      <c r="D201" s="147">
        <v>5042</v>
      </c>
      <c r="E201" s="106"/>
      <c r="F201" s="106"/>
    </row>
    <row r="202" spans="1:6" x14ac:dyDescent="0.2">
      <c r="A202" s="144" t="s">
        <v>346</v>
      </c>
      <c r="B202" s="144"/>
      <c r="C202" s="148"/>
      <c r="D202" s="148"/>
      <c r="E202" s="106"/>
      <c r="F202" s="106"/>
    </row>
    <row r="203" spans="1:6" x14ac:dyDescent="0.2">
      <c r="A203" s="146" t="s">
        <v>347</v>
      </c>
      <c r="B203" s="144"/>
      <c r="C203" s="147">
        <v>10000</v>
      </c>
      <c r="D203" s="147">
        <v>8403.4</v>
      </c>
      <c r="E203" s="106"/>
      <c r="F203" s="106"/>
    </row>
    <row r="204" spans="1:6" x14ac:dyDescent="0.2">
      <c r="A204" s="144"/>
      <c r="B204" s="144"/>
      <c r="C204" s="148"/>
      <c r="D204" s="148"/>
      <c r="E204" s="106"/>
      <c r="F204" s="106"/>
    </row>
    <row r="205" spans="1:6" x14ac:dyDescent="0.2">
      <c r="A205" s="144"/>
      <c r="B205" s="144"/>
      <c r="C205" s="148"/>
      <c r="D205" s="148"/>
      <c r="E205" s="106"/>
      <c r="F205" s="106"/>
    </row>
    <row r="206" spans="1:6" x14ac:dyDescent="0.2">
      <c r="A206" s="146" t="s">
        <v>348</v>
      </c>
      <c r="B206" s="144"/>
      <c r="C206" s="147">
        <v>18000</v>
      </c>
      <c r="D206" s="147">
        <v>15126.1</v>
      </c>
      <c r="E206" s="106"/>
      <c r="F206" s="106"/>
    </row>
    <row r="207" spans="1:6" x14ac:dyDescent="0.2">
      <c r="A207" s="144" t="s">
        <v>349</v>
      </c>
      <c r="B207" s="144"/>
      <c r="C207" s="148"/>
      <c r="D207" s="148"/>
      <c r="E207" s="106"/>
      <c r="F207" s="106"/>
    </row>
    <row r="208" spans="1:6" x14ac:dyDescent="0.2">
      <c r="A208" s="144" t="s">
        <v>350</v>
      </c>
      <c r="B208" s="144"/>
      <c r="C208" s="148"/>
      <c r="D208" s="148"/>
      <c r="E208" s="106"/>
      <c r="F208" s="106"/>
    </row>
    <row r="209" spans="1:6" x14ac:dyDescent="0.2">
      <c r="A209" s="146" t="s">
        <v>351</v>
      </c>
      <c r="B209" s="144"/>
      <c r="C209" s="147">
        <v>22000</v>
      </c>
      <c r="D209" s="147">
        <v>18487.400000000001</v>
      </c>
      <c r="E209" s="106"/>
      <c r="F209" s="106"/>
    </row>
    <row r="210" spans="1:6" x14ac:dyDescent="0.2">
      <c r="A210" s="144" t="s">
        <v>352</v>
      </c>
      <c r="B210" s="144"/>
      <c r="C210" s="148"/>
      <c r="D210" s="148"/>
      <c r="E210" s="106"/>
      <c r="F210" s="106"/>
    </row>
    <row r="211" spans="1:6" x14ac:dyDescent="0.2">
      <c r="A211" s="144"/>
      <c r="B211" s="144"/>
      <c r="C211" s="148"/>
      <c r="D211" s="148"/>
      <c r="E211" s="106"/>
      <c r="F211" s="106"/>
    </row>
    <row r="212" spans="1:6" x14ac:dyDescent="0.2">
      <c r="A212" s="146" t="s">
        <v>353</v>
      </c>
      <c r="B212" s="144"/>
      <c r="C212" s="147">
        <v>9000</v>
      </c>
      <c r="D212" s="147">
        <v>7563</v>
      </c>
      <c r="E212" s="106"/>
      <c r="F212" s="106"/>
    </row>
    <row r="213" spans="1:6" x14ac:dyDescent="0.2">
      <c r="A213" s="144" t="s">
        <v>354</v>
      </c>
      <c r="B213" s="144"/>
      <c r="C213" s="148"/>
      <c r="D213" s="148"/>
      <c r="E213" s="106"/>
      <c r="F213" s="106"/>
    </row>
    <row r="214" spans="1:6" x14ac:dyDescent="0.2">
      <c r="A214" s="144" t="s">
        <v>355</v>
      </c>
      <c r="B214" s="144"/>
      <c r="C214" s="148"/>
      <c r="D214" s="148"/>
      <c r="E214" s="106"/>
      <c r="F214" s="106"/>
    </row>
    <row r="215" spans="1:6" x14ac:dyDescent="0.2">
      <c r="A215" s="146" t="s">
        <v>356</v>
      </c>
      <c r="B215" s="144"/>
      <c r="C215" s="147">
        <v>1500</v>
      </c>
      <c r="D215" s="147">
        <v>1260.5</v>
      </c>
      <c r="E215" s="106"/>
      <c r="F215" s="106"/>
    </row>
    <row r="216" spans="1:6" x14ac:dyDescent="0.2">
      <c r="A216" s="146" t="s">
        <v>357</v>
      </c>
      <c r="B216" s="144"/>
      <c r="C216" s="147">
        <v>3000</v>
      </c>
      <c r="D216" s="147">
        <v>2521</v>
      </c>
      <c r="E216" s="106"/>
      <c r="F216" s="106"/>
    </row>
    <row r="217" spans="1:6" x14ac:dyDescent="0.2">
      <c r="A217" s="146" t="s">
        <v>358</v>
      </c>
      <c r="B217" s="144"/>
      <c r="C217" s="147">
        <v>2500</v>
      </c>
      <c r="D217" s="147">
        <v>2100.8000000000002</v>
      </c>
      <c r="E217" s="106"/>
      <c r="F217" s="106"/>
    </row>
    <row r="218" spans="1:6" x14ac:dyDescent="0.2">
      <c r="A218" s="144"/>
      <c r="B218" s="144"/>
      <c r="C218" s="148"/>
      <c r="D218" s="148"/>
      <c r="E218" s="106"/>
      <c r="F218" s="106"/>
    </row>
    <row r="219" spans="1:6" x14ac:dyDescent="0.2">
      <c r="A219" s="144"/>
      <c r="B219" s="144"/>
      <c r="C219" s="148"/>
      <c r="D219" s="148"/>
      <c r="E219" s="106"/>
      <c r="F219" s="106"/>
    </row>
    <row r="220" spans="1:6" x14ac:dyDescent="0.2">
      <c r="A220" s="146" t="s">
        <v>359</v>
      </c>
      <c r="B220" s="144"/>
      <c r="C220" s="147">
        <v>5500</v>
      </c>
      <c r="D220" s="147">
        <v>4621.8</v>
      </c>
      <c r="E220" s="106"/>
      <c r="F220" s="106"/>
    </row>
    <row r="221" spans="1:6" x14ac:dyDescent="0.2">
      <c r="A221" s="146" t="s">
        <v>360</v>
      </c>
      <c r="B221" s="144"/>
      <c r="C221" s="147">
        <v>6500</v>
      </c>
      <c r="D221" s="147">
        <v>5462.2</v>
      </c>
      <c r="E221" s="106"/>
      <c r="F221" s="106"/>
    </row>
    <row r="222" spans="1:6" x14ac:dyDescent="0.2">
      <c r="A222" s="146" t="s">
        <v>361</v>
      </c>
      <c r="B222" s="144"/>
      <c r="C222" s="147">
        <v>6500</v>
      </c>
      <c r="D222" s="147">
        <v>5462.2</v>
      </c>
      <c r="E222" s="106"/>
      <c r="F222" s="106"/>
    </row>
    <row r="223" spans="1:6" x14ac:dyDescent="0.2">
      <c r="A223" s="146" t="s">
        <v>362</v>
      </c>
      <c r="B223" s="144"/>
      <c r="C223" s="147">
        <v>6500</v>
      </c>
      <c r="D223" s="147">
        <v>5462.2</v>
      </c>
      <c r="E223" s="106"/>
      <c r="F223" s="106"/>
    </row>
    <row r="224" spans="1:6" x14ac:dyDescent="0.2">
      <c r="A224" s="146" t="s">
        <v>363</v>
      </c>
      <c r="B224" s="144"/>
      <c r="C224" s="147">
        <v>4500</v>
      </c>
      <c r="D224" s="147">
        <v>3781.5</v>
      </c>
      <c r="E224" s="106"/>
      <c r="F224" s="106"/>
    </row>
    <row r="225" spans="1:6" x14ac:dyDescent="0.2">
      <c r="A225" s="140"/>
      <c r="B225" s="140"/>
      <c r="C225" s="141"/>
      <c r="D225" s="141"/>
      <c r="E225" s="106"/>
      <c r="F225" s="106"/>
    </row>
    <row r="226" spans="1:6" x14ac:dyDescent="0.2">
      <c r="C226" s="142"/>
      <c r="D226" s="142"/>
      <c r="E226" s="106"/>
      <c r="F226" s="106"/>
    </row>
    <row r="227" spans="1:6" x14ac:dyDescent="0.2">
      <c r="C227" s="142"/>
      <c r="D227" s="142"/>
      <c r="E227" s="106"/>
      <c r="F227" s="106"/>
    </row>
    <row r="228" spans="1:6" x14ac:dyDescent="0.2">
      <c r="C228" s="142"/>
      <c r="D228" s="142"/>
      <c r="E228" s="106"/>
      <c r="F228" s="106"/>
    </row>
    <row r="229" spans="1:6" x14ac:dyDescent="0.2">
      <c r="C229" s="142"/>
      <c r="D229" s="142"/>
      <c r="E229" s="106"/>
      <c r="F229" s="106"/>
    </row>
    <row r="230" spans="1:6" x14ac:dyDescent="0.2">
      <c r="C230" s="142"/>
      <c r="D230" s="142"/>
      <c r="E230" s="106"/>
      <c r="F230" s="106"/>
    </row>
    <row r="231" spans="1:6" x14ac:dyDescent="0.2">
      <c r="C231" s="142"/>
      <c r="D231" s="142"/>
      <c r="E231" s="106"/>
      <c r="F231" s="106"/>
    </row>
    <row r="232" spans="1:6" x14ac:dyDescent="0.2">
      <c r="C232" s="142"/>
      <c r="D232" s="142"/>
      <c r="E232" s="106"/>
      <c r="F232" s="106"/>
    </row>
    <row r="233" spans="1:6" x14ac:dyDescent="0.2">
      <c r="C233" s="142"/>
      <c r="D233" s="142"/>
      <c r="E233" s="106"/>
      <c r="F233" s="106"/>
    </row>
    <row r="234" spans="1:6" x14ac:dyDescent="0.2">
      <c r="C234" s="142"/>
      <c r="D234" s="142"/>
      <c r="E234" s="106"/>
      <c r="F234" s="106"/>
    </row>
    <row r="235" spans="1:6" x14ac:dyDescent="0.2">
      <c r="C235" s="142"/>
      <c r="D235" s="142"/>
      <c r="E235" s="106"/>
      <c r="F235" s="106"/>
    </row>
    <row r="236" spans="1:6" x14ac:dyDescent="0.2">
      <c r="C236" s="142"/>
      <c r="D236" s="142"/>
      <c r="E236" s="106"/>
      <c r="F236" s="106"/>
    </row>
    <row r="237" spans="1:6" x14ac:dyDescent="0.2">
      <c r="C237" s="142"/>
      <c r="D237" s="142"/>
      <c r="E237" s="106"/>
      <c r="F237" s="106"/>
    </row>
    <row r="238" spans="1:6" x14ac:dyDescent="0.2">
      <c r="C238" s="142"/>
      <c r="D238" s="142"/>
      <c r="E238" s="106"/>
      <c r="F238" s="106"/>
    </row>
    <row r="239" spans="1:6" x14ac:dyDescent="0.2">
      <c r="C239" s="142"/>
      <c r="D239" s="142"/>
      <c r="E239" s="106"/>
      <c r="F239" s="106"/>
    </row>
    <row r="240" spans="1:6" x14ac:dyDescent="0.2">
      <c r="C240" s="142"/>
      <c r="D240" s="142"/>
      <c r="E240" s="106"/>
      <c r="F240" s="106"/>
    </row>
    <row r="241" spans="3:6" x14ac:dyDescent="0.2">
      <c r="C241" s="142"/>
      <c r="D241" s="142"/>
      <c r="E241" s="106"/>
      <c r="F241" s="106"/>
    </row>
    <row r="242" spans="3:6" x14ac:dyDescent="0.2">
      <c r="C242" s="142"/>
      <c r="D242" s="142"/>
      <c r="E242" s="106"/>
      <c r="F242" s="106"/>
    </row>
    <row r="243" spans="3:6" x14ac:dyDescent="0.2">
      <c r="C243" s="142"/>
      <c r="D243" s="142"/>
      <c r="E243" s="106"/>
      <c r="F243" s="106"/>
    </row>
    <row r="244" spans="3:6" x14ac:dyDescent="0.2">
      <c r="C244" s="142"/>
      <c r="D244" s="142"/>
      <c r="E244" s="106"/>
      <c r="F244" s="106"/>
    </row>
    <row r="245" spans="3:6" x14ac:dyDescent="0.2">
      <c r="C245" s="142"/>
      <c r="D245" s="142"/>
      <c r="E245" s="106"/>
      <c r="F245" s="106"/>
    </row>
    <row r="246" spans="3:6" x14ac:dyDescent="0.2">
      <c r="C246" s="142"/>
      <c r="E246" s="106"/>
      <c r="F246" s="106"/>
    </row>
    <row r="247" spans="3:6" x14ac:dyDescent="0.2">
      <c r="C247" s="142"/>
      <c r="E247" s="106"/>
      <c r="F247" s="106"/>
    </row>
    <row r="248" spans="3:6" x14ac:dyDescent="0.2">
      <c r="C248" s="142"/>
      <c r="E248" s="106"/>
      <c r="F248" s="106"/>
    </row>
    <row r="249" spans="3:6" x14ac:dyDescent="0.2">
      <c r="C249" s="142"/>
      <c r="E249" s="106"/>
      <c r="F249" s="106"/>
    </row>
    <row r="250" spans="3:6" x14ac:dyDescent="0.2">
      <c r="C250" s="142"/>
      <c r="E250" s="106"/>
      <c r="F250" s="106"/>
    </row>
    <row r="251" spans="3:6" x14ac:dyDescent="0.2">
      <c r="C251" s="142"/>
      <c r="E251" s="106"/>
      <c r="F251" s="106"/>
    </row>
    <row r="252" spans="3:6" x14ac:dyDescent="0.2">
      <c r="C252" s="142"/>
      <c r="E252" s="106"/>
      <c r="F252" s="106"/>
    </row>
    <row r="253" spans="3:6" x14ac:dyDescent="0.2">
      <c r="C253" s="142"/>
      <c r="E253" s="106"/>
      <c r="F253" s="106"/>
    </row>
    <row r="254" spans="3:6" x14ac:dyDescent="0.2">
      <c r="C254" s="142"/>
    </row>
    <row r="255" spans="3:6" x14ac:dyDescent="0.2">
      <c r="C255" s="142"/>
    </row>
    <row r="256" spans="3:6" x14ac:dyDescent="0.2">
      <c r="C256" s="142"/>
    </row>
    <row r="257" spans="3:3" x14ac:dyDescent="0.2">
      <c r="C257" s="142"/>
    </row>
    <row r="258" spans="3:3" x14ac:dyDescent="0.2">
      <c r="C258" s="142"/>
    </row>
    <row r="259" spans="3:3" x14ac:dyDescent="0.2">
      <c r="C259" s="142"/>
    </row>
    <row r="260" spans="3:3" x14ac:dyDescent="0.2">
      <c r="C260" s="142"/>
    </row>
    <row r="261" spans="3:3" x14ac:dyDescent="0.2">
      <c r="C261" s="142"/>
    </row>
    <row r="262" spans="3:3" x14ac:dyDescent="0.2">
      <c r="C262" s="142"/>
    </row>
    <row r="263" spans="3:3" x14ac:dyDescent="0.2">
      <c r="C263" s="142"/>
    </row>
    <row r="264" spans="3:3" x14ac:dyDescent="0.2">
      <c r="C264" s="142"/>
    </row>
    <row r="265" spans="3:3" x14ac:dyDescent="0.2">
      <c r="C265" s="142"/>
    </row>
    <row r="266" spans="3:3" x14ac:dyDescent="0.2">
      <c r="C266" s="142"/>
    </row>
    <row r="267" spans="3:3" x14ac:dyDescent="0.2">
      <c r="C267" s="142"/>
    </row>
    <row r="268" spans="3:3" x14ac:dyDescent="0.2">
      <c r="C268" s="142"/>
    </row>
    <row r="269" spans="3:3" x14ac:dyDescent="0.2">
      <c r="C269" s="142"/>
    </row>
    <row r="270" spans="3:3" x14ac:dyDescent="0.2">
      <c r="C270" s="142"/>
    </row>
    <row r="271" spans="3:3" x14ac:dyDescent="0.2">
      <c r="C271" s="142"/>
    </row>
    <row r="272" spans="3:3" x14ac:dyDescent="0.2">
      <c r="C272" s="142"/>
    </row>
    <row r="273" spans="3:3" x14ac:dyDescent="0.2">
      <c r="C273" s="142"/>
    </row>
    <row r="274" spans="3:3" x14ac:dyDescent="0.2">
      <c r="C274" s="142"/>
    </row>
    <row r="275" spans="3:3" x14ac:dyDescent="0.2">
      <c r="C275" s="142"/>
    </row>
  </sheetData>
  <phoneticPr fontId="7" type="noConversion"/>
  <hyperlinks>
    <hyperlink ref="A57" r:id="rId1"/>
    <hyperlink ref="B4" r:id="rId2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62"/>
      <c r="B1" s="162"/>
      <c r="C1" s="162"/>
      <c r="D1" s="24"/>
      <c r="E1" s="24" t="s">
        <v>99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62"/>
      <c r="B2" s="162"/>
      <c r="C2" s="162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62"/>
      <c r="B3" s="162"/>
      <c r="C3" s="162"/>
      <c r="D3" s="24"/>
      <c r="E3" s="24" t="s">
        <v>133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62"/>
      <c r="B4" s="162"/>
      <c r="C4" s="162"/>
      <c r="D4" s="41"/>
      <c r="E4" s="41" t="s">
        <v>134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100</v>
      </c>
      <c r="B6" s="29" t="s">
        <v>101</v>
      </c>
      <c r="C6" s="163" t="s">
        <v>127</v>
      </c>
      <c r="D6" s="164"/>
      <c r="E6" s="165"/>
      <c r="F6" s="29" t="s">
        <v>102</v>
      </c>
      <c r="G6" s="29" t="s">
        <v>103</v>
      </c>
      <c r="H6" s="29" t="s">
        <v>104</v>
      </c>
      <c r="I6" s="29" t="s">
        <v>105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53" t="s">
        <v>128</v>
      </c>
      <c r="D7" s="154"/>
      <c r="E7" s="155"/>
      <c r="F7" s="52"/>
      <c r="G7" s="52"/>
      <c r="H7" s="52"/>
      <c r="I7" s="53" t="s">
        <v>129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53" t="s">
        <v>128</v>
      </c>
      <c r="D8" s="154"/>
      <c r="E8" s="155"/>
      <c r="F8" s="52"/>
      <c r="G8" s="52"/>
      <c r="H8" s="52"/>
      <c r="I8" s="53" t="s">
        <v>129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56" t="s">
        <v>108</v>
      </c>
      <c r="D9" s="157"/>
      <c r="E9" s="158"/>
      <c r="F9" s="47"/>
      <c r="G9" s="47">
        <v>60</v>
      </c>
      <c r="H9" s="48" t="s">
        <v>107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53" t="s">
        <v>128</v>
      </c>
      <c r="D10" s="154"/>
      <c r="E10" s="155"/>
      <c r="F10" s="52"/>
      <c r="G10" s="52"/>
      <c r="H10" s="52"/>
      <c r="I10" s="53" t="s">
        <v>129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53" t="s">
        <v>128</v>
      </c>
      <c r="D11" s="154"/>
      <c r="E11" s="155"/>
      <c r="F11" s="52"/>
      <c r="G11" s="52"/>
      <c r="H11" s="52"/>
      <c r="I11" s="53" t="s">
        <v>129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66" t="s">
        <v>109</v>
      </c>
      <c r="D12" s="167"/>
      <c r="E12" s="168"/>
      <c r="F12" s="44"/>
      <c r="G12" s="44"/>
      <c r="H12" s="43"/>
      <c r="I12" s="27" t="s">
        <v>125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9" t="s">
        <v>126</v>
      </c>
      <c r="D13" s="170"/>
      <c r="E13" s="171"/>
      <c r="F13" s="58"/>
      <c r="G13" s="58">
        <v>60</v>
      </c>
      <c r="H13" s="48" t="s">
        <v>107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100</v>
      </c>
      <c r="B15" s="29" t="s">
        <v>101</v>
      </c>
      <c r="C15" s="172" t="s">
        <v>130</v>
      </c>
      <c r="D15" s="164"/>
      <c r="E15" s="165"/>
      <c r="F15" s="29" t="s">
        <v>102</v>
      </c>
      <c r="G15" s="29" t="s">
        <v>103</v>
      </c>
      <c r="H15" s="29" t="s">
        <v>104</v>
      </c>
      <c r="I15" s="29" t="s">
        <v>105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73" t="s">
        <v>106</v>
      </c>
      <c r="D16" s="174"/>
      <c r="E16" s="175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53" t="s">
        <v>128</v>
      </c>
      <c r="D17" s="154"/>
      <c r="E17" s="155"/>
      <c r="F17" s="52"/>
      <c r="G17" s="52"/>
      <c r="H17" s="52"/>
      <c r="I17" s="53" t="s">
        <v>129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53" t="s">
        <v>128</v>
      </c>
      <c r="D18" s="154"/>
      <c r="E18" s="155"/>
      <c r="F18" s="52"/>
      <c r="G18" s="52"/>
      <c r="H18" s="52"/>
      <c r="I18" s="53" t="s">
        <v>129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56" t="s">
        <v>108</v>
      </c>
      <c r="D19" s="157"/>
      <c r="E19" s="158"/>
      <c r="F19" s="47"/>
      <c r="G19" s="47">
        <v>60</v>
      </c>
      <c r="H19" s="48" t="s">
        <v>107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53" t="s">
        <v>128</v>
      </c>
      <c r="D20" s="154"/>
      <c r="E20" s="155"/>
      <c r="F20" s="52"/>
      <c r="G20" s="52"/>
      <c r="H20" s="52"/>
      <c r="I20" s="53" t="s">
        <v>129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53" t="s">
        <v>128</v>
      </c>
      <c r="D21" s="154"/>
      <c r="E21" s="155"/>
      <c r="F21" s="52"/>
      <c r="G21" s="52"/>
      <c r="H21" s="52"/>
      <c r="I21" s="53" t="s">
        <v>129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66" t="s">
        <v>109</v>
      </c>
      <c r="D22" s="167"/>
      <c r="E22" s="168"/>
      <c r="F22" s="44"/>
      <c r="G22" s="44"/>
      <c r="H22" s="43"/>
      <c r="I22" s="27" t="s">
        <v>125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9" t="s">
        <v>126</v>
      </c>
      <c r="D23" s="170"/>
      <c r="E23" s="171"/>
      <c r="F23" s="58"/>
      <c r="G23" s="58">
        <v>60</v>
      </c>
      <c r="H23" s="48" t="s">
        <v>107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100</v>
      </c>
      <c r="B25" s="29" t="s">
        <v>101</v>
      </c>
      <c r="C25" s="172" t="s">
        <v>131</v>
      </c>
      <c r="D25" s="164"/>
      <c r="E25" s="165"/>
      <c r="F25" s="29" t="s">
        <v>102</v>
      </c>
      <c r="G25" s="29" t="s">
        <v>103</v>
      </c>
      <c r="H25" s="29" t="s">
        <v>104</v>
      </c>
      <c r="I25" s="29" t="s">
        <v>105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73" t="s">
        <v>106</v>
      </c>
      <c r="D26" s="174"/>
      <c r="E26" s="175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53" t="s">
        <v>128</v>
      </c>
      <c r="D27" s="154"/>
      <c r="E27" s="155"/>
      <c r="F27" s="52"/>
      <c r="G27" s="52"/>
      <c r="H27" s="52"/>
      <c r="I27" s="53" t="s">
        <v>129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53" t="s">
        <v>128</v>
      </c>
      <c r="D28" s="154"/>
      <c r="E28" s="155"/>
      <c r="F28" s="52"/>
      <c r="G28" s="52"/>
      <c r="H28" s="52"/>
      <c r="I28" s="53" t="s">
        <v>129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56" t="s">
        <v>108</v>
      </c>
      <c r="D29" s="157"/>
      <c r="E29" s="158"/>
      <c r="F29" s="47"/>
      <c r="G29" s="47">
        <v>60</v>
      </c>
      <c r="H29" s="48" t="s">
        <v>107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53" t="s">
        <v>128</v>
      </c>
      <c r="D30" s="154"/>
      <c r="E30" s="155"/>
      <c r="F30" s="52"/>
      <c r="G30" s="52"/>
      <c r="H30" s="52"/>
      <c r="I30" s="53" t="s">
        <v>129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53" t="s">
        <v>128</v>
      </c>
      <c r="D31" s="154"/>
      <c r="E31" s="155"/>
      <c r="F31" s="52"/>
      <c r="G31" s="52"/>
      <c r="H31" s="52"/>
      <c r="I31" s="53" t="s">
        <v>129</v>
      </c>
      <c r="J31" s="22"/>
      <c r="K31" s="22"/>
      <c r="L31" s="22"/>
      <c r="M31" s="22"/>
      <c r="N31" s="22"/>
    </row>
    <row r="32" spans="1:14" s="55" customFormat="1" ht="15" customHeight="1" x14ac:dyDescent="0.2">
      <c r="A32" s="159"/>
      <c r="B32" s="159"/>
      <c r="C32" s="159"/>
      <c r="D32" s="159"/>
      <c r="E32" s="159"/>
      <c r="F32" s="159"/>
      <c r="G32" s="159"/>
      <c r="H32" s="159"/>
      <c r="I32" s="159"/>
      <c r="J32" s="54"/>
      <c r="K32" s="54"/>
      <c r="L32" s="54"/>
      <c r="M32" s="54"/>
      <c r="N32" s="54"/>
    </row>
    <row r="33" spans="1:14" s="55" customFormat="1" ht="15" customHeight="1" x14ac:dyDescent="0.2">
      <c r="A33" s="160" t="s">
        <v>132</v>
      </c>
      <c r="B33" s="160"/>
      <c r="C33" s="160"/>
      <c r="D33" s="160"/>
      <c r="E33" s="160"/>
      <c r="F33" s="160"/>
      <c r="G33" s="160"/>
      <c r="H33" s="160"/>
      <c r="I33" s="160"/>
      <c r="J33" s="54"/>
      <c r="K33" s="54"/>
      <c r="L33" s="54"/>
      <c r="M33" s="54"/>
      <c r="N33" s="54"/>
    </row>
    <row r="34" spans="1:14" s="55" customFormat="1" ht="15" customHeight="1" x14ac:dyDescent="0.2">
      <c r="A34" s="159"/>
      <c r="B34" s="159"/>
      <c r="C34" s="159"/>
      <c r="D34" s="159"/>
      <c r="E34" s="159"/>
      <c r="F34" s="159"/>
      <c r="G34" s="159"/>
      <c r="H34" s="159"/>
      <c r="I34" s="159"/>
      <c r="J34" s="54"/>
      <c r="K34" s="54"/>
      <c r="L34" s="54"/>
      <c r="M34" s="54"/>
      <c r="N34" s="54"/>
    </row>
    <row r="35" spans="1:14" s="55" customFormat="1" ht="15" customHeight="1" x14ac:dyDescent="0.2">
      <c r="A35" s="159"/>
      <c r="B35" s="159"/>
      <c r="C35" s="159"/>
      <c r="D35" s="159"/>
      <c r="E35" s="159"/>
      <c r="F35" s="159"/>
      <c r="G35" s="159"/>
      <c r="H35" s="159"/>
      <c r="I35" s="159"/>
      <c r="J35" s="54"/>
      <c r="K35" s="54"/>
      <c r="L35" s="54"/>
      <c r="M35" s="54"/>
      <c r="N35" s="54"/>
    </row>
    <row r="36" spans="1:14" s="55" customFormat="1" ht="15" customHeight="1" x14ac:dyDescent="0.2">
      <c r="A36" s="159"/>
      <c r="B36" s="159"/>
      <c r="C36" s="159"/>
      <c r="D36" s="159"/>
      <c r="E36" s="159"/>
      <c r="F36" s="159"/>
      <c r="G36" s="159"/>
      <c r="H36" s="159"/>
      <c r="I36" s="159"/>
      <c r="J36" s="54"/>
      <c r="K36" s="54"/>
      <c r="L36" s="54"/>
      <c r="M36" s="54"/>
      <c r="N36" s="54"/>
    </row>
    <row r="37" spans="1:14" s="55" customFormat="1" ht="15" customHeight="1" x14ac:dyDescent="0.2">
      <c r="A37" s="159"/>
      <c r="B37" s="159"/>
      <c r="C37" s="159"/>
      <c r="D37" s="159"/>
      <c r="E37" s="159"/>
      <c r="F37" s="159"/>
      <c r="G37" s="159"/>
      <c r="H37" s="159"/>
      <c r="I37" s="159"/>
      <c r="J37" s="54"/>
      <c r="K37" s="54"/>
      <c r="L37" s="54"/>
      <c r="M37" s="54"/>
      <c r="N37" s="54"/>
    </row>
    <row r="38" spans="1:14" s="55" customFormat="1" ht="15" customHeight="1" x14ac:dyDescent="0.2">
      <c r="A38" s="159"/>
      <c r="B38" s="159"/>
      <c r="C38" s="159"/>
      <c r="D38" s="159"/>
      <c r="E38" s="159"/>
      <c r="F38" s="159"/>
      <c r="G38" s="159"/>
      <c r="H38" s="159"/>
      <c r="I38" s="159"/>
      <c r="J38" s="54"/>
      <c r="K38" s="54"/>
      <c r="L38" s="54"/>
      <c r="M38" s="54"/>
      <c r="N38" s="54"/>
    </row>
    <row r="39" spans="1:14" s="55" customFormat="1" ht="15" customHeight="1" x14ac:dyDescent="0.2">
      <c r="A39" s="159"/>
      <c r="B39" s="159"/>
      <c r="C39" s="159"/>
      <c r="D39" s="159"/>
      <c r="E39" s="159"/>
      <c r="F39" s="159"/>
      <c r="G39" s="159"/>
      <c r="H39" s="159"/>
      <c r="I39" s="159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61" t="s">
        <v>110</v>
      </c>
      <c r="B44" s="161"/>
      <c r="C44" s="161"/>
      <c r="D44" s="161"/>
      <c r="E44" s="161"/>
      <c r="F44" s="161"/>
      <c r="G44" s="161"/>
      <c r="H44" s="35"/>
      <c r="I44" s="30" t="s">
        <v>111</v>
      </c>
      <c r="J44" s="22"/>
      <c r="K44" s="22"/>
      <c r="L44" s="22"/>
      <c r="M44" s="22"/>
      <c r="N44" s="22"/>
    </row>
    <row r="45" spans="1:14" x14ac:dyDescent="0.2">
      <c r="A45" s="162"/>
      <c r="B45" s="162"/>
      <c r="C45" s="162"/>
      <c r="D45" s="162"/>
      <c r="E45" s="162"/>
      <c r="F45" s="162"/>
      <c r="G45" s="162"/>
      <c r="H45" s="35"/>
      <c r="I45" s="22"/>
      <c r="J45" s="22"/>
      <c r="K45" s="22"/>
      <c r="L45" s="22"/>
      <c r="M45" s="22"/>
      <c r="N45" s="22"/>
    </row>
    <row r="46" spans="1:14" x14ac:dyDescent="0.2">
      <c r="A46" s="152" t="s">
        <v>112</v>
      </c>
      <c r="B46" s="152"/>
      <c r="C46" s="152"/>
      <c r="D46" s="152"/>
      <c r="E46" s="152"/>
      <c r="F46" s="152"/>
      <c r="G46" s="152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11</v>
      </c>
      <c r="L1" s="19" t="s">
        <v>2</v>
      </c>
    </row>
    <row r="2" spans="1:26" x14ac:dyDescent="0.2">
      <c r="A2" t="s">
        <v>12</v>
      </c>
      <c r="J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3" t="s">
        <v>191</v>
      </c>
    </row>
    <row r="3" spans="1:1" ht="28" customHeight="1" thickBot="1" x14ac:dyDescent="0.25">
      <c r="A3" s="84" t="s">
        <v>192</v>
      </c>
    </row>
    <row r="4" spans="1:1" ht="17" x14ac:dyDescent="0.2">
      <c r="A4" s="85" t="s">
        <v>193</v>
      </c>
    </row>
    <row r="5" spans="1:1" ht="41" customHeight="1" x14ac:dyDescent="0.2">
      <c r="A5" s="86" t="s">
        <v>194</v>
      </c>
    </row>
    <row r="6" spans="1:1" ht="33" customHeight="1" thickBot="1" x14ac:dyDescent="0.25">
      <c r="A6" s="84" t="s">
        <v>196</v>
      </c>
    </row>
    <row r="7" spans="1:1" ht="29" customHeight="1" thickBot="1" x14ac:dyDescent="0.25">
      <c r="A7" s="8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2018-10-31T16:29:41Z</dcterms:modified>
</cp:coreProperties>
</file>