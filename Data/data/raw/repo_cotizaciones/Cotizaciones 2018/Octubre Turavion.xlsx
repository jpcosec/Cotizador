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-80" yWindow="460" windowWidth="25600" windowHeight="1282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7" i="1" l="1"/>
  <c r="F22" i="1"/>
  <c r="F15" i="1"/>
  <c r="F16" i="1"/>
  <c r="F18" i="1"/>
  <c r="F19" i="1"/>
  <c r="F20" i="1"/>
  <c r="F21" i="1"/>
  <c r="F23" i="1"/>
  <c r="F11" i="1"/>
  <c r="F9" i="1"/>
  <c r="F10" i="1"/>
  <c r="F12" i="1"/>
  <c r="F33" i="1"/>
  <c r="F34" i="1"/>
  <c r="F35" i="1"/>
  <c r="F26" i="1"/>
  <c r="F32" i="1"/>
  <c r="F111" i="1"/>
  <c r="F110" i="1"/>
  <c r="F107" i="1"/>
  <c r="F108" i="1"/>
  <c r="F109" i="1"/>
  <c r="F79" i="1"/>
  <c r="F68" i="1"/>
  <c r="F106" i="1"/>
  <c r="F105" i="1"/>
  <c r="F75" i="1"/>
  <c r="F74" i="1"/>
  <c r="F76" i="1"/>
  <c r="F102" i="1"/>
  <c r="F103" i="1"/>
  <c r="F104" i="1"/>
  <c r="F81" i="1"/>
  <c r="F100" i="1"/>
  <c r="F96" i="1"/>
  <c r="F94" i="1"/>
  <c r="F95" i="1"/>
  <c r="F97" i="1"/>
  <c r="F98" i="1"/>
  <c r="F99" i="1"/>
  <c r="F101" i="1"/>
  <c r="F93" i="1"/>
  <c r="F90" i="1"/>
  <c r="F85" i="1"/>
  <c r="F92" i="1"/>
  <c r="F72" i="1"/>
  <c r="F77" i="1"/>
  <c r="F73" i="1"/>
  <c r="F88" i="1"/>
  <c r="F83" i="1"/>
  <c r="F84" i="1"/>
  <c r="F86" i="1"/>
  <c r="F87" i="1"/>
  <c r="F89" i="1"/>
  <c r="F91" i="1"/>
  <c r="F69" i="1"/>
  <c r="F70" i="1"/>
  <c r="F71" i="1"/>
  <c r="F78" i="1"/>
  <c r="F80" i="1"/>
  <c r="F82" i="1"/>
  <c r="F30" i="5"/>
  <c r="E30" i="5"/>
  <c r="D30" i="5"/>
  <c r="C30" i="5"/>
  <c r="B30" i="5"/>
  <c r="P29" i="5"/>
  <c r="O29" i="5"/>
  <c r="N29" i="5"/>
  <c r="K29" i="5"/>
  <c r="J29" i="5"/>
  <c r="I29" i="5"/>
  <c r="Z23" i="5"/>
</calcChain>
</file>

<file path=xl/sharedStrings.xml><?xml version="1.0" encoding="utf-8"?>
<sst xmlns="http://schemas.openxmlformats.org/spreadsheetml/2006/main" count="486" uniqueCount="269">
  <si>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</si>
  <si>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</si>
  <si>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</si>
  <si>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</si>
  <si>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</si>
  <si>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</si>
  <si>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</si>
  <si>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</si>
  <si>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</si>
  <si>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</si>
  <si>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</si>
  <si>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</si>
  <si>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</si>
  <si>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</si>
  <si>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</si>
  <si>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</si>
  <si>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</si>
  <si>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</si>
  <si>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</si>
  <si>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</si>
  <si>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</si>
  <si>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</si>
  <si>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</si>
  <si>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</si>
  <si>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</si>
  <si>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</si>
  <si>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</si>
  <si>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</si>
  <si>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</si>
  <si>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</si>
  <si>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</si>
  <si>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</si>
  <si>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</si>
  <si>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</si>
  <si>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</si>
  <si>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</si>
  <si>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</si>
  <si>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</si>
  <si>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</si>
  <si>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</si>
  <si>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</si>
  <si>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</si>
  <si>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</si>
  <si>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</si>
  <si>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</si>
  <si>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</si>
  <si>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</si>
  <si>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</si>
  <si>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</si>
  <si>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</si>
  <si>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</si>
  <si>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</si>
  <si>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</si>
  <si>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</si>
  <si>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</si>
  <si>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</si>
  <si>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</si>
  <si>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</si>
  <si>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</si>
  <si>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</si>
  <si>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</si>
  <si>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</si>
  <si>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</si>
  <si>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</si>
  <si>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</si>
  <si>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</si>
  <si>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</si>
  <si>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</si>
  <si>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</si>
  <si>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</si>
  <si>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</si>
  <si>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</si>
  <si>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</si>
  <si>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</si>
  <si>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</si>
  <si>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</si>
  <si>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</si>
  <si>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</si>
  <si>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</si>
  <si>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</si>
  <si>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</si>
  <si>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</si>
  <si>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</si>
  <si>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</si>
  <si>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</si>
  <si>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</si>
  <si>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</si>
  <si>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</si>
  <si>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</si>
  <si>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</si>
  <si>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</si>
  <si>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</si>
  <si>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</si>
  <si>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</si>
  <si>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</si>
  <si>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</si>
  <si>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</si>
  <si>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</si>
  <si>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</si>
  <si>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</si>
  <si>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</si>
  <si>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</si>
  <si>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</si>
  <si>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</si>
  <si>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</si>
  <si>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</si>
  <si>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</si>
  <si>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</si>
  <si>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</si>
  <si>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</si>
  <si>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</si>
  <si>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</si>
  <si>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</si>
  <si>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</si>
  <si>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</si>
  <si>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</si>
  <si>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</si>
  <si>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</si>
  <si>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</si>
  <si>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</si>
  <si>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</si>
  <si>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</si>
  <si>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</si>
  <si>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</si>
  <si>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</si>
  <si>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</si>
  <si>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</si>
  <si>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</si>
  <si>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</si>
  <si>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</si>
  <si>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</si>
  <si>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</si>
  <si>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</si>
  <si>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</si>
  <si>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</si>
  <si>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</si>
  <si>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</si>
  <si>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</si>
  <si>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</si>
  <si>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</si>
  <si>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</si>
  <si>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</si>
  <si>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</si>
  <si>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</si>
  <si>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</si>
  <si>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</si>
  <si>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Valor no incluye propinas.</t>
  </si>
  <si>
    <t>IVA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</si>
  <si>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</si>
  <si>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</si>
  <si>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</si>
  <si>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</si>
  <si>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</si>
  <si>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</si>
  <si>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</si>
  <si>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</si>
  <si>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</si>
  <si>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David Azan</t>
  </si>
  <si>
    <t>Enzo Massardo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</si>
  <si>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</si>
  <si>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</si>
  <si>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</si>
  <si>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</si>
  <si>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</si>
  <si>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</si>
  <si>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</si>
  <si>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</si>
  <si>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</si>
  <si>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</si>
  <si>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</si>
  <si>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</si>
  <si>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</si>
  <si>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</si>
  <si>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</si>
  <si>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</si>
  <si>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</si>
  <si>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</si>
  <si>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</si>
  <si>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</si>
  <si>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Masajista exclusiva,  hasta 1 a 8 horas</t>
  </si>
  <si>
    <t>13:00-15:00</t>
  </si>
  <si>
    <t>20:00- 21:00</t>
  </si>
  <si>
    <t>Pergola uso exclusivo 8 horas</t>
  </si>
  <si>
    <t>Coordinador de evento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</si>
  <si>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</si>
  <si>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</si>
  <si>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</si>
  <si>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</si>
  <si>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</si>
  <si>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</si>
  <si>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</si>
  <si>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</si>
  <si>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</si>
  <si>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</si>
  <si>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</si>
  <si>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</si>
  <si>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</si>
  <si>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</si>
  <si>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</si>
  <si>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</si>
  <si>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</si>
  <si>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</si>
  <si>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</si>
  <si>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</si>
  <si>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</si>
  <si>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</si>
  <si>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</si>
  <si>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</si>
  <si>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</si>
  <si>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</si>
  <si>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</si>
  <si>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</si>
  <si>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</si>
  <si>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</si>
  <si>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</si>
  <si>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</si>
  <si>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</si>
  <si>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</si>
  <si>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</si>
  <si>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</si>
  <si>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</si>
  <si>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</si>
  <si>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</si>
  <si>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</si>
  <si>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</si>
  <si>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</si>
  <si>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</si>
  <si>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</si>
  <si>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</si>
  <si>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</si>
  <si>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</si>
  <si>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</si>
  <si>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</si>
  <si>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</si>
  <si>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</si>
  <si>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</si>
  <si>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</si>
  <si>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</si>
  <si>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</si>
  <si>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</si>
  <si>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</si>
  <si>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</si>
  <si>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</si>
  <si>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</si>
  <si>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</si>
  <si>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</si>
  <si>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</si>
  <si>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</si>
  <si>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</si>
  <si>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</si>
  <si>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</si>
  <si>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Total evento con IVA</t>
  </si>
  <si>
    <t>Habitación single hotel</t>
  </si>
  <si>
    <t>Habitación single hotel con 1 desayuno</t>
  </si>
  <si>
    <t>Cotización de servicios.</t>
  </si>
  <si>
    <t xml:space="preserve"> Confirmar hora</t>
  </si>
  <si>
    <t>Carmen Rodriguez</t>
  </si>
  <si>
    <t>9 74961403</t>
  </si>
  <si>
    <t>incluido</t>
  </si>
  <si>
    <t>?</t>
  </si>
  <si>
    <t>Total dia 3</t>
  </si>
  <si>
    <t xml:space="preserve"> Dominique Gómez</t>
  </si>
  <si>
    <t>Turavion</t>
  </si>
  <si>
    <t>Octubre</t>
  </si>
  <si>
    <t>Valores de Team Building.</t>
  </si>
  <si>
    <t>Circuito de Alianzas para 31 pasajeros</t>
  </si>
  <si>
    <t>Circuito del Naufrago para 31 pasajeros</t>
  </si>
  <si>
    <t>Bajada de la actividad, Consultor Senior.</t>
  </si>
  <si>
    <t>Bajada de la Actividad, Consultor Junior.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</si>
</sst>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  <font>
      <sz val="14"/>
      <color rgb="FF1D2129"/>
      <name val="Helvetica Neue"/>
    </font>
    <font>
      <sz val="14"/>
      <color rgb="FF1D2129"/>
      <name val="Inherit"/>
    </font>
    <font>
      <sz val="12"/>
      <color rgb="FF00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8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5">
    <xf numFmtId="0" fontId="0" fillId="0" borderId="0" xfId="0"/>
    <xf numFmtId="0" fontId="3" fillId="0" borderId="0" xfId="0" applyFont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8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6" fillId="4" borderId="13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6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4" xfId="0" applyFont="1" applyBorder="1" applyAlignment="1">
      <alignment horizontal="right" vertical="center"/>
    </xf>
    <xf numFmtId="0" fontId="6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right"/>
    </xf>
    <xf numFmtId="6" fontId="6" fillId="0" borderId="16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8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8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8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9" xfId="0" applyFont="1" applyBorder="1" applyAlignment="1"/>
    <xf numFmtId="0" fontId="6" fillId="0" borderId="0" xfId="0" applyFont="1" applyBorder="1" applyAlignment="1"/>
    <xf numFmtId="0" fontId="6" fillId="0" borderId="19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9" xfId="0" applyNumberFormat="1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165" fontId="6" fillId="0" borderId="15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1" fillId="0" borderId="0" xfId="116" applyFont="1" applyAlignment="1">
      <alignment vertical="center"/>
    </xf>
    <xf numFmtId="20" fontId="18" fillId="0" borderId="0" xfId="0" applyNumberFormat="1" applyFont="1"/>
    <xf numFmtId="0" fontId="18" fillId="0" borderId="0" xfId="0" applyFont="1"/>
    <xf numFmtId="0" fontId="14" fillId="0" borderId="25" xfId="0" applyFont="1" applyBorder="1" applyAlignment="1">
      <alignment vertical="center" wrapText="1"/>
    </xf>
    <xf numFmtId="0" fontId="13" fillId="0" borderId="26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6" fillId="9" borderId="12" xfId="0" applyFont="1" applyFill="1" applyBorder="1"/>
    <xf numFmtId="165" fontId="6" fillId="9" borderId="2" xfId="0" applyNumberFormat="1" applyFont="1" applyFill="1" applyBorder="1"/>
    <xf numFmtId="0" fontId="6" fillId="9" borderId="2" xfId="0" applyFont="1" applyFill="1" applyBorder="1" applyAlignment="1">
      <alignment horizontal="center"/>
    </xf>
    <xf numFmtId="6" fontId="6" fillId="9" borderId="2" xfId="0" applyNumberFormat="1" applyFont="1" applyFill="1" applyBorder="1"/>
    <xf numFmtId="6" fontId="6" fillId="9" borderId="2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 vertical="center"/>
    </xf>
    <xf numFmtId="165" fontId="6" fillId="9" borderId="2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/>
    </xf>
    <xf numFmtId="165" fontId="6" fillId="9" borderId="18" xfId="0" applyNumberFormat="1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left" vertical="center"/>
    </xf>
    <xf numFmtId="6" fontId="6" fillId="9" borderId="2" xfId="0" applyNumberFormat="1" applyFont="1" applyFill="1" applyBorder="1" applyAlignment="1">
      <alignment horizontal="right" vertic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19" fillId="0" borderId="0" xfId="0" applyFont="1" applyAlignment="1">
      <alignment vertical="center"/>
    </xf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2" xfId="0" applyFont="1" applyFill="1" applyBorder="1" applyAlignment="1">
      <alignment vertical="center"/>
    </xf>
    <xf numFmtId="165" fontId="6" fillId="9" borderId="2" xfId="0" applyNumberFormat="1" applyFont="1" applyFill="1" applyBorder="1" applyAlignment="1">
      <alignment vertical="center"/>
    </xf>
    <xf numFmtId="0" fontId="0" fillId="3" borderId="22" xfId="0" applyFont="1" applyFill="1" applyBorder="1" applyAlignment="1">
      <alignment horizontal="center"/>
    </xf>
    <xf numFmtId="6" fontId="6" fillId="3" borderId="22" xfId="0" applyNumberFormat="1" applyFont="1" applyFill="1" applyBorder="1" applyAlignment="1">
      <alignment horizontal="right"/>
    </xf>
    <xf numFmtId="0" fontId="6" fillId="9" borderId="23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165" fontId="0" fillId="3" borderId="1" xfId="0" applyNumberFormat="1" applyFill="1" applyBorder="1"/>
    <xf numFmtId="0" fontId="0" fillId="3" borderId="1" xfId="0" applyFill="1" applyBorder="1"/>
    <xf numFmtId="165" fontId="6" fillId="9" borderId="1" xfId="0" applyNumberFormat="1" applyFont="1" applyFill="1" applyBorder="1" applyAlignment="1">
      <alignment horizontal="left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11" xfId="0" applyNumberFormat="1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2" fillId="10" borderId="10" xfId="0" applyFont="1" applyFill="1" applyBorder="1" applyAlignment="1">
      <alignment horizontal="center"/>
    </xf>
    <xf numFmtId="165" fontId="2" fillId="10" borderId="20" xfId="0" applyNumberFormat="1" applyFont="1" applyFill="1" applyBorder="1" applyAlignment="1">
      <alignment horizontal="center"/>
    </xf>
    <xf numFmtId="0" fontId="2" fillId="10" borderId="20" xfId="0" applyFont="1" applyFill="1" applyBorder="1" applyAlignment="1">
      <alignment horizontal="center"/>
    </xf>
    <xf numFmtId="0" fontId="2" fillId="10" borderId="21" xfId="0" applyFont="1" applyFill="1" applyBorder="1" applyAlignment="1">
      <alignment horizontal="center"/>
    </xf>
    <xf numFmtId="0" fontId="15" fillId="9" borderId="7" xfId="0" applyFont="1" applyFill="1" applyBorder="1" applyAlignment="1">
      <alignment horizontal="left" vertical="center"/>
    </xf>
    <xf numFmtId="165" fontId="15" fillId="9" borderId="18" xfId="0" applyNumberFormat="1" applyFont="1" applyFill="1" applyBorder="1" applyAlignment="1">
      <alignment horizontal="left" vertical="center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164" fontId="0" fillId="3" borderId="1" xfId="0" applyNumberFormat="1" applyFill="1" applyBorder="1"/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0" fontId="0" fillId="9" borderId="23" xfId="0" applyFont="1" applyFill="1" applyBorder="1" applyAlignment="1">
      <alignment horizontal="left" wrapText="1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21" fillId="0" borderId="0" xfId="0" applyFont="1"/>
    <xf numFmtId="0" fontId="22" fillId="0" borderId="0" xfId="0" applyFont="1"/>
    <xf numFmtId="165" fontId="15" fillId="9" borderId="1" xfId="0" applyNumberFormat="1" applyFont="1" applyFill="1" applyBorder="1" applyAlignment="1">
      <alignment horizontal="center"/>
    </xf>
    <xf numFmtId="16" fontId="0" fillId="0" borderId="0" xfId="0" applyNumberFormat="1"/>
    <xf numFmtId="6" fontId="0" fillId="0" borderId="0" xfId="0" applyNumberFormat="1"/>
    <xf numFmtId="0" fontId="2" fillId="11" borderId="3" xfId="0" applyFont="1" applyFill="1" applyBorder="1" applyAlignment="1">
      <alignment horizontal="right"/>
    </xf>
    <xf numFmtId="165" fontId="2" fillId="11" borderId="4" xfId="0" applyNumberFormat="1" applyFont="1" applyFill="1" applyBorder="1" applyAlignment="1">
      <alignment horizontal="right"/>
    </xf>
    <xf numFmtId="0" fontId="2" fillId="11" borderId="4" xfId="0" applyFont="1" applyFill="1" applyBorder="1" applyAlignment="1">
      <alignment horizontal="center"/>
    </xf>
    <xf numFmtId="6" fontId="2" fillId="11" borderId="4" xfId="0" applyNumberFormat="1" applyFont="1" applyFill="1" applyBorder="1" applyAlignment="1">
      <alignment horizontal="right"/>
    </xf>
    <xf numFmtId="6" fontId="2" fillId="11" borderId="18" xfId="0" applyNumberFormat="1" applyFont="1" applyFill="1" applyBorder="1" applyAlignment="1">
      <alignment horizontal="right"/>
    </xf>
    <xf numFmtId="0" fontId="14" fillId="0" borderId="0" xfId="0" applyFont="1" applyAlignment="1">
      <alignment horizontal="justify" vertical="center"/>
    </xf>
    <xf numFmtId="0" fontId="23" fillId="12" borderId="2" xfId="0" applyFont="1" applyFill="1" applyBorder="1" applyAlignment="1">
      <alignment horizontal="right" vertical="center"/>
    </xf>
    <xf numFmtId="0" fontId="23" fillId="12" borderId="28" xfId="0" applyFont="1" applyFill="1" applyBorder="1" applyAlignment="1">
      <alignment horizontal="right" vertical="center"/>
    </xf>
    <xf numFmtId="0" fontId="23" fillId="12" borderId="18" xfId="0" applyFont="1" applyFill="1" applyBorder="1" applyAlignment="1">
      <alignment horizontal="right" vertical="center"/>
    </xf>
    <xf numFmtId="0" fontId="23" fillId="13" borderId="23" xfId="0" applyFont="1" applyFill="1" applyBorder="1" applyAlignment="1">
      <alignment horizontal="left" vertical="center"/>
    </xf>
    <xf numFmtId="165" fontId="0" fillId="13" borderId="4" xfId="0" applyNumberFormat="1" applyFill="1" applyBorder="1" applyAlignment="1">
      <alignment horizontal="left"/>
    </xf>
    <xf numFmtId="0" fontId="6" fillId="13" borderId="4" xfId="0" applyFont="1" applyFill="1" applyBorder="1" applyAlignment="1">
      <alignment horizontal="left"/>
    </xf>
    <xf numFmtId="0" fontId="0" fillId="13" borderId="18" xfId="0" applyFill="1" applyBorder="1" applyAlignment="1">
      <alignment horizontal="left"/>
    </xf>
    <xf numFmtId="0" fontId="23" fillId="3" borderId="0" xfId="0" applyFont="1" applyFill="1" applyBorder="1" applyAlignment="1">
      <alignment horizontal="left" vertical="center"/>
    </xf>
    <xf numFmtId="0" fontId="23" fillId="3" borderId="0" xfId="0" applyFont="1" applyFill="1" applyBorder="1" applyAlignment="1">
      <alignment horizontal="right" vertical="center"/>
    </xf>
    <xf numFmtId="0" fontId="23" fillId="13" borderId="3" xfId="0" applyFont="1" applyFill="1" applyBorder="1" applyAlignment="1">
      <alignment horizontal="left" vertical="center"/>
    </xf>
    <xf numFmtId="0" fontId="23" fillId="13" borderId="4" xfId="0" applyFont="1" applyFill="1" applyBorder="1" applyAlignment="1">
      <alignment horizontal="left" vertical="center"/>
    </xf>
    <xf numFmtId="0" fontId="23" fillId="13" borderId="18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7" xfId="0" applyFont="1" applyFill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7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7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7" xfId="0" applyFont="1" applyFill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=""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29"/>
  <sheetViews>
    <sheetView tabSelected="1" topLeftCell="A9" zoomScale="109" zoomScaleNormal="109" zoomScalePageLayoutView="109" workbookViewId="0">
      <selection activeCell="A17" sqref="A17:XFD17"/>
    </sheetView>
  </sheetViews>
  <sheetFormatPr baseColWidth="10" defaultRowHeight="16" x14ac:dyDescent="0.2"/>
  <cols>
    <col min="1" max="1" width="32.1640625" customWidth="1"/>
    <col min="2" max="2" width="10.83203125" style="80" customWidth="1"/>
    <col min="3" max="4" width="6.33203125" customWidth="1"/>
    <col min="5" max="5" width="11" customWidth="1"/>
    <col min="6" max="6" width="10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64" customHeight="1" x14ac:dyDescent="0.3">
      <c r="A1" s="1" t="s">
        <v>2</v>
      </c>
      <c r="B1" s="79"/>
      <c r="C1" s="74" t="s">
        <v>254</v>
      </c>
    </row>
    <row r="2" spans="1:7" x14ac:dyDescent="0.2">
      <c r="G2" t="s">
        <v>205</v>
      </c>
    </row>
    <row r="3" spans="1:7" x14ac:dyDescent="0.2">
      <c r="A3" s="71" t="s">
        <v>136</v>
      </c>
      <c r="B3" s="156" t="s">
        <v>261</v>
      </c>
      <c r="E3" t="s">
        <v>3</v>
      </c>
      <c r="F3" s="35" t="s">
        <v>262</v>
      </c>
      <c r="G3" s="88" t="s">
        <v>206</v>
      </c>
    </row>
    <row r="4" spans="1:7" x14ac:dyDescent="0.2">
      <c r="A4" t="s">
        <v>137</v>
      </c>
      <c r="B4" s="156"/>
      <c r="C4" s="75"/>
      <c r="E4" t="s">
        <v>5</v>
      </c>
      <c r="F4" t="s">
        <v>2</v>
      </c>
      <c r="G4" s="89" t="s">
        <v>207</v>
      </c>
    </row>
    <row r="5" spans="1:7" x14ac:dyDescent="0.2">
      <c r="A5" t="s">
        <v>138</v>
      </c>
      <c r="B5" s="161" t="s">
        <v>263</v>
      </c>
      <c r="E5" t="s">
        <v>4</v>
      </c>
      <c r="F5" s="35">
        <v>31</v>
      </c>
      <c r="G5" s="89" t="s">
        <v>208</v>
      </c>
    </row>
    <row r="6" spans="1:7" x14ac:dyDescent="0.2">
      <c r="A6" s="73" t="s">
        <v>140</v>
      </c>
      <c r="B6" s="157" t="s">
        <v>256</v>
      </c>
      <c r="C6" s="72"/>
      <c r="D6" s="72"/>
      <c r="E6" s="72" t="s">
        <v>139</v>
      </c>
      <c r="F6" s="72" t="s">
        <v>257</v>
      </c>
      <c r="G6" s="89" t="s">
        <v>209</v>
      </c>
    </row>
    <row r="7" spans="1:7" ht="17" thickBot="1" x14ac:dyDescent="0.25">
      <c r="A7" s="72"/>
      <c r="B7" s="157"/>
      <c r="C7" s="72"/>
      <c r="D7" s="72"/>
      <c r="E7" s="72"/>
      <c r="F7" s="72"/>
      <c r="G7" s="89"/>
    </row>
    <row r="8" spans="1:7" ht="15.75" customHeight="1" x14ac:dyDescent="0.2">
      <c r="A8" s="134" t="s">
        <v>124</v>
      </c>
      <c r="B8" s="135" t="s">
        <v>165</v>
      </c>
      <c r="C8" s="136" t="s">
        <v>123</v>
      </c>
      <c r="D8" s="136" t="s">
        <v>7</v>
      </c>
      <c r="E8" s="136" t="s">
        <v>0</v>
      </c>
      <c r="F8" s="136" t="s">
        <v>1</v>
      </c>
      <c r="G8" s="137" t="s">
        <v>8</v>
      </c>
    </row>
    <row r="9" spans="1:7" x14ac:dyDescent="0.2">
      <c r="A9" s="106" t="s">
        <v>121</v>
      </c>
      <c r="B9" s="102" t="s">
        <v>181</v>
      </c>
      <c r="C9" s="97">
        <v>1</v>
      </c>
      <c r="D9" s="97">
        <v>2</v>
      </c>
      <c r="E9" s="107">
        <v>15000</v>
      </c>
      <c r="F9" s="99">
        <f>C9*D9*E9</f>
        <v>30000</v>
      </c>
      <c r="G9" s="100" t="s">
        <v>231</v>
      </c>
    </row>
    <row r="10" spans="1:7" x14ac:dyDescent="0.2">
      <c r="A10" s="101" t="s">
        <v>236</v>
      </c>
      <c r="B10" s="104"/>
      <c r="C10" s="105">
        <v>1</v>
      </c>
      <c r="D10" s="105">
        <v>2</v>
      </c>
      <c r="E10" s="103">
        <v>1500</v>
      </c>
      <c r="F10" s="99">
        <f t="shared" ref="F10:F11" si="0">C10*D10*E10</f>
        <v>3000</v>
      </c>
      <c r="G10" s="100" t="s">
        <v>229</v>
      </c>
    </row>
    <row r="11" spans="1:7" ht="16.5" customHeight="1" x14ac:dyDescent="0.2">
      <c r="A11" s="152" t="s">
        <v>252</v>
      </c>
      <c r="B11" s="153"/>
      <c r="C11" s="105">
        <v>1</v>
      </c>
      <c r="D11" s="105">
        <v>2</v>
      </c>
      <c r="E11" s="154">
        <v>99000</v>
      </c>
      <c r="F11" s="99">
        <f t="shared" si="0"/>
        <v>198000</v>
      </c>
      <c r="G11" s="152" t="s">
        <v>253</v>
      </c>
    </row>
    <row r="12" spans="1:7" ht="16.5" customHeight="1" thickBot="1" x14ac:dyDescent="0.25">
      <c r="A12" s="2" t="s">
        <v>91</v>
      </c>
      <c r="B12" s="81"/>
      <c r="C12" s="34"/>
      <c r="D12" s="24"/>
      <c r="E12" s="7"/>
      <c r="F12" s="5">
        <f>SUM(F9:F11)</f>
        <v>231000</v>
      </c>
      <c r="G12" s="33" t="s">
        <v>2</v>
      </c>
    </row>
    <row r="13" spans="1:7" ht="15.75" customHeight="1" x14ac:dyDescent="0.2">
      <c r="A13" s="134" t="s">
        <v>125</v>
      </c>
      <c r="B13" s="135" t="s">
        <v>165</v>
      </c>
      <c r="C13" s="136" t="s">
        <v>123</v>
      </c>
      <c r="D13" s="136" t="s">
        <v>7</v>
      </c>
      <c r="E13" s="136" t="s">
        <v>0</v>
      </c>
      <c r="F13" s="136" t="s">
        <v>1</v>
      </c>
      <c r="G13" s="137" t="s">
        <v>8</v>
      </c>
    </row>
    <row r="14" spans="1:7" ht="15.75" customHeight="1" x14ac:dyDescent="0.2">
      <c r="A14" s="95" t="s">
        <v>10</v>
      </c>
      <c r="B14" s="96"/>
      <c r="C14" s="97">
        <v>1</v>
      </c>
      <c r="D14" s="97">
        <v>2</v>
      </c>
      <c r="E14" s="98">
        <v>10500</v>
      </c>
      <c r="F14" s="99" t="s">
        <v>258</v>
      </c>
      <c r="G14" s="100" t="s">
        <v>230</v>
      </c>
    </row>
    <row r="15" spans="1:7" x14ac:dyDescent="0.2">
      <c r="A15" s="116" t="s">
        <v>172</v>
      </c>
      <c r="B15" s="117"/>
      <c r="C15" s="105">
        <v>1</v>
      </c>
      <c r="D15" s="105">
        <v>1</v>
      </c>
      <c r="E15" s="118">
        <v>180000</v>
      </c>
      <c r="F15" s="103">
        <f>C15*D15*E15</f>
        <v>180000</v>
      </c>
      <c r="G15" s="100" t="s">
        <v>240</v>
      </c>
    </row>
    <row r="16" spans="1:7" x14ac:dyDescent="0.2">
      <c r="A16" s="119" t="s">
        <v>238</v>
      </c>
      <c r="B16" s="120"/>
      <c r="C16" s="97">
        <v>3</v>
      </c>
      <c r="D16" s="121">
        <v>31</v>
      </c>
      <c r="E16" s="107">
        <v>3850</v>
      </c>
      <c r="F16" s="103">
        <f t="shared" ref="F16:F19" si="1">C16*D16*E16</f>
        <v>358050</v>
      </c>
      <c r="G16" s="123" t="s">
        <v>159</v>
      </c>
    </row>
    <row r="17" spans="1:7" ht="15" customHeight="1" x14ac:dyDescent="0.2">
      <c r="A17" s="124" t="s">
        <v>115</v>
      </c>
      <c r="B17" s="125"/>
      <c r="C17" s="105">
        <v>0</v>
      </c>
      <c r="D17" s="105">
        <v>0</v>
      </c>
      <c r="E17" s="118">
        <v>5500</v>
      </c>
      <c r="F17" s="103">
        <f>C17*D17*E17</f>
        <v>0</v>
      </c>
      <c r="G17" s="116" t="s">
        <v>161</v>
      </c>
    </row>
    <row r="18" spans="1:7" ht="16.5" customHeight="1" x14ac:dyDescent="0.2">
      <c r="A18" s="101" t="s">
        <v>120</v>
      </c>
      <c r="B18" s="102" t="s">
        <v>180</v>
      </c>
      <c r="C18" s="97">
        <v>1</v>
      </c>
      <c r="D18" s="121">
        <v>31</v>
      </c>
      <c r="E18" s="103">
        <v>15000</v>
      </c>
      <c r="F18" s="103">
        <f t="shared" si="1"/>
        <v>465000</v>
      </c>
      <c r="G18" s="100" t="s">
        <v>113</v>
      </c>
    </row>
    <row r="19" spans="1:7" x14ac:dyDescent="0.2">
      <c r="A19" s="101" t="s">
        <v>236</v>
      </c>
      <c r="B19" s="104"/>
      <c r="C19" s="105">
        <v>1</v>
      </c>
      <c r="D19" s="105">
        <v>31</v>
      </c>
      <c r="E19" s="103">
        <v>1500</v>
      </c>
      <c r="F19" s="99">
        <f t="shared" si="1"/>
        <v>46500</v>
      </c>
      <c r="G19" s="100" t="s">
        <v>229</v>
      </c>
    </row>
    <row r="20" spans="1:7" x14ac:dyDescent="0.2">
      <c r="A20" s="106" t="s">
        <v>121</v>
      </c>
      <c r="B20" s="102" t="s">
        <v>181</v>
      </c>
      <c r="C20" s="97">
        <v>1</v>
      </c>
      <c r="D20" s="97">
        <v>2</v>
      </c>
      <c r="E20" s="107">
        <v>15000</v>
      </c>
      <c r="F20" s="99">
        <f>C20*D20*E20</f>
        <v>30000</v>
      </c>
      <c r="G20" s="100" t="s">
        <v>231</v>
      </c>
    </row>
    <row r="21" spans="1:7" x14ac:dyDescent="0.2">
      <c r="A21" s="101" t="s">
        <v>236</v>
      </c>
      <c r="B21" s="104"/>
      <c r="C21" s="105">
        <v>1</v>
      </c>
      <c r="D21" s="105">
        <v>2</v>
      </c>
      <c r="E21" s="103">
        <v>1500</v>
      </c>
      <c r="F21" s="99">
        <f t="shared" ref="F21:F22" si="2">C21*D21*E21</f>
        <v>3000</v>
      </c>
      <c r="G21" s="100" t="s">
        <v>229</v>
      </c>
    </row>
    <row r="22" spans="1:7" x14ac:dyDescent="0.2">
      <c r="A22" s="152" t="s">
        <v>252</v>
      </c>
      <c r="B22" s="153"/>
      <c r="C22" s="105">
        <v>1</v>
      </c>
      <c r="D22" s="105">
        <v>2</v>
      </c>
      <c r="E22" s="154">
        <v>99000</v>
      </c>
      <c r="F22" s="99">
        <f t="shared" si="2"/>
        <v>198000</v>
      </c>
      <c r="G22" s="152" t="s">
        <v>253</v>
      </c>
    </row>
    <row r="23" spans="1:7" ht="16.5" customHeight="1" thickBot="1" x14ac:dyDescent="0.25">
      <c r="A23" s="2" t="s">
        <v>91</v>
      </c>
      <c r="B23" s="81"/>
      <c r="C23" s="34"/>
      <c r="D23" s="24"/>
      <c r="E23" s="7"/>
      <c r="F23" s="5">
        <f>SUM(F14:F22)</f>
        <v>1280550</v>
      </c>
      <c r="G23" s="33" t="s">
        <v>2</v>
      </c>
    </row>
    <row r="24" spans="1:7" ht="16.5" customHeight="1" x14ac:dyDescent="0.2">
      <c r="A24" s="134" t="s">
        <v>125</v>
      </c>
      <c r="B24" s="135" t="s">
        <v>165</v>
      </c>
      <c r="C24" s="136" t="s">
        <v>123</v>
      </c>
      <c r="D24" s="136" t="s">
        <v>7</v>
      </c>
      <c r="E24" s="136" t="s">
        <v>0</v>
      </c>
      <c r="F24" s="136" t="s">
        <v>1</v>
      </c>
      <c r="G24" s="137" t="s">
        <v>8</v>
      </c>
    </row>
    <row r="25" spans="1:7" ht="16.5" customHeight="1" x14ac:dyDescent="0.2">
      <c r="A25" s="95" t="s">
        <v>10</v>
      </c>
      <c r="B25" s="96"/>
      <c r="C25" s="97">
        <v>1</v>
      </c>
      <c r="D25" s="97">
        <v>2</v>
      </c>
      <c r="E25" s="98">
        <v>10500</v>
      </c>
      <c r="F25" s="99" t="s">
        <v>258</v>
      </c>
      <c r="G25" s="100" t="s">
        <v>230</v>
      </c>
    </row>
    <row r="26" spans="1:7" ht="16.5" customHeight="1" x14ac:dyDescent="0.2">
      <c r="A26" s="2" t="s">
        <v>260</v>
      </c>
      <c r="B26" s="81"/>
      <c r="C26" s="34"/>
      <c r="D26" s="24"/>
      <c r="E26" s="7"/>
      <c r="F26" s="5">
        <f>SUM(F25)</f>
        <v>0</v>
      </c>
      <c r="G26" s="33"/>
    </row>
    <row r="27" spans="1:7" x14ac:dyDescent="0.2">
      <c r="A27" s="138" t="s">
        <v>224</v>
      </c>
      <c r="B27" s="139" t="s">
        <v>255</v>
      </c>
      <c r="C27" s="140"/>
      <c r="D27" s="140"/>
      <c r="E27" s="141"/>
      <c r="F27" s="141" t="s">
        <v>2</v>
      </c>
      <c r="G27" s="138" t="s">
        <v>225</v>
      </c>
    </row>
    <row r="28" spans="1:7" x14ac:dyDescent="0.2">
      <c r="A28" s="108" t="s">
        <v>220</v>
      </c>
      <c r="B28" s="160" t="s">
        <v>259</v>
      </c>
      <c r="C28" s="110">
        <v>0</v>
      </c>
      <c r="D28" s="110">
        <v>0</v>
      </c>
      <c r="E28" s="111">
        <v>0</v>
      </c>
      <c r="F28" s="111" t="s">
        <v>258</v>
      </c>
      <c r="G28" s="112" t="s">
        <v>222</v>
      </c>
    </row>
    <row r="29" spans="1:7" x14ac:dyDescent="0.2">
      <c r="A29" s="108" t="s">
        <v>216</v>
      </c>
      <c r="B29" s="160" t="s">
        <v>259</v>
      </c>
      <c r="C29" s="110">
        <v>0</v>
      </c>
      <c r="D29" s="110">
        <v>0</v>
      </c>
      <c r="E29" s="111">
        <v>0</v>
      </c>
      <c r="F29" s="111" t="s">
        <v>258</v>
      </c>
      <c r="G29" s="112" t="s">
        <v>223</v>
      </c>
    </row>
    <row r="30" spans="1:7" ht="16.5" customHeight="1" x14ac:dyDescent="0.2">
      <c r="A30" s="108" t="s">
        <v>217</v>
      </c>
      <c r="B30" s="160" t="s">
        <v>259</v>
      </c>
      <c r="C30" s="110">
        <v>0</v>
      </c>
      <c r="D30" s="110">
        <v>0</v>
      </c>
      <c r="E30" s="111">
        <v>0</v>
      </c>
      <c r="F30" s="111" t="s">
        <v>258</v>
      </c>
      <c r="G30" s="112" t="s">
        <v>221</v>
      </c>
    </row>
    <row r="31" spans="1:7" x14ac:dyDescent="0.2">
      <c r="A31" s="108" t="s">
        <v>218</v>
      </c>
      <c r="B31" s="160" t="s">
        <v>259</v>
      </c>
      <c r="C31" s="110">
        <v>0</v>
      </c>
      <c r="D31" s="110">
        <v>0</v>
      </c>
      <c r="E31" s="111">
        <v>0</v>
      </c>
      <c r="F31" s="111" t="s">
        <v>258</v>
      </c>
      <c r="G31" s="108" t="s">
        <v>219</v>
      </c>
    </row>
    <row r="32" spans="1:7" ht="17" thickBot="1" x14ac:dyDescent="0.25">
      <c r="A32" s="2" t="s">
        <v>91</v>
      </c>
      <c r="B32" s="81"/>
      <c r="C32" s="34"/>
      <c r="D32" s="24"/>
      <c r="E32" s="7"/>
      <c r="F32" s="5">
        <f>SUM(F28:F31)</f>
        <v>0</v>
      </c>
      <c r="G32" s="33" t="s">
        <v>2</v>
      </c>
    </row>
    <row r="33" spans="1:7" ht="17" thickBot="1" x14ac:dyDescent="0.25">
      <c r="A33" s="37" t="s">
        <v>226</v>
      </c>
      <c r="B33" s="83"/>
      <c r="C33" s="38"/>
      <c r="D33" s="38"/>
      <c r="E33" s="39"/>
      <c r="F33" s="40">
        <f>F12+F23</f>
        <v>1511550</v>
      </c>
      <c r="G33" s="6" t="s">
        <v>146</v>
      </c>
    </row>
    <row r="34" spans="1:7" x14ac:dyDescent="0.2">
      <c r="A34" s="3" t="s">
        <v>147</v>
      </c>
      <c r="B34" s="82"/>
      <c r="C34" s="32"/>
      <c r="D34" s="24"/>
      <c r="E34" s="7"/>
      <c r="F34" s="5">
        <f>F12/1.19</f>
        <v>194117.64705882352</v>
      </c>
      <c r="G34" s="6"/>
    </row>
    <row r="35" spans="1:7" x14ac:dyDescent="0.2">
      <c r="A35" s="163" t="s">
        <v>251</v>
      </c>
      <c r="B35" s="164"/>
      <c r="C35" s="165"/>
      <c r="D35" s="165"/>
      <c r="E35" s="166"/>
      <c r="F35" s="167">
        <f>F33+F34</f>
        <v>1705667.6470588236</v>
      </c>
      <c r="G35" s="6"/>
    </row>
    <row r="36" spans="1:7" x14ac:dyDescent="0.2">
      <c r="A36" s="3"/>
      <c r="B36" s="82"/>
      <c r="C36" s="32"/>
      <c r="D36" s="24" t="s">
        <v>2</v>
      </c>
      <c r="E36" s="4" t="s">
        <v>2</v>
      </c>
      <c r="F36" s="162" t="s">
        <v>2</v>
      </c>
      <c r="G36" s="6" t="s">
        <v>2</v>
      </c>
    </row>
    <row r="37" spans="1:7" ht="17" x14ac:dyDescent="0.2">
      <c r="A37" s="168" t="s">
        <v>264</v>
      </c>
      <c r="C37" s="32"/>
      <c r="D37" s="24"/>
      <c r="G37" s="6"/>
    </row>
    <row r="38" spans="1:7" x14ac:dyDescent="0.2">
      <c r="A38" s="178" t="s">
        <v>265</v>
      </c>
      <c r="B38" s="179"/>
      <c r="C38" s="179"/>
      <c r="D38" s="179"/>
      <c r="E38" s="180"/>
      <c r="F38" s="170">
        <v>586000</v>
      </c>
      <c r="G38" s="6"/>
    </row>
    <row r="39" spans="1:7" x14ac:dyDescent="0.2">
      <c r="A39" s="178" t="s">
        <v>266</v>
      </c>
      <c r="B39" s="179"/>
      <c r="C39" s="179"/>
      <c r="D39" s="179"/>
      <c r="E39" s="180"/>
      <c r="F39" s="171">
        <v>948000</v>
      </c>
      <c r="G39" s="6"/>
    </row>
    <row r="40" spans="1:7" x14ac:dyDescent="0.2">
      <c r="A40" s="172" t="s">
        <v>267</v>
      </c>
      <c r="B40" s="173"/>
      <c r="C40" s="174"/>
      <c r="D40" s="174"/>
      <c r="E40" s="175"/>
      <c r="F40" s="171">
        <v>100000</v>
      </c>
      <c r="G40" s="6"/>
    </row>
    <row r="41" spans="1:7" ht="17" x14ac:dyDescent="0.2">
      <c r="A41" s="178" t="s">
        <v>268</v>
      </c>
      <c r="B41" s="179"/>
      <c r="C41" s="179"/>
      <c r="D41" s="179"/>
      <c r="E41" s="180"/>
      <c r="F41" s="169">
        <v>500000</v>
      </c>
      <c r="G41" s="78"/>
    </row>
    <row r="42" spans="1:7" ht="17" x14ac:dyDescent="0.2">
      <c r="A42" s="176"/>
      <c r="B42" s="176"/>
      <c r="C42" s="176"/>
      <c r="D42" s="176"/>
      <c r="E42" s="176"/>
      <c r="F42" s="177"/>
      <c r="G42" s="78"/>
    </row>
    <row r="43" spans="1:7" ht="19" x14ac:dyDescent="0.2">
      <c r="A43" s="85" t="s">
        <v>184</v>
      </c>
      <c r="B43"/>
      <c r="E43" s="77"/>
      <c r="F43" s="77"/>
      <c r="G43" s="77"/>
    </row>
    <row r="44" spans="1:7" ht="17" x14ac:dyDescent="0.2">
      <c r="A44" s="78" t="s">
        <v>185</v>
      </c>
      <c r="B44"/>
    </row>
    <row r="45" spans="1:7" ht="17" x14ac:dyDescent="0.2">
      <c r="A45" s="78"/>
      <c r="B45"/>
    </row>
    <row r="46" spans="1:7" ht="19" x14ac:dyDescent="0.2">
      <c r="A46" s="86" t="s">
        <v>148</v>
      </c>
      <c r="B46"/>
    </row>
    <row r="47" spans="1:7" ht="17" x14ac:dyDescent="0.2">
      <c r="A47" s="78" t="s">
        <v>186</v>
      </c>
      <c r="B47"/>
    </row>
    <row r="48" spans="1:7" ht="17" x14ac:dyDescent="0.2">
      <c r="A48" s="78" t="s">
        <v>187</v>
      </c>
      <c r="B48"/>
    </row>
    <row r="49" spans="1:6" ht="17" x14ac:dyDescent="0.2">
      <c r="A49" s="78" t="s">
        <v>188</v>
      </c>
      <c r="B49"/>
    </row>
    <row r="50" spans="1:6" ht="17" x14ac:dyDescent="0.2">
      <c r="A50" s="76" t="s">
        <v>149</v>
      </c>
      <c r="B50"/>
    </row>
    <row r="51" spans="1:6" ht="17" x14ac:dyDescent="0.2">
      <c r="A51" s="78" t="s">
        <v>189</v>
      </c>
      <c r="B51"/>
    </row>
    <row r="52" spans="1:6" ht="17" x14ac:dyDescent="0.2">
      <c r="A52" s="78" t="s">
        <v>150</v>
      </c>
      <c r="B52"/>
    </row>
    <row r="53" spans="1:6" ht="17" x14ac:dyDescent="0.2">
      <c r="A53" s="76" t="s">
        <v>190</v>
      </c>
      <c r="B53"/>
    </row>
    <row r="54" spans="1:6" ht="17" x14ac:dyDescent="0.2">
      <c r="A54" s="78" t="s">
        <v>151</v>
      </c>
      <c r="B54"/>
    </row>
    <row r="55" spans="1:6" ht="17" x14ac:dyDescent="0.2">
      <c r="A55" s="78" t="s">
        <v>152</v>
      </c>
      <c r="B55"/>
    </row>
    <row r="56" spans="1:6" ht="17" x14ac:dyDescent="0.2">
      <c r="A56" s="78" t="s">
        <v>153</v>
      </c>
      <c r="B56"/>
    </row>
    <row r="57" spans="1:6" ht="17" x14ac:dyDescent="0.2">
      <c r="A57" s="78" t="s">
        <v>154</v>
      </c>
      <c r="B57"/>
    </row>
    <row r="58" spans="1:6" ht="17" x14ac:dyDescent="0.2">
      <c r="A58" s="78" t="s">
        <v>155</v>
      </c>
      <c r="B58"/>
    </row>
    <row r="59" spans="1:6" ht="17" x14ac:dyDescent="0.2">
      <c r="A59" s="78" t="s">
        <v>156</v>
      </c>
      <c r="B59"/>
    </row>
    <row r="60" spans="1:6" ht="17" x14ac:dyDescent="0.2">
      <c r="A60" s="78"/>
      <c r="B60"/>
    </row>
    <row r="61" spans="1:6" ht="17" x14ac:dyDescent="0.2">
      <c r="A61" s="113" t="s">
        <v>227</v>
      </c>
      <c r="B61"/>
    </row>
    <row r="62" spans="1:6" ht="17" x14ac:dyDescent="0.2">
      <c r="A62" s="78" t="s">
        <v>191</v>
      </c>
      <c r="B62" s="78" t="s">
        <v>192</v>
      </c>
      <c r="D62" s="78" t="s">
        <v>193</v>
      </c>
      <c r="F62" s="78" t="s">
        <v>194</v>
      </c>
    </row>
    <row r="63" spans="1:6" ht="17" x14ac:dyDescent="0.2">
      <c r="A63" s="78" t="s">
        <v>197</v>
      </c>
      <c r="B63" s="78" t="s">
        <v>198</v>
      </c>
      <c r="D63" s="78" t="s">
        <v>195</v>
      </c>
      <c r="F63" s="78" t="s">
        <v>196</v>
      </c>
    </row>
    <row r="64" spans="1:6" ht="17" x14ac:dyDescent="0.2">
      <c r="A64" s="78" t="s">
        <v>199</v>
      </c>
      <c r="B64" s="78" t="s">
        <v>200</v>
      </c>
      <c r="D64" s="78" t="s">
        <v>201</v>
      </c>
      <c r="F64" s="78" t="s">
        <v>202</v>
      </c>
    </row>
    <row r="65" spans="1:7" ht="16" customHeight="1" x14ac:dyDescent="0.2">
      <c r="A65" s="78" t="s">
        <v>5</v>
      </c>
      <c r="B65" s="78" t="s">
        <v>204</v>
      </c>
      <c r="D65" s="87" t="s">
        <v>203</v>
      </c>
    </row>
    <row r="66" spans="1:7" ht="16" customHeight="1" thickBot="1" x14ac:dyDescent="0.25">
      <c r="A66" s="78"/>
      <c r="B66"/>
    </row>
    <row r="67" spans="1:7" x14ac:dyDescent="0.2">
      <c r="A67" s="142" t="s">
        <v>122</v>
      </c>
      <c r="B67" s="143" t="s">
        <v>165</v>
      </c>
      <c r="C67" s="144" t="s">
        <v>88</v>
      </c>
      <c r="D67" s="144" t="s">
        <v>7</v>
      </c>
      <c r="E67" s="144" t="s">
        <v>6</v>
      </c>
      <c r="F67" s="144" t="s">
        <v>89</v>
      </c>
      <c r="G67" s="145" t="s">
        <v>8</v>
      </c>
    </row>
    <row r="68" spans="1:7" x14ac:dyDescent="0.2">
      <c r="A68" s="100" t="s">
        <v>183</v>
      </c>
      <c r="B68" s="114"/>
      <c r="C68" s="105">
        <v>0</v>
      </c>
      <c r="D68" s="105">
        <v>0</v>
      </c>
      <c r="E68" s="115">
        <v>200000</v>
      </c>
      <c r="F68" s="115">
        <f>C68*D68*E68</f>
        <v>0</v>
      </c>
      <c r="G68" s="100" t="s">
        <v>228</v>
      </c>
    </row>
    <row r="69" spans="1:7" x14ac:dyDescent="0.2">
      <c r="A69" s="116" t="s">
        <v>90</v>
      </c>
      <c r="B69" s="117"/>
      <c r="C69" s="105">
        <v>0</v>
      </c>
      <c r="D69" s="105">
        <v>0</v>
      </c>
      <c r="E69" s="103">
        <v>12000</v>
      </c>
      <c r="F69" s="103">
        <f t="shared" ref="F69:F82" si="3">C69*D69*E69</f>
        <v>0</v>
      </c>
      <c r="G69" s="100" t="s">
        <v>232</v>
      </c>
    </row>
    <row r="70" spans="1:7" x14ac:dyDescent="0.2">
      <c r="A70" s="116" t="s">
        <v>92</v>
      </c>
      <c r="B70" s="117"/>
      <c r="C70" s="105">
        <v>0</v>
      </c>
      <c r="D70" s="105">
        <v>0</v>
      </c>
      <c r="E70" s="103">
        <v>26000</v>
      </c>
      <c r="F70" s="103">
        <f t="shared" si="3"/>
        <v>0</v>
      </c>
      <c r="G70" s="100" t="s">
        <v>117</v>
      </c>
    </row>
    <row r="71" spans="1:7" x14ac:dyDescent="0.2">
      <c r="A71" s="116" t="s">
        <v>93</v>
      </c>
      <c r="B71" s="117"/>
      <c r="C71" s="105">
        <v>0</v>
      </c>
      <c r="D71" s="105">
        <v>0</v>
      </c>
      <c r="E71" s="103">
        <v>35000</v>
      </c>
      <c r="F71" s="103">
        <f t="shared" si="3"/>
        <v>0</v>
      </c>
      <c r="G71" s="100" t="s">
        <v>117</v>
      </c>
    </row>
    <row r="72" spans="1:7" x14ac:dyDescent="0.2">
      <c r="A72" s="116" t="s">
        <v>119</v>
      </c>
      <c r="B72" s="117"/>
      <c r="C72" s="105">
        <v>0</v>
      </c>
      <c r="D72" s="105">
        <v>0</v>
      </c>
      <c r="E72" s="103">
        <v>10000</v>
      </c>
      <c r="F72" s="103">
        <f t="shared" si="3"/>
        <v>0</v>
      </c>
      <c r="G72" s="100"/>
    </row>
    <row r="73" spans="1:7" x14ac:dyDescent="0.2">
      <c r="A73" s="116" t="s">
        <v>163</v>
      </c>
      <c r="B73" s="117"/>
      <c r="C73" s="105">
        <v>0</v>
      </c>
      <c r="D73" s="105">
        <v>0</v>
      </c>
      <c r="E73" s="103">
        <v>4500</v>
      </c>
      <c r="F73" s="103">
        <f t="shared" si="3"/>
        <v>0</v>
      </c>
      <c r="G73" s="100" t="s">
        <v>164</v>
      </c>
    </row>
    <row r="74" spans="1:7" x14ac:dyDescent="0.2">
      <c r="A74" s="116" t="s">
        <v>177</v>
      </c>
      <c r="B74" s="117"/>
      <c r="C74" s="105">
        <v>0</v>
      </c>
      <c r="D74" s="105">
        <v>0</v>
      </c>
      <c r="E74" s="103">
        <v>5000</v>
      </c>
      <c r="F74" s="103">
        <f t="shared" ref="F74:F75" si="4">C74*D74*E74</f>
        <v>0</v>
      </c>
      <c r="G74" s="100" t="s">
        <v>233</v>
      </c>
    </row>
    <row r="75" spans="1:7" x14ac:dyDescent="0.2">
      <c r="A75" s="116" t="s">
        <v>178</v>
      </c>
      <c r="B75" s="117"/>
      <c r="C75" s="105">
        <v>0</v>
      </c>
      <c r="D75" s="105">
        <v>0</v>
      </c>
      <c r="E75" s="103">
        <v>5000</v>
      </c>
      <c r="F75" s="103">
        <f t="shared" si="4"/>
        <v>0</v>
      </c>
      <c r="G75" s="100" t="s">
        <v>234</v>
      </c>
    </row>
    <row r="76" spans="1:7" x14ac:dyDescent="0.2">
      <c r="A76" s="116" t="s">
        <v>162</v>
      </c>
      <c r="B76" s="117"/>
      <c r="C76" s="105">
        <v>0</v>
      </c>
      <c r="D76" s="105">
        <v>0</v>
      </c>
      <c r="E76" s="103">
        <v>3000</v>
      </c>
      <c r="F76" s="103">
        <f t="shared" ref="F76" si="5">C76*D76*E76</f>
        <v>0</v>
      </c>
      <c r="G76" s="100" t="s">
        <v>235</v>
      </c>
    </row>
    <row r="77" spans="1:7" x14ac:dyDescent="0.2">
      <c r="A77" s="116" t="s">
        <v>118</v>
      </c>
      <c r="B77" s="117"/>
      <c r="C77" s="105">
        <v>0</v>
      </c>
      <c r="D77" s="105">
        <v>0</v>
      </c>
      <c r="E77" s="103">
        <v>16000</v>
      </c>
      <c r="F77" s="103">
        <f t="shared" si="3"/>
        <v>0</v>
      </c>
      <c r="G77" s="100" t="s">
        <v>144</v>
      </c>
    </row>
    <row r="78" spans="1:7" x14ac:dyDescent="0.2">
      <c r="A78" s="116" t="s">
        <v>11</v>
      </c>
      <c r="B78" s="117"/>
      <c r="C78" s="105">
        <v>0</v>
      </c>
      <c r="D78" s="105">
        <v>0</v>
      </c>
      <c r="E78" s="103">
        <v>7000</v>
      </c>
      <c r="F78" s="103">
        <f t="shared" si="3"/>
        <v>0</v>
      </c>
      <c r="G78" s="100" t="s">
        <v>166</v>
      </c>
    </row>
    <row r="79" spans="1:7" x14ac:dyDescent="0.2">
      <c r="A79" s="146" t="s">
        <v>236</v>
      </c>
      <c r="B79" s="147"/>
      <c r="C79" s="110">
        <v>0</v>
      </c>
      <c r="D79" s="110">
        <v>0</v>
      </c>
      <c r="E79" s="111">
        <v>1500</v>
      </c>
      <c r="F79" s="111">
        <f t="shared" si="3"/>
        <v>0</v>
      </c>
      <c r="G79" s="108" t="s">
        <v>229</v>
      </c>
    </row>
    <row r="80" spans="1:7" x14ac:dyDescent="0.2">
      <c r="A80" s="148" t="s">
        <v>167</v>
      </c>
      <c r="B80" s="149"/>
      <c r="C80" s="110">
        <v>0</v>
      </c>
      <c r="D80" s="110">
        <v>0</v>
      </c>
      <c r="E80" s="111">
        <v>3000</v>
      </c>
      <c r="F80" s="111">
        <f t="shared" si="3"/>
        <v>0</v>
      </c>
      <c r="G80" s="108"/>
    </row>
    <row r="81" spans="1:7" x14ac:dyDescent="0.2">
      <c r="A81" s="148" t="s">
        <v>237</v>
      </c>
      <c r="B81" s="149"/>
      <c r="C81" s="110">
        <v>0</v>
      </c>
      <c r="D81" s="110">
        <v>0</v>
      </c>
      <c r="E81" s="111">
        <v>1000</v>
      </c>
      <c r="F81" s="111">
        <f t="shared" ref="F81" si="6">C81*D81*E81</f>
        <v>0</v>
      </c>
      <c r="G81" s="108" t="s">
        <v>168</v>
      </c>
    </row>
    <row r="82" spans="1:7" x14ac:dyDescent="0.2">
      <c r="A82" s="148" t="s">
        <v>241</v>
      </c>
      <c r="B82" s="149"/>
      <c r="C82" s="110">
        <v>0</v>
      </c>
      <c r="D82" s="110">
        <v>0</v>
      </c>
      <c r="E82" s="111">
        <v>3000</v>
      </c>
      <c r="F82" s="111">
        <f t="shared" si="3"/>
        <v>0</v>
      </c>
      <c r="G82" s="108" t="s">
        <v>9</v>
      </c>
    </row>
    <row r="83" spans="1:7" x14ac:dyDescent="0.2">
      <c r="A83" s="148" t="s">
        <v>95</v>
      </c>
      <c r="B83" s="149"/>
      <c r="C83" s="110">
        <v>0</v>
      </c>
      <c r="D83" s="110">
        <v>0</v>
      </c>
      <c r="E83" s="150">
        <v>150000</v>
      </c>
      <c r="F83" s="111">
        <f t="shared" ref="F83:F90" si="7">C83*D83*E83</f>
        <v>0</v>
      </c>
      <c r="G83" s="108" t="s">
        <v>96</v>
      </c>
    </row>
    <row r="84" spans="1:7" x14ac:dyDescent="0.2">
      <c r="A84" s="116" t="s">
        <v>97</v>
      </c>
      <c r="B84" s="117"/>
      <c r="C84" s="105">
        <v>0</v>
      </c>
      <c r="D84" s="105">
        <v>0</v>
      </c>
      <c r="E84" s="118">
        <v>100000</v>
      </c>
      <c r="F84" s="103">
        <f t="shared" si="7"/>
        <v>0</v>
      </c>
      <c r="G84" s="100" t="s">
        <v>98</v>
      </c>
    </row>
    <row r="85" spans="1:7" x14ac:dyDescent="0.2">
      <c r="A85" s="119" t="s">
        <v>238</v>
      </c>
      <c r="B85" s="120"/>
      <c r="C85" s="97">
        <v>0</v>
      </c>
      <c r="D85" s="121">
        <v>0</v>
      </c>
      <c r="E85" s="107">
        <v>3850</v>
      </c>
      <c r="F85" s="122">
        <f>E85*D85*C85</f>
        <v>0</v>
      </c>
      <c r="G85" s="123" t="s">
        <v>159</v>
      </c>
    </row>
    <row r="86" spans="1:7" x14ac:dyDescent="0.2">
      <c r="A86" s="124" t="s">
        <v>114</v>
      </c>
      <c r="B86" s="125"/>
      <c r="C86" s="105">
        <v>0</v>
      </c>
      <c r="D86" s="105">
        <v>0</v>
      </c>
      <c r="E86" s="118">
        <v>4800</v>
      </c>
      <c r="F86" s="103">
        <f>C86*D86*E86</f>
        <v>0</v>
      </c>
      <c r="G86" s="116" t="s">
        <v>239</v>
      </c>
    </row>
    <row r="87" spans="1:7" ht="15" customHeight="1" x14ac:dyDescent="0.2">
      <c r="A87" s="124" t="s">
        <v>115</v>
      </c>
      <c r="B87" s="125"/>
      <c r="C87" s="105">
        <v>0</v>
      </c>
      <c r="D87" s="105">
        <v>0</v>
      </c>
      <c r="E87" s="118">
        <v>5500</v>
      </c>
      <c r="F87" s="103">
        <f>C87*D87*E87</f>
        <v>0</v>
      </c>
      <c r="G87" s="116" t="s">
        <v>161</v>
      </c>
    </row>
    <row r="88" spans="1:7" ht="15" customHeight="1" x14ac:dyDescent="0.2">
      <c r="A88" s="124" t="s">
        <v>116</v>
      </c>
      <c r="B88" s="125"/>
      <c r="C88" s="105">
        <v>0</v>
      </c>
      <c r="D88" s="105">
        <v>0</v>
      </c>
      <c r="E88" s="118">
        <v>7500</v>
      </c>
      <c r="F88" s="103">
        <f t="shared" si="7"/>
        <v>0</v>
      </c>
      <c r="G88" s="116" t="s">
        <v>160</v>
      </c>
    </row>
    <row r="89" spans="1:7" x14ac:dyDescent="0.2">
      <c r="A89" s="116" t="s">
        <v>176</v>
      </c>
      <c r="B89" s="117"/>
      <c r="C89" s="105">
        <v>0</v>
      </c>
      <c r="D89" s="105">
        <v>0</v>
      </c>
      <c r="E89" s="103">
        <v>8500</v>
      </c>
      <c r="F89" s="103">
        <f t="shared" si="7"/>
        <v>0</v>
      </c>
      <c r="G89" s="126" t="s">
        <v>244</v>
      </c>
    </row>
    <row r="90" spans="1:7" ht="32" x14ac:dyDescent="0.2">
      <c r="A90" s="101" t="s">
        <v>169</v>
      </c>
      <c r="B90" s="104"/>
      <c r="C90" s="105">
        <v>0</v>
      </c>
      <c r="D90" s="105">
        <v>0</v>
      </c>
      <c r="E90" s="103">
        <v>13500</v>
      </c>
      <c r="F90" s="103">
        <f t="shared" si="7"/>
        <v>0</v>
      </c>
      <c r="G90" s="155" t="s">
        <v>145</v>
      </c>
    </row>
    <row r="91" spans="1:7" x14ac:dyDescent="0.2">
      <c r="A91" s="116" t="s">
        <v>94</v>
      </c>
      <c r="B91" s="117"/>
      <c r="C91" s="105">
        <v>0</v>
      </c>
      <c r="D91" s="105">
        <v>0</v>
      </c>
      <c r="E91" s="103">
        <v>2500</v>
      </c>
      <c r="F91" s="103">
        <f>C91*D91*E91</f>
        <v>0</v>
      </c>
      <c r="G91" s="100" t="s">
        <v>242</v>
      </c>
    </row>
    <row r="92" spans="1:7" x14ac:dyDescent="0.2">
      <c r="A92" s="116" t="s">
        <v>170</v>
      </c>
      <c r="B92" s="117"/>
      <c r="C92" s="105">
        <v>0</v>
      </c>
      <c r="D92" s="105">
        <v>0</v>
      </c>
      <c r="E92" s="118">
        <v>300000</v>
      </c>
      <c r="F92" s="103">
        <f>C92*D92*E92</f>
        <v>0</v>
      </c>
      <c r="G92" s="100" t="s">
        <v>240</v>
      </c>
    </row>
    <row r="93" spans="1:7" x14ac:dyDescent="0.2">
      <c r="A93" s="116" t="s">
        <v>171</v>
      </c>
      <c r="B93" s="117"/>
      <c r="C93" s="105">
        <v>0</v>
      </c>
      <c r="D93" s="105">
        <v>0</v>
      </c>
      <c r="E93" s="118">
        <v>250000</v>
      </c>
      <c r="F93" s="103">
        <f>C93*D93*E93</f>
        <v>0</v>
      </c>
      <c r="G93" s="100" t="s">
        <v>240</v>
      </c>
    </row>
    <row r="94" spans="1:7" x14ac:dyDescent="0.2">
      <c r="A94" s="116" t="s">
        <v>142</v>
      </c>
      <c r="B94" s="117"/>
      <c r="C94" s="105">
        <v>0</v>
      </c>
      <c r="D94" s="105">
        <v>0</v>
      </c>
      <c r="E94" s="118">
        <v>210000</v>
      </c>
      <c r="F94" s="103">
        <f t="shared" ref="F94:F101" si="8">C94*D94*E94</f>
        <v>0</v>
      </c>
      <c r="G94" s="100" t="s">
        <v>240</v>
      </c>
    </row>
    <row r="95" spans="1:7" x14ac:dyDescent="0.2">
      <c r="A95" s="116" t="s">
        <v>143</v>
      </c>
      <c r="B95" s="117"/>
      <c r="C95" s="105">
        <v>0</v>
      </c>
      <c r="D95" s="105">
        <v>0</v>
      </c>
      <c r="E95" s="118">
        <v>210000</v>
      </c>
      <c r="F95" s="103">
        <f t="shared" si="8"/>
        <v>0</v>
      </c>
      <c r="G95" s="100" t="s">
        <v>240</v>
      </c>
    </row>
    <row r="96" spans="1:7" x14ac:dyDescent="0.2">
      <c r="A96" s="116" t="s">
        <v>172</v>
      </c>
      <c r="B96" s="117"/>
      <c r="C96" s="105">
        <v>0</v>
      </c>
      <c r="D96" s="105">
        <v>0</v>
      </c>
      <c r="E96" s="118">
        <v>180000</v>
      </c>
      <c r="F96" s="103">
        <f t="shared" si="8"/>
        <v>0</v>
      </c>
      <c r="G96" s="100" t="s">
        <v>240</v>
      </c>
    </row>
    <row r="97" spans="1:7" x14ac:dyDescent="0.2">
      <c r="A97" s="116" t="s">
        <v>141</v>
      </c>
      <c r="B97" s="117"/>
      <c r="C97" s="105">
        <v>0</v>
      </c>
      <c r="D97" s="105">
        <v>0</v>
      </c>
      <c r="E97" s="118">
        <v>180000</v>
      </c>
      <c r="F97" s="103">
        <f t="shared" si="8"/>
        <v>0</v>
      </c>
      <c r="G97" s="100" t="s">
        <v>240</v>
      </c>
    </row>
    <row r="98" spans="1:7" x14ac:dyDescent="0.2">
      <c r="A98" s="116" t="s">
        <v>174</v>
      </c>
      <c r="B98" s="117"/>
      <c r="C98" s="105">
        <v>0</v>
      </c>
      <c r="D98" s="105">
        <v>0</v>
      </c>
      <c r="E98" s="111">
        <v>120000</v>
      </c>
      <c r="F98" s="103">
        <f t="shared" si="8"/>
        <v>0</v>
      </c>
      <c r="G98" s="100" t="s">
        <v>240</v>
      </c>
    </row>
    <row r="99" spans="1:7" x14ac:dyDescent="0.2">
      <c r="A99" s="116" t="s">
        <v>173</v>
      </c>
      <c r="B99" s="117"/>
      <c r="C99" s="105">
        <v>0</v>
      </c>
      <c r="D99" s="105">
        <v>0</v>
      </c>
      <c r="E99" s="111">
        <v>90000</v>
      </c>
      <c r="F99" s="103">
        <f t="shared" si="8"/>
        <v>0</v>
      </c>
      <c r="G99" s="100" t="s">
        <v>240</v>
      </c>
    </row>
    <row r="100" spans="1:7" x14ac:dyDescent="0.2">
      <c r="A100" s="116" t="s">
        <v>182</v>
      </c>
      <c r="B100" s="117"/>
      <c r="C100" s="105">
        <v>0</v>
      </c>
      <c r="D100" s="105">
        <v>0</v>
      </c>
      <c r="E100" s="111">
        <v>100000</v>
      </c>
      <c r="F100" s="103">
        <f t="shared" si="8"/>
        <v>0</v>
      </c>
      <c r="G100" s="100" t="s">
        <v>243</v>
      </c>
    </row>
    <row r="101" spans="1:7" x14ac:dyDescent="0.2">
      <c r="A101" s="116" t="s">
        <v>175</v>
      </c>
      <c r="B101" s="117"/>
      <c r="C101" s="105">
        <v>0</v>
      </c>
      <c r="D101" s="105">
        <v>0</v>
      </c>
      <c r="E101" s="111">
        <v>300000</v>
      </c>
      <c r="F101" s="103">
        <f t="shared" si="8"/>
        <v>0</v>
      </c>
      <c r="G101" s="100" t="s">
        <v>240</v>
      </c>
    </row>
    <row r="102" spans="1:7" ht="15" customHeight="1" x14ac:dyDescent="0.2">
      <c r="A102" s="130" t="s">
        <v>157</v>
      </c>
      <c r="B102" s="131"/>
      <c r="C102" s="105">
        <v>0</v>
      </c>
      <c r="D102" s="105">
        <v>0</v>
      </c>
      <c r="E102" s="103">
        <v>680000</v>
      </c>
      <c r="F102" s="115">
        <f t="shared" ref="F102:F104" si="9">C102*D102*E102</f>
        <v>0</v>
      </c>
      <c r="G102" s="158"/>
    </row>
    <row r="103" spans="1:7" ht="18" x14ac:dyDescent="0.2">
      <c r="A103" s="130" t="s">
        <v>157</v>
      </c>
      <c r="B103" s="131"/>
      <c r="C103" s="105">
        <v>0</v>
      </c>
      <c r="D103" s="105">
        <v>0</v>
      </c>
      <c r="E103" s="103">
        <v>580000</v>
      </c>
      <c r="F103" s="115">
        <f t="shared" si="9"/>
        <v>0</v>
      </c>
      <c r="G103" s="159"/>
    </row>
    <row r="104" spans="1:7" x14ac:dyDescent="0.2">
      <c r="A104" s="130" t="s">
        <v>158</v>
      </c>
      <c r="B104" s="131"/>
      <c r="C104" s="105">
        <v>0</v>
      </c>
      <c r="D104" s="105">
        <v>0</v>
      </c>
      <c r="E104" s="103">
        <v>580000</v>
      </c>
      <c r="F104" s="115">
        <f t="shared" si="9"/>
        <v>0</v>
      </c>
      <c r="G104" s="75"/>
    </row>
    <row r="105" spans="1:7" ht="18" x14ac:dyDescent="0.2">
      <c r="A105" s="100" t="s">
        <v>179</v>
      </c>
      <c r="B105" s="129"/>
      <c r="C105" s="105">
        <v>0</v>
      </c>
      <c r="D105" s="105">
        <v>0</v>
      </c>
      <c r="E105" s="103">
        <v>180000</v>
      </c>
      <c r="F105" s="103">
        <f>C105*D105*E105</f>
        <v>0</v>
      </c>
      <c r="G105" s="159"/>
    </row>
    <row r="106" spans="1:7" ht="17" customHeight="1" x14ac:dyDescent="0.2">
      <c r="A106" s="108" t="s">
        <v>245</v>
      </c>
      <c r="B106" s="109"/>
      <c r="C106" s="110">
        <v>0</v>
      </c>
      <c r="D106" s="110">
        <v>0</v>
      </c>
      <c r="E106" s="111">
        <v>35000</v>
      </c>
      <c r="F106" s="111">
        <f t="shared" ref="F106" si="10">C106*D106*E106</f>
        <v>0</v>
      </c>
      <c r="G106" s="159"/>
    </row>
    <row r="107" spans="1:7" ht="17" customHeight="1" x14ac:dyDescent="0.2">
      <c r="A107" s="108" t="s">
        <v>246</v>
      </c>
      <c r="B107" s="109"/>
      <c r="C107" s="110">
        <v>0</v>
      </c>
      <c r="D107" s="110">
        <v>0</v>
      </c>
      <c r="E107" s="111">
        <v>55000</v>
      </c>
      <c r="F107" s="111">
        <f t="shared" ref="F107:F111" si="11">C107*D107*E107</f>
        <v>0</v>
      </c>
    </row>
    <row r="108" spans="1:7" x14ac:dyDescent="0.2">
      <c r="A108" s="108" t="s">
        <v>247</v>
      </c>
      <c r="B108" s="109"/>
      <c r="C108" s="110">
        <v>0</v>
      </c>
      <c r="D108" s="110">
        <v>0</v>
      </c>
      <c r="E108" s="111">
        <v>35000</v>
      </c>
      <c r="F108" s="111">
        <f t="shared" si="11"/>
        <v>0</v>
      </c>
    </row>
    <row r="109" spans="1:7" x14ac:dyDescent="0.2">
      <c r="A109" s="108" t="s">
        <v>250</v>
      </c>
      <c r="B109" s="109"/>
      <c r="C109" s="110">
        <v>0</v>
      </c>
      <c r="D109" s="110">
        <v>0</v>
      </c>
      <c r="E109" s="111">
        <v>55000</v>
      </c>
      <c r="F109" s="111">
        <f t="shared" si="11"/>
        <v>0</v>
      </c>
    </row>
    <row r="110" spans="1:7" ht="17" customHeight="1" x14ac:dyDescent="0.2">
      <c r="A110" s="128" t="s">
        <v>248</v>
      </c>
      <c r="B110" s="127"/>
      <c r="C110" s="128"/>
      <c r="D110" s="128"/>
      <c r="E110" s="151">
        <v>120000</v>
      </c>
      <c r="F110" s="111">
        <f t="shared" si="11"/>
        <v>0</v>
      </c>
    </row>
    <row r="111" spans="1:7" ht="17" customHeight="1" x14ac:dyDescent="0.2">
      <c r="A111" s="128" t="s">
        <v>249</v>
      </c>
      <c r="B111" s="127"/>
      <c r="C111" s="128"/>
      <c r="D111" s="128"/>
      <c r="E111" s="151">
        <v>200000</v>
      </c>
      <c r="F111" s="111">
        <f t="shared" si="11"/>
        <v>0</v>
      </c>
    </row>
    <row r="112" spans="1:7" x14ac:dyDescent="0.2">
      <c r="A112" s="132"/>
      <c r="B112" s="133"/>
      <c r="C112" s="132"/>
      <c r="D112" s="132"/>
      <c r="E112" s="132"/>
      <c r="F112" s="132"/>
    </row>
    <row r="113" spans="1:6" x14ac:dyDescent="0.2">
      <c r="A113" s="132"/>
      <c r="B113" s="133"/>
      <c r="C113" s="132"/>
      <c r="D113" s="132"/>
      <c r="E113" s="132"/>
      <c r="F113" s="132"/>
    </row>
    <row r="129" spans="1:7" ht="17" x14ac:dyDescent="0.2">
      <c r="A129" s="23"/>
      <c r="B129" s="84"/>
      <c r="C129" s="6"/>
      <c r="D129" s="6"/>
      <c r="E129" s="6"/>
      <c r="F129" s="6"/>
      <c r="G129" s="6"/>
    </row>
  </sheetData>
  <mergeCells count="3">
    <mergeCell ref="A38:E38"/>
    <mergeCell ref="A39:E39"/>
    <mergeCell ref="A41:E41"/>
  </mergeCells>
  <phoneticPr fontId="7" type="noConversion"/>
  <hyperlinks>
    <hyperlink ref="D65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71"/>
    <col min="6" max="8" width="11" style="71"/>
    <col min="9" max="9" width="31" customWidth="1"/>
  </cols>
  <sheetData>
    <row r="1" spans="1:14" x14ac:dyDescent="0.2">
      <c r="A1" s="199"/>
      <c r="B1" s="199"/>
      <c r="C1" s="199"/>
      <c r="D1" s="25"/>
      <c r="E1" s="25" t="s">
        <v>99</v>
      </c>
      <c r="F1" s="41"/>
      <c r="G1" s="41"/>
      <c r="H1" s="41"/>
      <c r="I1" s="25"/>
      <c r="J1" s="22"/>
      <c r="K1" s="22"/>
      <c r="L1" s="22"/>
      <c r="M1" s="22"/>
      <c r="N1" s="22"/>
    </row>
    <row r="2" spans="1:14" x14ac:dyDescent="0.2">
      <c r="A2" s="199"/>
      <c r="B2" s="199"/>
      <c r="C2" s="199"/>
      <c r="D2" s="25"/>
      <c r="E2" s="25"/>
      <c r="F2" s="41"/>
      <c r="G2" s="41"/>
      <c r="H2" s="41"/>
      <c r="I2" s="25"/>
      <c r="J2" s="22"/>
      <c r="K2" s="22"/>
      <c r="L2" s="22"/>
      <c r="M2" s="22"/>
      <c r="N2" s="22"/>
    </row>
    <row r="3" spans="1:14" x14ac:dyDescent="0.2">
      <c r="A3" s="199"/>
      <c r="B3" s="199"/>
      <c r="C3" s="199"/>
      <c r="D3" s="25"/>
      <c r="E3" s="25" t="s">
        <v>134</v>
      </c>
      <c r="F3" s="41"/>
      <c r="G3" s="41"/>
      <c r="H3" s="41"/>
      <c r="I3" s="25"/>
      <c r="J3" s="22"/>
      <c r="K3" s="22"/>
      <c r="L3" s="22"/>
      <c r="M3" s="22"/>
      <c r="N3" s="22"/>
    </row>
    <row r="4" spans="1:14" x14ac:dyDescent="0.2">
      <c r="A4" s="199"/>
      <c r="B4" s="199"/>
      <c r="C4" s="199"/>
      <c r="D4" s="42"/>
      <c r="E4" s="42" t="s">
        <v>135</v>
      </c>
      <c r="F4" s="43"/>
      <c r="G4" s="43"/>
      <c r="H4" s="43"/>
      <c r="I4" s="42"/>
      <c r="J4" s="22"/>
      <c r="K4" s="22"/>
      <c r="L4" s="22"/>
      <c r="M4" s="22"/>
      <c r="N4" s="22"/>
    </row>
    <row r="5" spans="1:14" x14ac:dyDescent="0.2">
      <c r="A5" s="36"/>
      <c r="B5" s="36"/>
      <c r="C5" s="36"/>
      <c r="D5" s="42"/>
      <c r="E5" s="42"/>
      <c r="F5" s="43"/>
      <c r="G5" s="43"/>
      <c r="H5" s="43"/>
      <c r="I5" s="42"/>
      <c r="J5" s="22"/>
      <c r="K5" s="22"/>
      <c r="L5" s="22"/>
      <c r="M5" s="22"/>
      <c r="N5" s="22"/>
    </row>
    <row r="6" spans="1:14" x14ac:dyDescent="0.2">
      <c r="A6" s="29" t="s">
        <v>100</v>
      </c>
      <c r="B6" s="30" t="s">
        <v>101</v>
      </c>
      <c r="C6" s="200" t="s">
        <v>128</v>
      </c>
      <c r="D6" s="194"/>
      <c r="E6" s="195"/>
      <c r="F6" s="30" t="s">
        <v>102</v>
      </c>
      <c r="G6" s="30" t="s">
        <v>103</v>
      </c>
      <c r="H6" s="30" t="s">
        <v>104</v>
      </c>
      <c r="I6" s="30" t="s">
        <v>105</v>
      </c>
      <c r="J6" s="22"/>
      <c r="K6" s="22"/>
      <c r="L6" s="22"/>
      <c r="M6" s="22"/>
      <c r="N6" s="22"/>
    </row>
    <row r="7" spans="1:14" x14ac:dyDescent="0.2">
      <c r="A7" s="51">
        <v>0.375</v>
      </c>
      <c r="B7" s="52">
        <v>0.45833333333333331</v>
      </c>
      <c r="C7" s="181" t="s">
        <v>129</v>
      </c>
      <c r="D7" s="182"/>
      <c r="E7" s="183"/>
      <c r="F7" s="53"/>
      <c r="G7" s="53"/>
      <c r="H7" s="53"/>
      <c r="I7" s="54" t="s">
        <v>130</v>
      </c>
      <c r="J7" s="22"/>
      <c r="K7" s="22"/>
      <c r="L7" s="22"/>
      <c r="M7" s="22"/>
      <c r="N7" s="22"/>
    </row>
    <row r="8" spans="1:14" x14ac:dyDescent="0.2">
      <c r="A8" s="51">
        <v>0.46875</v>
      </c>
      <c r="B8" s="52">
        <v>0.5625</v>
      </c>
      <c r="C8" s="181" t="s">
        <v>129</v>
      </c>
      <c r="D8" s="182"/>
      <c r="E8" s="183"/>
      <c r="F8" s="53"/>
      <c r="G8" s="53"/>
      <c r="H8" s="53"/>
      <c r="I8" s="54" t="s">
        <v>130</v>
      </c>
      <c r="J8" s="22"/>
      <c r="K8" s="22"/>
      <c r="L8" s="22"/>
      <c r="M8" s="22"/>
      <c r="N8" s="22"/>
    </row>
    <row r="9" spans="1:14" x14ac:dyDescent="0.2">
      <c r="A9" s="46">
        <v>0.5625</v>
      </c>
      <c r="B9" s="47">
        <v>0.60416666666666663</v>
      </c>
      <c r="C9" s="184" t="s">
        <v>108</v>
      </c>
      <c r="D9" s="185"/>
      <c r="E9" s="186"/>
      <c r="F9" s="48"/>
      <c r="G9" s="48">
        <v>60</v>
      </c>
      <c r="H9" s="49" t="s">
        <v>107</v>
      </c>
      <c r="I9" s="50"/>
      <c r="J9" s="22"/>
      <c r="K9" s="22"/>
      <c r="L9" s="22"/>
      <c r="M9" s="22"/>
      <c r="N9" s="22"/>
    </row>
    <row r="10" spans="1:14" x14ac:dyDescent="0.2">
      <c r="A10" s="51">
        <v>0.625</v>
      </c>
      <c r="B10" s="52">
        <v>0.70833333333333337</v>
      </c>
      <c r="C10" s="181" t="s">
        <v>129</v>
      </c>
      <c r="D10" s="182"/>
      <c r="E10" s="183"/>
      <c r="F10" s="53"/>
      <c r="G10" s="53"/>
      <c r="H10" s="53"/>
      <c r="I10" s="54" t="s">
        <v>130</v>
      </c>
      <c r="J10" s="22"/>
      <c r="K10" s="22"/>
      <c r="L10" s="22"/>
      <c r="M10" s="22"/>
      <c r="N10" s="22"/>
    </row>
    <row r="11" spans="1:14" x14ac:dyDescent="0.2">
      <c r="A11" s="51">
        <v>0.71875</v>
      </c>
      <c r="B11" s="52">
        <v>0.75</v>
      </c>
      <c r="C11" s="181" t="s">
        <v>129</v>
      </c>
      <c r="D11" s="182"/>
      <c r="E11" s="183"/>
      <c r="F11" s="53"/>
      <c r="G11" s="53"/>
      <c r="H11" s="53"/>
      <c r="I11" s="54" t="s">
        <v>130</v>
      </c>
      <c r="J11" s="22"/>
      <c r="K11" s="22"/>
      <c r="L11" s="22"/>
      <c r="M11" s="22"/>
      <c r="N11" s="22"/>
    </row>
    <row r="12" spans="1:14" x14ac:dyDescent="0.2">
      <c r="A12" s="26">
        <v>0.75</v>
      </c>
      <c r="B12" s="27">
        <v>0.79166666666666663</v>
      </c>
      <c r="C12" s="187" t="s">
        <v>109</v>
      </c>
      <c r="D12" s="188"/>
      <c r="E12" s="189"/>
      <c r="F12" s="45"/>
      <c r="G12" s="45"/>
      <c r="H12" s="44"/>
      <c r="I12" s="28" t="s">
        <v>126</v>
      </c>
      <c r="J12" s="22"/>
      <c r="K12" s="22"/>
      <c r="L12" s="22"/>
      <c r="M12" s="22"/>
      <c r="N12" s="22"/>
    </row>
    <row r="13" spans="1:14" ht="15" customHeight="1" x14ac:dyDescent="0.2">
      <c r="A13" s="57">
        <v>0.83333333333333337</v>
      </c>
      <c r="B13" s="58">
        <v>0.875</v>
      </c>
      <c r="C13" s="190" t="s">
        <v>127</v>
      </c>
      <c r="D13" s="191"/>
      <c r="E13" s="192"/>
      <c r="F13" s="59"/>
      <c r="G13" s="59">
        <v>60</v>
      </c>
      <c r="H13" s="49" t="s">
        <v>107</v>
      </c>
      <c r="I13" s="60"/>
      <c r="J13" s="22"/>
      <c r="K13" s="22"/>
      <c r="L13" s="22"/>
      <c r="M13" s="22"/>
      <c r="N13" s="22"/>
    </row>
    <row r="14" spans="1:14" x14ac:dyDescent="0.2">
      <c r="A14" s="63"/>
      <c r="B14" s="64"/>
      <c r="C14" s="64"/>
      <c r="D14" s="64"/>
      <c r="E14" s="64"/>
      <c r="F14" s="64"/>
      <c r="G14" s="64"/>
      <c r="H14" s="64"/>
      <c r="I14" s="65"/>
      <c r="J14" s="22"/>
      <c r="K14" s="22"/>
      <c r="L14" s="22"/>
      <c r="M14" s="22"/>
      <c r="N14" s="22"/>
    </row>
    <row r="15" spans="1:14" x14ac:dyDescent="0.2">
      <c r="A15" s="29" t="s">
        <v>100</v>
      </c>
      <c r="B15" s="30" t="s">
        <v>101</v>
      </c>
      <c r="C15" s="193" t="s">
        <v>131</v>
      </c>
      <c r="D15" s="194"/>
      <c r="E15" s="195"/>
      <c r="F15" s="30" t="s">
        <v>102</v>
      </c>
      <c r="G15" s="30" t="s">
        <v>103</v>
      </c>
      <c r="H15" s="30" t="s">
        <v>104</v>
      </c>
      <c r="I15" s="30" t="s">
        <v>105</v>
      </c>
      <c r="J15" s="22"/>
      <c r="K15" s="22"/>
      <c r="L15" s="22"/>
      <c r="M15" s="22"/>
      <c r="N15" s="22"/>
    </row>
    <row r="16" spans="1:14" x14ac:dyDescent="0.2">
      <c r="A16" s="46">
        <v>0.33333333333333331</v>
      </c>
      <c r="B16" s="47">
        <v>0.375</v>
      </c>
      <c r="C16" s="196" t="s">
        <v>106</v>
      </c>
      <c r="D16" s="197"/>
      <c r="E16" s="198"/>
      <c r="F16" s="61"/>
      <c r="G16" s="61">
        <v>60</v>
      </c>
      <c r="H16" s="61"/>
      <c r="I16" s="62"/>
      <c r="J16" s="22"/>
      <c r="K16" s="22"/>
      <c r="L16" s="22"/>
      <c r="M16" s="22"/>
      <c r="N16" s="22"/>
    </row>
    <row r="17" spans="1:14" x14ac:dyDescent="0.2">
      <c r="A17" s="51">
        <v>0.375</v>
      </c>
      <c r="B17" s="52">
        <v>0.45833333333333331</v>
      </c>
      <c r="C17" s="181" t="s">
        <v>129</v>
      </c>
      <c r="D17" s="182"/>
      <c r="E17" s="183"/>
      <c r="F17" s="53"/>
      <c r="G17" s="53"/>
      <c r="H17" s="53"/>
      <c r="I17" s="54" t="s">
        <v>130</v>
      </c>
      <c r="J17" s="22"/>
      <c r="K17" s="22"/>
      <c r="L17" s="22"/>
      <c r="M17" s="22"/>
      <c r="N17" s="22"/>
    </row>
    <row r="18" spans="1:14" x14ac:dyDescent="0.2">
      <c r="A18" s="51">
        <v>0.46875</v>
      </c>
      <c r="B18" s="52">
        <v>0.5625</v>
      </c>
      <c r="C18" s="181" t="s">
        <v>129</v>
      </c>
      <c r="D18" s="182"/>
      <c r="E18" s="183"/>
      <c r="F18" s="53"/>
      <c r="G18" s="53"/>
      <c r="H18" s="53"/>
      <c r="I18" s="54" t="s">
        <v>130</v>
      </c>
      <c r="J18" s="22"/>
      <c r="K18" s="22"/>
      <c r="L18" s="22"/>
      <c r="M18" s="22"/>
      <c r="N18" s="22"/>
    </row>
    <row r="19" spans="1:14" x14ac:dyDescent="0.2">
      <c r="A19" s="46">
        <v>0.5625</v>
      </c>
      <c r="B19" s="47">
        <v>0.60416666666666663</v>
      </c>
      <c r="C19" s="184" t="s">
        <v>108</v>
      </c>
      <c r="D19" s="185"/>
      <c r="E19" s="186"/>
      <c r="F19" s="48"/>
      <c r="G19" s="48">
        <v>60</v>
      </c>
      <c r="H19" s="49" t="s">
        <v>107</v>
      </c>
      <c r="I19" s="50"/>
      <c r="J19" s="22"/>
      <c r="K19" s="22"/>
      <c r="L19" s="22"/>
      <c r="M19" s="22"/>
      <c r="N19" s="22"/>
    </row>
    <row r="20" spans="1:14" x14ac:dyDescent="0.2">
      <c r="A20" s="51">
        <v>0.625</v>
      </c>
      <c r="B20" s="52">
        <v>0.70833333333333337</v>
      </c>
      <c r="C20" s="181" t="s">
        <v>129</v>
      </c>
      <c r="D20" s="182"/>
      <c r="E20" s="183"/>
      <c r="F20" s="53"/>
      <c r="G20" s="53"/>
      <c r="H20" s="53"/>
      <c r="I20" s="54" t="s">
        <v>130</v>
      </c>
      <c r="J20" s="22"/>
      <c r="K20" s="22"/>
      <c r="L20" s="22"/>
      <c r="M20" s="22"/>
      <c r="N20" s="22"/>
    </row>
    <row r="21" spans="1:14" x14ac:dyDescent="0.2">
      <c r="A21" s="51">
        <v>0.71875</v>
      </c>
      <c r="B21" s="52">
        <v>0.75</v>
      </c>
      <c r="C21" s="181" t="s">
        <v>129</v>
      </c>
      <c r="D21" s="182"/>
      <c r="E21" s="183"/>
      <c r="F21" s="53"/>
      <c r="G21" s="53"/>
      <c r="H21" s="53"/>
      <c r="I21" s="54" t="s">
        <v>130</v>
      </c>
      <c r="J21" s="22"/>
      <c r="K21" s="22"/>
      <c r="L21" s="22"/>
      <c r="M21" s="22"/>
      <c r="N21" s="22"/>
    </row>
    <row r="22" spans="1:14" x14ac:dyDescent="0.2">
      <c r="A22" s="26">
        <v>0.75</v>
      </c>
      <c r="B22" s="27">
        <v>0.79166666666666663</v>
      </c>
      <c r="C22" s="187" t="s">
        <v>109</v>
      </c>
      <c r="D22" s="188"/>
      <c r="E22" s="189"/>
      <c r="F22" s="45"/>
      <c r="G22" s="45"/>
      <c r="H22" s="44"/>
      <c r="I22" s="28" t="s">
        <v>126</v>
      </c>
      <c r="J22" s="22"/>
      <c r="K22" s="22"/>
      <c r="L22" s="22"/>
      <c r="M22" s="22"/>
      <c r="N22" s="22"/>
    </row>
    <row r="23" spans="1:14" ht="15" customHeight="1" x14ac:dyDescent="0.2">
      <c r="A23" s="57">
        <v>0.83333333333333337</v>
      </c>
      <c r="B23" s="58">
        <v>0.875</v>
      </c>
      <c r="C23" s="190" t="s">
        <v>127</v>
      </c>
      <c r="D23" s="191"/>
      <c r="E23" s="192"/>
      <c r="F23" s="59"/>
      <c r="G23" s="59">
        <v>60</v>
      </c>
      <c r="H23" s="49" t="s">
        <v>107</v>
      </c>
      <c r="I23" s="60"/>
      <c r="J23" s="22"/>
      <c r="K23" s="22"/>
      <c r="L23" s="22"/>
      <c r="M23" s="22"/>
      <c r="N23" s="22"/>
    </row>
    <row r="24" spans="1:14" s="56" customFormat="1" ht="15" customHeight="1" x14ac:dyDescent="0.2">
      <c r="A24" s="66"/>
      <c r="B24" s="66"/>
      <c r="C24" s="67"/>
      <c r="D24" s="67"/>
      <c r="E24" s="67"/>
      <c r="F24" s="68"/>
      <c r="G24" s="68"/>
      <c r="H24" s="69"/>
      <c r="I24" s="70"/>
      <c r="J24" s="55"/>
      <c r="K24" s="55"/>
      <c r="L24" s="55"/>
      <c r="M24" s="55"/>
      <c r="N24" s="55"/>
    </row>
    <row r="25" spans="1:14" x14ac:dyDescent="0.2">
      <c r="A25" s="29" t="s">
        <v>100</v>
      </c>
      <c r="B25" s="30" t="s">
        <v>101</v>
      </c>
      <c r="C25" s="193" t="s">
        <v>132</v>
      </c>
      <c r="D25" s="194"/>
      <c r="E25" s="195"/>
      <c r="F25" s="30" t="s">
        <v>102</v>
      </c>
      <c r="G25" s="30" t="s">
        <v>103</v>
      </c>
      <c r="H25" s="30" t="s">
        <v>104</v>
      </c>
      <c r="I25" s="30" t="s">
        <v>105</v>
      </c>
      <c r="J25" s="22"/>
      <c r="K25" s="22"/>
      <c r="L25" s="22"/>
      <c r="M25" s="22"/>
      <c r="N25" s="22"/>
    </row>
    <row r="26" spans="1:14" x14ac:dyDescent="0.2">
      <c r="A26" s="46">
        <v>0.33333333333333331</v>
      </c>
      <c r="B26" s="47">
        <v>0.375</v>
      </c>
      <c r="C26" s="196" t="s">
        <v>106</v>
      </c>
      <c r="D26" s="197"/>
      <c r="E26" s="198"/>
      <c r="F26" s="61"/>
      <c r="G26" s="61">
        <v>60</v>
      </c>
      <c r="H26" s="61"/>
      <c r="I26" s="62"/>
      <c r="J26" s="22"/>
      <c r="K26" s="22"/>
      <c r="L26" s="22"/>
      <c r="M26" s="22"/>
      <c r="N26" s="22"/>
    </row>
    <row r="27" spans="1:14" x14ac:dyDescent="0.2">
      <c r="A27" s="51">
        <v>0.375</v>
      </c>
      <c r="B27" s="52">
        <v>0.45833333333333331</v>
      </c>
      <c r="C27" s="181" t="s">
        <v>129</v>
      </c>
      <c r="D27" s="182"/>
      <c r="E27" s="183"/>
      <c r="F27" s="53"/>
      <c r="G27" s="53"/>
      <c r="H27" s="53"/>
      <c r="I27" s="54" t="s">
        <v>130</v>
      </c>
      <c r="J27" s="22"/>
      <c r="K27" s="22"/>
      <c r="L27" s="22"/>
      <c r="M27" s="22"/>
      <c r="N27" s="22"/>
    </row>
    <row r="28" spans="1:14" x14ac:dyDescent="0.2">
      <c r="A28" s="51">
        <v>0.46875</v>
      </c>
      <c r="B28" s="52">
        <v>0.5625</v>
      </c>
      <c r="C28" s="181" t="s">
        <v>129</v>
      </c>
      <c r="D28" s="182"/>
      <c r="E28" s="183"/>
      <c r="F28" s="53"/>
      <c r="G28" s="53"/>
      <c r="H28" s="53"/>
      <c r="I28" s="54" t="s">
        <v>130</v>
      </c>
      <c r="J28" s="22"/>
      <c r="K28" s="22"/>
      <c r="L28" s="22"/>
      <c r="M28" s="22"/>
      <c r="N28" s="22"/>
    </row>
    <row r="29" spans="1:14" x14ac:dyDescent="0.2">
      <c r="A29" s="46">
        <v>0.5625</v>
      </c>
      <c r="B29" s="47">
        <v>0.60416666666666663</v>
      </c>
      <c r="C29" s="184" t="s">
        <v>108</v>
      </c>
      <c r="D29" s="185"/>
      <c r="E29" s="186"/>
      <c r="F29" s="48"/>
      <c r="G29" s="48">
        <v>60</v>
      </c>
      <c r="H29" s="49" t="s">
        <v>107</v>
      </c>
      <c r="I29" s="50"/>
      <c r="J29" s="22"/>
      <c r="K29" s="22"/>
      <c r="L29" s="22"/>
      <c r="M29" s="22"/>
      <c r="N29" s="22"/>
    </row>
    <row r="30" spans="1:14" x14ac:dyDescent="0.2">
      <c r="A30" s="51">
        <v>0.625</v>
      </c>
      <c r="B30" s="52">
        <v>0.70833333333333337</v>
      </c>
      <c r="C30" s="181" t="s">
        <v>129</v>
      </c>
      <c r="D30" s="182"/>
      <c r="E30" s="183"/>
      <c r="F30" s="53"/>
      <c r="G30" s="53"/>
      <c r="H30" s="53"/>
      <c r="I30" s="54" t="s">
        <v>130</v>
      </c>
      <c r="J30" s="22"/>
      <c r="K30" s="22"/>
      <c r="L30" s="22"/>
      <c r="M30" s="22"/>
      <c r="N30" s="22"/>
    </row>
    <row r="31" spans="1:14" x14ac:dyDescent="0.2">
      <c r="A31" s="51">
        <v>0.71875</v>
      </c>
      <c r="B31" s="52">
        <v>0.75</v>
      </c>
      <c r="C31" s="181" t="s">
        <v>129</v>
      </c>
      <c r="D31" s="182"/>
      <c r="E31" s="183"/>
      <c r="F31" s="53"/>
      <c r="G31" s="53"/>
      <c r="H31" s="53"/>
      <c r="I31" s="54" t="s">
        <v>130</v>
      </c>
      <c r="J31" s="22"/>
      <c r="K31" s="22"/>
      <c r="L31" s="22"/>
      <c r="M31" s="22"/>
      <c r="N31" s="22"/>
    </row>
    <row r="32" spans="1:14" s="56" customFormat="1" ht="15" customHeight="1" x14ac:dyDescent="0.2">
      <c r="A32" s="202"/>
      <c r="B32" s="202"/>
      <c r="C32" s="202"/>
      <c r="D32" s="202"/>
      <c r="E32" s="202"/>
      <c r="F32" s="202"/>
      <c r="G32" s="202"/>
      <c r="H32" s="202"/>
      <c r="I32" s="202"/>
      <c r="J32" s="55"/>
      <c r="K32" s="55"/>
      <c r="L32" s="55"/>
      <c r="M32" s="55"/>
      <c r="N32" s="55"/>
    </row>
    <row r="33" spans="1:14" s="56" customFormat="1" ht="15" customHeight="1" x14ac:dyDescent="0.2">
      <c r="A33" s="203" t="s">
        <v>133</v>
      </c>
      <c r="B33" s="203"/>
      <c r="C33" s="203"/>
      <c r="D33" s="203"/>
      <c r="E33" s="203"/>
      <c r="F33" s="203"/>
      <c r="G33" s="203"/>
      <c r="H33" s="203"/>
      <c r="I33" s="203"/>
      <c r="J33" s="55"/>
      <c r="K33" s="55"/>
      <c r="L33" s="55"/>
      <c r="M33" s="55"/>
      <c r="N33" s="55"/>
    </row>
    <row r="34" spans="1:14" s="56" customFormat="1" ht="15" customHeight="1" x14ac:dyDescent="0.2">
      <c r="A34" s="202"/>
      <c r="B34" s="202"/>
      <c r="C34" s="202"/>
      <c r="D34" s="202"/>
      <c r="E34" s="202"/>
      <c r="F34" s="202"/>
      <c r="G34" s="202"/>
      <c r="H34" s="202"/>
      <c r="I34" s="202"/>
      <c r="J34" s="55"/>
      <c r="K34" s="55"/>
      <c r="L34" s="55"/>
      <c r="M34" s="55"/>
      <c r="N34" s="55"/>
    </row>
    <row r="35" spans="1:14" s="56" customFormat="1" ht="15" customHeight="1" x14ac:dyDescent="0.2">
      <c r="A35" s="202"/>
      <c r="B35" s="202"/>
      <c r="C35" s="202"/>
      <c r="D35" s="202"/>
      <c r="E35" s="202"/>
      <c r="F35" s="202"/>
      <c r="G35" s="202"/>
      <c r="H35" s="202"/>
      <c r="I35" s="202"/>
      <c r="J35" s="55"/>
      <c r="K35" s="55"/>
      <c r="L35" s="55"/>
      <c r="M35" s="55"/>
      <c r="N35" s="55"/>
    </row>
    <row r="36" spans="1:14" s="56" customFormat="1" ht="15" customHeight="1" x14ac:dyDescent="0.2">
      <c r="A36" s="202"/>
      <c r="B36" s="202"/>
      <c r="C36" s="202"/>
      <c r="D36" s="202"/>
      <c r="E36" s="202"/>
      <c r="F36" s="202"/>
      <c r="G36" s="202"/>
      <c r="H36" s="202"/>
      <c r="I36" s="202"/>
      <c r="J36" s="55"/>
      <c r="K36" s="55"/>
      <c r="L36" s="55"/>
      <c r="M36" s="55"/>
      <c r="N36" s="55"/>
    </row>
    <row r="37" spans="1:14" s="56" customFormat="1" ht="15" customHeight="1" x14ac:dyDescent="0.2">
      <c r="A37" s="202"/>
      <c r="B37" s="202"/>
      <c r="C37" s="202"/>
      <c r="D37" s="202"/>
      <c r="E37" s="202"/>
      <c r="F37" s="202"/>
      <c r="G37" s="202"/>
      <c r="H37" s="202"/>
      <c r="I37" s="202"/>
      <c r="J37" s="55"/>
      <c r="K37" s="55"/>
      <c r="L37" s="55"/>
      <c r="M37" s="55"/>
      <c r="N37" s="55"/>
    </row>
    <row r="38" spans="1:14" s="56" customFormat="1" ht="15" customHeight="1" x14ac:dyDescent="0.2">
      <c r="A38" s="202"/>
      <c r="B38" s="202"/>
      <c r="C38" s="202"/>
      <c r="D38" s="202"/>
      <c r="E38" s="202"/>
      <c r="F38" s="202"/>
      <c r="G38" s="202"/>
      <c r="H38" s="202"/>
      <c r="I38" s="202"/>
      <c r="J38" s="55"/>
      <c r="K38" s="55"/>
      <c r="L38" s="55"/>
      <c r="M38" s="55"/>
      <c r="N38" s="55"/>
    </row>
    <row r="39" spans="1:14" s="56" customFormat="1" ht="15" customHeight="1" x14ac:dyDescent="0.2">
      <c r="A39" s="202"/>
      <c r="B39" s="202"/>
      <c r="C39" s="202"/>
      <c r="D39" s="202"/>
      <c r="E39" s="202"/>
      <c r="F39" s="202"/>
      <c r="G39" s="202"/>
      <c r="H39" s="202"/>
      <c r="I39" s="202"/>
      <c r="J39" s="55"/>
      <c r="K39" s="55"/>
      <c r="L39" s="55"/>
      <c r="M39" s="55"/>
      <c r="N39" s="55"/>
    </row>
    <row r="40" spans="1:14" s="56" customFormat="1" ht="15" customHeight="1" x14ac:dyDescent="0.2">
      <c r="A40" s="66"/>
      <c r="B40" s="66"/>
      <c r="C40" s="67"/>
      <c r="D40" s="67"/>
      <c r="E40" s="67"/>
      <c r="F40" s="68"/>
      <c r="G40" s="68"/>
      <c r="H40" s="69"/>
      <c r="I40" s="70"/>
      <c r="J40" s="55"/>
      <c r="K40" s="55"/>
      <c r="L40" s="55"/>
      <c r="M40" s="55"/>
      <c r="N40" s="55"/>
    </row>
    <row r="41" spans="1:14" s="56" customFormat="1" ht="15" customHeight="1" x14ac:dyDescent="0.2">
      <c r="A41" s="66"/>
      <c r="B41" s="66"/>
      <c r="C41" s="67"/>
      <c r="D41" s="67"/>
      <c r="E41" s="67"/>
      <c r="F41" s="68"/>
      <c r="G41" s="68"/>
      <c r="H41" s="69"/>
      <c r="I41" s="70"/>
      <c r="J41" s="55"/>
      <c r="K41" s="55"/>
      <c r="L41" s="55"/>
      <c r="M41" s="55"/>
      <c r="N41" s="55"/>
    </row>
    <row r="42" spans="1:14" s="56" customFormat="1" ht="15" customHeight="1" x14ac:dyDescent="0.2">
      <c r="A42" s="66"/>
      <c r="B42" s="66"/>
      <c r="C42" s="67"/>
      <c r="D42" s="67"/>
      <c r="E42" s="67"/>
      <c r="F42" s="68"/>
      <c r="G42" s="68"/>
      <c r="H42" s="69"/>
      <c r="I42" s="70"/>
      <c r="J42" s="55"/>
      <c r="K42" s="55"/>
      <c r="L42" s="55"/>
      <c r="M42" s="55"/>
      <c r="N42" s="55"/>
    </row>
    <row r="43" spans="1:14" x14ac:dyDescent="0.2">
      <c r="A43" s="36"/>
      <c r="B43" s="36"/>
      <c r="C43" s="22"/>
      <c r="D43" s="36"/>
      <c r="E43" s="22"/>
      <c r="F43" s="36"/>
      <c r="G43" s="36"/>
      <c r="H43" s="36"/>
      <c r="I43" s="22"/>
      <c r="J43" s="22"/>
      <c r="K43" s="22"/>
      <c r="L43" s="22"/>
      <c r="M43" s="22"/>
      <c r="N43" s="22"/>
    </row>
    <row r="44" spans="1:14" ht="24" customHeight="1" x14ac:dyDescent="0.2">
      <c r="A44" s="204" t="s">
        <v>110</v>
      </c>
      <c r="B44" s="204"/>
      <c r="C44" s="204"/>
      <c r="D44" s="204"/>
      <c r="E44" s="204"/>
      <c r="F44" s="204"/>
      <c r="G44" s="204"/>
      <c r="H44" s="36"/>
      <c r="I44" s="31" t="s">
        <v>111</v>
      </c>
      <c r="J44" s="22"/>
      <c r="K44" s="22"/>
      <c r="L44" s="22"/>
      <c r="M44" s="22"/>
      <c r="N44" s="22"/>
    </row>
    <row r="45" spans="1:14" x14ac:dyDescent="0.2">
      <c r="A45" s="199"/>
      <c r="B45" s="199"/>
      <c r="C45" s="199"/>
      <c r="D45" s="199"/>
      <c r="E45" s="199"/>
      <c r="F45" s="199"/>
      <c r="G45" s="199"/>
      <c r="H45" s="36"/>
      <c r="I45" s="22"/>
      <c r="J45" s="22"/>
      <c r="K45" s="22"/>
      <c r="L45" s="22"/>
      <c r="M45" s="22"/>
      <c r="N45" s="22"/>
    </row>
    <row r="46" spans="1:14" x14ac:dyDescent="0.2">
      <c r="A46" s="201" t="s">
        <v>112</v>
      </c>
      <c r="B46" s="201"/>
      <c r="C46" s="201"/>
      <c r="D46" s="201"/>
      <c r="E46" s="201"/>
      <c r="F46" s="201"/>
      <c r="G46" s="201"/>
      <c r="H46" s="36"/>
      <c r="I46" s="22"/>
      <c r="J46" s="22"/>
      <c r="K46" s="22"/>
      <c r="L46" s="22"/>
      <c r="M46" s="22"/>
      <c r="N46" s="22"/>
    </row>
    <row r="47" spans="1:14" x14ac:dyDescent="0.2">
      <c r="A47" s="36"/>
      <c r="B47" s="36"/>
      <c r="C47" s="22"/>
      <c r="D47" s="22"/>
      <c r="E47" s="22"/>
      <c r="F47" s="36"/>
      <c r="G47" s="36"/>
      <c r="H47" s="36"/>
      <c r="I47" s="22"/>
      <c r="J47" s="22"/>
      <c r="K47" s="22"/>
      <c r="L47" s="22"/>
      <c r="M47" s="22"/>
      <c r="N47" s="22"/>
    </row>
    <row r="48" spans="1:14" x14ac:dyDescent="0.2">
      <c r="A48" s="36"/>
      <c r="B48" s="36"/>
      <c r="C48" s="22"/>
      <c r="D48" s="22"/>
      <c r="E48" s="22"/>
      <c r="F48" s="36"/>
      <c r="G48" s="36"/>
      <c r="H48" s="36"/>
      <c r="I48" s="22"/>
      <c r="J48" s="22"/>
      <c r="K48" s="22"/>
      <c r="L48" s="22"/>
      <c r="M48" s="22"/>
      <c r="N48" s="22"/>
    </row>
    <row r="49" spans="1:14" x14ac:dyDescent="0.2">
      <c r="A49" s="36"/>
      <c r="B49" s="36"/>
      <c r="C49" s="22"/>
      <c r="D49" s="22"/>
      <c r="E49" s="22"/>
      <c r="F49" s="36"/>
      <c r="G49" s="36"/>
      <c r="H49" s="36"/>
      <c r="I49" s="22"/>
      <c r="J49" s="22"/>
      <c r="K49" s="22"/>
      <c r="L49" s="22"/>
      <c r="M49" s="22"/>
      <c r="N49" s="22"/>
    </row>
    <row r="50" spans="1:14" x14ac:dyDescent="0.2">
      <c r="A50" s="36"/>
      <c r="B50" s="36"/>
      <c r="C50" s="22"/>
      <c r="D50" s="22"/>
      <c r="E50" s="22"/>
      <c r="F50" s="36"/>
      <c r="G50" s="36"/>
      <c r="H50" s="36"/>
      <c r="I50" s="22"/>
      <c r="J50" s="22"/>
      <c r="K50" s="22"/>
      <c r="L50" s="22"/>
      <c r="M50" s="22"/>
      <c r="N50" s="22"/>
    </row>
    <row r="51" spans="1:14" x14ac:dyDescent="0.2">
      <c r="A51" s="36"/>
      <c r="B51" s="36"/>
      <c r="C51" s="22"/>
      <c r="D51" s="22"/>
      <c r="E51" s="22"/>
      <c r="F51" s="36"/>
      <c r="G51" s="36"/>
      <c r="H51" s="36"/>
      <c r="I51" s="22"/>
      <c r="J51" s="22"/>
      <c r="K51" s="22"/>
      <c r="L51" s="22"/>
      <c r="M51" s="22"/>
      <c r="N51" s="22"/>
    </row>
    <row r="52" spans="1:14" x14ac:dyDescent="0.2">
      <c r="A52" s="36"/>
      <c r="B52" s="36"/>
      <c r="C52" s="22"/>
      <c r="D52" s="22"/>
      <c r="E52" s="22"/>
      <c r="F52" s="36"/>
      <c r="G52" s="36"/>
      <c r="H52" s="36"/>
      <c r="I52" s="22"/>
      <c r="J52" s="22"/>
      <c r="K52" s="22"/>
      <c r="L52" s="22"/>
      <c r="M52" s="22"/>
      <c r="N52" s="22"/>
    </row>
    <row r="53" spans="1:14" x14ac:dyDescent="0.2">
      <c r="A53" s="36"/>
      <c r="B53" s="36"/>
      <c r="C53" s="22"/>
      <c r="D53" s="22"/>
      <c r="E53" s="22"/>
      <c r="F53" s="36"/>
      <c r="G53" s="36"/>
      <c r="H53" s="36"/>
      <c r="I53" s="22"/>
      <c r="J53" s="22"/>
      <c r="K53" s="22"/>
      <c r="L53" s="22"/>
      <c r="M53" s="22"/>
      <c r="N53" s="22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workbookViewId="0">
      <selection activeCell="J3" sqref="J3"/>
    </sheetView>
  </sheetViews>
  <sheetFormatPr baseColWidth="10" defaultRowHeight="16" x14ac:dyDescent="0.2"/>
  <sheetData>
    <row r="1" spans="1:26" ht="115" customHeight="1" x14ac:dyDescent="0.25">
      <c r="E1" s="8" t="s">
        <v>12</v>
      </c>
      <c r="L1" s="19" t="s">
        <v>2</v>
      </c>
    </row>
    <row r="2" spans="1:26" x14ac:dyDescent="0.2">
      <c r="A2" t="s">
        <v>13</v>
      </c>
      <c r="P2" t="s">
        <v>2</v>
      </c>
      <c r="U2" t="s">
        <v>14</v>
      </c>
    </row>
    <row r="3" spans="1:26" ht="58" x14ac:dyDescent="0.2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H3" s="11" t="s">
        <v>21</v>
      </c>
      <c r="I3" s="10" t="s">
        <v>16</v>
      </c>
      <c r="J3" s="10" t="s">
        <v>17</v>
      </c>
      <c r="K3" s="10" t="s">
        <v>87</v>
      </c>
      <c r="L3" s="12"/>
      <c r="M3" s="11" t="s">
        <v>22</v>
      </c>
      <c r="N3" s="10" t="s">
        <v>16</v>
      </c>
      <c r="O3" s="10" t="s">
        <v>17</v>
      </c>
      <c r="P3" s="10" t="s">
        <v>18</v>
      </c>
      <c r="R3" s="13" t="s">
        <v>23</v>
      </c>
      <c r="S3" s="14" t="s">
        <v>24</v>
      </c>
      <c r="T3" s="14" t="s">
        <v>25</v>
      </c>
      <c r="U3" s="14" t="s">
        <v>26</v>
      </c>
      <c r="V3" s="14" t="s">
        <v>27</v>
      </c>
      <c r="W3" s="14" t="s">
        <v>28</v>
      </c>
      <c r="X3" s="14" t="s">
        <v>29</v>
      </c>
      <c r="Y3" s="14" t="s">
        <v>30</v>
      </c>
      <c r="Z3" s="15" t="s">
        <v>1</v>
      </c>
    </row>
    <row r="4" spans="1:26" x14ac:dyDescent="0.2">
      <c r="A4" s="9" t="s">
        <v>31</v>
      </c>
      <c r="B4" s="9">
        <v>1</v>
      </c>
      <c r="C4" s="9">
        <v>2</v>
      </c>
      <c r="D4" s="9">
        <v>2</v>
      </c>
      <c r="E4" s="9">
        <v>2</v>
      </c>
      <c r="F4" s="20">
        <v>2</v>
      </c>
      <c r="H4" s="9" t="s">
        <v>32</v>
      </c>
      <c r="I4" s="9">
        <v>1</v>
      </c>
      <c r="J4" s="9">
        <v>2</v>
      </c>
      <c r="K4" s="20">
        <v>4</v>
      </c>
      <c r="L4" s="16"/>
      <c r="M4" s="9" t="s">
        <v>32</v>
      </c>
      <c r="N4" s="9">
        <v>1</v>
      </c>
      <c r="O4" s="9">
        <v>2</v>
      </c>
      <c r="P4" s="20">
        <v>3</v>
      </c>
      <c r="R4" s="9">
        <v>41</v>
      </c>
      <c r="S4" s="9" t="s">
        <v>33</v>
      </c>
      <c r="T4" s="9" t="s">
        <v>33</v>
      </c>
      <c r="U4" s="9" t="s">
        <v>34</v>
      </c>
      <c r="V4" s="9" t="s">
        <v>34</v>
      </c>
      <c r="W4" s="9">
        <v>2</v>
      </c>
      <c r="X4" s="9">
        <v>1</v>
      </c>
      <c r="Y4" s="9">
        <v>1</v>
      </c>
      <c r="Z4" s="20">
        <v>12</v>
      </c>
    </row>
    <row r="5" spans="1:26" x14ac:dyDescent="0.2">
      <c r="A5" s="9" t="s">
        <v>35</v>
      </c>
      <c r="B5" s="9">
        <v>1</v>
      </c>
      <c r="C5" s="9">
        <v>2</v>
      </c>
      <c r="D5" s="9">
        <v>2</v>
      </c>
      <c r="E5" s="9">
        <v>2</v>
      </c>
      <c r="F5" s="20">
        <v>2</v>
      </c>
      <c r="H5" s="9" t="s">
        <v>36</v>
      </c>
      <c r="I5" s="9">
        <v>1</v>
      </c>
      <c r="J5" s="9">
        <v>2</v>
      </c>
      <c r="K5" s="20">
        <v>4</v>
      </c>
      <c r="L5" s="16"/>
      <c r="M5" s="9" t="s">
        <v>36</v>
      </c>
      <c r="N5" s="9">
        <v>1</v>
      </c>
      <c r="O5" s="9">
        <v>2</v>
      </c>
      <c r="P5" s="20">
        <v>3</v>
      </c>
      <c r="R5" s="9">
        <v>42</v>
      </c>
      <c r="S5" s="9" t="s">
        <v>33</v>
      </c>
      <c r="T5" s="9" t="s">
        <v>33</v>
      </c>
      <c r="U5" s="9" t="s">
        <v>34</v>
      </c>
      <c r="V5" s="9" t="s">
        <v>34</v>
      </c>
      <c r="W5" s="9">
        <v>2</v>
      </c>
      <c r="X5" s="9">
        <v>1</v>
      </c>
      <c r="Y5" s="9">
        <v>1</v>
      </c>
      <c r="Z5" s="20">
        <v>12</v>
      </c>
    </row>
    <row r="6" spans="1:26" x14ac:dyDescent="0.2">
      <c r="A6" s="9" t="s">
        <v>37</v>
      </c>
      <c r="B6" s="9">
        <v>1</v>
      </c>
      <c r="C6" s="9">
        <v>2</v>
      </c>
      <c r="D6" s="17">
        <v>2</v>
      </c>
      <c r="E6" s="9">
        <v>2</v>
      </c>
      <c r="F6" s="20">
        <v>2</v>
      </c>
      <c r="H6" s="9" t="s">
        <v>38</v>
      </c>
      <c r="I6" s="9">
        <v>1</v>
      </c>
      <c r="J6" s="9">
        <v>2</v>
      </c>
      <c r="K6" s="20">
        <v>4</v>
      </c>
      <c r="L6" s="16"/>
      <c r="M6" s="9" t="s">
        <v>38</v>
      </c>
      <c r="N6" s="9">
        <v>1</v>
      </c>
      <c r="O6" s="9">
        <v>2</v>
      </c>
      <c r="P6" s="20">
        <v>3</v>
      </c>
      <c r="R6" s="9">
        <v>43</v>
      </c>
      <c r="S6" s="9" t="s">
        <v>33</v>
      </c>
      <c r="T6" s="9" t="s">
        <v>33</v>
      </c>
      <c r="U6" s="9" t="s">
        <v>34</v>
      </c>
      <c r="V6" s="9" t="s">
        <v>34</v>
      </c>
      <c r="W6" s="9">
        <v>2</v>
      </c>
      <c r="X6" s="9">
        <v>1</v>
      </c>
      <c r="Y6" s="9">
        <v>1</v>
      </c>
      <c r="Z6" s="20">
        <v>12</v>
      </c>
    </row>
    <row r="7" spans="1:26" x14ac:dyDescent="0.2">
      <c r="A7" s="9" t="s">
        <v>39</v>
      </c>
      <c r="B7" s="9">
        <v>1</v>
      </c>
      <c r="C7" s="9">
        <v>2</v>
      </c>
      <c r="D7" s="9">
        <v>2</v>
      </c>
      <c r="E7" s="9">
        <v>2</v>
      </c>
      <c r="F7" s="20">
        <v>2</v>
      </c>
      <c r="H7" s="9" t="s">
        <v>40</v>
      </c>
      <c r="I7" s="9">
        <v>1</v>
      </c>
      <c r="J7" s="9">
        <v>2</v>
      </c>
      <c r="K7" s="20">
        <v>4</v>
      </c>
      <c r="L7" s="16"/>
      <c r="M7" s="9" t="s">
        <v>40</v>
      </c>
      <c r="N7" s="9">
        <v>1</v>
      </c>
      <c r="O7" s="9">
        <v>2</v>
      </c>
      <c r="P7" s="20">
        <v>3</v>
      </c>
      <c r="R7" s="9">
        <v>44</v>
      </c>
      <c r="S7" s="9" t="s">
        <v>33</v>
      </c>
      <c r="T7" s="9" t="s">
        <v>33</v>
      </c>
      <c r="U7" s="9" t="s">
        <v>34</v>
      </c>
      <c r="V7" s="9" t="s">
        <v>41</v>
      </c>
      <c r="W7" s="9">
        <v>2</v>
      </c>
      <c r="X7" s="9">
        <v>1</v>
      </c>
      <c r="Y7" s="9">
        <v>1</v>
      </c>
      <c r="Z7" s="20">
        <v>12</v>
      </c>
    </row>
    <row r="8" spans="1:26" x14ac:dyDescent="0.2">
      <c r="A8" s="9" t="s">
        <v>42</v>
      </c>
      <c r="B8" s="9">
        <v>2</v>
      </c>
      <c r="C8" s="9">
        <v>2</v>
      </c>
      <c r="D8" s="9">
        <v>3</v>
      </c>
      <c r="E8" s="9">
        <v>4</v>
      </c>
      <c r="F8" s="20">
        <v>5</v>
      </c>
      <c r="H8" s="9" t="s">
        <v>43</v>
      </c>
      <c r="I8" s="9">
        <v>1</v>
      </c>
      <c r="J8" s="9">
        <v>2</v>
      </c>
      <c r="K8" s="20" t="s">
        <v>2</v>
      </c>
      <c r="L8" s="16"/>
      <c r="M8" s="9" t="s">
        <v>43</v>
      </c>
      <c r="N8" s="9">
        <v>1</v>
      </c>
      <c r="O8" s="9">
        <v>2</v>
      </c>
      <c r="P8" s="20">
        <v>3</v>
      </c>
    </row>
    <row r="9" spans="1:26" x14ac:dyDescent="0.2">
      <c r="A9" s="9" t="s">
        <v>44</v>
      </c>
      <c r="B9" s="9">
        <v>2</v>
      </c>
      <c r="C9" s="9">
        <v>2</v>
      </c>
      <c r="D9" s="9">
        <v>3</v>
      </c>
      <c r="E9" s="9">
        <v>4</v>
      </c>
      <c r="F9" s="20">
        <v>5</v>
      </c>
      <c r="H9" s="9" t="s">
        <v>45</v>
      </c>
      <c r="I9" s="9">
        <v>1</v>
      </c>
      <c r="J9" s="9">
        <v>2</v>
      </c>
      <c r="K9" s="20" t="s">
        <v>2</v>
      </c>
      <c r="L9" s="16"/>
      <c r="M9" s="9" t="s">
        <v>45</v>
      </c>
      <c r="N9" s="9">
        <v>1</v>
      </c>
      <c r="O9" s="9">
        <v>2</v>
      </c>
      <c r="P9" s="20">
        <v>3</v>
      </c>
      <c r="R9" s="9">
        <v>31</v>
      </c>
      <c r="S9" s="9" t="s">
        <v>33</v>
      </c>
      <c r="T9" s="9" t="s">
        <v>46</v>
      </c>
      <c r="U9" s="9"/>
      <c r="V9" s="9"/>
      <c r="W9" s="9">
        <v>1</v>
      </c>
      <c r="X9" s="9">
        <v>1</v>
      </c>
      <c r="Y9" s="9">
        <v>1</v>
      </c>
      <c r="Z9" s="20">
        <v>4</v>
      </c>
    </row>
    <row r="10" spans="1:26" x14ac:dyDescent="0.2">
      <c r="A10" s="9" t="s">
        <v>47</v>
      </c>
      <c r="B10" s="9">
        <v>2</v>
      </c>
      <c r="C10" s="9">
        <v>2</v>
      </c>
      <c r="D10" s="9">
        <v>3</v>
      </c>
      <c r="E10" s="9">
        <v>4</v>
      </c>
      <c r="F10" s="20">
        <v>5</v>
      </c>
      <c r="H10" s="9" t="s">
        <v>48</v>
      </c>
      <c r="I10" s="9">
        <v>1</v>
      </c>
      <c r="J10" s="9">
        <v>2</v>
      </c>
      <c r="K10" s="20" t="s">
        <v>2</v>
      </c>
      <c r="L10" s="16"/>
      <c r="M10" s="9" t="s">
        <v>48</v>
      </c>
      <c r="N10" s="9">
        <v>1</v>
      </c>
      <c r="O10" s="9">
        <v>2</v>
      </c>
      <c r="P10" s="20">
        <v>3</v>
      </c>
      <c r="R10" s="9">
        <v>32</v>
      </c>
      <c r="S10" s="9" t="s">
        <v>33</v>
      </c>
      <c r="T10" s="9" t="s">
        <v>33</v>
      </c>
      <c r="U10" s="9" t="s">
        <v>34</v>
      </c>
      <c r="V10" s="9" t="s">
        <v>41</v>
      </c>
      <c r="W10" s="9">
        <v>1</v>
      </c>
      <c r="X10" s="9">
        <v>1</v>
      </c>
      <c r="Y10" s="9">
        <v>1</v>
      </c>
      <c r="Z10" s="20">
        <v>8</v>
      </c>
    </row>
    <row r="11" spans="1:26" x14ac:dyDescent="0.2">
      <c r="A11" s="9" t="s">
        <v>49</v>
      </c>
      <c r="B11" s="9">
        <v>2</v>
      </c>
      <c r="C11" s="9">
        <v>2</v>
      </c>
      <c r="D11" s="9">
        <v>3</v>
      </c>
      <c r="E11" s="9">
        <v>4</v>
      </c>
      <c r="F11" s="20">
        <v>5</v>
      </c>
      <c r="H11" s="9" t="s">
        <v>50</v>
      </c>
      <c r="I11" s="9">
        <v>1</v>
      </c>
      <c r="J11" s="9">
        <v>2</v>
      </c>
      <c r="K11" s="20" t="s">
        <v>2</v>
      </c>
      <c r="L11" s="16"/>
      <c r="M11" s="9" t="s">
        <v>50</v>
      </c>
      <c r="N11" s="9">
        <v>1</v>
      </c>
      <c r="O11" s="9">
        <v>2</v>
      </c>
      <c r="P11" s="20">
        <v>3</v>
      </c>
      <c r="R11" s="9">
        <v>33</v>
      </c>
      <c r="S11" s="9" t="s">
        <v>33</v>
      </c>
      <c r="T11" s="9" t="s">
        <v>33</v>
      </c>
      <c r="U11" s="9" t="s">
        <v>34</v>
      </c>
      <c r="V11" s="9" t="s">
        <v>41</v>
      </c>
      <c r="W11" s="9">
        <v>1</v>
      </c>
      <c r="X11" s="9">
        <v>1</v>
      </c>
      <c r="Y11" s="9">
        <v>1</v>
      </c>
      <c r="Z11" s="20">
        <v>8</v>
      </c>
    </row>
    <row r="12" spans="1:26" x14ac:dyDescent="0.2">
      <c r="A12" t="s">
        <v>51</v>
      </c>
      <c r="B12">
        <v>0</v>
      </c>
      <c r="C12">
        <v>2</v>
      </c>
      <c r="D12" t="s">
        <v>2</v>
      </c>
      <c r="H12" s="9" t="s">
        <v>52</v>
      </c>
      <c r="I12" s="9">
        <v>1</v>
      </c>
      <c r="J12" s="9">
        <v>2</v>
      </c>
      <c r="K12" s="20" t="s">
        <v>2</v>
      </c>
      <c r="L12" s="16"/>
      <c r="M12" s="9" t="s">
        <v>52</v>
      </c>
      <c r="N12" s="9">
        <v>1</v>
      </c>
      <c r="O12" s="9">
        <v>2</v>
      </c>
      <c r="P12" s="20">
        <v>3</v>
      </c>
      <c r="R12" s="9">
        <v>34</v>
      </c>
      <c r="S12" s="9" t="s">
        <v>33</v>
      </c>
      <c r="T12" s="9" t="s">
        <v>33</v>
      </c>
      <c r="U12" s="9" t="s">
        <v>34</v>
      </c>
      <c r="V12" s="9" t="s">
        <v>41</v>
      </c>
      <c r="W12" s="9">
        <v>1</v>
      </c>
      <c r="X12" s="9">
        <v>1</v>
      </c>
      <c r="Y12" s="9">
        <v>1</v>
      </c>
      <c r="Z12" s="20">
        <v>8</v>
      </c>
    </row>
    <row r="13" spans="1:26" x14ac:dyDescent="0.2">
      <c r="A13" s="9" t="s">
        <v>53</v>
      </c>
      <c r="B13" s="9">
        <v>1</v>
      </c>
      <c r="C13" s="9">
        <v>2</v>
      </c>
      <c r="D13" s="9">
        <v>2</v>
      </c>
      <c r="E13" s="9">
        <v>2</v>
      </c>
      <c r="F13" s="20">
        <v>2</v>
      </c>
      <c r="H13" s="9" t="s">
        <v>54</v>
      </c>
      <c r="I13" s="9">
        <v>1</v>
      </c>
      <c r="J13" s="9">
        <v>2</v>
      </c>
      <c r="K13" s="20">
        <v>3</v>
      </c>
      <c r="L13" s="16"/>
      <c r="M13" s="9" t="s">
        <v>54</v>
      </c>
      <c r="N13" s="9">
        <v>1</v>
      </c>
      <c r="O13" s="9">
        <v>2</v>
      </c>
      <c r="P13" s="20">
        <v>3</v>
      </c>
    </row>
    <row r="14" spans="1:26" x14ac:dyDescent="0.2">
      <c r="A14" s="9" t="s">
        <v>55</v>
      </c>
      <c r="B14" s="9">
        <v>1</v>
      </c>
      <c r="C14" s="9">
        <v>2</v>
      </c>
      <c r="D14" s="17">
        <v>2</v>
      </c>
      <c r="E14" s="17">
        <v>2</v>
      </c>
      <c r="F14" s="21">
        <v>2</v>
      </c>
      <c r="H14" s="9" t="s">
        <v>56</v>
      </c>
      <c r="I14" s="9">
        <v>1</v>
      </c>
      <c r="J14" s="9">
        <v>2</v>
      </c>
      <c r="K14" s="20">
        <v>3</v>
      </c>
      <c r="L14" s="16"/>
      <c r="M14" s="9" t="s">
        <v>56</v>
      </c>
      <c r="N14" s="9">
        <v>1</v>
      </c>
      <c r="O14" s="9">
        <v>2</v>
      </c>
      <c r="P14" s="20">
        <v>3</v>
      </c>
      <c r="R14" s="9">
        <v>21</v>
      </c>
      <c r="S14" s="9" t="s">
        <v>33</v>
      </c>
      <c r="T14" s="9" t="s">
        <v>46</v>
      </c>
      <c r="U14" s="9"/>
      <c r="V14" s="9"/>
      <c r="W14" s="9">
        <v>1</v>
      </c>
      <c r="X14" s="9">
        <v>1</v>
      </c>
      <c r="Y14" s="9">
        <v>1</v>
      </c>
      <c r="Z14" s="20">
        <v>4</v>
      </c>
    </row>
    <row r="15" spans="1:26" x14ac:dyDescent="0.2">
      <c r="A15" s="9" t="s">
        <v>57</v>
      </c>
      <c r="B15" s="9">
        <v>1</v>
      </c>
      <c r="C15" s="9">
        <v>2</v>
      </c>
      <c r="D15" s="9">
        <v>2</v>
      </c>
      <c r="E15" s="9">
        <v>2</v>
      </c>
      <c r="F15" s="20">
        <v>2</v>
      </c>
      <c r="H15" s="9" t="s">
        <v>58</v>
      </c>
      <c r="I15" s="9">
        <v>1</v>
      </c>
      <c r="J15" s="9">
        <v>2</v>
      </c>
      <c r="K15" s="20" t="s">
        <v>2</v>
      </c>
      <c r="L15" s="16"/>
      <c r="M15" s="9" t="s">
        <v>58</v>
      </c>
      <c r="N15" s="9">
        <v>1</v>
      </c>
      <c r="O15" s="9">
        <v>2</v>
      </c>
      <c r="P15" s="20">
        <v>3</v>
      </c>
      <c r="R15" s="9">
        <v>22</v>
      </c>
      <c r="S15" s="9" t="s">
        <v>33</v>
      </c>
      <c r="T15" s="9" t="s">
        <v>33</v>
      </c>
      <c r="U15" s="9" t="s">
        <v>34</v>
      </c>
      <c r="V15" s="9" t="s">
        <v>41</v>
      </c>
      <c r="W15" s="9">
        <v>1</v>
      </c>
      <c r="X15" s="9">
        <v>1</v>
      </c>
      <c r="Y15" s="9">
        <v>1</v>
      </c>
      <c r="Z15" s="20">
        <v>8</v>
      </c>
    </row>
    <row r="16" spans="1:26" x14ac:dyDescent="0.2">
      <c r="A16" s="9" t="s">
        <v>59</v>
      </c>
      <c r="B16" s="9">
        <v>1</v>
      </c>
      <c r="C16" s="9">
        <v>2</v>
      </c>
      <c r="D16" s="9">
        <v>2</v>
      </c>
      <c r="E16" s="9">
        <v>2</v>
      </c>
      <c r="F16" s="20">
        <v>2</v>
      </c>
      <c r="H16" t="s">
        <v>60</v>
      </c>
      <c r="I16" s="18" t="s">
        <v>2</v>
      </c>
      <c r="J16" t="s">
        <v>2</v>
      </c>
      <c r="K16" t="s">
        <v>2</v>
      </c>
      <c r="M16" t="s">
        <v>61</v>
      </c>
      <c r="N16" s="18"/>
      <c r="P16" t="s">
        <v>2</v>
      </c>
      <c r="R16" s="9">
        <v>23</v>
      </c>
      <c r="S16" s="9" t="s">
        <v>33</v>
      </c>
      <c r="T16" s="9" t="s">
        <v>33</v>
      </c>
      <c r="U16" s="9" t="s">
        <v>34</v>
      </c>
      <c r="V16" s="9" t="s">
        <v>41</v>
      </c>
      <c r="W16" s="9">
        <v>1</v>
      </c>
      <c r="X16" s="9">
        <v>1</v>
      </c>
      <c r="Y16" s="9">
        <v>1</v>
      </c>
      <c r="Z16" s="20">
        <v>8</v>
      </c>
    </row>
    <row r="17" spans="1:26" x14ac:dyDescent="0.2">
      <c r="A17" s="9" t="s">
        <v>62</v>
      </c>
      <c r="B17" s="9">
        <v>1</v>
      </c>
      <c r="C17" s="9">
        <v>2</v>
      </c>
      <c r="D17" s="9">
        <v>3</v>
      </c>
      <c r="E17" s="9">
        <v>4</v>
      </c>
      <c r="F17" s="20">
        <v>5</v>
      </c>
      <c r="H17" s="9" t="s">
        <v>63</v>
      </c>
      <c r="I17" s="9">
        <v>1</v>
      </c>
      <c r="J17" s="9">
        <v>2</v>
      </c>
      <c r="K17" s="20">
        <v>4</v>
      </c>
      <c r="L17" s="16"/>
      <c r="M17" s="9" t="s">
        <v>63</v>
      </c>
      <c r="N17" s="9">
        <v>1</v>
      </c>
      <c r="O17" s="9">
        <v>2</v>
      </c>
      <c r="P17" s="20">
        <v>3</v>
      </c>
      <c r="R17" s="9">
        <v>24</v>
      </c>
      <c r="S17" s="9" t="s">
        <v>33</v>
      </c>
      <c r="T17" s="9" t="s">
        <v>33</v>
      </c>
      <c r="U17" s="9" t="s">
        <v>34</v>
      </c>
      <c r="V17" s="9" t="s">
        <v>41</v>
      </c>
      <c r="W17" s="9">
        <v>1</v>
      </c>
      <c r="X17" s="9">
        <v>1</v>
      </c>
      <c r="Y17" s="9">
        <v>1</v>
      </c>
      <c r="Z17" s="20">
        <v>8</v>
      </c>
    </row>
    <row r="18" spans="1:26" x14ac:dyDescent="0.2">
      <c r="A18" s="9" t="s">
        <v>64</v>
      </c>
      <c r="B18" s="9">
        <v>1</v>
      </c>
      <c r="C18" s="9">
        <v>2</v>
      </c>
      <c r="D18" s="9">
        <v>3</v>
      </c>
      <c r="E18" s="9">
        <v>4</v>
      </c>
      <c r="F18" s="20">
        <v>5</v>
      </c>
      <c r="H18" s="9" t="s">
        <v>65</v>
      </c>
      <c r="I18" s="9">
        <v>1</v>
      </c>
      <c r="J18" s="9">
        <v>2</v>
      </c>
      <c r="K18" s="20">
        <v>4</v>
      </c>
      <c r="L18" s="16"/>
      <c r="M18" s="9" t="s">
        <v>65</v>
      </c>
      <c r="N18" s="9">
        <v>1</v>
      </c>
      <c r="O18" s="9">
        <v>2</v>
      </c>
      <c r="P18" s="20">
        <v>3</v>
      </c>
    </row>
    <row r="19" spans="1:26" x14ac:dyDescent="0.2">
      <c r="A19" s="9" t="s">
        <v>66</v>
      </c>
      <c r="B19" s="9">
        <v>1</v>
      </c>
      <c r="C19" s="9">
        <v>2</v>
      </c>
      <c r="D19" s="9">
        <v>3</v>
      </c>
      <c r="E19" s="9">
        <v>4</v>
      </c>
      <c r="F19" s="20">
        <v>5</v>
      </c>
      <c r="H19" s="9" t="s">
        <v>67</v>
      </c>
      <c r="I19" s="9">
        <v>1</v>
      </c>
      <c r="J19" s="9">
        <v>2</v>
      </c>
      <c r="K19" s="20">
        <v>4</v>
      </c>
      <c r="L19" s="16"/>
      <c r="M19" s="9" t="s">
        <v>67</v>
      </c>
      <c r="N19" s="9">
        <v>1</v>
      </c>
      <c r="O19" s="9">
        <v>2</v>
      </c>
      <c r="P19" s="20">
        <v>3</v>
      </c>
      <c r="R19" s="9">
        <v>11</v>
      </c>
      <c r="S19" s="9" t="s">
        <v>33</v>
      </c>
      <c r="T19" s="9" t="s">
        <v>46</v>
      </c>
      <c r="U19" s="9"/>
      <c r="V19" s="9"/>
      <c r="W19" s="9">
        <v>1</v>
      </c>
      <c r="X19" s="9">
        <v>1</v>
      </c>
      <c r="Y19" s="9">
        <v>1</v>
      </c>
      <c r="Z19" s="20">
        <v>4</v>
      </c>
    </row>
    <row r="20" spans="1:26" x14ac:dyDescent="0.2">
      <c r="A20" s="9" t="s">
        <v>68</v>
      </c>
      <c r="B20" s="9">
        <v>1</v>
      </c>
      <c r="C20" s="9">
        <v>2</v>
      </c>
      <c r="D20" s="9">
        <v>2</v>
      </c>
      <c r="E20" s="9">
        <v>2</v>
      </c>
      <c r="F20" s="20">
        <v>2</v>
      </c>
      <c r="H20" s="9" t="s">
        <v>69</v>
      </c>
      <c r="I20" s="9">
        <v>1</v>
      </c>
      <c r="J20" s="9">
        <v>2</v>
      </c>
      <c r="K20" s="20">
        <v>4</v>
      </c>
      <c r="L20" s="16"/>
      <c r="M20" s="9" t="s">
        <v>69</v>
      </c>
      <c r="N20" s="9">
        <v>1</v>
      </c>
      <c r="O20" s="9">
        <v>2</v>
      </c>
      <c r="P20" s="20">
        <v>3</v>
      </c>
      <c r="R20" s="9">
        <v>12</v>
      </c>
      <c r="S20" s="9" t="s">
        <v>33</v>
      </c>
      <c r="T20" s="9" t="s">
        <v>33</v>
      </c>
      <c r="U20" s="9" t="s">
        <v>34</v>
      </c>
      <c r="V20" s="9" t="s">
        <v>41</v>
      </c>
      <c r="W20" s="9">
        <v>1</v>
      </c>
      <c r="X20" s="9">
        <v>1</v>
      </c>
      <c r="Y20" s="9">
        <v>1</v>
      </c>
      <c r="Z20" s="20">
        <v>8</v>
      </c>
    </row>
    <row r="21" spans="1:26" x14ac:dyDescent="0.2">
      <c r="A21" t="s">
        <v>70</v>
      </c>
      <c r="B21" t="s">
        <v>2</v>
      </c>
      <c r="C21" t="s">
        <v>2</v>
      </c>
      <c r="D21" t="s">
        <v>2</v>
      </c>
      <c r="H21" s="9" t="s">
        <v>71</v>
      </c>
      <c r="I21" s="9">
        <v>1</v>
      </c>
      <c r="J21" s="9">
        <v>2</v>
      </c>
      <c r="K21" s="20" t="s">
        <v>2</v>
      </c>
      <c r="L21" s="16"/>
      <c r="M21" s="9" t="s">
        <v>71</v>
      </c>
      <c r="N21" s="9">
        <v>1</v>
      </c>
      <c r="O21" s="9">
        <v>2</v>
      </c>
      <c r="P21" s="20">
        <v>3</v>
      </c>
      <c r="R21" s="9">
        <v>13</v>
      </c>
      <c r="S21" s="9" t="s">
        <v>33</v>
      </c>
      <c r="T21" s="9" t="s">
        <v>33</v>
      </c>
      <c r="U21" s="9" t="s">
        <v>34</v>
      </c>
      <c r="V21" s="9" t="s">
        <v>41</v>
      </c>
      <c r="W21" s="9">
        <v>1</v>
      </c>
      <c r="X21" s="9">
        <v>1</v>
      </c>
      <c r="Y21" s="9">
        <v>1</v>
      </c>
      <c r="Z21" s="20">
        <v>8</v>
      </c>
    </row>
    <row r="22" spans="1:26" x14ac:dyDescent="0.2">
      <c r="A22" s="9" t="s">
        <v>72</v>
      </c>
      <c r="B22" s="9">
        <v>1</v>
      </c>
      <c r="C22" s="9">
        <v>2</v>
      </c>
      <c r="D22" s="9">
        <v>2</v>
      </c>
      <c r="E22" s="9">
        <v>2</v>
      </c>
      <c r="F22" s="20">
        <v>2</v>
      </c>
      <c r="H22" s="9" t="s">
        <v>73</v>
      </c>
      <c r="I22" s="9">
        <v>1</v>
      </c>
      <c r="J22" s="9">
        <v>2</v>
      </c>
      <c r="K22" s="20" t="s">
        <v>2</v>
      </c>
      <c r="L22" s="16"/>
      <c r="M22" s="9" t="s">
        <v>73</v>
      </c>
      <c r="N22" s="9">
        <v>1</v>
      </c>
      <c r="O22" s="9">
        <v>2</v>
      </c>
      <c r="P22" s="20">
        <v>3</v>
      </c>
      <c r="R22" s="9">
        <v>14</v>
      </c>
      <c r="S22" s="9" t="s">
        <v>33</v>
      </c>
      <c r="T22" s="9" t="s">
        <v>33</v>
      </c>
      <c r="U22" s="9" t="s">
        <v>34</v>
      </c>
      <c r="V22" s="9" t="s">
        <v>41</v>
      </c>
      <c r="W22" s="9">
        <v>1</v>
      </c>
      <c r="X22" s="9">
        <v>1</v>
      </c>
      <c r="Y22" s="9">
        <v>1</v>
      </c>
      <c r="Z22" s="20">
        <v>8</v>
      </c>
    </row>
    <row r="23" spans="1:26" x14ac:dyDescent="0.2">
      <c r="A23" s="9" t="s">
        <v>74</v>
      </c>
      <c r="B23" s="9">
        <v>1</v>
      </c>
      <c r="C23" s="9">
        <v>2</v>
      </c>
      <c r="D23" s="9">
        <v>2</v>
      </c>
      <c r="E23" s="9">
        <v>2</v>
      </c>
      <c r="F23" s="20">
        <v>2</v>
      </c>
      <c r="H23" s="9" t="s">
        <v>75</v>
      </c>
      <c r="I23" s="9">
        <v>1</v>
      </c>
      <c r="J23" s="9">
        <v>2</v>
      </c>
      <c r="K23" s="20" t="s">
        <v>2</v>
      </c>
      <c r="L23" s="16"/>
      <c r="M23" s="9" t="s">
        <v>75</v>
      </c>
      <c r="N23" s="9">
        <v>1</v>
      </c>
      <c r="O23" s="9">
        <v>2</v>
      </c>
      <c r="P23" s="20">
        <v>3</v>
      </c>
      <c r="Z23">
        <f>SUM(Z4:Z22)</f>
        <v>132</v>
      </c>
    </row>
    <row r="24" spans="1:26" x14ac:dyDescent="0.2">
      <c r="A24" s="9" t="s">
        <v>76</v>
      </c>
      <c r="B24" s="9">
        <v>1</v>
      </c>
      <c r="C24" s="9">
        <v>2</v>
      </c>
      <c r="D24" s="9">
        <v>2</v>
      </c>
      <c r="E24" s="9">
        <v>2</v>
      </c>
      <c r="F24" s="20">
        <v>2</v>
      </c>
      <c r="H24" s="9" t="s">
        <v>77</v>
      </c>
      <c r="I24" s="9">
        <v>1</v>
      </c>
      <c r="J24" s="9">
        <v>2</v>
      </c>
      <c r="K24" s="20" t="s">
        <v>2</v>
      </c>
      <c r="L24" s="16"/>
      <c r="M24" s="9" t="s">
        <v>77</v>
      </c>
      <c r="N24" s="9">
        <v>1</v>
      </c>
      <c r="O24" s="9">
        <v>2</v>
      </c>
      <c r="P24" s="20">
        <v>3</v>
      </c>
    </row>
    <row r="25" spans="1:26" x14ac:dyDescent="0.2">
      <c r="A25" s="9" t="s">
        <v>78</v>
      </c>
      <c r="B25" s="9">
        <v>1</v>
      </c>
      <c r="C25" s="9">
        <v>2</v>
      </c>
      <c r="D25" s="9">
        <v>2</v>
      </c>
      <c r="E25" s="9">
        <v>2</v>
      </c>
      <c r="F25" s="20">
        <v>2</v>
      </c>
      <c r="H25" s="9" t="s">
        <v>79</v>
      </c>
      <c r="I25" s="9">
        <v>1</v>
      </c>
      <c r="J25" s="9">
        <v>2</v>
      </c>
      <c r="K25" s="20" t="s">
        <v>2</v>
      </c>
      <c r="L25" s="16"/>
      <c r="M25" s="9" t="s">
        <v>79</v>
      </c>
      <c r="N25" s="9">
        <v>1</v>
      </c>
      <c r="O25" s="9">
        <v>2</v>
      </c>
      <c r="P25" s="20">
        <v>3</v>
      </c>
      <c r="T25" t="s">
        <v>2</v>
      </c>
    </row>
    <row r="26" spans="1:26" x14ac:dyDescent="0.2">
      <c r="A26" s="9" t="s">
        <v>80</v>
      </c>
      <c r="B26" s="9">
        <v>1</v>
      </c>
      <c r="C26" s="9">
        <v>2</v>
      </c>
      <c r="D26" s="9">
        <v>3</v>
      </c>
      <c r="E26" s="9">
        <v>4</v>
      </c>
      <c r="F26" s="20">
        <v>4</v>
      </c>
      <c r="H26" s="9" t="s">
        <v>81</v>
      </c>
      <c r="I26" s="9">
        <v>1</v>
      </c>
      <c r="J26" s="9">
        <v>2</v>
      </c>
      <c r="K26" s="20">
        <v>3</v>
      </c>
      <c r="L26" s="16"/>
      <c r="M26" s="9" t="s">
        <v>81</v>
      </c>
      <c r="N26" s="9">
        <v>1</v>
      </c>
      <c r="O26" s="9">
        <v>2</v>
      </c>
      <c r="P26" s="20">
        <v>3</v>
      </c>
    </row>
    <row r="27" spans="1:26" x14ac:dyDescent="0.2">
      <c r="A27" s="9" t="s">
        <v>82</v>
      </c>
      <c r="B27" s="9">
        <v>1</v>
      </c>
      <c r="C27" s="9">
        <v>2</v>
      </c>
      <c r="D27" s="9">
        <v>3</v>
      </c>
      <c r="E27" s="9">
        <v>4</v>
      </c>
      <c r="F27" s="20">
        <v>4</v>
      </c>
      <c r="H27" s="9" t="s">
        <v>83</v>
      </c>
      <c r="I27" s="9">
        <v>1</v>
      </c>
      <c r="J27" s="9">
        <v>2</v>
      </c>
      <c r="K27" s="20">
        <v>3</v>
      </c>
      <c r="L27" s="16"/>
      <c r="M27" s="9" t="s">
        <v>83</v>
      </c>
      <c r="N27" s="9">
        <v>1</v>
      </c>
      <c r="O27" s="9">
        <v>2</v>
      </c>
      <c r="P27" s="20">
        <v>3</v>
      </c>
    </row>
    <row r="28" spans="1:26" x14ac:dyDescent="0.2">
      <c r="A28" s="9" t="s">
        <v>84</v>
      </c>
      <c r="B28" s="9">
        <v>1</v>
      </c>
      <c r="C28" s="9">
        <v>2</v>
      </c>
      <c r="D28" s="9">
        <v>3</v>
      </c>
      <c r="E28" s="9">
        <v>4</v>
      </c>
      <c r="F28" s="20">
        <v>4</v>
      </c>
      <c r="H28" s="9" t="s">
        <v>85</v>
      </c>
      <c r="I28" s="9">
        <v>1</v>
      </c>
      <c r="J28" s="9">
        <v>2</v>
      </c>
      <c r="K28" s="20" t="s">
        <v>2</v>
      </c>
      <c r="L28" s="16"/>
      <c r="M28" s="9" t="s">
        <v>85</v>
      </c>
      <c r="N28" s="9">
        <v>1</v>
      </c>
      <c r="O28" s="9">
        <v>2</v>
      </c>
      <c r="P28" s="20">
        <v>3</v>
      </c>
    </row>
    <row r="29" spans="1:26" x14ac:dyDescent="0.2">
      <c r="A29" s="9" t="s">
        <v>86</v>
      </c>
      <c r="B29" s="9">
        <v>1</v>
      </c>
      <c r="C29" s="9">
        <v>2</v>
      </c>
      <c r="D29" s="9">
        <v>3</v>
      </c>
      <c r="E29" s="9">
        <v>4</v>
      </c>
      <c r="F29" s="20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opLeftCell="A23"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90" t="s">
        <v>210</v>
      </c>
    </row>
    <row r="3" spans="1:1" ht="28" customHeight="1" thickBot="1" x14ac:dyDescent="0.25">
      <c r="A3" s="91" t="s">
        <v>211</v>
      </c>
    </row>
    <row r="4" spans="1:1" ht="17" x14ac:dyDescent="0.2">
      <c r="A4" s="92" t="s">
        <v>212</v>
      </c>
    </row>
    <row r="5" spans="1:1" ht="41" customHeight="1" x14ac:dyDescent="0.2">
      <c r="A5" s="93" t="s">
        <v>213</v>
      </c>
    </row>
    <row r="6" spans="1:1" ht="33" customHeight="1" thickBot="1" x14ac:dyDescent="0.25">
      <c r="A6" s="91" t="s">
        <v>215</v>
      </c>
    </row>
    <row r="7" spans="1:1" ht="29" customHeight="1" thickBot="1" x14ac:dyDescent="0.25">
      <c r="A7" s="94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2018-05-15T19:50:55Z</dcterms:modified>
</cp:coreProperties>
</file>