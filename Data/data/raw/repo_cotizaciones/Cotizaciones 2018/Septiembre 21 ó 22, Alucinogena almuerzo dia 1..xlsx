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9" i="1" l="1"/>
  <c r="F19" i="1"/>
  <c r="F23" i="1"/>
  <c r="F9" i="1"/>
  <c r="F10" i="1"/>
  <c r="F11" i="1"/>
  <c r="F12" i="1"/>
  <c r="F13" i="1"/>
  <c r="F14" i="1"/>
  <c r="F15" i="1"/>
  <c r="F16" i="1"/>
  <c r="F17" i="1"/>
  <c r="E18" i="1"/>
  <c r="F18" i="1"/>
  <c r="F22" i="1"/>
  <c r="F26" i="1"/>
  <c r="F27" i="1"/>
  <c r="F28" i="1"/>
  <c r="F70" i="1"/>
  <c r="F59" i="1"/>
  <c r="F25" i="1"/>
  <c r="F66" i="1"/>
  <c r="F65" i="1"/>
  <c r="F67" i="1"/>
  <c r="F72" i="1"/>
  <c r="F91" i="1"/>
  <c r="F87" i="1"/>
  <c r="F85" i="1"/>
  <c r="F86" i="1"/>
  <c r="F88" i="1"/>
  <c r="F89" i="1"/>
  <c r="F90" i="1"/>
  <c r="F92" i="1"/>
  <c r="F84" i="1"/>
  <c r="F81" i="1"/>
  <c r="F76" i="1"/>
  <c r="F83" i="1"/>
  <c r="F63" i="1"/>
  <c r="F68" i="1"/>
  <c r="F64" i="1"/>
  <c r="F79" i="1"/>
  <c r="F74" i="1"/>
  <c r="F75" i="1"/>
  <c r="F77" i="1"/>
  <c r="F78" i="1"/>
  <c r="F80" i="1"/>
  <c r="F82" i="1"/>
  <c r="F60" i="1"/>
  <c r="F61" i="1"/>
  <c r="F62" i="1"/>
  <c r="F69" i="1"/>
  <c r="F71" i="1"/>
  <c r="F73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/>
  <c r="F31" i="1"/>
</calcChain>
</file>

<file path=xl/sharedStrings.xml><?xml version="1.0" encoding="utf-8"?>
<sst xmlns="http://schemas.openxmlformats.org/spreadsheetml/2006/main" count="450" uniqueCount="265">
  <si>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</si>
  <si>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</si>
  <si>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</si>
  <si>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</si>
  <si>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</si>
  <si>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</si>
  <si>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</si>
  <si>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</si>
  <si>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</si>
  <si>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</si>
  <si>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</si>
  <si>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</si>
  <si>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</si>
  <si>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</si>
  <si>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</si>
  <si>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</si>
  <si>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</si>
  <si>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</si>
  <si>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</si>
  <si>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</si>
  <si>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</si>
  <si>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</si>
  <si>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</si>
  <si>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</si>
  <si>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</si>
  <si>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</si>
  <si>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</si>
  <si>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</si>
  <si>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</si>
  <si>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</si>
  <si>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</si>
  <si>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</si>
  <si>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</si>
  <si>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</si>
  <si>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</si>
  <si>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</si>
  <si>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</si>
  <si>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</si>
  <si>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</si>
  <si>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</si>
  <si>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</si>
  <si>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</si>
  <si>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</si>
  <si>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</si>
  <si>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</si>
  <si>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</si>
  <si>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</si>
  <si>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</si>
  <si>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</si>
  <si>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</si>
  <si>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</si>
  <si>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</si>
  <si>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</si>
  <si>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</si>
  <si>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</si>
  <si>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</si>
  <si>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</si>
  <si>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</si>
  <si>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</si>
  <si>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</si>
  <si>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</si>
  <si>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</si>
  <si>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</si>
  <si>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</si>
  <si>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</si>
  <si>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</si>
  <si>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</si>
  <si>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</si>
  <si>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</si>
  <si>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</si>
  <si>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</si>
  <si>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</si>
  <si>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</si>
  <si>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</si>
  <si>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</si>
  <si>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</si>
  <si>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</si>
  <si>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</si>
  <si>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</si>
  <si>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</si>
  <si>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</si>
  <si>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</si>
  <si>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</si>
  <si>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</si>
  <si>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</si>
  <si>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</si>
  <si>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</si>
  <si>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</si>
  <si>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</si>
  <si>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</si>
  <si>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</si>
  <si>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</si>
  <si>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</si>
  <si>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</si>
  <si>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</si>
  <si>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</si>
  <si>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</si>
  <si>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</si>
  <si>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</si>
  <si>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</si>
  <si>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</si>
  <si>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</si>
  <si>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</si>
  <si>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</si>
  <si>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</si>
  <si>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</si>
  <si>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</si>
  <si>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</si>
  <si>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</si>
  <si>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</si>
  <si>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</si>
  <si>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</si>
  <si>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</si>
  <si>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</si>
  <si>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</si>
  <si>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</si>
  <si>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</si>
  <si>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</si>
  <si>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</si>
  <si>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</si>
  <si>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</si>
  <si>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</si>
  <si>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</si>
  <si>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</si>
  <si>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</si>
  <si>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</si>
  <si>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</si>
  <si>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</si>
  <si>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</si>
  <si>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</si>
  <si>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</si>
  <si>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</si>
  <si>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</si>
  <si>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</si>
  <si>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</si>
  <si>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</si>
  <si>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</si>
  <si>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</si>
  <si>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</si>
  <si>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</si>
  <si>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</si>
  <si>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</si>
  <si>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</si>
  <si>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</si>
  <si>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</si>
  <si>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</si>
  <si>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</si>
  <si>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</si>
  <si>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</si>
  <si>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</si>
  <si>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</si>
  <si>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</si>
  <si>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</si>
  <si>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</si>
  <si>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</si>
  <si>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</si>
  <si>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</si>
  <si>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</si>
  <si>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</si>
  <si>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</si>
  <si>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</si>
  <si>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</si>
  <si>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</si>
  <si>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</si>
  <si>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</si>
  <si>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</si>
  <si>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</si>
  <si>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</si>
  <si>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</si>
  <si>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</si>
  <si>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</si>
  <si>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</si>
  <si>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</si>
  <si>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</si>
  <si>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</si>
  <si>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</si>
  <si>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</si>
  <si>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</si>
  <si>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</si>
  <si>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</si>
  <si>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</si>
  <si>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</si>
  <si>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</si>
  <si>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</si>
  <si>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</si>
  <si>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</si>
  <si>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</si>
  <si>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</si>
  <si>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</si>
  <si>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</si>
  <si>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</si>
  <si>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</si>
  <si>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</si>
  <si>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</si>
  <si>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</si>
  <si>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</si>
  <si>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</si>
  <si>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</si>
  <si>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</si>
  <si>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</si>
  <si>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</si>
  <si>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</si>
  <si>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</si>
  <si>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</si>
  <si>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</si>
  <si>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</si>
  <si>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</si>
  <si>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</si>
  <si>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</si>
  <si>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</si>
  <si>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</si>
  <si>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</si>
  <si>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</si>
  <si>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</si>
  <si>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</si>
  <si>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</si>
  <si>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</si>
  <si>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</si>
  <si>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</si>
  <si>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</si>
  <si>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</si>
  <si>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</si>
  <si>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</si>
  <si>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</si>
  <si>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</si>
  <si>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</si>
  <si>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</si>
  <si>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</si>
  <si>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</si>
  <si>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</si>
  <si>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</si>
  <si>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</si>
  <si>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</si>
  <si>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</si>
  <si>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</si>
  <si>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</si>
  <si>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</si>
  <si>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</si>
  <si>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</si>
  <si>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</si>
  <si>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</si>
  <si>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</si>
  <si>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</si>
  <si>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</si>
  <si>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</si>
  <si>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</si>
  <si>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</si>
  <si>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</si>
  <si>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</si>
  <si>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</si>
  <si>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</si>
  <si>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</si>
  <si>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Sara Gutierrez</t>
  </si>
  <si>
    <t>Alucinogena</t>
  </si>
  <si>
    <t>Carmen Rodríguez D.</t>
  </si>
  <si>
    <t>9 74961403</t>
  </si>
  <si>
    <t>Salón Coho</t>
  </si>
  <si>
    <t>Dj, karaoke, luces para fiesta</t>
  </si>
  <si>
    <t>roncola, piscola, espumante, vino, cerveza</t>
  </si>
  <si>
    <t>Tickets de trago</t>
  </si>
  <si>
    <t>Salón Chinook, o Quincho</t>
  </si>
  <si>
    <t>4 h Noche para fiesta.</t>
  </si>
  <si>
    <t>Amplificación, operador de equipos y karaoke y DJ para fiesta de 4 horas.</t>
  </si>
  <si>
    <t>Gaseosa ó mineral ó  jugo de botella.</t>
  </si>
  <si>
    <t>botella de vino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</si>
</sst>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0"/>
  <sheetViews>
    <sheetView tabSelected="1" topLeftCell="A5" zoomScale="109" zoomScaleNormal="109" zoomScalePageLayoutView="109" workbookViewId="0">
      <selection activeCell="F30" sqref="F30"/>
    </sheetView>
  </sheetViews>
  <sheetFormatPr baseColWidth="10" defaultRowHeight="16" x14ac:dyDescent="0.2"/>
  <cols>
    <col min="1" max="1" width="33.332031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234</v>
      </c>
    </row>
    <row r="2" spans="1:7" x14ac:dyDescent="0.2">
      <c r="G2" t="s">
        <v>191</v>
      </c>
    </row>
    <row r="3" spans="1:7" x14ac:dyDescent="0.2">
      <c r="A3" s="71" t="s">
        <v>138</v>
      </c>
      <c r="B3" s="135" t="s">
        <v>252</v>
      </c>
      <c r="E3" t="s">
        <v>3</v>
      </c>
      <c r="F3" s="35" t="s">
        <v>253</v>
      </c>
      <c r="G3" s="88" t="s">
        <v>192</v>
      </c>
    </row>
    <row r="4" spans="1:7" x14ac:dyDescent="0.2">
      <c r="A4" t="s">
        <v>139</v>
      </c>
      <c r="B4" s="135"/>
      <c r="C4" s="75"/>
      <c r="E4" t="s">
        <v>5</v>
      </c>
      <c r="G4" s="89" t="s">
        <v>193</v>
      </c>
    </row>
    <row r="5" spans="1:7" x14ac:dyDescent="0.2">
      <c r="A5" t="s">
        <v>140</v>
      </c>
      <c r="B5" s="135"/>
      <c r="E5" t="s">
        <v>4</v>
      </c>
      <c r="F5" s="35">
        <v>75</v>
      </c>
      <c r="G5" s="89" t="s">
        <v>194</v>
      </c>
    </row>
    <row r="6" spans="1:7" x14ac:dyDescent="0.2">
      <c r="A6" s="73" t="s">
        <v>142</v>
      </c>
      <c r="B6" s="136" t="s">
        <v>254</v>
      </c>
      <c r="C6" s="72"/>
      <c r="D6" s="72"/>
      <c r="E6" s="72" t="s">
        <v>141</v>
      </c>
      <c r="F6" s="72" t="s">
        <v>255</v>
      </c>
      <c r="G6" s="89" t="s">
        <v>195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161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ht="15.75" customHeight="1" x14ac:dyDescent="0.2">
      <c r="A9" s="105" t="s">
        <v>121</v>
      </c>
      <c r="B9" s="106" t="s">
        <v>175</v>
      </c>
      <c r="C9" s="97">
        <v>1</v>
      </c>
      <c r="D9" s="97">
        <v>75</v>
      </c>
      <c r="E9" s="96">
        <v>15000</v>
      </c>
      <c r="F9" s="138">
        <f t="shared" ref="F9:F10" si="0">D9*E9</f>
        <v>1125000</v>
      </c>
      <c r="G9" s="95" t="s">
        <v>114</v>
      </c>
    </row>
    <row r="10" spans="1:7" ht="15.75" customHeight="1" x14ac:dyDescent="0.2">
      <c r="A10" s="105" t="s">
        <v>221</v>
      </c>
      <c r="B10" s="106"/>
      <c r="C10" s="97">
        <v>1</v>
      </c>
      <c r="D10" s="97">
        <v>75</v>
      </c>
      <c r="E10" s="96">
        <v>1500</v>
      </c>
      <c r="F10" s="138">
        <f t="shared" si="0"/>
        <v>112500</v>
      </c>
      <c r="G10" s="95" t="s">
        <v>214</v>
      </c>
    </row>
    <row r="11" spans="1:7" x14ac:dyDescent="0.2">
      <c r="A11" s="105" t="s">
        <v>122</v>
      </c>
      <c r="B11" s="106" t="s">
        <v>176</v>
      </c>
      <c r="C11" s="97">
        <v>1</v>
      </c>
      <c r="D11" s="97">
        <v>75</v>
      </c>
      <c r="E11" s="107">
        <v>15000</v>
      </c>
      <c r="F11" s="96">
        <f t="shared" ref="F11:F18" si="1">D11*E11</f>
        <v>1125000</v>
      </c>
      <c r="G11" s="95" t="s">
        <v>216</v>
      </c>
    </row>
    <row r="12" spans="1:7" x14ac:dyDescent="0.2">
      <c r="A12" s="105" t="s">
        <v>221</v>
      </c>
      <c r="B12" s="106"/>
      <c r="C12" s="97">
        <v>1</v>
      </c>
      <c r="D12" s="97">
        <v>75</v>
      </c>
      <c r="E12" s="96">
        <v>1500</v>
      </c>
      <c r="F12" s="96">
        <f t="shared" si="1"/>
        <v>112500</v>
      </c>
      <c r="G12" s="95" t="s">
        <v>263</v>
      </c>
    </row>
    <row r="13" spans="1:7" x14ac:dyDescent="0.2">
      <c r="A13" s="105" t="s">
        <v>264</v>
      </c>
      <c r="B13" s="106"/>
      <c r="C13" s="97">
        <v>1</v>
      </c>
      <c r="D13" s="97">
        <v>15</v>
      </c>
      <c r="E13" s="96">
        <v>12500</v>
      </c>
      <c r="F13" s="96">
        <f t="shared" si="1"/>
        <v>187500</v>
      </c>
      <c r="G13" s="95"/>
    </row>
    <row r="14" spans="1:7" x14ac:dyDescent="0.2">
      <c r="A14" s="105" t="s">
        <v>260</v>
      </c>
      <c r="B14" s="106"/>
      <c r="C14" s="97">
        <v>1</v>
      </c>
      <c r="D14" s="97">
        <v>1</v>
      </c>
      <c r="E14" s="107">
        <v>300000</v>
      </c>
      <c r="F14" s="96">
        <f t="shared" si="1"/>
        <v>300000</v>
      </c>
      <c r="G14" s="95" t="s">
        <v>261</v>
      </c>
    </row>
    <row r="15" spans="1:7" x14ac:dyDescent="0.2">
      <c r="A15" s="105" t="s">
        <v>257</v>
      </c>
      <c r="B15" s="106"/>
      <c r="C15" s="97">
        <v>1</v>
      </c>
      <c r="D15" s="97">
        <v>1</v>
      </c>
      <c r="E15" s="107">
        <v>850000</v>
      </c>
      <c r="F15" s="96">
        <f>C15*D15*E15</f>
        <v>850000</v>
      </c>
      <c r="G15" s="95" t="s">
        <v>262</v>
      </c>
    </row>
    <row r="16" spans="1:7" x14ac:dyDescent="0.2">
      <c r="A16" s="105" t="s">
        <v>259</v>
      </c>
      <c r="B16" s="106"/>
      <c r="C16" s="97">
        <v>2</v>
      </c>
      <c r="D16" s="97">
        <v>75</v>
      </c>
      <c r="E16" s="107">
        <v>3800</v>
      </c>
      <c r="F16" s="96">
        <f>C16*D16*E16</f>
        <v>570000</v>
      </c>
      <c r="G16" s="95" t="s">
        <v>258</v>
      </c>
    </row>
    <row r="17" spans="1:7" ht="16.5" customHeight="1" x14ac:dyDescent="0.2">
      <c r="A17" s="132" t="s">
        <v>231</v>
      </c>
      <c r="B17" s="133"/>
      <c r="C17" s="97">
        <v>0</v>
      </c>
      <c r="D17" s="97">
        <v>1</v>
      </c>
      <c r="E17" s="134">
        <v>99000</v>
      </c>
      <c r="F17" s="96">
        <f t="shared" si="1"/>
        <v>99000</v>
      </c>
      <c r="G17" s="132" t="s">
        <v>232</v>
      </c>
    </row>
    <row r="18" spans="1:7" ht="16.5" customHeight="1" x14ac:dyDescent="0.2">
      <c r="A18" s="132" t="s">
        <v>150</v>
      </c>
      <c r="B18" s="133"/>
      <c r="C18" s="97">
        <v>1</v>
      </c>
      <c r="D18" s="97">
        <v>37</v>
      </c>
      <c r="E18" s="134">
        <f>E17+9500+5000</f>
        <v>113500</v>
      </c>
      <c r="F18" s="96">
        <f t="shared" si="1"/>
        <v>4199500</v>
      </c>
      <c r="G18" s="132" t="s">
        <v>233</v>
      </c>
    </row>
    <row r="19" spans="1:7" ht="16.5" customHeight="1" thickBot="1" x14ac:dyDescent="0.25">
      <c r="A19" s="2" t="s">
        <v>92</v>
      </c>
      <c r="B19" s="79"/>
      <c r="C19" s="34"/>
      <c r="D19" s="24"/>
      <c r="E19" s="7"/>
      <c r="F19" s="5">
        <f>SUM(F9:F18)</f>
        <v>8681000</v>
      </c>
      <c r="G19" s="33" t="s">
        <v>2</v>
      </c>
    </row>
    <row r="20" spans="1:7" ht="16.5" customHeight="1" x14ac:dyDescent="0.2">
      <c r="A20" s="115" t="s">
        <v>126</v>
      </c>
      <c r="B20" s="116"/>
      <c r="C20" s="117" t="s">
        <v>124</v>
      </c>
      <c r="D20" s="117" t="s">
        <v>7</v>
      </c>
      <c r="E20" s="117" t="s">
        <v>0</v>
      </c>
      <c r="F20" s="117" t="s">
        <v>1</v>
      </c>
      <c r="G20" s="118" t="s">
        <v>8</v>
      </c>
    </row>
    <row r="21" spans="1:7" x14ac:dyDescent="0.2">
      <c r="A21" s="111" t="s">
        <v>10</v>
      </c>
      <c r="B21" s="112"/>
      <c r="C21" s="97">
        <v>1</v>
      </c>
      <c r="D21" s="97">
        <v>75</v>
      </c>
      <c r="E21" s="137">
        <v>10500</v>
      </c>
      <c r="F21" s="96" t="s">
        <v>127</v>
      </c>
      <c r="G21" s="95" t="s">
        <v>215</v>
      </c>
    </row>
    <row r="22" spans="1:7" x14ac:dyDescent="0.2">
      <c r="A22" s="105" t="s">
        <v>256</v>
      </c>
      <c r="B22" s="106"/>
      <c r="C22" s="97">
        <v>1</v>
      </c>
      <c r="D22" s="97">
        <v>1</v>
      </c>
      <c r="E22" s="107">
        <v>250000</v>
      </c>
      <c r="F22" s="96">
        <f>C22*E22</f>
        <v>250000</v>
      </c>
      <c r="G22" s="95" t="s">
        <v>225</v>
      </c>
    </row>
    <row r="23" spans="1:7" x14ac:dyDescent="0.2">
      <c r="A23" s="126"/>
      <c r="B23" s="127"/>
      <c r="C23" s="128"/>
      <c r="D23" s="128"/>
      <c r="E23" s="129"/>
      <c r="F23" s="130">
        <f>SUM(F22:F22)</f>
        <v>250000</v>
      </c>
      <c r="G23" s="131"/>
    </row>
    <row r="24" spans="1:7" x14ac:dyDescent="0.2">
      <c r="A24" s="119" t="s">
        <v>210</v>
      </c>
      <c r="B24" s="120" t="s">
        <v>235</v>
      </c>
      <c r="C24" s="121"/>
      <c r="D24" s="121"/>
      <c r="E24" s="122"/>
      <c r="F24" s="122" t="s">
        <v>2</v>
      </c>
      <c r="G24" s="119" t="s">
        <v>211</v>
      </c>
    </row>
    <row r="25" spans="1:7" x14ac:dyDescent="0.2">
      <c r="A25" s="98" t="s">
        <v>206</v>
      </c>
      <c r="B25" s="99" t="s">
        <v>2</v>
      </c>
      <c r="C25" s="100">
        <v>0</v>
      </c>
      <c r="D25" s="100">
        <v>0</v>
      </c>
      <c r="E25" s="101">
        <v>0</v>
      </c>
      <c r="F25" s="101">
        <f t="shared" ref="F25:F28" si="2">C25*D25*E25</f>
        <v>0</v>
      </c>
      <c r="G25" s="102" t="s">
        <v>208</v>
      </c>
    </row>
    <row r="26" spans="1:7" x14ac:dyDescent="0.2">
      <c r="A26" s="98" t="s">
        <v>202</v>
      </c>
      <c r="B26" s="99" t="s">
        <v>2</v>
      </c>
      <c r="C26" s="100">
        <v>0</v>
      </c>
      <c r="D26" s="100">
        <v>0</v>
      </c>
      <c r="E26" s="101">
        <v>0</v>
      </c>
      <c r="F26" s="101">
        <f t="shared" si="2"/>
        <v>0</v>
      </c>
      <c r="G26" s="102" t="s">
        <v>209</v>
      </c>
    </row>
    <row r="27" spans="1:7" ht="16.5" customHeight="1" x14ac:dyDescent="0.2">
      <c r="A27" s="98" t="s">
        <v>203</v>
      </c>
      <c r="B27" s="99" t="s">
        <v>2</v>
      </c>
      <c r="C27" s="100">
        <v>0</v>
      </c>
      <c r="D27" s="100">
        <v>0</v>
      </c>
      <c r="E27" s="101">
        <v>0</v>
      </c>
      <c r="F27" s="101">
        <f t="shared" si="2"/>
        <v>0</v>
      </c>
      <c r="G27" s="102" t="s">
        <v>207</v>
      </c>
    </row>
    <row r="28" spans="1:7" ht="17" thickBot="1" x14ac:dyDescent="0.25">
      <c r="A28" s="98" t="s">
        <v>204</v>
      </c>
      <c r="B28" s="99" t="s">
        <v>2</v>
      </c>
      <c r="C28" s="100">
        <v>0</v>
      </c>
      <c r="D28" s="100">
        <v>0</v>
      </c>
      <c r="E28" s="101">
        <v>0</v>
      </c>
      <c r="F28" s="101">
        <f t="shared" si="2"/>
        <v>0</v>
      </c>
      <c r="G28" s="98" t="s">
        <v>205</v>
      </c>
    </row>
    <row r="29" spans="1:7" ht="17" thickBot="1" x14ac:dyDescent="0.25">
      <c r="A29" s="37" t="s">
        <v>212</v>
      </c>
      <c r="B29" s="81"/>
      <c r="C29" s="38"/>
      <c r="D29" s="38"/>
      <c r="E29" s="39"/>
      <c r="F29" s="40">
        <f>F19+F23</f>
        <v>8931000</v>
      </c>
      <c r="G29" s="6" t="s">
        <v>148</v>
      </c>
    </row>
    <row r="30" spans="1:7" x14ac:dyDescent="0.2">
      <c r="A30" s="3" t="s">
        <v>149</v>
      </c>
      <c r="B30" s="80"/>
      <c r="C30" s="32"/>
      <c r="D30" s="24"/>
      <c r="E30" s="7"/>
      <c r="F30" s="5">
        <f>F29*1.19-F29</f>
        <v>1696890</v>
      </c>
      <c r="G30" s="6"/>
    </row>
    <row r="31" spans="1:7" x14ac:dyDescent="0.2">
      <c r="A31" s="83" t="s">
        <v>230</v>
      </c>
      <c r="B31" s="84"/>
      <c r="C31" s="85"/>
      <c r="D31" s="85"/>
      <c r="E31" s="86"/>
      <c r="F31" s="87">
        <f>F29+F30</f>
        <v>10627890</v>
      </c>
      <c r="G31" s="6"/>
    </row>
    <row r="32" spans="1:7" x14ac:dyDescent="0.2">
      <c r="A32" s="3"/>
      <c r="B32" s="80"/>
      <c r="C32" s="32"/>
      <c r="D32" s="24"/>
      <c r="E32" s="7"/>
      <c r="F32" s="4"/>
      <c r="G32" s="6"/>
    </row>
    <row r="33" spans="1:7" ht="17" x14ac:dyDescent="0.2">
      <c r="A33" s="139" t="s">
        <v>179</v>
      </c>
      <c r="B33"/>
      <c r="E33" s="76"/>
      <c r="F33" s="76"/>
      <c r="G33" s="76"/>
    </row>
    <row r="34" spans="1:7" x14ac:dyDescent="0.2">
      <c r="A34" s="141" t="s">
        <v>248</v>
      </c>
      <c r="B34"/>
    </row>
    <row r="35" spans="1:7" x14ac:dyDescent="0.2">
      <c r="A35" s="141" t="s">
        <v>249</v>
      </c>
      <c r="B35"/>
    </row>
    <row r="37" spans="1:7" x14ac:dyDescent="0.2">
      <c r="A37" s="139" t="s">
        <v>250</v>
      </c>
      <c r="B37"/>
    </row>
    <row r="38" spans="1:7" x14ac:dyDescent="0.2">
      <c r="A38" s="139" t="s">
        <v>236</v>
      </c>
      <c r="B38"/>
      <c r="F38" s="139" t="s">
        <v>240</v>
      </c>
    </row>
    <row r="39" spans="1:7" x14ac:dyDescent="0.2">
      <c r="A39" s="141" t="s">
        <v>237</v>
      </c>
      <c r="B39"/>
      <c r="F39" s="141" t="s">
        <v>237</v>
      </c>
    </row>
    <row r="40" spans="1:7" x14ac:dyDescent="0.2">
      <c r="A40" s="141" t="s">
        <v>238</v>
      </c>
      <c r="B40"/>
      <c r="F40" s="141" t="s">
        <v>238</v>
      </c>
    </row>
    <row r="41" spans="1:7" x14ac:dyDescent="0.2">
      <c r="A41" s="141" t="s">
        <v>239</v>
      </c>
      <c r="B41"/>
      <c r="F41" s="141" t="s">
        <v>241</v>
      </c>
    </row>
    <row r="42" spans="1:7" x14ac:dyDescent="0.2">
      <c r="F42" s="141" t="s">
        <v>242</v>
      </c>
    </row>
    <row r="43" spans="1:7" x14ac:dyDescent="0.2">
      <c r="A43" s="139" t="s">
        <v>251</v>
      </c>
      <c r="B43"/>
    </row>
    <row r="44" spans="1:7" x14ac:dyDescent="0.2">
      <c r="A44" s="140" t="s">
        <v>151</v>
      </c>
      <c r="B44"/>
    </row>
    <row r="45" spans="1:7" x14ac:dyDescent="0.2">
      <c r="A45" s="140" t="s">
        <v>152</v>
      </c>
      <c r="B45"/>
    </row>
    <row r="46" spans="1:7" ht="17" x14ac:dyDescent="0.2">
      <c r="A46" s="140" t="s">
        <v>153</v>
      </c>
      <c r="B46"/>
      <c r="F46" s="76" t="s">
        <v>2</v>
      </c>
    </row>
    <row r="47" spans="1:7" ht="17" x14ac:dyDescent="0.2">
      <c r="A47" s="140" t="s">
        <v>154</v>
      </c>
      <c r="B47"/>
      <c r="F47" s="76" t="s">
        <v>2</v>
      </c>
    </row>
    <row r="48" spans="1:7" ht="17" x14ac:dyDescent="0.2">
      <c r="A48" s="140"/>
      <c r="B48"/>
      <c r="F48" s="76" t="s">
        <v>2</v>
      </c>
    </row>
    <row r="49" spans="1:7" ht="16" customHeight="1" x14ac:dyDescent="0.2">
      <c r="A49" s="140" t="s">
        <v>245</v>
      </c>
      <c r="B49"/>
    </row>
    <row r="50" spans="1:7" ht="16" customHeight="1" x14ac:dyDescent="0.2">
      <c r="A50" s="140" t="s">
        <v>243</v>
      </c>
      <c r="B50"/>
    </row>
    <row r="51" spans="1:7" ht="16" customHeight="1" x14ac:dyDescent="0.2">
      <c r="B51"/>
    </row>
    <row r="52" spans="1:7" ht="16" customHeight="1" x14ac:dyDescent="0.2">
      <c r="A52" s="139" t="s">
        <v>244</v>
      </c>
      <c r="B52"/>
      <c r="E52" s="140" t="s">
        <v>185</v>
      </c>
      <c r="F52" s="140" t="s">
        <v>186</v>
      </c>
    </row>
    <row r="53" spans="1:7" ht="16" customHeight="1" x14ac:dyDescent="0.2">
      <c r="A53" s="140" t="s">
        <v>180</v>
      </c>
      <c r="B53" s="140" t="s">
        <v>181</v>
      </c>
      <c r="E53" s="140" t="s">
        <v>187</v>
      </c>
      <c r="F53" s="140" t="s">
        <v>188</v>
      </c>
    </row>
    <row r="54" spans="1:7" ht="16" customHeight="1" x14ac:dyDescent="0.2">
      <c r="A54" s="140" t="s">
        <v>182</v>
      </c>
      <c r="B54" s="140" t="s">
        <v>183</v>
      </c>
      <c r="E54" s="140" t="s">
        <v>189</v>
      </c>
      <c r="F54" s="140" t="s">
        <v>190</v>
      </c>
    </row>
    <row r="55" spans="1:7" ht="16" customHeight="1" x14ac:dyDescent="0.2">
      <c r="A55" s="140" t="s">
        <v>184</v>
      </c>
      <c r="B55" s="140" t="s">
        <v>246</v>
      </c>
      <c r="E55" s="140" t="s">
        <v>5</v>
      </c>
      <c r="F55" s="140">
        <v>29539311</v>
      </c>
    </row>
    <row r="56" spans="1:7" ht="16" customHeight="1" x14ac:dyDescent="0.2">
      <c r="A56" s="142" t="s">
        <v>247</v>
      </c>
    </row>
    <row r="57" spans="1:7" ht="16" customHeight="1" x14ac:dyDescent="0.2">
      <c r="A57" s="76"/>
      <c r="B57"/>
    </row>
    <row r="58" spans="1:7" x14ac:dyDescent="0.2">
      <c r="A58" s="143" t="s">
        <v>123</v>
      </c>
      <c r="B58" s="144" t="s">
        <v>161</v>
      </c>
      <c r="C58" s="143" t="s">
        <v>89</v>
      </c>
      <c r="D58" s="143" t="s">
        <v>7</v>
      </c>
      <c r="E58" s="143" t="s">
        <v>6</v>
      </c>
      <c r="F58" s="143" t="s">
        <v>90</v>
      </c>
      <c r="G58" s="143" t="s">
        <v>8</v>
      </c>
    </row>
    <row r="59" spans="1:7" x14ac:dyDescent="0.2">
      <c r="A59" s="95" t="s">
        <v>178</v>
      </c>
      <c r="B59" s="103"/>
      <c r="C59" s="97">
        <v>0</v>
      </c>
      <c r="D59" s="97">
        <v>0</v>
      </c>
      <c r="E59" s="104">
        <v>200000</v>
      </c>
      <c r="F59" s="104">
        <f>C59*D59*E59</f>
        <v>0</v>
      </c>
      <c r="G59" s="95" t="s">
        <v>213</v>
      </c>
    </row>
    <row r="60" spans="1:7" x14ac:dyDescent="0.2">
      <c r="A60" s="105" t="s">
        <v>91</v>
      </c>
      <c r="B60" s="106"/>
      <c r="C60" s="97">
        <v>0</v>
      </c>
      <c r="D60" s="97">
        <v>0</v>
      </c>
      <c r="E60" s="96">
        <v>12000</v>
      </c>
      <c r="F60" s="96">
        <f t="shared" ref="F60:F73" si="3">C60*D60*E60</f>
        <v>0</v>
      </c>
      <c r="G60" s="95" t="s">
        <v>217</v>
      </c>
    </row>
    <row r="61" spans="1:7" x14ac:dyDescent="0.2">
      <c r="A61" s="105" t="s">
        <v>93</v>
      </c>
      <c r="B61" s="106"/>
      <c r="C61" s="97">
        <v>0</v>
      </c>
      <c r="D61" s="97">
        <v>0</v>
      </c>
      <c r="E61" s="96">
        <v>26000</v>
      </c>
      <c r="F61" s="96">
        <f t="shared" si="3"/>
        <v>0</v>
      </c>
      <c r="G61" s="95" t="s">
        <v>118</v>
      </c>
    </row>
    <row r="62" spans="1:7" x14ac:dyDescent="0.2">
      <c r="A62" s="105" t="s">
        <v>94</v>
      </c>
      <c r="B62" s="106"/>
      <c r="C62" s="97">
        <v>0</v>
      </c>
      <c r="D62" s="97">
        <v>0</v>
      </c>
      <c r="E62" s="96">
        <v>35000</v>
      </c>
      <c r="F62" s="96">
        <f t="shared" si="3"/>
        <v>0</v>
      </c>
      <c r="G62" s="95" t="s">
        <v>118</v>
      </c>
    </row>
    <row r="63" spans="1:7" x14ac:dyDescent="0.2">
      <c r="A63" s="105" t="s">
        <v>120</v>
      </c>
      <c r="B63" s="106"/>
      <c r="C63" s="97">
        <v>0</v>
      </c>
      <c r="D63" s="97">
        <v>0</v>
      </c>
      <c r="E63" s="96">
        <v>10000</v>
      </c>
      <c r="F63" s="96">
        <f t="shared" si="3"/>
        <v>0</v>
      </c>
      <c r="G63" s="95"/>
    </row>
    <row r="64" spans="1:7" x14ac:dyDescent="0.2">
      <c r="A64" s="105" t="s">
        <v>159</v>
      </c>
      <c r="B64" s="106"/>
      <c r="C64" s="97">
        <v>0</v>
      </c>
      <c r="D64" s="97">
        <v>0</v>
      </c>
      <c r="E64" s="96">
        <v>4500</v>
      </c>
      <c r="F64" s="96">
        <f t="shared" si="3"/>
        <v>0</v>
      </c>
      <c r="G64" s="95" t="s">
        <v>160</v>
      </c>
    </row>
    <row r="65" spans="1:7" x14ac:dyDescent="0.2">
      <c r="A65" s="105" t="s">
        <v>173</v>
      </c>
      <c r="B65" s="106"/>
      <c r="C65" s="97">
        <v>0</v>
      </c>
      <c r="D65" s="97">
        <v>0</v>
      </c>
      <c r="E65" s="96">
        <v>5000</v>
      </c>
      <c r="F65" s="96">
        <f t="shared" ref="F65:F66" si="4">C65*D65*E65</f>
        <v>0</v>
      </c>
      <c r="G65" s="95" t="s">
        <v>218</v>
      </c>
    </row>
    <row r="66" spans="1:7" x14ac:dyDescent="0.2">
      <c r="A66" s="105" t="s">
        <v>174</v>
      </c>
      <c r="B66" s="106"/>
      <c r="C66" s="97">
        <v>0</v>
      </c>
      <c r="D66" s="97">
        <v>0</v>
      </c>
      <c r="E66" s="96">
        <v>5000</v>
      </c>
      <c r="F66" s="96">
        <f t="shared" si="4"/>
        <v>0</v>
      </c>
      <c r="G66" s="95" t="s">
        <v>219</v>
      </c>
    </row>
    <row r="67" spans="1:7" x14ac:dyDescent="0.2">
      <c r="A67" s="105" t="s">
        <v>158</v>
      </c>
      <c r="B67" s="106"/>
      <c r="C67" s="97">
        <v>0</v>
      </c>
      <c r="D67" s="97">
        <v>0</v>
      </c>
      <c r="E67" s="96">
        <v>3000</v>
      </c>
      <c r="F67" s="96">
        <f t="shared" ref="F67" si="5">C67*D67*E67</f>
        <v>0</v>
      </c>
      <c r="G67" s="95" t="s">
        <v>220</v>
      </c>
    </row>
    <row r="68" spans="1:7" x14ac:dyDescent="0.2">
      <c r="A68" s="105" t="s">
        <v>119</v>
      </c>
      <c r="B68" s="106"/>
      <c r="C68" s="97">
        <v>0</v>
      </c>
      <c r="D68" s="97">
        <v>0</v>
      </c>
      <c r="E68" s="96">
        <v>16000</v>
      </c>
      <c r="F68" s="96">
        <f t="shared" si="3"/>
        <v>0</v>
      </c>
      <c r="G68" s="95" t="s">
        <v>146</v>
      </c>
    </row>
    <row r="69" spans="1:7" x14ac:dyDescent="0.2">
      <c r="A69" s="105" t="s">
        <v>11</v>
      </c>
      <c r="B69" s="106"/>
      <c r="C69" s="97">
        <v>0</v>
      </c>
      <c r="D69" s="97">
        <v>0</v>
      </c>
      <c r="E69" s="96">
        <v>7000</v>
      </c>
      <c r="F69" s="96">
        <f t="shared" si="3"/>
        <v>0</v>
      </c>
      <c r="G69" s="95" t="s">
        <v>162</v>
      </c>
    </row>
    <row r="70" spans="1:7" x14ac:dyDescent="0.2">
      <c r="A70" s="123" t="s">
        <v>221</v>
      </c>
      <c r="B70" s="124"/>
      <c r="C70" s="100">
        <v>0</v>
      </c>
      <c r="D70" s="100">
        <v>0</v>
      </c>
      <c r="E70" s="101">
        <v>1500</v>
      </c>
      <c r="F70" s="101">
        <f t="shared" si="3"/>
        <v>0</v>
      </c>
      <c r="G70" s="98" t="s">
        <v>214</v>
      </c>
    </row>
    <row r="71" spans="1:7" x14ac:dyDescent="0.2">
      <c r="A71" s="123" t="s">
        <v>163</v>
      </c>
      <c r="B71" s="124"/>
      <c r="C71" s="100">
        <v>0</v>
      </c>
      <c r="D71" s="100">
        <v>0</v>
      </c>
      <c r="E71" s="101">
        <v>3000</v>
      </c>
      <c r="F71" s="101">
        <f t="shared" si="3"/>
        <v>0</v>
      </c>
      <c r="G71" s="98"/>
    </row>
    <row r="72" spans="1:7" x14ac:dyDescent="0.2">
      <c r="A72" s="123" t="s">
        <v>222</v>
      </c>
      <c r="B72" s="124"/>
      <c r="C72" s="100">
        <v>0</v>
      </c>
      <c r="D72" s="100">
        <v>0</v>
      </c>
      <c r="E72" s="101">
        <v>1000</v>
      </c>
      <c r="F72" s="101">
        <f t="shared" ref="F72" si="6">C72*D72*E72</f>
        <v>0</v>
      </c>
      <c r="G72" s="98" t="s">
        <v>164</v>
      </c>
    </row>
    <row r="73" spans="1:7" x14ac:dyDescent="0.2">
      <c r="A73" s="123" t="s">
        <v>226</v>
      </c>
      <c r="B73" s="124"/>
      <c r="C73" s="100">
        <v>0</v>
      </c>
      <c r="D73" s="100">
        <v>0</v>
      </c>
      <c r="E73" s="101">
        <v>3000</v>
      </c>
      <c r="F73" s="101">
        <f t="shared" si="3"/>
        <v>0</v>
      </c>
      <c r="G73" s="98" t="s">
        <v>9</v>
      </c>
    </row>
    <row r="74" spans="1:7" x14ac:dyDescent="0.2">
      <c r="A74" s="123" t="s">
        <v>96</v>
      </c>
      <c r="B74" s="124"/>
      <c r="C74" s="100">
        <v>0</v>
      </c>
      <c r="D74" s="100">
        <v>0</v>
      </c>
      <c r="E74" s="125">
        <v>150000</v>
      </c>
      <c r="F74" s="101">
        <f t="shared" ref="F74:F81" si="7">C74*D74*E74</f>
        <v>0</v>
      </c>
      <c r="G74" s="98" t="s">
        <v>97</v>
      </c>
    </row>
    <row r="75" spans="1:7" x14ac:dyDescent="0.2">
      <c r="A75" s="105" t="s">
        <v>98</v>
      </c>
      <c r="B75" s="106"/>
      <c r="C75" s="97">
        <v>0</v>
      </c>
      <c r="D75" s="97">
        <v>0</v>
      </c>
      <c r="E75" s="107">
        <v>120000</v>
      </c>
      <c r="F75" s="96">
        <f t="shared" si="7"/>
        <v>0</v>
      </c>
      <c r="G75" s="95" t="s">
        <v>99</v>
      </c>
    </row>
    <row r="76" spans="1:7" x14ac:dyDescent="0.2">
      <c r="A76" s="108" t="s">
        <v>223</v>
      </c>
      <c r="B76" s="109"/>
      <c r="C76" s="97">
        <v>0</v>
      </c>
      <c r="D76" s="145">
        <v>0</v>
      </c>
      <c r="E76" s="107">
        <v>3850</v>
      </c>
      <c r="F76" s="138">
        <f>E76*D76*C76</f>
        <v>0</v>
      </c>
      <c r="G76" s="105" t="s">
        <v>155</v>
      </c>
    </row>
    <row r="77" spans="1:7" x14ac:dyDescent="0.2">
      <c r="A77" s="108" t="s">
        <v>115</v>
      </c>
      <c r="B77" s="109"/>
      <c r="C77" s="97">
        <v>0</v>
      </c>
      <c r="D77" s="97">
        <v>0</v>
      </c>
      <c r="E77" s="107">
        <v>4800</v>
      </c>
      <c r="F77" s="96">
        <f>C77*D77*E77</f>
        <v>0</v>
      </c>
      <c r="G77" s="105" t="s">
        <v>224</v>
      </c>
    </row>
    <row r="78" spans="1:7" ht="15" customHeight="1" x14ac:dyDescent="0.2">
      <c r="A78" s="108" t="s">
        <v>116</v>
      </c>
      <c r="B78" s="109"/>
      <c r="C78" s="97">
        <v>0</v>
      </c>
      <c r="D78" s="97">
        <v>0</v>
      </c>
      <c r="E78" s="107">
        <v>5500</v>
      </c>
      <c r="F78" s="96">
        <f>C78*D78*E78</f>
        <v>0</v>
      </c>
      <c r="G78" s="105" t="s">
        <v>157</v>
      </c>
    </row>
    <row r="79" spans="1:7" ht="15" customHeight="1" x14ac:dyDescent="0.2">
      <c r="A79" s="108" t="s">
        <v>117</v>
      </c>
      <c r="B79" s="109"/>
      <c r="C79" s="97">
        <v>0</v>
      </c>
      <c r="D79" s="97">
        <v>0</v>
      </c>
      <c r="E79" s="107">
        <v>7500</v>
      </c>
      <c r="F79" s="96">
        <f t="shared" si="7"/>
        <v>0</v>
      </c>
      <c r="G79" s="105" t="s">
        <v>156</v>
      </c>
    </row>
    <row r="80" spans="1:7" x14ac:dyDescent="0.2">
      <c r="A80" s="105" t="s">
        <v>172</v>
      </c>
      <c r="B80" s="106"/>
      <c r="C80" s="97">
        <v>0</v>
      </c>
      <c r="D80" s="97">
        <v>0</v>
      </c>
      <c r="E80" s="96">
        <v>8500</v>
      </c>
      <c r="F80" s="96">
        <f t="shared" si="7"/>
        <v>0</v>
      </c>
      <c r="G80" s="110" t="s">
        <v>229</v>
      </c>
    </row>
    <row r="81" spans="1:7" ht="32" x14ac:dyDescent="0.2">
      <c r="A81" s="105" t="s">
        <v>165</v>
      </c>
      <c r="B81" s="106"/>
      <c r="C81" s="97">
        <v>0</v>
      </c>
      <c r="D81" s="97">
        <v>0</v>
      </c>
      <c r="E81" s="96">
        <v>13500</v>
      </c>
      <c r="F81" s="96">
        <f t="shared" si="7"/>
        <v>0</v>
      </c>
      <c r="G81" s="146" t="s">
        <v>147</v>
      </c>
    </row>
    <row r="82" spans="1:7" x14ac:dyDescent="0.2">
      <c r="A82" s="105" t="s">
        <v>95</v>
      </c>
      <c r="B82" s="106"/>
      <c r="C82" s="97">
        <v>0</v>
      </c>
      <c r="D82" s="97">
        <v>0</v>
      </c>
      <c r="E82" s="96">
        <v>2500</v>
      </c>
      <c r="F82" s="96">
        <f>C82*D82*E82</f>
        <v>0</v>
      </c>
      <c r="G82" s="95" t="s">
        <v>227</v>
      </c>
    </row>
    <row r="83" spans="1:7" x14ac:dyDescent="0.2">
      <c r="A83" s="105" t="s">
        <v>166</v>
      </c>
      <c r="B83" s="106"/>
      <c r="C83" s="97">
        <v>0</v>
      </c>
      <c r="D83" s="97">
        <v>0</v>
      </c>
      <c r="E83" s="107">
        <v>300000</v>
      </c>
      <c r="F83" s="96">
        <f>C83*D83*E83</f>
        <v>0</v>
      </c>
      <c r="G83" s="95" t="s">
        <v>225</v>
      </c>
    </row>
    <row r="84" spans="1:7" x14ac:dyDescent="0.2">
      <c r="A84" s="105" t="s">
        <v>167</v>
      </c>
      <c r="B84" s="106"/>
      <c r="C84" s="97">
        <v>0</v>
      </c>
      <c r="D84" s="97">
        <v>0</v>
      </c>
      <c r="E84" s="107">
        <v>250000</v>
      </c>
      <c r="F84" s="96">
        <f>C84*D84*E84</f>
        <v>0</v>
      </c>
      <c r="G84" s="95" t="s">
        <v>225</v>
      </c>
    </row>
    <row r="85" spans="1:7" x14ac:dyDescent="0.2">
      <c r="A85" s="105" t="s">
        <v>144</v>
      </c>
      <c r="B85" s="106"/>
      <c r="C85" s="97">
        <v>0</v>
      </c>
      <c r="D85" s="97">
        <v>0</v>
      </c>
      <c r="E85" s="107">
        <v>210000</v>
      </c>
      <c r="F85" s="96">
        <f t="shared" ref="F85:F92" si="8">C85*D85*E85</f>
        <v>0</v>
      </c>
      <c r="G85" s="95" t="s">
        <v>225</v>
      </c>
    </row>
    <row r="86" spans="1:7" x14ac:dyDescent="0.2">
      <c r="A86" s="105" t="s">
        <v>145</v>
      </c>
      <c r="B86" s="106"/>
      <c r="C86" s="97">
        <v>0</v>
      </c>
      <c r="D86" s="97">
        <v>0</v>
      </c>
      <c r="E86" s="107">
        <v>210000</v>
      </c>
      <c r="F86" s="96">
        <f t="shared" si="8"/>
        <v>0</v>
      </c>
      <c r="G86" s="95" t="s">
        <v>225</v>
      </c>
    </row>
    <row r="87" spans="1:7" x14ac:dyDescent="0.2">
      <c r="A87" s="105" t="s">
        <v>168</v>
      </c>
      <c r="B87" s="106"/>
      <c r="C87" s="97">
        <v>0</v>
      </c>
      <c r="D87" s="97">
        <v>0</v>
      </c>
      <c r="E87" s="107">
        <v>180000</v>
      </c>
      <c r="F87" s="96">
        <f t="shared" si="8"/>
        <v>0</v>
      </c>
      <c r="G87" s="95" t="s">
        <v>225</v>
      </c>
    </row>
    <row r="88" spans="1:7" x14ac:dyDescent="0.2">
      <c r="A88" s="105" t="s">
        <v>143</v>
      </c>
      <c r="B88" s="106"/>
      <c r="C88" s="97">
        <v>0</v>
      </c>
      <c r="D88" s="97">
        <v>0</v>
      </c>
      <c r="E88" s="107">
        <v>180000</v>
      </c>
      <c r="F88" s="96">
        <f t="shared" si="8"/>
        <v>0</v>
      </c>
      <c r="G88" s="95" t="s">
        <v>225</v>
      </c>
    </row>
    <row r="89" spans="1:7" x14ac:dyDescent="0.2">
      <c r="A89" s="105" t="s">
        <v>170</v>
      </c>
      <c r="B89" s="106"/>
      <c r="C89" s="97">
        <v>0</v>
      </c>
      <c r="D89" s="97">
        <v>0</v>
      </c>
      <c r="E89" s="101">
        <v>120000</v>
      </c>
      <c r="F89" s="96">
        <f t="shared" si="8"/>
        <v>0</v>
      </c>
      <c r="G89" s="95" t="s">
        <v>225</v>
      </c>
    </row>
    <row r="90" spans="1:7" x14ac:dyDescent="0.2">
      <c r="A90" s="105" t="s">
        <v>169</v>
      </c>
      <c r="B90" s="106"/>
      <c r="C90" s="97">
        <v>0</v>
      </c>
      <c r="D90" s="97">
        <v>0</v>
      </c>
      <c r="E90" s="101">
        <v>90000</v>
      </c>
      <c r="F90" s="96">
        <f t="shared" si="8"/>
        <v>0</v>
      </c>
      <c r="G90" s="95" t="s">
        <v>225</v>
      </c>
    </row>
    <row r="91" spans="1:7" x14ac:dyDescent="0.2">
      <c r="A91" s="105" t="s">
        <v>177</v>
      </c>
      <c r="B91" s="106"/>
      <c r="C91" s="97">
        <v>0</v>
      </c>
      <c r="D91" s="97">
        <v>0</v>
      </c>
      <c r="E91" s="101">
        <v>100000</v>
      </c>
      <c r="F91" s="96">
        <f t="shared" si="8"/>
        <v>0</v>
      </c>
      <c r="G91" s="95" t="s">
        <v>228</v>
      </c>
    </row>
    <row r="92" spans="1:7" x14ac:dyDescent="0.2">
      <c r="A92" s="105" t="s">
        <v>171</v>
      </c>
      <c r="B92" s="106"/>
      <c r="C92" s="97">
        <v>0</v>
      </c>
      <c r="D92" s="97">
        <v>0</v>
      </c>
      <c r="E92" s="101">
        <v>300000</v>
      </c>
      <c r="F92" s="96">
        <f t="shared" si="8"/>
        <v>0</v>
      </c>
      <c r="G92" s="95" t="s">
        <v>225</v>
      </c>
    </row>
    <row r="93" spans="1:7" x14ac:dyDescent="0.2">
      <c r="A93" s="113"/>
      <c r="B93" s="114"/>
      <c r="C93" s="113"/>
      <c r="D93" s="113"/>
      <c r="E93" s="113"/>
      <c r="F93" s="113"/>
    </row>
    <row r="94" spans="1:7" x14ac:dyDescent="0.2">
      <c r="A94" s="113"/>
      <c r="B94" s="114"/>
      <c r="C94" s="113"/>
      <c r="D94" s="113"/>
      <c r="E94" s="113"/>
      <c r="F94" s="113"/>
    </row>
    <row r="110" spans="1:7" ht="17" x14ac:dyDescent="0.2">
      <c r="A110" s="23"/>
      <c r="B110" s="82"/>
      <c r="C110" s="6"/>
      <c r="D110" s="6"/>
      <c r="E110" s="6"/>
      <c r="F110" s="6"/>
      <c r="G110" s="6"/>
    </row>
  </sheetData>
  <phoneticPr fontId="7" type="noConversion"/>
  <hyperlinks>
    <hyperlink ref="A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57"/>
      <c r="B1" s="157"/>
      <c r="C1" s="157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57"/>
      <c r="B2" s="157"/>
      <c r="C2" s="157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57"/>
      <c r="B3" s="157"/>
      <c r="C3" s="157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57"/>
      <c r="B4" s="157"/>
      <c r="C4" s="157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58" t="s">
        <v>130</v>
      </c>
      <c r="D6" s="159"/>
      <c r="E6" s="160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8" t="s">
        <v>131</v>
      </c>
      <c r="D7" s="149"/>
      <c r="E7" s="150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8" t="s">
        <v>131</v>
      </c>
      <c r="D8" s="149"/>
      <c r="E8" s="150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1" t="s">
        <v>109</v>
      </c>
      <c r="D9" s="152"/>
      <c r="E9" s="15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8" t="s">
        <v>131</v>
      </c>
      <c r="D10" s="149"/>
      <c r="E10" s="150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8" t="s">
        <v>131</v>
      </c>
      <c r="D11" s="149"/>
      <c r="E11" s="150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1" t="s">
        <v>110</v>
      </c>
      <c r="D12" s="162"/>
      <c r="E12" s="163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4" t="s">
        <v>129</v>
      </c>
      <c r="D13" s="165"/>
      <c r="E13" s="166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7" t="s">
        <v>133</v>
      </c>
      <c r="D15" s="159"/>
      <c r="E15" s="160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8" t="s">
        <v>107</v>
      </c>
      <c r="D16" s="169"/>
      <c r="E16" s="17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8" t="s">
        <v>131</v>
      </c>
      <c r="D17" s="149"/>
      <c r="E17" s="150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8" t="s">
        <v>131</v>
      </c>
      <c r="D18" s="149"/>
      <c r="E18" s="150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1" t="s">
        <v>109</v>
      </c>
      <c r="D19" s="152"/>
      <c r="E19" s="15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8" t="s">
        <v>131</v>
      </c>
      <c r="D20" s="149"/>
      <c r="E20" s="150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8" t="s">
        <v>131</v>
      </c>
      <c r="D21" s="149"/>
      <c r="E21" s="150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1" t="s">
        <v>110</v>
      </c>
      <c r="D22" s="162"/>
      <c r="E22" s="163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4" t="s">
        <v>129</v>
      </c>
      <c r="D23" s="165"/>
      <c r="E23" s="166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7" t="s">
        <v>134</v>
      </c>
      <c r="D25" s="159"/>
      <c r="E25" s="160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8" t="s">
        <v>107</v>
      </c>
      <c r="D26" s="169"/>
      <c r="E26" s="17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8" t="s">
        <v>131</v>
      </c>
      <c r="D27" s="149"/>
      <c r="E27" s="150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8" t="s">
        <v>131</v>
      </c>
      <c r="D28" s="149"/>
      <c r="E28" s="150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1" t="s">
        <v>109</v>
      </c>
      <c r="D29" s="152"/>
      <c r="E29" s="15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8" t="s">
        <v>131</v>
      </c>
      <c r="D30" s="149"/>
      <c r="E30" s="150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8" t="s">
        <v>131</v>
      </c>
      <c r="D31" s="149"/>
      <c r="E31" s="150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4"/>
      <c r="B32" s="154"/>
      <c r="C32" s="154"/>
      <c r="D32" s="154"/>
      <c r="E32" s="154"/>
      <c r="F32" s="154"/>
      <c r="G32" s="154"/>
      <c r="H32" s="154"/>
      <c r="I32" s="154"/>
      <c r="J32" s="55"/>
      <c r="K32" s="55"/>
      <c r="L32" s="55"/>
      <c r="M32" s="55"/>
      <c r="N32" s="55"/>
    </row>
    <row r="33" spans="1:14" s="56" customFormat="1" ht="15" customHeight="1" x14ac:dyDescent="0.2">
      <c r="A33" s="155" t="s">
        <v>135</v>
      </c>
      <c r="B33" s="155"/>
      <c r="C33" s="155"/>
      <c r="D33" s="155"/>
      <c r="E33" s="155"/>
      <c r="F33" s="155"/>
      <c r="G33" s="155"/>
      <c r="H33" s="155"/>
      <c r="I33" s="155"/>
      <c r="J33" s="55"/>
      <c r="K33" s="55"/>
      <c r="L33" s="55"/>
      <c r="M33" s="55"/>
      <c r="N33" s="55"/>
    </row>
    <row r="34" spans="1:14" s="56" customFormat="1" ht="15" customHeight="1" x14ac:dyDescent="0.2">
      <c r="A34" s="154"/>
      <c r="B34" s="154"/>
      <c r="C34" s="154"/>
      <c r="D34" s="154"/>
      <c r="E34" s="154"/>
      <c r="F34" s="154"/>
      <c r="G34" s="154"/>
      <c r="H34" s="154"/>
      <c r="I34" s="154"/>
      <c r="J34" s="55"/>
      <c r="K34" s="55"/>
      <c r="L34" s="55"/>
      <c r="M34" s="55"/>
      <c r="N34" s="55"/>
    </row>
    <row r="35" spans="1:14" s="56" customFormat="1" ht="15" customHeight="1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55"/>
      <c r="K35" s="55"/>
      <c r="L35" s="55"/>
      <c r="M35" s="55"/>
      <c r="N35" s="55"/>
    </row>
    <row r="36" spans="1:14" s="56" customFormat="1" ht="15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  <c r="J36" s="55"/>
      <c r="K36" s="55"/>
      <c r="L36" s="55"/>
      <c r="M36" s="55"/>
      <c r="N36" s="55"/>
    </row>
    <row r="37" spans="1:14" s="56" customFormat="1" ht="15" customHeight="1" x14ac:dyDescent="0.2">
      <c r="A37" s="154"/>
      <c r="B37" s="154"/>
      <c r="C37" s="154"/>
      <c r="D37" s="154"/>
      <c r="E37" s="154"/>
      <c r="F37" s="154"/>
      <c r="G37" s="154"/>
      <c r="H37" s="154"/>
      <c r="I37" s="154"/>
      <c r="J37" s="55"/>
      <c r="K37" s="55"/>
      <c r="L37" s="55"/>
      <c r="M37" s="55"/>
      <c r="N37" s="55"/>
    </row>
    <row r="38" spans="1:14" s="56" customFormat="1" ht="15" customHeight="1" x14ac:dyDescent="0.2">
      <c r="A38" s="154"/>
      <c r="B38" s="154"/>
      <c r="C38" s="154"/>
      <c r="D38" s="154"/>
      <c r="E38" s="154"/>
      <c r="F38" s="154"/>
      <c r="G38" s="154"/>
      <c r="H38" s="154"/>
      <c r="I38" s="154"/>
      <c r="J38" s="55"/>
      <c r="K38" s="55"/>
      <c r="L38" s="55"/>
      <c r="M38" s="55"/>
      <c r="N38" s="55"/>
    </row>
    <row r="39" spans="1:14" s="56" customFormat="1" ht="15" customHeight="1" x14ac:dyDescent="0.2">
      <c r="A39" s="154"/>
      <c r="B39" s="154"/>
      <c r="C39" s="154"/>
      <c r="D39" s="154"/>
      <c r="E39" s="154"/>
      <c r="F39" s="154"/>
      <c r="G39" s="154"/>
      <c r="H39" s="154"/>
      <c r="I39" s="15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56" t="s">
        <v>111</v>
      </c>
      <c r="B44" s="156"/>
      <c r="C44" s="156"/>
      <c r="D44" s="156"/>
      <c r="E44" s="156"/>
      <c r="F44" s="156"/>
      <c r="G44" s="15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57"/>
      <c r="B45" s="157"/>
      <c r="C45" s="157"/>
      <c r="D45" s="157"/>
      <c r="E45" s="157"/>
      <c r="F45" s="157"/>
      <c r="G45" s="157"/>
      <c r="H45" s="36"/>
      <c r="I45" s="22"/>
      <c r="J45" s="22"/>
      <c r="K45" s="22"/>
      <c r="L45" s="22"/>
      <c r="M45" s="22"/>
      <c r="N45" s="22"/>
    </row>
    <row r="46" spans="1:14" x14ac:dyDescent="0.2">
      <c r="A46" s="147" t="s">
        <v>113</v>
      </c>
      <c r="B46" s="147"/>
      <c r="C46" s="147"/>
      <c r="D46" s="147"/>
      <c r="E46" s="147"/>
      <c r="F46" s="147"/>
      <c r="G46" s="14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196</v>
      </c>
    </row>
    <row r="3" spans="1:1" ht="28" customHeight="1" thickBot="1" x14ac:dyDescent="0.25">
      <c r="A3" s="91" t="s">
        <v>197</v>
      </c>
    </row>
    <row r="4" spans="1:1" ht="17" x14ac:dyDescent="0.2">
      <c r="A4" s="92" t="s">
        <v>198</v>
      </c>
    </row>
    <row r="5" spans="1:1" ht="41" customHeight="1" x14ac:dyDescent="0.2">
      <c r="A5" s="93" t="s">
        <v>199</v>
      </c>
    </row>
    <row r="6" spans="1:1" ht="33" customHeight="1" thickBot="1" x14ac:dyDescent="0.25">
      <c r="A6" s="91" t="s">
        <v>201</v>
      </c>
    </row>
    <row r="7" spans="1:1" ht="29" customHeight="1" thickBot="1" x14ac:dyDescent="0.25">
      <c r="A7" s="9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2018-06-21T13:25:42Z</dcterms:modified>
</cp:coreProperties>
</file>