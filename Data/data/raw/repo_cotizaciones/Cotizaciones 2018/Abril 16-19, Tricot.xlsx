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0" yWindow="460" windowWidth="25600" windowHeight="127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5" i="1" l="1"/>
  <c r="F67" i="1"/>
  <c r="F53" i="1"/>
  <c r="F19" i="1"/>
  <c r="F32" i="1"/>
  <c r="F42" i="1"/>
  <c r="F45" i="1"/>
  <c r="F48" i="1"/>
  <c r="F43" i="1"/>
  <c r="F44" i="1"/>
  <c r="F46" i="1"/>
  <c r="F47" i="1"/>
  <c r="F49" i="1"/>
  <c r="F50" i="1"/>
  <c r="F51" i="1"/>
  <c r="F52" i="1"/>
  <c r="F11" i="1"/>
  <c r="F14" i="1"/>
  <c r="F15" i="1"/>
  <c r="F16" i="1"/>
  <c r="F17" i="1"/>
  <c r="F18" i="1"/>
  <c r="F10" i="1"/>
  <c r="F12" i="1"/>
  <c r="F13" i="1"/>
  <c r="F23" i="1"/>
  <c r="F24" i="1"/>
  <c r="F25" i="1"/>
  <c r="F26" i="1"/>
  <c r="F27" i="1"/>
  <c r="F28" i="1"/>
  <c r="F29" i="1"/>
  <c r="F30" i="1"/>
  <c r="F31" i="1"/>
  <c r="F41" i="1"/>
  <c r="F36" i="1"/>
  <c r="F37" i="1"/>
  <c r="F38" i="1"/>
  <c r="F39" i="1"/>
  <c r="F40" i="1"/>
  <c r="F62" i="1"/>
  <c r="F63" i="1"/>
  <c r="F57" i="1"/>
  <c r="F58" i="1"/>
  <c r="F150" i="1"/>
  <c r="F149" i="1"/>
  <c r="F146" i="1"/>
  <c r="F147" i="1"/>
  <c r="F148" i="1"/>
  <c r="F106" i="1"/>
  <c r="F95" i="1"/>
  <c r="F145" i="1"/>
  <c r="F61" i="1"/>
  <c r="F60" i="1"/>
  <c r="F144" i="1"/>
  <c r="F102" i="1"/>
  <c r="F101" i="1"/>
  <c r="F103" i="1"/>
  <c r="F141" i="1"/>
  <c r="F142" i="1"/>
  <c r="F143" i="1"/>
  <c r="F136" i="1"/>
  <c r="F135" i="1"/>
  <c r="F134" i="1"/>
  <c r="F108" i="1"/>
  <c r="F127" i="1"/>
  <c r="F140" i="1"/>
  <c r="F123" i="1"/>
  <c r="F121" i="1"/>
  <c r="F122" i="1"/>
  <c r="F124" i="1"/>
  <c r="F125" i="1"/>
  <c r="F126" i="1"/>
  <c r="F128" i="1"/>
  <c r="F132" i="1"/>
  <c r="F133" i="1"/>
  <c r="F137" i="1"/>
  <c r="F120" i="1"/>
  <c r="F117" i="1"/>
  <c r="F112" i="1"/>
  <c r="F119" i="1"/>
  <c r="F138" i="1"/>
  <c r="F139" i="1"/>
  <c r="F99" i="1"/>
  <c r="F104" i="1"/>
  <c r="F100" i="1"/>
  <c r="F115" i="1"/>
  <c r="F110" i="1"/>
  <c r="F111" i="1"/>
  <c r="F113" i="1"/>
  <c r="F114" i="1"/>
  <c r="F116" i="1"/>
  <c r="F118" i="1"/>
  <c r="F96" i="1"/>
  <c r="F97" i="1"/>
  <c r="F98" i="1"/>
  <c r="F105" i="1"/>
  <c r="F107" i="1"/>
  <c r="F109" i="1"/>
  <c r="F30" i="5"/>
  <c r="E30" i="5"/>
  <c r="D30" i="5"/>
  <c r="C30" i="5"/>
  <c r="B30" i="5"/>
  <c r="P29" i="5"/>
  <c r="O29" i="5"/>
  <c r="N29" i="5"/>
  <c r="K29" i="5"/>
  <c r="J29" i="5"/>
  <c r="I29" i="5"/>
  <c r="Z23" i="5"/>
  <c r="F66" i="1"/>
</calcChain>
</file>

<file path=xl/sharedStrings.xml><?xml version="1.0" encoding="utf-8"?>
<sst xmlns="http://schemas.openxmlformats.org/spreadsheetml/2006/main" count="583" uniqueCount="322">
  <si>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</si>
  <si>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</si>
  <si>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</si>
  <si>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</si>
  <si>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</si>
  <si>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</si>
  <si>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</si>
  <si>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</si>
  <si>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</si>
  <si>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</si>
  <si>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</si>
  <si>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</si>
  <si>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</si>
  <si>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</si>
  <si>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</si>
  <si>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</si>
  <si>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</si>
  <si>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</si>
  <si>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</si>
  <si>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</si>
  <si>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</si>
  <si>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</si>
  <si>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</si>
  <si>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</si>
  <si>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</si>
  <si>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</si>
  <si>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</si>
  <si>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</si>
  <si>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</si>
  <si>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</si>
  <si>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</si>
  <si>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</si>
  <si>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</si>
  <si>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</si>
  <si>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</si>
  <si>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</si>
  <si>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</si>
  <si>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</si>
  <si>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</si>
  <si>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</si>
  <si>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</si>
  <si>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</si>
  <si>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</si>
  <si>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</si>
  <si>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</si>
  <si>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</si>
  <si>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</si>
  <si>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</si>
  <si>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</si>
  <si>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</si>
  <si>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</si>
  <si>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</si>
  <si>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</si>
  <si>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</si>
  <si>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</si>
  <si>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</si>
  <si>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</si>
  <si>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</si>
  <si>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</si>
  <si>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</si>
  <si>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</si>
  <si>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</si>
  <si>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</si>
  <si>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</si>
  <si>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</si>
  <si>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</si>
  <si>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</si>
  <si>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</si>
  <si>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</si>
  <si>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</si>
  <si>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</si>
  <si>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</si>
  <si>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</si>
  <si>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</si>
  <si>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</si>
  <si>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</si>
  <si>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</si>
  <si>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</si>
  <si>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</si>
  <si>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</si>
  <si>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</si>
  <si>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</si>
  <si>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</si>
  <si>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</si>
  <si>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</si>
  <si>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</si>
  <si>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</si>
  <si>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</si>
  <si>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</si>
  <si>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</si>
  <si>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</si>
  <si>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</si>
  <si>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</si>
  <si>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</si>
  <si>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</si>
  <si>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</si>
  <si>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</si>
  <si>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</si>
  <si>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</si>
  <si>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</si>
  <si>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</si>
  <si>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</si>
  <si>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</si>
  <si>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</si>
  <si>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</si>
  <si>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</si>
  <si>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</si>
  <si>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</si>
  <si>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</si>
  <si>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</si>
  <si>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</si>
  <si>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</si>
  <si>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</si>
  <si>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</si>
  <si>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</si>
  <si>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</si>
  <si>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</si>
  <si>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</si>
  <si>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</si>
  <si>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</si>
  <si>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</si>
  <si>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</si>
  <si>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</si>
  <si>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</si>
  <si>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</si>
  <si>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</si>
  <si>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</si>
  <si>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</si>
  <si>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</si>
  <si>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</si>
  <si>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</si>
  <si>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</si>
  <si>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</si>
  <si>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</si>
  <si>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</si>
  <si>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</si>
  <si>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</si>
  <si>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</si>
  <si>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</si>
  <si>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</si>
  <si>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</si>
  <si>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</si>
  <si>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</si>
  <si>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</si>
  <si>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</si>
  <si>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</si>
  <si>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</si>
  <si>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</si>
  <si>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</si>
  <si>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</si>
  <si>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</si>
  <si>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</si>
  <si>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</si>
  <si>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</si>
  <si>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</si>
  <si>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</si>
  <si>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</si>
  <si>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</si>
  <si>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</si>
  <si>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</si>
  <si>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</si>
  <si>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</si>
  <si>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</si>
  <si>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</si>
  <si>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</si>
  <si>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</si>
  <si>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</si>
  <si>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</si>
  <si>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</si>
  <si>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</si>
  <si>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</si>
  <si>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</si>
  <si>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</si>
  <si>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</si>
  <si>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</si>
  <si>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</si>
  <si>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</si>
  <si>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</si>
  <si>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</si>
  <si>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</si>
  <si>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</si>
  <si>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</si>
  <si>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</si>
  <si>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</si>
  <si>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</si>
  <si>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</si>
  <si>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</si>
  <si>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</si>
  <si>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</si>
  <si>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</si>
  <si>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</si>
  <si>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</si>
  <si>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</si>
  <si>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</si>
  <si>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</si>
  <si>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</si>
  <si>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</si>
  <si>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</si>
  <si>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</si>
  <si>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</si>
  <si>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</si>
  <si>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</si>
  <si>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</si>
  <si>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</si>
  <si>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</si>
  <si>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</si>
  <si>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</si>
  <si>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</si>
  <si>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</si>
  <si>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</si>
  <si>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</si>
  <si>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</si>
  <si>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</si>
  <si>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</si>
  <si>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</si>
  <si>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</si>
  <si>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</si>
  <si>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</si>
  <si>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</si>
  <si>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</si>
  <si>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</si>
  <si>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</si>
  <si>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</si>
  <si>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</si>
  <si>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</si>
  <si>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</si>
  <si>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</si>
  <si>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</si>
  <si>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</si>
  <si>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</si>
  <si>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</si>
  <si>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</si>
  <si>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</si>
  <si>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</si>
  <si>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</si>
  <si>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</si>
  <si>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</si>
  <si>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</si>
  <si>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</si>
  <si>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</si>
  <si>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</si>
  <si>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</si>
  <si>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</si>
  <si>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</si>
  <si>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</si>
  <si>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</si>
  <si>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</si>
  <si>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</si>
  <si>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</si>
  <si>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</si>
  <si>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</si>
  <si>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</si>
  <si>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</si>
  <si>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</si>
  <si>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</si>
  <si>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</si>
  <si>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</si>
  <si>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</si>
  <si>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</si>
  <si>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</si>
  <si>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</si>
  <si>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</si>
  <si>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</si>
  <si>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</si>
  <si>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</si>
  <si>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</si>
  <si>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</si>
  <si>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</si>
  <si>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</si>
  <si>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</si>
  <si>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</si>
  <si>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</si>
  <si>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</si>
  <si>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</si>
  <si>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</si>
  <si>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</si>
  <si>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</si>
  <si>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</si>
  <si>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</si>
  <si>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</si>
  <si>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</si>
  <si>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</si>
  <si>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</si>
  <si>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</si>
  <si>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</si>
  <si>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</si>
  <si>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 xml:space="preserve">                                                            Fecha:</t>
  </si>
  <si>
    <t xml:space="preserve">                                                            E Mail:</t>
  </si>
  <si>
    <t xml:space="preserve">Telefono: </t>
  </si>
  <si>
    <t>Carmen Rodriguez D.</t>
  </si>
  <si>
    <t>9 74961403</t>
  </si>
  <si>
    <t>Coffe de bienvenida</t>
  </si>
  <si>
    <t xml:space="preserve">Cena  Buffet  </t>
  </si>
  <si>
    <t>4 corderos al Palo</t>
  </si>
  <si>
    <t>Cordero asado al palo</t>
  </si>
  <si>
    <t>Pierna de jabali, lomo y pollo asao a la parrilla, salad bar, postres, líquidos en autoservicio</t>
  </si>
  <si>
    <t>Trgo con o trago con Ticket</t>
  </si>
  <si>
    <t>roncola, piscola, vodka, vino, spur, cerveza.</t>
  </si>
  <si>
    <t>no incluido</t>
  </si>
  <si>
    <t>Botella de vino reserva</t>
  </si>
  <si>
    <t>Varideades de cepas Cremaschi</t>
  </si>
  <si>
    <t>Habitación doble hotel</t>
  </si>
  <si>
    <t>2 noche de alojamiento, 1 desayuno, valor por persona.</t>
  </si>
  <si>
    <t>1 noche de alojamiento, 2 desayuno, valor por persona.</t>
  </si>
  <si>
    <t>Tricot</t>
  </si>
  <si>
    <t>Veronica Garcia</t>
  </si>
  <si>
    <t>Día 16 abril</t>
  </si>
  <si>
    <t>08:30-11:01</t>
  </si>
  <si>
    <t>13:00-15:01</t>
  </si>
  <si>
    <t>20:00- 21:01</t>
  </si>
  <si>
    <t>2 noche de alojamiento, 2 desayuno, valor por persona.</t>
  </si>
  <si>
    <t>2 noche de alojamiento, 3 desayunos, valor por  3 personas.</t>
  </si>
  <si>
    <t>08:30-11:02</t>
  </si>
  <si>
    <t>13:00-15:02</t>
  </si>
  <si>
    <t>20:00- 21:02</t>
  </si>
  <si>
    <t>Día 17 abril</t>
  </si>
  <si>
    <t>Coffe.</t>
  </si>
  <si>
    <t>Quincho para asado exclusivo</t>
  </si>
  <si>
    <t>Día 18 abril</t>
  </si>
  <si>
    <t>Salón Coho.</t>
  </si>
  <si>
    <t>16-19 de abril</t>
  </si>
  <si>
    <t>Día 19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</si>
</sst>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8">
    <xf numFmtId="0" fontId="0" fillId="0" borderId="0" xfId="0"/>
    <xf numFmtId="0" fontId="4" fillId="0" borderId="0" xfId="0" applyFont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165" fontId="0" fillId="0" borderId="0" xfId="0" applyNumberFormat="1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3" fillId="0" borderId="9" xfId="0" applyFont="1" applyBorder="1" applyAlignment="1">
      <alignment horizontal="right"/>
    </xf>
    <xf numFmtId="165" fontId="3" fillId="0" borderId="9" xfId="0" applyNumberFormat="1" applyFont="1" applyBorder="1" applyAlignment="1">
      <alignment horizontal="right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6" fontId="3" fillId="0" borderId="0" xfId="0" applyNumberFormat="1" applyFont="1" applyAlignment="1">
      <alignment horizontal="right"/>
    </xf>
    <xf numFmtId="6" fontId="3" fillId="0" borderId="6" xfId="0" applyNumberFormat="1" applyFont="1" applyBorder="1" applyAlignment="1">
      <alignment horizontal="right"/>
    </xf>
    <xf numFmtId="0" fontId="7" fillId="9" borderId="6" xfId="0" applyFont="1" applyFill="1" applyBorder="1" applyAlignment="1">
      <alignment horizontal="left" vertical="center"/>
    </xf>
    <xf numFmtId="0" fontId="7" fillId="9" borderId="6" xfId="0" applyFont="1" applyFill="1" applyBorder="1" applyAlignment="1">
      <alignment horizontal="center"/>
    </xf>
    <xf numFmtId="0" fontId="7" fillId="9" borderId="28" xfId="0" applyFont="1" applyFill="1" applyBorder="1" applyAlignment="1">
      <alignment horizontal="left"/>
    </xf>
    <xf numFmtId="6" fontId="7" fillId="9" borderId="6" xfId="0" applyNumberFormat="1" applyFont="1" applyFill="1" applyBorder="1" applyAlignment="1">
      <alignment horizontal="right"/>
    </xf>
    <xf numFmtId="0" fontId="7" fillId="9" borderId="18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165" fontId="5" fillId="0" borderId="0" xfId="116" applyNumberFormat="1" applyAlignment="1">
      <alignment horizontal="left"/>
    </xf>
    <xf numFmtId="165" fontId="0" fillId="0" borderId="1" xfId="0" applyNumberFormat="1" applyBorder="1"/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H170"/>
  <sheetViews>
    <sheetView tabSelected="1" topLeftCell="A41" workbookViewId="0">
      <selection activeCell="A55" sqref="A55"/>
    </sheetView>
  </sheetViews>
  <sheetFormatPr baseColWidth="10" defaultRowHeight="16" x14ac:dyDescent="0.2"/>
  <cols>
    <col min="1" max="1" width="33.6640625" customWidth="1"/>
    <col min="2" max="2" width="12.5" style="78" customWidth="1"/>
    <col min="3" max="4" width="6.33203125" customWidth="1"/>
    <col min="5" max="5" width="11.6640625" customWidth="1"/>
    <col min="6" max="6" width="12.16406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8" ht="64" customHeight="1" x14ac:dyDescent="0.3">
      <c r="A1" s="1" t="s">
        <v>2</v>
      </c>
      <c r="B1" s="77"/>
      <c r="C1" s="72" t="s">
        <v>136</v>
      </c>
    </row>
    <row r="2" spans="1:8" x14ac:dyDescent="0.2">
      <c r="G2" t="s">
        <v>227</v>
      </c>
      <c r="H2" t="s">
        <v>2</v>
      </c>
    </row>
    <row r="3" spans="1:8" x14ac:dyDescent="0.2">
      <c r="A3" s="69" t="s">
        <v>137</v>
      </c>
      <c r="B3" s="159" t="s">
        <v>305</v>
      </c>
      <c r="E3" s="33" t="s">
        <v>3</v>
      </c>
      <c r="F3" s="33" t="s">
        <v>304</v>
      </c>
      <c r="G3" s="90" t="s">
        <v>228</v>
      </c>
    </row>
    <row r="4" spans="1:8" x14ac:dyDescent="0.2">
      <c r="A4" t="s">
        <v>287</v>
      </c>
      <c r="B4" s="196"/>
      <c r="C4" s="73"/>
      <c r="E4" s="33" t="s">
        <v>5</v>
      </c>
      <c r="G4" s="91" t="s">
        <v>229</v>
      </c>
    </row>
    <row r="5" spans="1:8" x14ac:dyDescent="0.2">
      <c r="A5" t="s">
        <v>286</v>
      </c>
      <c r="B5" s="159" t="s">
        <v>320</v>
      </c>
      <c r="E5" s="33" t="s">
        <v>4</v>
      </c>
      <c r="F5" s="33">
        <v>120</v>
      </c>
      <c r="G5" s="91" t="s">
        <v>230</v>
      </c>
    </row>
    <row r="6" spans="1:8" x14ac:dyDescent="0.2">
      <c r="A6" s="71" t="s">
        <v>138</v>
      </c>
      <c r="B6" s="160" t="s">
        <v>289</v>
      </c>
      <c r="C6" s="70"/>
      <c r="D6" s="70"/>
      <c r="E6" s="71" t="s">
        <v>288</v>
      </c>
      <c r="F6" s="71" t="s">
        <v>290</v>
      </c>
      <c r="G6" s="91" t="s">
        <v>231</v>
      </c>
    </row>
    <row r="7" spans="1:8" ht="17" thickBot="1" x14ac:dyDescent="0.25">
      <c r="A7" s="70"/>
      <c r="B7" s="160"/>
      <c r="C7" s="70"/>
      <c r="D7" s="70"/>
      <c r="E7" s="70"/>
      <c r="F7" s="70"/>
      <c r="G7" s="91"/>
    </row>
    <row r="8" spans="1:8" ht="15.75" customHeight="1" x14ac:dyDescent="0.2">
      <c r="A8" s="139" t="s">
        <v>306</v>
      </c>
      <c r="B8" s="140" t="s">
        <v>175</v>
      </c>
      <c r="C8" s="141" t="s">
        <v>124</v>
      </c>
      <c r="D8" s="141" t="s">
        <v>124</v>
      </c>
      <c r="E8" s="141" t="s">
        <v>0</v>
      </c>
      <c r="F8" s="141" t="s">
        <v>1</v>
      </c>
      <c r="G8" s="142" t="s">
        <v>8</v>
      </c>
    </row>
    <row r="9" spans="1:8" x14ac:dyDescent="0.2">
      <c r="A9" s="118" t="s">
        <v>319</v>
      </c>
      <c r="B9" s="119"/>
      <c r="C9" s="107">
        <v>1</v>
      </c>
      <c r="D9" s="107">
        <v>1</v>
      </c>
      <c r="E9" s="120">
        <v>300000</v>
      </c>
      <c r="F9" s="105">
        <v>0</v>
      </c>
      <c r="G9" s="102" t="s">
        <v>269</v>
      </c>
    </row>
    <row r="10" spans="1:8" ht="16.5" customHeight="1" x14ac:dyDescent="0.2">
      <c r="A10" s="97" t="s">
        <v>316</v>
      </c>
      <c r="B10" s="98" t="s">
        <v>200</v>
      </c>
      <c r="C10" s="99">
        <v>1</v>
      </c>
      <c r="D10" s="99">
        <v>120</v>
      </c>
      <c r="E10" s="100">
        <v>5500</v>
      </c>
      <c r="F10" s="101">
        <f>C10*D10*E10</f>
        <v>660000</v>
      </c>
      <c r="G10" s="102" t="s">
        <v>171</v>
      </c>
    </row>
    <row r="11" spans="1:8" ht="16.5" customHeight="1" x14ac:dyDescent="0.2">
      <c r="A11" s="103" t="s">
        <v>121</v>
      </c>
      <c r="B11" s="104" t="s">
        <v>201</v>
      </c>
      <c r="C11" s="99">
        <v>1</v>
      </c>
      <c r="D11" s="99">
        <v>120</v>
      </c>
      <c r="E11" s="105">
        <v>15000</v>
      </c>
      <c r="F11" s="105">
        <f t="shared" ref="F11:F18" si="0">C11*D11*E11</f>
        <v>1800000</v>
      </c>
      <c r="G11" s="102" t="s">
        <v>114</v>
      </c>
    </row>
    <row r="12" spans="1:8" x14ac:dyDescent="0.2">
      <c r="A12" s="103" t="s">
        <v>265</v>
      </c>
      <c r="B12" s="106"/>
      <c r="C12" s="107">
        <v>1</v>
      </c>
      <c r="D12" s="99">
        <v>120</v>
      </c>
      <c r="E12" s="105">
        <v>1500</v>
      </c>
      <c r="F12" s="105">
        <f t="shared" ref="F12" si="1">C12*D12*E12</f>
        <v>180000</v>
      </c>
      <c r="G12" s="102" t="s">
        <v>256</v>
      </c>
    </row>
    <row r="13" spans="1:8" x14ac:dyDescent="0.2">
      <c r="A13" s="121" t="s">
        <v>267</v>
      </c>
      <c r="B13" s="122"/>
      <c r="C13" s="107">
        <v>1</v>
      </c>
      <c r="D13" s="99">
        <v>120</v>
      </c>
      <c r="E13" s="109">
        <v>3850</v>
      </c>
      <c r="F13" s="124">
        <f>C13*D13*E13</f>
        <v>462000</v>
      </c>
      <c r="G13" s="118" t="s">
        <v>169</v>
      </c>
    </row>
    <row r="14" spans="1:8" x14ac:dyDescent="0.2">
      <c r="A14" s="108" t="s">
        <v>122</v>
      </c>
      <c r="B14" s="104" t="s">
        <v>202</v>
      </c>
      <c r="C14" s="99">
        <v>1</v>
      </c>
      <c r="D14" s="99">
        <v>120</v>
      </c>
      <c r="E14" s="109">
        <v>15000</v>
      </c>
      <c r="F14" s="101">
        <f t="shared" si="0"/>
        <v>1800000</v>
      </c>
      <c r="G14" s="102" t="s">
        <v>259</v>
      </c>
    </row>
    <row r="15" spans="1:8" x14ac:dyDescent="0.2">
      <c r="A15" s="103" t="s">
        <v>265</v>
      </c>
      <c r="B15" s="106"/>
      <c r="C15" s="107">
        <v>1</v>
      </c>
      <c r="D15" s="99">
        <v>120</v>
      </c>
      <c r="E15" s="105">
        <v>1500</v>
      </c>
      <c r="F15" s="105">
        <f t="shared" si="0"/>
        <v>180000</v>
      </c>
      <c r="G15" s="102" t="s">
        <v>256</v>
      </c>
    </row>
    <row r="16" spans="1:8" x14ac:dyDescent="0.2">
      <c r="A16" s="110" t="s">
        <v>147</v>
      </c>
      <c r="B16" s="111"/>
      <c r="C16" s="112">
        <v>0</v>
      </c>
      <c r="D16" s="112">
        <v>0</v>
      </c>
      <c r="E16" s="113">
        <v>99000</v>
      </c>
      <c r="F16" s="113">
        <f t="shared" si="0"/>
        <v>0</v>
      </c>
      <c r="G16" s="110" t="s">
        <v>257</v>
      </c>
    </row>
    <row r="17" spans="1:7" x14ac:dyDescent="0.2">
      <c r="A17" s="110" t="s">
        <v>301</v>
      </c>
      <c r="B17" s="111"/>
      <c r="C17" s="112">
        <v>1</v>
      </c>
      <c r="D17" s="112">
        <v>60</v>
      </c>
      <c r="E17" s="113">
        <v>115000</v>
      </c>
      <c r="F17" s="113">
        <f t="shared" si="0"/>
        <v>6900000</v>
      </c>
      <c r="G17" s="110" t="s">
        <v>303</v>
      </c>
    </row>
    <row r="18" spans="1:7" x14ac:dyDescent="0.2">
      <c r="A18" s="110" t="s">
        <v>176</v>
      </c>
      <c r="B18" s="111"/>
      <c r="C18" s="112">
        <v>0</v>
      </c>
      <c r="D18" s="112">
        <v>0</v>
      </c>
      <c r="E18" s="113">
        <v>128000</v>
      </c>
      <c r="F18" s="113">
        <f t="shared" si="0"/>
        <v>0</v>
      </c>
      <c r="G18" s="110" t="s">
        <v>232</v>
      </c>
    </row>
    <row r="19" spans="1:7" ht="16.5" customHeight="1" thickBot="1" x14ac:dyDescent="0.25">
      <c r="A19" s="161" t="s">
        <v>92</v>
      </c>
      <c r="B19" s="162"/>
      <c r="C19" s="163"/>
      <c r="D19" s="164"/>
      <c r="E19" s="165"/>
      <c r="F19" s="166">
        <f>SUM(F9:F18)</f>
        <v>11982000</v>
      </c>
      <c r="G19" s="32" t="s">
        <v>2</v>
      </c>
    </row>
    <row r="20" spans="1:7" ht="16.5" customHeight="1" x14ac:dyDescent="0.2">
      <c r="A20" s="139" t="s">
        <v>315</v>
      </c>
      <c r="B20" s="140" t="s">
        <v>175</v>
      </c>
      <c r="C20" s="141" t="s">
        <v>124</v>
      </c>
      <c r="D20" s="141" t="s">
        <v>124</v>
      </c>
      <c r="E20" s="141" t="s">
        <v>0</v>
      </c>
      <c r="F20" s="141" t="s">
        <v>1</v>
      </c>
      <c r="G20" s="142" t="s">
        <v>8</v>
      </c>
    </row>
    <row r="21" spans="1:7" ht="16.5" customHeight="1" x14ac:dyDescent="0.2">
      <c r="A21" s="97" t="s">
        <v>10</v>
      </c>
      <c r="B21" s="98"/>
      <c r="C21" s="99">
        <v>1</v>
      </c>
      <c r="D21" s="99">
        <v>1</v>
      </c>
      <c r="E21" s="100">
        <v>9500</v>
      </c>
      <c r="F21" s="101" t="s">
        <v>125</v>
      </c>
      <c r="G21" s="102" t="s">
        <v>258</v>
      </c>
    </row>
    <row r="22" spans="1:7" ht="16.5" customHeight="1" x14ac:dyDescent="0.2">
      <c r="A22" s="118" t="s">
        <v>319</v>
      </c>
      <c r="B22" s="119"/>
      <c r="C22" s="107">
        <v>1</v>
      </c>
      <c r="D22" s="107">
        <v>1</v>
      </c>
      <c r="E22" s="120">
        <v>300000</v>
      </c>
      <c r="F22" s="105">
        <v>0</v>
      </c>
      <c r="G22" s="102" t="s">
        <v>269</v>
      </c>
    </row>
    <row r="23" spans="1:7" ht="16.5" customHeight="1" x14ac:dyDescent="0.2">
      <c r="A23" s="97" t="s">
        <v>291</v>
      </c>
      <c r="B23" s="98" t="s">
        <v>307</v>
      </c>
      <c r="C23" s="99">
        <v>1</v>
      </c>
      <c r="D23" s="99">
        <v>120</v>
      </c>
      <c r="E23" s="100">
        <v>5500</v>
      </c>
      <c r="F23" s="105">
        <f t="shared" ref="F23:F31" si="2">C23*D23*E23</f>
        <v>660000</v>
      </c>
      <c r="G23" s="102" t="s">
        <v>171</v>
      </c>
    </row>
    <row r="24" spans="1:7" ht="16.5" customHeight="1" x14ac:dyDescent="0.2">
      <c r="A24" s="103" t="s">
        <v>121</v>
      </c>
      <c r="B24" s="104" t="s">
        <v>308</v>
      </c>
      <c r="C24" s="99">
        <v>1</v>
      </c>
      <c r="D24" s="99">
        <v>120</v>
      </c>
      <c r="E24" s="105">
        <v>15000</v>
      </c>
      <c r="F24" s="105">
        <f t="shared" si="2"/>
        <v>1800000</v>
      </c>
      <c r="G24" s="102" t="s">
        <v>114</v>
      </c>
    </row>
    <row r="25" spans="1:7" ht="16.5" customHeight="1" x14ac:dyDescent="0.2">
      <c r="A25" s="103" t="s">
        <v>265</v>
      </c>
      <c r="B25" s="106"/>
      <c r="C25" s="107">
        <v>1</v>
      </c>
      <c r="D25" s="99">
        <v>120</v>
      </c>
      <c r="E25" s="105">
        <v>1500</v>
      </c>
      <c r="F25" s="105">
        <f t="shared" si="2"/>
        <v>180000</v>
      </c>
      <c r="G25" s="102" t="s">
        <v>256</v>
      </c>
    </row>
    <row r="26" spans="1:7" ht="16.5" customHeight="1" x14ac:dyDescent="0.2">
      <c r="A26" s="121" t="s">
        <v>267</v>
      </c>
      <c r="B26" s="122"/>
      <c r="C26" s="107">
        <v>1</v>
      </c>
      <c r="D26" s="99">
        <v>120</v>
      </c>
      <c r="E26" s="109">
        <v>3850</v>
      </c>
      <c r="F26" s="105">
        <f t="shared" si="2"/>
        <v>462000</v>
      </c>
      <c r="G26" s="118" t="s">
        <v>169</v>
      </c>
    </row>
    <row r="27" spans="1:7" ht="16.5" customHeight="1" x14ac:dyDescent="0.2">
      <c r="A27" s="108" t="s">
        <v>122</v>
      </c>
      <c r="B27" s="104" t="s">
        <v>309</v>
      </c>
      <c r="C27" s="99">
        <v>1</v>
      </c>
      <c r="D27" s="99">
        <v>120</v>
      </c>
      <c r="E27" s="109">
        <v>15000</v>
      </c>
      <c r="F27" s="105">
        <f t="shared" si="2"/>
        <v>1800000</v>
      </c>
      <c r="G27" s="102" t="s">
        <v>259</v>
      </c>
    </row>
    <row r="28" spans="1:7" ht="16.5" customHeight="1" x14ac:dyDescent="0.2">
      <c r="A28" s="103" t="s">
        <v>265</v>
      </c>
      <c r="B28" s="106"/>
      <c r="C28" s="107">
        <v>1</v>
      </c>
      <c r="D28" s="99">
        <v>120</v>
      </c>
      <c r="E28" s="105">
        <v>1500</v>
      </c>
      <c r="F28" s="105">
        <f t="shared" si="2"/>
        <v>180000</v>
      </c>
      <c r="G28" s="102" t="s">
        <v>256</v>
      </c>
    </row>
    <row r="29" spans="1:7" ht="16.5" customHeight="1" x14ac:dyDescent="0.2">
      <c r="A29" s="110" t="s">
        <v>147</v>
      </c>
      <c r="B29" s="111"/>
      <c r="C29" s="112">
        <v>0</v>
      </c>
      <c r="D29" s="112">
        <v>0</v>
      </c>
      <c r="E29" s="113">
        <v>99000</v>
      </c>
      <c r="F29" s="105">
        <f t="shared" si="2"/>
        <v>0</v>
      </c>
      <c r="G29" s="110" t="s">
        <v>302</v>
      </c>
    </row>
    <row r="30" spans="1:7" ht="16.5" customHeight="1" x14ac:dyDescent="0.2">
      <c r="A30" s="110" t="s">
        <v>301</v>
      </c>
      <c r="B30" s="111"/>
      <c r="C30" s="112">
        <v>1</v>
      </c>
      <c r="D30" s="112">
        <v>60</v>
      </c>
      <c r="E30" s="113">
        <v>115000</v>
      </c>
      <c r="F30" s="105">
        <f t="shared" si="2"/>
        <v>6900000</v>
      </c>
      <c r="G30" s="110" t="s">
        <v>310</v>
      </c>
    </row>
    <row r="31" spans="1:7" ht="16.5" customHeight="1" x14ac:dyDescent="0.2">
      <c r="A31" s="110" t="s">
        <v>176</v>
      </c>
      <c r="B31" s="111"/>
      <c r="C31" s="112">
        <v>0</v>
      </c>
      <c r="D31" s="112">
        <v>0</v>
      </c>
      <c r="E31" s="113">
        <v>128000</v>
      </c>
      <c r="F31" s="105">
        <f t="shared" si="2"/>
        <v>0</v>
      </c>
      <c r="G31" s="110" t="s">
        <v>311</v>
      </c>
    </row>
    <row r="32" spans="1:7" ht="16.5" customHeight="1" thickBot="1" x14ac:dyDescent="0.25">
      <c r="A32" s="161" t="s">
        <v>92</v>
      </c>
      <c r="B32" s="162"/>
      <c r="C32" s="163"/>
      <c r="D32" s="164"/>
      <c r="E32" s="165"/>
      <c r="F32" s="166">
        <f>SUM(F22:F31)</f>
        <v>11982000</v>
      </c>
      <c r="G32" s="32" t="s">
        <v>2</v>
      </c>
    </row>
    <row r="33" spans="1:7" ht="16.5" customHeight="1" x14ac:dyDescent="0.2">
      <c r="A33" s="139" t="s">
        <v>318</v>
      </c>
      <c r="B33" s="140" t="s">
        <v>175</v>
      </c>
      <c r="C33" s="141" t="s">
        <v>124</v>
      </c>
      <c r="D33" s="141" t="s">
        <v>124</v>
      </c>
      <c r="E33" s="141" t="s">
        <v>0</v>
      </c>
      <c r="F33" s="141" t="s">
        <v>1</v>
      </c>
      <c r="G33" s="142" t="s">
        <v>8</v>
      </c>
    </row>
    <row r="34" spans="1:7" ht="16.5" customHeight="1" x14ac:dyDescent="0.2">
      <c r="A34" s="97" t="s">
        <v>10</v>
      </c>
      <c r="B34" s="98"/>
      <c r="C34" s="99">
        <v>1</v>
      </c>
      <c r="D34" s="99">
        <v>1</v>
      </c>
      <c r="E34" s="100">
        <v>9500</v>
      </c>
      <c r="F34" s="101" t="s">
        <v>125</v>
      </c>
      <c r="G34" s="102" t="s">
        <v>258</v>
      </c>
    </row>
    <row r="35" spans="1:7" ht="16.5" customHeight="1" x14ac:dyDescent="0.2">
      <c r="A35" s="118" t="s">
        <v>319</v>
      </c>
      <c r="B35" s="119"/>
      <c r="C35" s="107">
        <v>1</v>
      </c>
      <c r="D35" s="107">
        <v>1</v>
      </c>
      <c r="E35" s="120">
        <v>300000</v>
      </c>
      <c r="F35" s="105">
        <v>0</v>
      </c>
      <c r="G35" s="102" t="s">
        <v>269</v>
      </c>
    </row>
    <row r="36" spans="1:7" ht="16.5" customHeight="1" x14ac:dyDescent="0.2">
      <c r="A36" s="97" t="s">
        <v>291</v>
      </c>
      <c r="B36" s="98" t="s">
        <v>312</v>
      </c>
      <c r="C36" s="99">
        <v>1</v>
      </c>
      <c r="D36" s="99">
        <v>120</v>
      </c>
      <c r="E36" s="100">
        <v>5500</v>
      </c>
      <c r="F36" s="101">
        <f t="shared" ref="F35:F42" si="3">C36*D36*E36</f>
        <v>660000</v>
      </c>
      <c r="G36" s="102" t="s">
        <v>171</v>
      </c>
    </row>
    <row r="37" spans="1:7" ht="16.5" customHeight="1" x14ac:dyDescent="0.2">
      <c r="A37" s="103" t="s">
        <v>121</v>
      </c>
      <c r="B37" s="104" t="s">
        <v>313</v>
      </c>
      <c r="C37" s="99">
        <v>1</v>
      </c>
      <c r="D37" s="99">
        <v>120</v>
      </c>
      <c r="E37" s="105">
        <v>15000</v>
      </c>
      <c r="F37" s="105">
        <f t="shared" si="3"/>
        <v>1800000</v>
      </c>
      <c r="G37" s="102" t="s">
        <v>114</v>
      </c>
    </row>
    <row r="38" spans="1:7" ht="16.5" customHeight="1" x14ac:dyDescent="0.2">
      <c r="A38" s="103" t="s">
        <v>265</v>
      </c>
      <c r="B38" s="106"/>
      <c r="C38" s="107">
        <v>1</v>
      </c>
      <c r="D38" s="99">
        <v>120</v>
      </c>
      <c r="E38" s="105">
        <v>1500</v>
      </c>
      <c r="F38" s="105">
        <f t="shared" si="3"/>
        <v>180000</v>
      </c>
      <c r="G38" s="102" t="s">
        <v>256</v>
      </c>
    </row>
    <row r="39" spans="1:7" ht="16.5" customHeight="1" x14ac:dyDescent="0.2">
      <c r="A39" s="121" t="s">
        <v>267</v>
      </c>
      <c r="B39" s="122"/>
      <c r="C39" s="107">
        <v>1</v>
      </c>
      <c r="D39" s="99">
        <v>120</v>
      </c>
      <c r="E39" s="109">
        <v>3850</v>
      </c>
      <c r="F39" s="124">
        <f t="shared" si="3"/>
        <v>462000</v>
      </c>
      <c r="G39" s="118" t="s">
        <v>169</v>
      </c>
    </row>
    <row r="40" spans="1:7" ht="16.5" customHeight="1" x14ac:dyDescent="0.2">
      <c r="A40" s="108" t="s">
        <v>122</v>
      </c>
      <c r="B40" s="104" t="s">
        <v>314</v>
      </c>
      <c r="C40" s="99">
        <v>1</v>
      </c>
      <c r="D40" s="99">
        <v>120</v>
      </c>
      <c r="E40" s="109">
        <v>15000</v>
      </c>
      <c r="F40" s="101">
        <f t="shared" si="3"/>
        <v>1800000</v>
      </c>
      <c r="G40" s="102" t="s">
        <v>259</v>
      </c>
    </row>
    <row r="41" spans="1:7" ht="16.5" customHeight="1" x14ac:dyDescent="0.2">
      <c r="A41" s="118" t="s">
        <v>317</v>
      </c>
      <c r="B41" s="119"/>
      <c r="C41" s="107">
        <v>1</v>
      </c>
      <c r="D41" s="107">
        <v>1</v>
      </c>
      <c r="E41" s="113">
        <v>300000</v>
      </c>
      <c r="F41" s="105">
        <f t="shared" si="3"/>
        <v>300000</v>
      </c>
      <c r="G41" s="102" t="s">
        <v>269</v>
      </c>
    </row>
    <row r="42" spans="1:7" ht="16.5" customHeight="1" x14ac:dyDescent="0.2">
      <c r="A42" s="108" t="s">
        <v>292</v>
      </c>
      <c r="B42" s="104" t="s">
        <v>202</v>
      </c>
      <c r="C42" s="99">
        <v>1</v>
      </c>
      <c r="D42" s="99">
        <v>120</v>
      </c>
      <c r="E42" s="109">
        <v>15000</v>
      </c>
      <c r="F42" s="101">
        <f t="shared" si="3"/>
        <v>1800000</v>
      </c>
      <c r="G42" s="102" t="s">
        <v>295</v>
      </c>
    </row>
    <row r="43" spans="1:7" ht="16.5" customHeight="1" x14ac:dyDescent="0.2">
      <c r="A43" s="103" t="s">
        <v>265</v>
      </c>
      <c r="B43" s="106"/>
      <c r="C43" s="107">
        <v>1</v>
      </c>
      <c r="D43" s="99">
        <v>120</v>
      </c>
      <c r="E43" s="105">
        <v>1500</v>
      </c>
      <c r="F43" s="105">
        <f>C43*D43*E43</f>
        <v>180000</v>
      </c>
      <c r="G43" s="102" t="s">
        <v>256</v>
      </c>
    </row>
    <row r="44" spans="1:7" ht="16.5" customHeight="1" x14ac:dyDescent="0.2">
      <c r="A44" s="167" t="s">
        <v>293</v>
      </c>
      <c r="B44" s="197"/>
      <c r="C44" s="168">
        <v>1</v>
      </c>
      <c r="D44" s="168">
        <v>3</v>
      </c>
      <c r="E44">
        <v>150000</v>
      </c>
      <c r="F44" s="170">
        <f>C44*D44*E44</f>
        <v>450000</v>
      </c>
      <c r="G44" s="169" t="s">
        <v>294</v>
      </c>
    </row>
    <row r="45" spans="1:7" ht="16.5" customHeight="1" x14ac:dyDescent="0.2">
      <c r="A45" s="118" t="s">
        <v>11</v>
      </c>
      <c r="B45" s="119" t="s">
        <v>298</v>
      </c>
      <c r="C45" s="107">
        <v>10</v>
      </c>
      <c r="D45" s="107">
        <v>0</v>
      </c>
      <c r="E45" s="105">
        <v>7000</v>
      </c>
      <c r="F45" s="105">
        <f t="shared" ref="F45:F52" si="4">C45*D45*E45</f>
        <v>0</v>
      </c>
      <c r="G45" s="102" t="s">
        <v>177</v>
      </c>
    </row>
    <row r="46" spans="1:7" ht="16.5" customHeight="1" x14ac:dyDescent="0.2">
      <c r="A46" s="118" t="s">
        <v>93</v>
      </c>
      <c r="B46" s="119" t="s">
        <v>298</v>
      </c>
      <c r="C46" s="107">
        <v>0</v>
      </c>
      <c r="D46" s="107">
        <v>0</v>
      </c>
      <c r="E46" s="105">
        <v>26000</v>
      </c>
      <c r="F46" s="105">
        <f t="shared" si="4"/>
        <v>0</v>
      </c>
      <c r="G46" s="102" t="s">
        <v>118</v>
      </c>
    </row>
    <row r="47" spans="1:7" ht="16.5" customHeight="1" x14ac:dyDescent="0.2">
      <c r="A47" s="171" t="s">
        <v>296</v>
      </c>
      <c r="B47" s="119" t="s">
        <v>298</v>
      </c>
      <c r="C47" s="107">
        <v>0</v>
      </c>
      <c r="D47" s="107">
        <v>0</v>
      </c>
      <c r="E47" s="105">
        <v>3850</v>
      </c>
      <c r="F47" s="105">
        <f t="shared" si="4"/>
        <v>0</v>
      </c>
      <c r="G47" s="102" t="s">
        <v>297</v>
      </c>
    </row>
    <row r="48" spans="1:7" ht="16.5" customHeight="1" x14ac:dyDescent="0.2">
      <c r="A48" s="171" t="s">
        <v>299</v>
      </c>
      <c r="B48" s="119" t="s">
        <v>298</v>
      </c>
      <c r="C48" s="107">
        <v>1</v>
      </c>
      <c r="D48" s="107">
        <v>30</v>
      </c>
      <c r="E48" s="105">
        <v>12000</v>
      </c>
      <c r="F48" s="105">
        <f t="shared" si="4"/>
        <v>360000</v>
      </c>
      <c r="G48" s="102" t="s">
        <v>300</v>
      </c>
    </row>
    <row r="49" spans="1:7" ht="16.5" customHeight="1" x14ac:dyDescent="0.2">
      <c r="A49" s="103" t="s">
        <v>265</v>
      </c>
      <c r="B49" s="106"/>
      <c r="C49" s="107">
        <v>1</v>
      </c>
      <c r="D49" s="107">
        <v>200</v>
      </c>
      <c r="E49" s="105">
        <v>1500</v>
      </c>
      <c r="F49" s="105">
        <f t="shared" si="4"/>
        <v>300000</v>
      </c>
      <c r="G49" s="102" t="s">
        <v>256</v>
      </c>
    </row>
    <row r="50" spans="1:7" x14ac:dyDescent="0.2">
      <c r="A50" s="110" t="s">
        <v>147</v>
      </c>
      <c r="B50" s="111"/>
      <c r="C50" s="112">
        <v>0</v>
      </c>
      <c r="D50" s="112">
        <v>0</v>
      </c>
      <c r="E50" s="113">
        <v>99000</v>
      </c>
      <c r="F50" s="113">
        <f t="shared" si="4"/>
        <v>0</v>
      </c>
      <c r="G50" s="110" t="s">
        <v>257</v>
      </c>
    </row>
    <row r="51" spans="1:7" x14ac:dyDescent="0.2">
      <c r="A51" s="110" t="s">
        <v>301</v>
      </c>
      <c r="B51" s="111"/>
      <c r="C51" s="112">
        <v>1</v>
      </c>
      <c r="D51" s="112">
        <v>60</v>
      </c>
      <c r="E51" s="113">
        <v>115000</v>
      </c>
      <c r="F51" s="113">
        <f t="shared" si="4"/>
        <v>6900000</v>
      </c>
      <c r="G51" s="110" t="s">
        <v>303</v>
      </c>
    </row>
    <row r="52" spans="1:7" x14ac:dyDescent="0.2">
      <c r="A52" s="110" t="s">
        <v>176</v>
      </c>
      <c r="B52" s="111"/>
      <c r="C52" s="112">
        <v>0</v>
      </c>
      <c r="D52" s="112">
        <v>0</v>
      </c>
      <c r="E52" s="113">
        <v>128000</v>
      </c>
      <c r="F52" s="113">
        <f t="shared" si="4"/>
        <v>0</v>
      </c>
      <c r="G52" s="110" t="s">
        <v>232</v>
      </c>
    </row>
    <row r="53" spans="1:7" ht="16.5" customHeight="1" thickBot="1" x14ac:dyDescent="0.25">
      <c r="A53" s="161" t="s">
        <v>92</v>
      </c>
      <c r="B53" s="162"/>
      <c r="C53" s="163"/>
      <c r="D53" s="164"/>
      <c r="E53" s="165"/>
      <c r="F53" s="166">
        <f>SUM(F34:F52)</f>
        <v>15192000</v>
      </c>
      <c r="G53" s="32" t="s">
        <v>2</v>
      </c>
    </row>
    <row r="54" spans="1:7" ht="16.5" customHeight="1" x14ac:dyDescent="0.2">
      <c r="A54" s="139" t="s">
        <v>321</v>
      </c>
      <c r="B54" s="140"/>
      <c r="C54" s="141" t="s">
        <v>124</v>
      </c>
      <c r="D54" s="141" t="s">
        <v>124</v>
      </c>
      <c r="E54" s="141" t="s">
        <v>0</v>
      </c>
      <c r="F54" s="141" t="s">
        <v>1</v>
      </c>
      <c r="G54" s="142" t="s">
        <v>8</v>
      </c>
    </row>
    <row r="55" spans="1:7" ht="16.5" customHeight="1" x14ac:dyDescent="0.2">
      <c r="A55" s="97" t="s">
        <v>10</v>
      </c>
      <c r="B55" s="98"/>
      <c r="C55" s="99">
        <v>1</v>
      </c>
      <c r="D55" s="99">
        <v>1</v>
      </c>
      <c r="E55" s="100">
        <v>9500</v>
      </c>
      <c r="F55" s="101" t="s">
        <v>125</v>
      </c>
      <c r="G55" s="102" t="s">
        <v>258</v>
      </c>
    </row>
    <row r="56" spans="1:7" ht="16.5" customHeight="1" x14ac:dyDescent="0.2">
      <c r="A56" s="118" t="s">
        <v>319</v>
      </c>
      <c r="B56" s="119"/>
      <c r="C56" s="107">
        <v>1</v>
      </c>
      <c r="D56" s="107">
        <v>1</v>
      </c>
      <c r="E56" s="120">
        <v>300000</v>
      </c>
      <c r="F56" s="105">
        <v>0</v>
      </c>
      <c r="G56" s="102" t="s">
        <v>269</v>
      </c>
    </row>
    <row r="57" spans="1:7" x14ac:dyDescent="0.2">
      <c r="A57" s="121" t="s">
        <v>267</v>
      </c>
      <c r="B57" s="122"/>
      <c r="C57" s="99">
        <v>1</v>
      </c>
      <c r="D57" s="123">
        <v>120</v>
      </c>
      <c r="E57" s="109">
        <v>3850</v>
      </c>
      <c r="F57" s="124">
        <f>E57*D57*C57</f>
        <v>462000</v>
      </c>
      <c r="G57" s="118" t="s">
        <v>169</v>
      </c>
    </row>
    <row r="58" spans="1:7" x14ac:dyDescent="0.2">
      <c r="A58" s="161" t="s">
        <v>92</v>
      </c>
      <c r="B58" s="162"/>
      <c r="C58" s="163"/>
      <c r="D58" s="164"/>
      <c r="E58" s="165"/>
      <c r="F58" s="166">
        <f>SUM(F56:F57)</f>
        <v>462000</v>
      </c>
      <c r="G58" s="32" t="s">
        <v>2</v>
      </c>
    </row>
    <row r="59" spans="1:7" x14ac:dyDescent="0.2">
      <c r="A59" s="143" t="s">
        <v>249</v>
      </c>
      <c r="B59" s="144" t="s">
        <v>252</v>
      </c>
      <c r="C59" s="145"/>
      <c r="D59" s="145"/>
      <c r="E59" s="146"/>
      <c r="F59" s="146"/>
      <c r="G59" s="143" t="s">
        <v>250</v>
      </c>
    </row>
    <row r="60" spans="1:7" x14ac:dyDescent="0.2">
      <c r="A60" s="110" t="s">
        <v>243</v>
      </c>
      <c r="B60" s="111" t="s">
        <v>247</v>
      </c>
      <c r="C60" s="112">
        <v>0</v>
      </c>
      <c r="D60" s="112">
        <v>0</v>
      </c>
      <c r="E60" s="113">
        <v>0</v>
      </c>
      <c r="F60" s="113">
        <f t="shared" ref="F60:F63" si="5">C60*D60*E60</f>
        <v>0</v>
      </c>
      <c r="G60" s="114" t="s">
        <v>245</v>
      </c>
    </row>
    <row r="61" spans="1:7" x14ac:dyDescent="0.2">
      <c r="A61" s="110" t="s">
        <v>239</v>
      </c>
      <c r="B61" s="111" t="s">
        <v>247</v>
      </c>
      <c r="C61" s="112">
        <v>0</v>
      </c>
      <c r="D61" s="112">
        <v>0</v>
      </c>
      <c r="E61" s="113">
        <v>0</v>
      </c>
      <c r="F61" s="113">
        <f t="shared" si="5"/>
        <v>0</v>
      </c>
      <c r="G61" s="114" t="s">
        <v>246</v>
      </c>
    </row>
    <row r="62" spans="1:7" x14ac:dyDescent="0.2">
      <c r="A62" s="110" t="s">
        <v>240</v>
      </c>
      <c r="B62" s="111" t="s">
        <v>248</v>
      </c>
      <c r="C62" s="112">
        <v>0</v>
      </c>
      <c r="D62" s="112">
        <v>0</v>
      </c>
      <c r="E62" s="113">
        <v>0</v>
      </c>
      <c r="F62" s="113">
        <f t="shared" si="5"/>
        <v>0</v>
      </c>
      <c r="G62" s="114" t="s">
        <v>244</v>
      </c>
    </row>
    <row r="63" spans="1:7" x14ac:dyDescent="0.2">
      <c r="A63" s="110" t="s">
        <v>241</v>
      </c>
      <c r="B63" s="111" t="s">
        <v>248</v>
      </c>
      <c r="C63" s="112">
        <v>0</v>
      </c>
      <c r="D63" s="112">
        <v>0</v>
      </c>
      <c r="E63" s="113">
        <v>0</v>
      </c>
      <c r="F63" s="113">
        <f t="shared" si="5"/>
        <v>0</v>
      </c>
      <c r="G63" s="110" t="s">
        <v>242</v>
      </c>
    </row>
    <row r="64" spans="1:7" ht="17" thickBot="1" x14ac:dyDescent="0.25">
      <c r="A64" s="110"/>
      <c r="B64" s="111"/>
      <c r="C64" s="112"/>
      <c r="D64" s="112"/>
      <c r="E64" s="113"/>
      <c r="F64" s="113"/>
      <c r="G64" s="110"/>
    </row>
    <row r="65" spans="1:7" ht="17" thickBot="1" x14ac:dyDescent="0.25">
      <c r="A65" s="35" t="s">
        <v>251</v>
      </c>
      <c r="B65" s="80"/>
      <c r="C65" s="36"/>
      <c r="D65" s="36"/>
      <c r="E65" s="37"/>
      <c r="F65" s="38">
        <f>F19+F18+F32+F53</f>
        <v>39156000</v>
      </c>
      <c r="G65" s="5" t="s">
        <v>145</v>
      </c>
    </row>
    <row r="66" spans="1:7" x14ac:dyDescent="0.2">
      <c r="A66" s="2" t="s">
        <v>146</v>
      </c>
      <c r="B66" s="79"/>
      <c r="C66" s="31"/>
      <c r="D66" s="23"/>
      <c r="E66" s="6"/>
      <c r="F66" s="4">
        <f>F65*1.19-F65</f>
        <v>7439640</v>
      </c>
      <c r="G66" s="5"/>
    </row>
    <row r="67" spans="1:7" x14ac:dyDescent="0.2">
      <c r="A67" s="82" t="s">
        <v>285</v>
      </c>
      <c r="B67" s="83"/>
      <c r="C67" s="84"/>
      <c r="D67" s="84"/>
      <c r="E67" s="85"/>
      <c r="F67" s="86">
        <f>F65+F66</f>
        <v>46595640</v>
      </c>
      <c r="G67" s="5"/>
    </row>
    <row r="68" spans="1:7" x14ac:dyDescent="0.2">
      <c r="A68" s="2"/>
      <c r="B68" s="79"/>
      <c r="C68" s="31"/>
      <c r="D68" s="23"/>
      <c r="E68" s="6"/>
      <c r="F68" s="3"/>
      <c r="G68" s="5"/>
    </row>
    <row r="69" spans="1:7" ht="19" x14ac:dyDescent="0.2">
      <c r="A69" s="88" t="s">
        <v>205</v>
      </c>
      <c r="B69"/>
      <c r="E69" s="76"/>
      <c r="F69" s="76"/>
      <c r="G69" s="76"/>
    </row>
    <row r="70" spans="1:7" ht="19" x14ac:dyDescent="0.2">
      <c r="A70" s="87" t="s">
        <v>206</v>
      </c>
      <c r="B70"/>
      <c r="E70" s="75"/>
      <c r="F70" s="75"/>
      <c r="G70" s="75"/>
    </row>
    <row r="71" spans="1:7" ht="17" x14ac:dyDescent="0.2">
      <c r="A71" s="76" t="s">
        <v>207</v>
      </c>
      <c r="B71"/>
    </row>
    <row r="72" spans="1:7" ht="17" x14ac:dyDescent="0.2">
      <c r="A72" s="76"/>
      <c r="B72"/>
    </row>
    <row r="73" spans="1:7" ht="19" x14ac:dyDescent="0.2">
      <c r="A73" s="88" t="s">
        <v>148</v>
      </c>
      <c r="B73"/>
    </row>
    <row r="74" spans="1:7" ht="17" x14ac:dyDescent="0.2">
      <c r="A74" s="76" t="s">
        <v>208</v>
      </c>
      <c r="B74"/>
    </row>
    <row r="75" spans="1:7" ht="17" x14ac:dyDescent="0.2">
      <c r="A75" s="76" t="s">
        <v>209</v>
      </c>
      <c r="B75"/>
    </row>
    <row r="76" spans="1:7" ht="17" x14ac:dyDescent="0.2">
      <c r="A76" s="76" t="s">
        <v>210</v>
      </c>
      <c r="B76"/>
    </row>
    <row r="77" spans="1:7" ht="17" x14ac:dyDescent="0.2">
      <c r="A77" s="74" t="s">
        <v>149</v>
      </c>
      <c r="B77"/>
    </row>
    <row r="78" spans="1:7" ht="17" x14ac:dyDescent="0.2">
      <c r="A78" s="76" t="s">
        <v>211</v>
      </c>
      <c r="B78"/>
    </row>
    <row r="79" spans="1:7" ht="17" x14ac:dyDescent="0.2">
      <c r="A79" s="76" t="s">
        <v>150</v>
      </c>
      <c r="B79"/>
    </row>
    <row r="80" spans="1:7" ht="17" x14ac:dyDescent="0.2">
      <c r="A80" s="74" t="s">
        <v>212</v>
      </c>
      <c r="B80"/>
    </row>
    <row r="81" spans="1:7" ht="17" x14ac:dyDescent="0.2">
      <c r="A81" s="76" t="s">
        <v>151</v>
      </c>
      <c r="B81"/>
    </row>
    <row r="82" spans="1:7" ht="17" x14ac:dyDescent="0.2">
      <c r="A82" s="76" t="s">
        <v>152</v>
      </c>
      <c r="B82"/>
    </row>
    <row r="83" spans="1:7" ht="17" x14ac:dyDescent="0.2">
      <c r="A83" s="76" t="s">
        <v>153</v>
      </c>
      <c r="B83"/>
    </row>
    <row r="84" spans="1:7" ht="17" x14ac:dyDescent="0.2">
      <c r="A84" s="76" t="s">
        <v>154</v>
      </c>
      <c r="B84"/>
    </row>
    <row r="85" spans="1:7" ht="17" x14ac:dyDescent="0.2">
      <c r="A85" s="76" t="s">
        <v>155</v>
      </c>
      <c r="B85"/>
    </row>
    <row r="86" spans="1:7" ht="17" x14ac:dyDescent="0.2">
      <c r="A86" s="76" t="s">
        <v>156</v>
      </c>
      <c r="B86"/>
    </row>
    <row r="87" spans="1:7" ht="17" x14ac:dyDescent="0.2">
      <c r="A87" s="76"/>
      <c r="B87"/>
    </row>
    <row r="88" spans="1:7" ht="17" x14ac:dyDescent="0.2">
      <c r="A88" s="115" t="s">
        <v>253</v>
      </c>
      <c r="B88"/>
    </row>
    <row r="89" spans="1:7" ht="17" x14ac:dyDescent="0.2">
      <c r="A89" s="76" t="s">
        <v>213</v>
      </c>
      <c r="B89" s="76" t="s">
        <v>214</v>
      </c>
      <c r="D89" s="76" t="s">
        <v>215</v>
      </c>
      <c r="F89" s="76" t="s">
        <v>216</v>
      </c>
    </row>
    <row r="90" spans="1:7" ht="17" x14ac:dyDescent="0.2">
      <c r="A90" s="76" t="s">
        <v>219</v>
      </c>
      <c r="B90" s="76" t="s">
        <v>220</v>
      </c>
      <c r="D90" s="76" t="s">
        <v>217</v>
      </c>
      <c r="F90" s="76" t="s">
        <v>218</v>
      </c>
    </row>
    <row r="91" spans="1:7" ht="17" x14ac:dyDescent="0.2">
      <c r="A91" s="76" t="s">
        <v>221</v>
      </c>
      <c r="B91" s="76" t="s">
        <v>222</v>
      </c>
      <c r="D91" s="76" t="s">
        <v>223</v>
      </c>
      <c r="F91" s="76" t="s">
        <v>224</v>
      </c>
    </row>
    <row r="92" spans="1:7" ht="17" x14ac:dyDescent="0.2">
      <c r="A92" s="76" t="s">
        <v>5</v>
      </c>
      <c r="B92" s="76" t="s">
        <v>226</v>
      </c>
      <c r="D92" s="89" t="s">
        <v>225</v>
      </c>
    </row>
    <row r="93" spans="1:7" ht="18" thickBot="1" x14ac:dyDescent="0.25">
      <c r="A93" s="76"/>
      <c r="B93"/>
    </row>
    <row r="94" spans="1:7" ht="16" customHeight="1" x14ac:dyDescent="0.2">
      <c r="A94" s="147" t="s">
        <v>123</v>
      </c>
      <c r="B94" s="148" t="s">
        <v>175</v>
      </c>
      <c r="C94" s="149" t="s">
        <v>89</v>
      </c>
      <c r="D94" s="149" t="s">
        <v>7</v>
      </c>
      <c r="E94" s="149" t="s">
        <v>6</v>
      </c>
      <c r="F94" s="149" t="s">
        <v>90</v>
      </c>
      <c r="G94" s="150" t="s">
        <v>8</v>
      </c>
    </row>
    <row r="95" spans="1:7" ht="16" customHeight="1" x14ac:dyDescent="0.2">
      <c r="A95" s="102" t="s">
        <v>204</v>
      </c>
      <c r="B95" s="116"/>
      <c r="C95" s="107">
        <v>0</v>
      </c>
      <c r="D95" s="107">
        <v>0</v>
      </c>
      <c r="E95" s="117">
        <v>200000</v>
      </c>
      <c r="F95" s="117">
        <f>C95*D95*E95</f>
        <v>0</v>
      </c>
      <c r="G95" s="102" t="s">
        <v>254</v>
      </c>
    </row>
    <row r="96" spans="1:7" x14ac:dyDescent="0.2">
      <c r="A96" s="118" t="s">
        <v>91</v>
      </c>
      <c r="B96" s="119"/>
      <c r="C96" s="107">
        <v>0</v>
      </c>
      <c r="D96" s="107">
        <v>0</v>
      </c>
      <c r="E96" s="105">
        <v>12000</v>
      </c>
      <c r="F96" s="105">
        <f t="shared" ref="F96:F109" si="6">C96*D96*E96</f>
        <v>0</v>
      </c>
      <c r="G96" s="102" t="s">
        <v>261</v>
      </c>
    </row>
    <row r="97" spans="1:7" x14ac:dyDescent="0.2">
      <c r="A97" s="118" t="s">
        <v>93</v>
      </c>
      <c r="B97" s="119"/>
      <c r="C97" s="107">
        <v>0</v>
      </c>
      <c r="D97" s="107">
        <v>0</v>
      </c>
      <c r="E97" s="105">
        <v>26000</v>
      </c>
      <c r="F97" s="105">
        <f t="shared" si="6"/>
        <v>0</v>
      </c>
      <c r="G97" s="102" t="s">
        <v>118</v>
      </c>
    </row>
    <row r="98" spans="1:7" x14ac:dyDescent="0.2">
      <c r="A98" s="118" t="s">
        <v>94</v>
      </c>
      <c r="B98" s="119"/>
      <c r="C98" s="107">
        <v>0</v>
      </c>
      <c r="D98" s="107">
        <v>0</v>
      </c>
      <c r="E98" s="105">
        <v>35000</v>
      </c>
      <c r="F98" s="105">
        <f t="shared" si="6"/>
        <v>0</v>
      </c>
      <c r="G98" s="102" t="s">
        <v>118</v>
      </c>
    </row>
    <row r="99" spans="1:7" x14ac:dyDescent="0.2">
      <c r="A99" s="118" t="s">
        <v>120</v>
      </c>
      <c r="B99" s="119"/>
      <c r="C99" s="107">
        <v>0</v>
      </c>
      <c r="D99" s="107">
        <v>0</v>
      </c>
      <c r="E99" s="105">
        <v>10000</v>
      </c>
      <c r="F99" s="105">
        <f t="shared" si="6"/>
        <v>0</v>
      </c>
      <c r="G99" s="102"/>
    </row>
    <row r="100" spans="1:7" x14ac:dyDescent="0.2">
      <c r="A100" s="118" t="s">
        <v>173</v>
      </c>
      <c r="B100" s="119"/>
      <c r="C100" s="107">
        <v>0</v>
      </c>
      <c r="D100" s="107">
        <v>0</v>
      </c>
      <c r="E100" s="105">
        <v>4500</v>
      </c>
      <c r="F100" s="105">
        <f t="shared" si="6"/>
        <v>0</v>
      </c>
      <c r="G100" s="102" t="s">
        <v>174</v>
      </c>
    </row>
    <row r="101" spans="1:7" x14ac:dyDescent="0.2">
      <c r="A101" s="118" t="s">
        <v>197</v>
      </c>
      <c r="B101" s="119"/>
      <c r="C101" s="107">
        <v>0</v>
      </c>
      <c r="D101" s="107">
        <v>0</v>
      </c>
      <c r="E101" s="105">
        <v>5000</v>
      </c>
      <c r="F101" s="105">
        <f t="shared" ref="F101:F102" si="7">C101*D101*E101</f>
        <v>0</v>
      </c>
      <c r="G101" s="102" t="s">
        <v>262</v>
      </c>
    </row>
    <row r="102" spans="1:7" x14ac:dyDescent="0.2">
      <c r="A102" s="118" t="s">
        <v>198</v>
      </c>
      <c r="B102" s="119"/>
      <c r="C102" s="107">
        <v>0</v>
      </c>
      <c r="D102" s="107">
        <v>0</v>
      </c>
      <c r="E102" s="105">
        <v>5000</v>
      </c>
      <c r="F102" s="105">
        <f t="shared" si="7"/>
        <v>0</v>
      </c>
      <c r="G102" s="102" t="s">
        <v>263</v>
      </c>
    </row>
    <row r="103" spans="1:7" x14ac:dyDescent="0.2">
      <c r="A103" s="118" t="s">
        <v>172</v>
      </c>
      <c r="B103" s="119"/>
      <c r="C103" s="107">
        <v>0</v>
      </c>
      <c r="D103" s="107">
        <v>0</v>
      </c>
      <c r="E103" s="105">
        <v>3000</v>
      </c>
      <c r="F103" s="105">
        <f t="shared" ref="F103" si="8">C103*D103*E103</f>
        <v>0</v>
      </c>
      <c r="G103" s="102" t="s">
        <v>264</v>
      </c>
    </row>
    <row r="104" spans="1:7" x14ac:dyDescent="0.2">
      <c r="A104" s="118" t="s">
        <v>119</v>
      </c>
      <c r="B104" s="119"/>
      <c r="C104" s="107">
        <v>0</v>
      </c>
      <c r="D104" s="107">
        <v>0</v>
      </c>
      <c r="E104" s="105">
        <v>16000</v>
      </c>
      <c r="F104" s="105">
        <f t="shared" si="6"/>
        <v>0</v>
      </c>
      <c r="G104" s="102" t="s">
        <v>142</v>
      </c>
    </row>
    <row r="105" spans="1:7" x14ac:dyDescent="0.2">
      <c r="A105" s="118" t="s">
        <v>11</v>
      </c>
      <c r="B105" s="119"/>
      <c r="C105" s="107">
        <v>0</v>
      </c>
      <c r="D105" s="107">
        <v>0</v>
      </c>
      <c r="E105" s="105">
        <v>7000</v>
      </c>
      <c r="F105" s="105">
        <f t="shared" si="6"/>
        <v>0</v>
      </c>
      <c r="G105" s="102" t="s">
        <v>177</v>
      </c>
    </row>
    <row r="106" spans="1:7" x14ac:dyDescent="0.2">
      <c r="A106" s="152" t="s">
        <v>265</v>
      </c>
      <c r="B106" s="153"/>
      <c r="C106" s="112">
        <v>0</v>
      </c>
      <c r="D106" s="112">
        <v>0</v>
      </c>
      <c r="E106" s="113">
        <v>1500</v>
      </c>
      <c r="F106" s="113">
        <f t="shared" si="6"/>
        <v>0</v>
      </c>
      <c r="G106" s="110" t="s">
        <v>256</v>
      </c>
    </row>
    <row r="107" spans="1:7" x14ac:dyDescent="0.2">
      <c r="A107" s="154" t="s">
        <v>178</v>
      </c>
      <c r="B107" s="155"/>
      <c r="C107" s="112">
        <v>0</v>
      </c>
      <c r="D107" s="112">
        <v>0</v>
      </c>
      <c r="E107" s="113">
        <v>3000</v>
      </c>
      <c r="F107" s="113">
        <f t="shared" si="6"/>
        <v>0</v>
      </c>
      <c r="G107" s="110"/>
    </row>
    <row r="108" spans="1:7" x14ac:dyDescent="0.2">
      <c r="A108" s="154" t="s">
        <v>266</v>
      </c>
      <c r="B108" s="155"/>
      <c r="C108" s="112">
        <v>0</v>
      </c>
      <c r="D108" s="112">
        <v>0</v>
      </c>
      <c r="E108" s="113">
        <v>1000</v>
      </c>
      <c r="F108" s="113">
        <f t="shared" ref="F108" si="9">C108*D108*E108</f>
        <v>0</v>
      </c>
      <c r="G108" s="110" t="s">
        <v>179</v>
      </c>
    </row>
    <row r="109" spans="1:7" x14ac:dyDescent="0.2">
      <c r="A109" s="154" t="s">
        <v>273</v>
      </c>
      <c r="B109" s="155"/>
      <c r="C109" s="112">
        <v>0</v>
      </c>
      <c r="D109" s="112">
        <v>0</v>
      </c>
      <c r="E109" s="113">
        <v>3000</v>
      </c>
      <c r="F109" s="113">
        <f t="shared" si="6"/>
        <v>0</v>
      </c>
      <c r="G109" s="110" t="s">
        <v>9</v>
      </c>
    </row>
    <row r="110" spans="1:7" x14ac:dyDescent="0.2">
      <c r="A110" s="154" t="s">
        <v>96</v>
      </c>
      <c r="B110" s="155"/>
      <c r="C110" s="112">
        <v>0</v>
      </c>
      <c r="D110" s="112">
        <v>0</v>
      </c>
      <c r="E110" s="156">
        <v>150000</v>
      </c>
      <c r="F110" s="113">
        <f t="shared" ref="F110:F117" si="10">C110*D110*E110</f>
        <v>0</v>
      </c>
      <c r="G110" s="110" t="s">
        <v>97</v>
      </c>
    </row>
    <row r="111" spans="1:7" x14ac:dyDescent="0.2">
      <c r="A111" s="118" t="s">
        <v>98</v>
      </c>
      <c r="B111" s="119"/>
      <c r="C111" s="107">
        <v>0</v>
      </c>
      <c r="D111" s="107">
        <v>0</v>
      </c>
      <c r="E111" s="120">
        <v>100000</v>
      </c>
      <c r="F111" s="105">
        <f t="shared" si="10"/>
        <v>0</v>
      </c>
      <c r="G111" s="102" t="s">
        <v>99</v>
      </c>
    </row>
    <row r="112" spans="1:7" x14ac:dyDescent="0.2">
      <c r="A112" s="121" t="s">
        <v>267</v>
      </c>
      <c r="B112" s="122"/>
      <c r="C112" s="99">
        <v>0</v>
      </c>
      <c r="D112" s="123">
        <v>0</v>
      </c>
      <c r="E112" s="109">
        <v>3850</v>
      </c>
      <c r="F112" s="124">
        <f>E112*D112*C112</f>
        <v>0</v>
      </c>
      <c r="G112" s="125" t="s">
        <v>169</v>
      </c>
    </row>
    <row r="113" spans="1:7" x14ac:dyDescent="0.2">
      <c r="A113" s="126" t="s">
        <v>115</v>
      </c>
      <c r="B113" s="127"/>
      <c r="C113" s="107">
        <v>0</v>
      </c>
      <c r="D113" s="107">
        <v>0</v>
      </c>
      <c r="E113" s="120">
        <v>4800</v>
      </c>
      <c r="F113" s="105">
        <f>C113*D113*E113</f>
        <v>0</v>
      </c>
      <c r="G113" s="118" t="s">
        <v>268</v>
      </c>
    </row>
    <row r="114" spans="1:7" x14ac:dyDescent="0.2">
      <c r="A114" s="126" t="s">
        <v>116</v>
      </c>
      <c r="B114" s="127"/>
      <c r="C114" s="107">
        <v>0</v>
      </c>
      <c r="D114" s="107">
        <v>0</v>
      </c>
      <c r="E114" s="120">
        <v>5500</v>
      </c>
      <c r="F114" s="105">
        <f>C114*D114*E114</f>
        <v>0</v>
      </c>
      <c r="G114" s="118" t="s">
        <v>171</v>
      </c>
    </row>
    <row r="115" spans="1:7" x14ac:dyDescent="0.2">
      <c r="A115" s="126" t="s">
        <v>117</v>
      </c>
      <c r="B115" s="127"/>
      <c r="C115" s="107">
        <v>0</v>
      </c>
      <c r="D115" s="107">
        <v>0</v>
      </c>
      <c r="E115" s="120">
        <v>7500</v>
      </c>
      <c r="F115" s="105">
        <f t="shared" si="10"/>
        <v>0</v>
      </c>
      <c r="G115" s="118" t="s">
        <v>170</v>
      </c>
    </row>
    <row r="116" spans="1:7" ht="15" customHeight="1" x14ac:dyDescent="0.2">
      <c r="A116" s="118" t="s">
        <v>196</v>
      </c>
      <c r="B116" s="119"/>
      <c r="C116" s="107">
        <v>0</v>
      </c>
      <c r="D116" s="107">
        <v>0</v>
      </c>
      <c r="E116" s="105">
        <v>8500</v>
      </c>
      <c r="F116" s="105">
        <f t="shared" si="10"/>
        <v>0</v>
      </c>
      <c r="G116" s="128" t="s">
        <v>276</v>
      </c>
    </row>
    <row r="117" spans="1:7" ht="15" customHeight="1" x14ac:dyDescent="0.2">
      <c r="A117" s="103" t="s">
        <v>180</v>
      </c>
      <c r="B117" s="106"/>
      <c r="C117" s="107">
        <v>0</v>
      </c>
      <c r="D117" s="107">
        <v>0</v>
      </c>
      <c r="E117" s="105">
        <v>13500</v>
      </c>
      <c r="F117" s="105">
        <f t="shared" si="10"/>
        <v>0</v>
      </c>
      <c r="G117" s="151" t="s">
        <v>143</v>
      </c>
    </row>
    <row r="118" spans="1:7" x14ac:dyDescent="0.2">
      <c r="A118" s="118" t="s">
        <v>95</v>
      </c>
      <c r="B118" s="119"/>
      <c r="C118" s="107">
        <v>0</v>
      </c>
      <c r="D118" s="107">
        <v>0</v>
      </c>
      <c r="E118" s="105">
        <v>2500</v>
      </c>
      <c r="F118" s="105">
        <f>C118*D118*E118</f>
        <v>0</v>
      </c>
      <c r="G118" s="102" t="s">
        <v>274</v>
      </c>
    </row>
    <row r="119" spans="1:7" x14ac:dyDescent="0.2">
      <c r="A119" s="118" t="s">
        <v>181</v>
      </c>
      <c r="B119" s="119"/>
      <c r="C119" s="107">
        <v>0</v>
      </c>
      <c r="D119" s="107">
        <v>0</v>
      </c>
      <c r="E119" s="120">
        <v>300000</v>
      </c>
      <c r="F119" s="105">
        <f>C119*D119*E119</f>
        <v>0</v>
      </c>
      <c r="G119" s="102" t="s">
        <v>269</v>
      </c>
    </row>
    <row r="120" spans="1:7" x14ac:dyDescent="0.2">
      <c r="A120" s="118" t="s">
        <v>182</v>
      </c>
      <c r="B120" s="119"/>
      <c r="C120" s="107">
        <v>0</v>
      </c>
      <c r="D120" s="107">
        <v>0</v>
      </c>
      <c r="E120" s="120">
        <v>250000</v>
      </c>
      <c r="F120" s="105">
        <f>C120*D120*E120</f>
        <v>0</v>
      </c>
      <c r="G120" s="102" t="s">
        <v>269</v>
      </c>
    </row>
    <row r="121" spans="1:7" x14ac:dyDescent="0.2">
      <c r="A121" s="118" t="s">
        <v>140</v>
      </c>
      <c r="B121" s="119"/>
      <c r="C121" s="107">
        <v>0</v>
      </c>
      <c r="D121" s="107">
        <v>0</v>
      </c>
      <c r="E121" s="120">
        <v>210000</v>
      </c>
      <c r="F121" s="105">
        <f t="shared" ref="F121:F137" si="11">C121*D121*E121</f>
        <v>0</v>
      </c>
      <c r="G121" s="102" t="s">
        <v>269</v>
      </c>
    </row>
    <row r="122" spans="1:7" x14ac:dyDescent="0.2">
      <c r="A122" s="118" t="s">
        <v>141</v>
      </c>
      <c r="B122" s="119"/>
      <c r="C122" s="107">
        <v>0</v>
      </c>
      <c r="D122" s="107">
        <v>0</v>
      </c>
      <c r="E122" s="120">
        <v>210000</v>
      </c>
      <c r="F122" s="105">
        <f t="shared" si="11"/>
        <v>0</v>
      </c>
      <c r="G122" s="102" t="s">
        <v>269</v>
      </c>
    </row>
    <row r="123" spans="1:7" x14ac:dyDescent="0.2">
      <c r="A123" s="118" t="s">
        <v>183</v>
      </c>
      <c r="B123" s="119"/>
      <c r="C123" s="107">
        <v>0</v>
      </c>
      <c r="D123" s="107">
        <v>0</v>
      </c>
      <c r="E123" s="120">
        <v>180000</v>
      </c>
      <c r="F123" s="105">
        <f t="shared" si="11"/>
        <v>0</v>
      </c>
      <c r="G123" s="102" t="s">
        <v>269</v>
      </c>
    </row>
    <row r="124" spans="1:7" x14ac:dyDescent="0.2">
      <c r="A124" s="118" t="s">
        <v>139</v>
      </c>
      <c r="B124" s="119"/>
      <c r="C124" s="107">
        <v>0</v>
      </c>
      <c r="D124" s="107">
        <v>0</v>
      </c>
      <c r="E124" s="120">
        <v>180000</v>
      </c>
      <c r="F124" s="105">
        <f t="shared" si="11"/>
        <v>0</v>
      </c>
      <c r="G124" s="102" t="s">
        <v>269</v>
      </c>
    </row>
    <row r="125" spans="1:7" x14ac:dyDescent="0.2">
      <c r="A125" s="118" t="s">
        <v>185</v>
      </c>
      <c r="B125" s="119"/>
      <c r="C125" s="107">
        <v>0</v>
      </c>
      <c r="D125" s="107">
        <v>0</v>
      </c>
      <c r="E125" s="113">
        <v>120000</v>
      </c>
      <c r="F125" s="105">
        <f t="shared" si="11"/>
        <v>0</v>
      </c>
      <c r="G125" s="102" t="s">
        <v>269</v>
      </c>
    </row>
    <row r="126" spans="1:7" x14ac:dyDescent="0.2">
      <c r="A126" s="118" t="s">
        <v>184</v>
      </c>
      <c r="B126" s="119"/>
      <c r="C126" s="107">
        <v>0</v>
      </c>
      <c r="D126" s="107">
        <v>0</v>
      </c>
      <c r="E126" s="113">
        <v>90000</v>
      </c>
      <c r="F126" s="105">
        <f t="shared" si="11"/>
        <v>0</v>
      </c>
      <c r="G126" s="102" t="s">
        <v>269</v>
      </c>
    </row>
    <row r="127" spans="1:7" x14ac:dyDescent="0.2">
      <c r="A127" s="118" t="s">
        <v>203</v>
      </c>
      <c r="B127" s="119"/>
      <c r="C127" s="107">
        <v>0</v>
      </c>
      <c r="D127" s="107">
        <v>0</v>
      </c>
      <c r="E127" s="113">
        <v>100000</v>
      </c>
      <c r="F127" s="105">
        <f t="shared" si="11"/>
        <v>0</v>
      </c>
      <c r="G127" s="102" t="s">
        <v>275</v>
      </c>
    </row>
    <row r="128" spans="1:7" x14ac:dyDescent="0.2">
      <c r="A128" s="118" t="s">
        <v>186</v>
      </c>
      <c r="B128" s="119"/>
      <c r="C128" s="107">
        <v>0</v>
      </c>
      <c r="D128" s="107">
        <v>0</v>
      </c>
      <c r="E128" s="113">
        <v>300000</v>
      </c>
      <c r="F128" s="105">
        <f t="shared" si="11"/>
        <v>0</v>
      </c>
      <c r="G128" s="102" t="s">
        <v>269</v>
      </c>
    </row>
    <row r="129" spans="1:7" x14ac:dyDescent="0.2">
      <c r="A129" s="129" t="s">
        <v>193</v>
      </c>
      <c r="B129" s="131"/>
      <c r="C129" s="107">
        <v>0</v>
      </c>
      <c r="D129" s="107">
        <v>0</v>
      </c>
      <c r="E129" s="157">
        <v>25000</v>
      </c>
      <c r="F129" s="133"/>
      <c r="G129" s="102" t="s">
        <v>194</v>
      </c>
    </row>
    <row r="130" spans="1:7" x14ac:dyDescent="0.2">
      <c r="A130" s="129" t="s">
        <v>270</v>
      </c>
      <c r="B130" s="131"/>
      <c r="C130" s="107">
        <v>0</v>
      </c>
      <c r="D130" s="107">
        <v>0</v>
      </c>
      <c r="E130" s="132">
        <v>15000</v>
      </c>
      <c r="F130" s="133"/>
      <c r="G130" s="102" t="s">
        <v>194</v>
      </c>
    </row>
    <row r="131" spans="1:7" x14ac:dyDescent="0.2">
      <c r="A131" s="129" t="s">
        <v>195</v>
      </c>
      <c r="B131" s="131"/>
      <c r="C131" s="107">
        <v>0</v>
      </c>
      <c r="D131" s="107">
        <v>0</v>
      </c>
      <c r="E131" s="132">
        <v>60000</v>
      </c>
      <c r="F131" s="133"/>
      <c r="G131" s="102"/>
    </row>
    <row r="132" spans="1:7" x14ac:dyDescent="0.2">
      <c r="A132" s="129" t="s">
        <v>144</v>
      </c>
      <c r="B132" s="130"/>
      <c r="C132" s="107">
        <v>0</v>
      </c>
      <c r="D132" s="107">
        <v>0</v>
      </c>
      <c r="E132" s="120">
        <v>150000</v>
      </c>
      <c r="F132" s="105">
        <f t="shared" si="11"/>
        <v>0</v>
      </c>
      <c r="G132" s="102" t="s">
        <v>271</v>
      </c>
    </row>
    <row r="133" spans="1:7" x14ac:dyDescent="0.2">
      <c r="A133" s="102" t="s">
        <v>187</v>
      </c>
      <c r="B133" s="134"/>
      <c r="C133" s="107">
        <v>0</v>
      </c>
      <c r="D133" s="107">
        <v>0</v>
      </c>
      <c r="E133" s="105">
        <v>100000</v>
      </c>
      <c r="F133" s="105">
        <f t="shared" si="11"/>
        <v>0</v>
      </c>
      <c r="G133" s="102" t="s">
        <v>255</v>
      </c>
    </row>
    <row r="134" spans="1:7" x14ac:dyDescent="0.2">
      <c r="A134" s="102" t="s">
        <v>188</v>
      </c>
      <c r="B134" s="134"/>
      <c r="C134" s="107">
        <v>0</v>
      </c>
      <c r="D134" s="107">
        <v>0</v>
      </c>
      <c r="E134" s="113">
        <v>150000</v>
      </c>
      <c r="F134" s="105">
        <f t="shared" si="11"/>
        <v>0</v>
      </c>
      <c r="G134" s="102" t="s">
        <v>189</v>
      </c>
    </row>
    <row r="135" spans="1:7" x14ac:dyDescent="0.2">
      <c r="A135" s="102" t="s">
        <v>190</v>
      </c>
      <c r="B135" s="134"/>
      <c r="C135" s="107">
        <v>0</v>
      </c>
      <c r="D135" s="107">
        <v>0</v>
      </c>
      <c r="E135" s="113">
        <v>380000</v>
      </c>
      <c r="F135" s="105">
        <f t="shared" si="11"/>
        <v>0</v>
      </c>
      <c r="G135" s="102" t="s">
        <v>191</v>
      </c>
    </row>
    <row r="136" spans="1:7" x14ac:dyDescent="0.2">
      <c r="A136" s="102" t="s">
        <v>192</v>
      </c>
      <c r="B136" s="134"/>
      <c r="C136" s="107">
        <v>0</v>
      </c>
      <c r="D136" s="107">
        <v>0</v>
      </c>
      <c r="E136" s="113">
        <v>280000</v>
      </c>
      <c r="F136" s="105">
        <f t="shared" si="11"/>
        <v>0</v>
      </c>
      <c r="G136" s="102" t="s">
        <v>189</v>
      </c>
    </row>
    <row r="137" spans="1:7" x14ac:dyDescent="0.2">
      <c r="A137" s="135" t="s">
        <v>158</v>
      </c>
      <c r="B137" s="136"/>
      <c r="C137" s="107">
        <v>0</v>
      </c>
      <c r="D137" s="107">
        <v>0</v>
      </c>
      <c r="E137" s="113">
        <v>650000</v>
      </c>
      <c r="F137" s="105">
        <f t="shared" si="11"/>
        <v>0</v>
      </c>
      <c r="G137" s="102" t="s">
        <v>164</v>
      </c>
    </row>
    <row r="138" spans="1:7" ht="15" customHeight="1" x14ac:dyDescent="0.2">
      <c r="A138" s="135" t="s">
        <v>157</v>
      </c>
      <c r="B138" s="136"/>
      <c r="C138" s="107">
        <v>0</v>
      </c>
      <c r="D138" s="107">
        <v>0</v>
      </c>
      <c r="E138" s="113">
        <v>450000</v>
      </c>
      <c r="F138" s="117">
        <f t="shared" ref="F138:F139" si="12">C138*D138*E138</f>
        <v>0</v>
      </c>
      <c r="G138" s="102" t="s">
        <v>168</v>
      </c>
    </row>
    <row r="139" spans="1:7" ht="15" customHeight="1" x14ac:dyDescent="0.2">
      <c r="A139" s="135" t="s">
        <v>159</v>
      </c>
      <c r="B139" s="136"/>
      <c r="C139" s="107">
        <v>0</v>
      </c>
      <c r="D139" s="107">
        <v>0</v>
      </c>
      <c r="E139" s="113">
        <v>80000</v>
      </c>
      <c r="F139" s="117">
        <f t="shared" si="12"/>
        <v>0</v>
      </c>
      <c r="G139" s="102"/>
    </row>
    <row r="140" spans="1:7" ht="15" customHeight="1" x14ac:dyDescent="0.2">
      <c r="A140" s="135" t="s">
        <v>163</v>
      </c>
      <c r="B140" s="136"/>
      <c r="C140" s="107">
        <v>0</v>
      </c>
      <c r="D140" s="107">
        <v>0</v>
      </c>
      <c r="E140" s="113">
        <v>300000</v>
      </c>
      <c r="F140" s="117">
        <f t="shared" ref="F140:F143" si="13">C140*D140*E140</f>
        <v>0</v>
      </c>
      <c r="G140" s="102" t="s">
        <v>167</v>
      </c>
    </row>
    <row r="141" spans="1:7" ht="15" customHeight="1" x14ac:dyDescent="0.2">
      <c r="A141" s="135" t="s">
        <v>160</v>
      </c>
      <c r="B141" s="136"/>
      <c r="C141" s="107">
        <v>0</v>
      </c>
      <c r="D141" s="107">
        <v>0</v>
      </c>
      <c r="E141" s="105">
        <v>680000</v>
      </c>
      <c r="F141" s="117">
        <f t="shared" si="13"/>
        <v>0</v>
      </c>
      <c r="G141" s="102" t="s">
        <v>165</v>
      </c>
    </row>
    <row r="142" spans="1:7" ht="15" customHeight="1" x14ac:dyDescent="0.2">
      <c r="A142" s="135" t="s">
        <v>160</v>
      </c>
      <c r="B142" s="136"/>
      <c r="C142" s="107">
        <v>0</v>
      </c>
      <c r="D142" s="107">
        <v>0</v>
      </c>
      <c r="E142" s="105">
        <v>580000</v>
      </c>
      <c r="F142" s="117">
        <f t="shared" si="13"/>
        <v>0</v>
      </c>
      <c r="G142" s="102" t="s">
        <v>166</v>
      </c>
    </row>
    <row r="143" spans="1:7" ht="15" customHeight="1" x14ac:dyDescent="0.2">
      <c r="A143" s="135" t="s">
        <v>162</v>
      </c>
      <c r="B143" s="136"/>
      <c r="C143" s="107">
        <v>0</v>
      </c>
      <c r="D143" s="107">
        <v>0</v>
      </c>
      <c r="E143" s="105">
        <v>580000</v>
      </c>
      <c r="F143" s="117">
        <f t="shared" si="13"/>
        <v>0</v>
      </c>
      <c r="G143" s="102" t="s">
        <v>161</v>
      </c>
    </row>
    <row r="144" spans="1:7" x14ac:dyDescent="0.2">
      <c r="A144" s="102" t="s">
        <v>199</v>
      </c>
      <c r="B144" s="134"/>
      <c r="C144" s="107">
        <v>0</v>
      </c>
      <c r="D144" s="107">
        <v>0</v>
      </c>
      <c r="E144" s="105">
        <v>180000</v>
      </c>
      <c r="F144" s="105">
        <f>C144*D144*E144</f>
        <v>0</v>
      </c>
      <c r="G144" s="102" t="s">
        <v>272</v>
      </c>
    </row>
    <row r="145" spans="1:7" x14ac:dyDescent="0.2">
      <c r="A145" s="110" t="s">
        <v>277</v>
      </c>
      <c r="B145" s="111"/>
      <c r="C145" s="112">
        <v>0</v>
      </c>
      <c r="D145" s="112">
        <v>0</v>
      </c>
      <c r="E145" s="113">
        <v>35000</v>
      </c>
      <c r="F145" s="113">
        <f t="shared" ref="F145" si="14">C145*D145*E145</f>
        <v>0</v>
      </c>
      <c r="G145" s="110" t="s">
        <v>283</v>
      </c>
    </row>
    <row r="146" spans="1:7" x14ac:dyDescent="0.2">
      <c r="A146" s="110" t="s">
        <v>278</v>
      </c>
      <c r="B146" s="111"/>
      <c r="C146" s="112">
        <v>0</v>
      </c>
      <c r="D146" s="112">
        <v>0</v>
      </c>
      <c r="E146" s="113">
        <v>55000</v>
      </c>
      <c r="F146" s="113">
        <f t="shared" ref="F146:F150" si="15">C146*D146*E146</f>
        <v>0</v>
      </c>
      <c r="G146" s="110" t="s">
        <v>283</v>
      </c>
    </row>
    <row r="147" spans="1:7" ht="17" customHeight="1" x14ac:dyDescent="0.2">
      <c r="A147" s="110" t="s">
        <v>279</v>
      </c>
      <c r="B147" s="111"/>
      <c r="C147" s="112">
        <v>0</v>
      </c>
      <c r="D147" s="112">
        <v>0</v>
      </c>
      <c r="E147" s="113">
        <v>35000</v>
      </c>
      <c r="F147" s="113">
        <f t="shared" si="15"/>
        <v>0</v>
      </c>
      <c r="G147" s="110" t="s">
        <v>260</v>
      </c>
    </row>
    <row r="148" spans="1:7" ht="17" customHeight="1" x14ac:dyDescent="0.2">
      <c r="A148" s="110" t="s">
        <v>282</v>
      </c>
      <c r="B148" s="111"/>
      <c r="C148" s="112">
        <v>0</v>
      </c>
      <c r="D148" s="112">
        <v>0</v>
      </c>
      <c r="E148" s="113">
        <v>55000</v>
      </c>
      <c r="F148" s="113">
        <f t="shared" si="15"/>
        <v>0</v>
      </c>
      <c r="G148" s="110" t="s">
        <v>284</v>
      </c>
    </row>
    <row r="149" spans="1:7" x14ac:dyDescent="0.2">
      <c r="A149" s="133" t="s">
        <v>280</v>
      </c>
      <c r="B149" s="131"/>
      <c r="C149" s="133"/>
      <c r="D149" s="133"/>
      <c r="E149" s="158">
        <v>120000</v>
      </c>
      <c r="F149" s="113">
        <f t="shared" si="15"/>
        <v>0</v>
      </c>
      <c r="G149" s="133"/>
    </row>
    <row r="150" spans="1:7" x14ac:dyDescent="0.2">
      <c r="A150" s="133" t="s">
        <v>281</v>
      </c>
      <c r="B150" s="131"/>
      <c r="C150" s="133"/>
      <c r="D150" s="133"/>
      <c r="E150" s="158">
        <v>200000</v>
      </c>
      <c r="F150" s="113">
        <f t="shared" si="15"/>
        <v>0</v>
      </c>
      <c r="G150" s="133"/>
    </row>
    <row r="151" spans="1:7" ht="17" customHeight="1" x14ac:dyDescent="0.2">
      <c r="A151" s="137"/>
      <c r="B151" s="138"/>
      <c r="C151" s="137"/>
      <c r="D151" s="137"/>
      <c r="E151" s="137"/>
      <c r="F151" s="137"/>
      <c r="G151" s="137"/>
    </row>
    <row r="152" spans="1:7" ht="17" customHeight="1" x14ac:dyDescent="0.2">
      <c r="A152" s="137"/>
      <c r="B152" s="138"/>
      <c r="C152" s="137"/>
      <c r="D152" s="137"/>
      <c r="E152" s="137"/>
      <c r="F152" s="137"/>
      <c r="G152" s="137"/>
    </row>
    <row r="153" spans="1:7" x14ac:dyDescent="0.2">
      <c r="A153" s="137"/>
      <c r="B153" s="138"/>
      <c r="C153" s="137"/>
      <c r="D153" s="137"/>
      <c r="E153" s="137"/>
      <c r="F153" s="137"/>
      <c r="G153" s="137"/>
    </row>
    <row r="154" spans="1:7" x14ac:dyDescent="0.2">
      <c r="A154" s="137"/>
      <c r="B154" s="138"/>
      <c r="C154" s="137"/>
      <c r="D154" s="137"/>
      <c r="E154" s="137"/>
      <c r="F154" s="137"/>
      <c r="G154" s="137"/>
    </row>
    <row r="170" spans="1:7" ht="17" x14ac:dyDescent="0.2">
      <c r="A170" s="22"/>
      <c r="B170" s="81"/>
      <c r="C170" s="5"/>
      <c r="D170" s="5"/>
      <c r="E170" s="5"/>
      <c r="F170" s="5"/>
      <c r="G170" s="5"/>
    </row>
  </sheetData>
  <phoneticPr fontId="8" type="noConversion"/>
  <hyperlinks>
    <hyperlink ref="D92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69"/>
    <col min="6" max="8" width="11" style="69"/>
    <col min="9" max="9" width="31" customWidth="1"/>
  </cols>
  <sheetData>
    <row r="1" spans="1:14" x14ac:dyDescent="0.2">
      <c r="A1" s="190"/>
      <c r="B1" s="190"/>
      <c r="C1" s="190"/>
      <c r="D1" s="24"/>
      <c r="E1" s="24" t="s">
        <v>100</v>
      </c>
      <c r="F1" s="39"/>
      <c r="G1" s="39"/>
      <c r="H1" s="39"/>
      <c r="I1" s="24"/>
      <c r="J1" s="21"/>
      <c r="K1" s="21"/>
      <c r="L1" s="21"/>
      <c r="M1" s="21"/>
      <c r="N1" s="21"/>
    </row>
    <row r="2" spans="1:14" x14ac:dyDescent="0.2">
      <c r="A2" s="190"/>
      <c r="B2" s="190"/>
      <c r="C2" s="190"/>
      <c r="D2" s="24"/>
      <c r="E2" s="24"/>
      <c r="F2" s="39"/>
      <c r="G2" s="39"/>
      <c r="H2" s="39"/>
      <c r="I2" s="24"/>
      <c r="J2" s="21"/>
      <c r="K2" s="21"/>
      <c r="L2" s="21"/>
      <c r="M2" s="21"/>
      <c r="N2" s="21"/>
    </row>
    <row r="3" spans="1:14" x14ac:dyDescent="0.2">
      <c r="A3" s="190"/>
      <c r="B3" s="190"/>
      <c r="C3" s="190"/>
      <c r="D3" s="24"/>
      <c r="E3" s="24" t="s">
        <v>134</v>
      </c>
      <c r="F3" s="39"/>
      <c r="G3" s="39"/>
      <c r="H3" s="39"/>
      <c r="I3" s="24"/>
      <c r="J3" s="21"/>
      <c r="K3" s="21"/>
      <c r="L3" s="21"/>
      <c r="M3" s="21"/>
      <c r="N3" s="21"/>
    </row>
    <row r="4" spans="1:14" x14ac:dyDescent="0.2">
      <c r="A4" s="190"/>
      <c r="B4" s="190"/>
      <c r="C4" s="190"/>
      <c r="D4" s="40"/>
      <c r="E4" s="40" t="s">
        <v>135</v>
      </c>
      <c r="F4" s="41"/>
      <c r="G4" s="41"/>
      <c r="H4" s="41"/>
      <c r="I4" s="40"/>
      <c r="J4" s="21"/>
      <c r="K4" s="21"/>
      <c r="L4" s="21"/>
      <c r="M4" s="21"/>
      <c r="N4" s="21"/>
    </row>
    <row r="5" spans="1:14" x14ac:dyDescent="0.2">
      <c r="A5" s="34"/>
      <c r="B5" s="34"/>
      <c r="C5" s="34"/>
      <c r="D5" s="40"/>
      <c r="E5" s="40"/>
      <c r="F5" s="41"/>
      <c r="G5" s="41"/>
      <c r="H5" s="41"/>
      <c r="I5" s="40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191" t="s">
        <v>128</v>
      </c>
      <c r="D6" s="185"/>
      <c r="E6" s="186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49">
        <v>0.375</v>
      </c>
      <c r="B7" s="50">
        <v>0.45833333333333331</v>
      </c>
      <c r="C7" s="172" t="s">
        <v>129</v>
      </c>
      <c r="D7" s="173"/>
      <c r="E7" s="174"/>
      <c r="F7" s="51"/>
      <c r="G7" s="51"/>
      <c r="H7" s="51"/>
      <c r="I7" s="52" t="s">
        <v>130</v>
      </c>
      <c r="J7" s="21"/>
      <c r="K7" s="21"/>
      <c r="L7" s="21"/>
      <c r="M7" s="21"/>
      <c r="N7" s="21"/>
    </row>
    <row r="8" spans="1:14" x14ac:dyDescent="0.2">
      <c r="A8" s="49">
        <v>0.46875</v>
      </c>
      <c r="B8" s="50">
        <v>0.5625</v>
      </c>
      <c r="C8" s="172" t="s">
        <v>129</v>
      </c>
      <c r="D8" s="173"/>
      <c r="E8" s="174"/>
      <c r="F8" s="51"/>
      <c r="G8" s="51"/>
      <c r="H8" s="51"/>
      <c r="I8" s="52" t="s">
        <v>130</v>
      </c>
      <c r="J8" s="21"/>
      <c r="K8" s="21"/>
      <c r="L8" s="21"/>
      <c r="M8" s="21"/>
      <c r="N8" s="21"/>
    </row>
    <row r="9" spans="1:14" x14ac:dyDescent="0.2">
      <c r="A9" s="44">
        <v>0.5625</v>
      </c>
      <c r="B9" s="45">
        <v>0.60416666666666663</v>
      </c>
      <c r="C9" s="175" t="s">
        <v>109</v>
      </c>
      <c r="D9" s="176"/>
      <c r="E9" s="177"/>
      <c r="F9" s="46"/>
      <c r="G9" s="46">
        <v>60</v>
      </c>
      <c r="H9" s="47" t="s">
        <v>108</v>
      </c>
      <c r="I9" s="48"/>
      <c r="J9" s="21"/>
      <c r="K9" s="21"/>
      <c r="L9" s="21"/>
      <c r="M9" s="21"/>
      <c r="N9" s="21"/>
    </row>
    <row r="10" spans="1:14" x14ac:dyDescent="0.2">
      <c r="A10" s="49">
        <v>0.625</v>
      </c>
      <c r="B10" s="50">
        <v>0.70833333333333337</v>
      </c>
      <c r="C10" s="172" t="s">
        <v>129</v>
      </c>
      <c r="D10" s="173"/>
      <c r="E10" s="174"/>
      <c r="F10" s="51"/>
      <c r="G10" s="51"/>
      <c r="H10" s="51"/>
      <c r="I10" s="52" t="s">
        <v>130</v>
      </c>
      <c r="J10" s="21"/>
      <c r="K10" s="21"/>
      <c r="L10" s="21"/>
      <c r="M10" s="21"/>
      <c r="N10" s="21"/>
    </row>
    <row r="11" spans="1:14" x14ac:dyDescent="0.2">
      <c r="A11" s="49">
        <v>0.71875</v>
      </c>
      <c r="B11" s="50">
        <v>0.75</v>
      </c>
      <c r="C11" s="172" t="s">
        <v>129</v>
      </c>
      <c r="D11" s="173"/>
      <c r="E11" s="174"/>
      <c r="F11" s="51"/>
      <c r="G11" s="51"/>
      <c r="H11" s="51"/>
      <c r="I11" s="52" t="s">
        <v>130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78" t="s">
        <v>110</v>
      </c>
      <c r="D12" s="179"/>
      <c r="E12" s="180"/>
      <c r="F12" s="43"/>
      <c r="G12" s="43"/>
      <c r="H12" s="42"/>
      <c r="I12" s="27" t="s">
        <v>126</v>
      </c>
      <c r="J12" s="21"/>
      <c r="K12" s="21"/>
      <c r="L12" s="21"/>
      <c r="M12" s="21"/>
      <c r="N12" s="21"/>
    </row>
    <row r="13" spans="1:14" ht="15" customHeight="1" x14ac:dyDescent="0.2">
      <c r="A13" s="55">
        <v>0.83333333333333337</v>
      </c>
      <c r="B13" s="56">
        <v>0.875</v>
      </c>
      <c r="C13" s="181" t="s">
        <v>127</v>
      </c>
      <c r="D13" s="182"/>
      <c r="E13" s="183"/>
      <c r="F13" s="57"/>
      <c r="G13" s="57">
        <v>60</v>
      </c>
      <c r="H13" s="47" t="s">
        <v>108</v>
      </c>
      <c r="I13" s="58"/>
      <c r="J13" s="21"/>
      <c r="K13" s="21"/>
      <c r="L13" s="21"/>
      <c r="M13" s="21"/>
      <c r="N13" s="21"/>
    </row>
    <row r="14" spans="1:14" x14ac:dyDescent="0.2">
      <c r="A14" s="61"/>
      <c r="B14" s="62"/>
      <c r="C14" s="62"/>
      <c r="D14" s="62"/>
      <c r="E14" s="62"/>
      <c r="F14" s="62"/>
      <c r="G14" s="62"/>
      <c r="H14" s="62"/>
      <c r="I14" s="63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184" t="s">
        <v>131</v>
      </c>
      <c r="D15" s="185"/>
      <c r="E15" s="186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4">
        <v>0.33333333333333331</v>
      </c>
      <c r="B16" s="45">
        <v>0.375</v>
      </c>
      <c r="C16" s="187" t="s">
        <v>107</v>
      </c>
      <c r="D16" s="188"/>
      <c r="E16" s="189"/>
      <c r="F16" s="59"/>
      <c r="G16" s="59">
        <v>60</v>
      </c>
      <c r="H16" s="59"/>
      <c r="I16" s="60"/>
      <c r="J16" s="21"/>
      <c r="K16" s="21"/>
      <c r="L16" s="21"/>
      <c r="M16" s="21"/>
      <c r="N16" s="21"/>
    </row>
    <row r="17" spans="1:14" x14ac:dyDescent="0.2">
      <c r="A17" s="49">
        <v>0.375</v>
      </c>
      <c r="B17" s="50">
        <v>0.45833333333333331</v>
      </c>
      <c r="C17" s="172" t="s">
        <v>129</v>
      </c>
      <c r="D17" s="173"/>
      <c r="E17" s="174"/>
      <c r="F17" s="51"/>
      <c r="G17" s="51"/>
      <c r="H17" s="51"/>
      <c r="I17" s="52" t="s">
        <v>130</v>
      </c>
      <c r="J17" s="21"/>
      <c r="K17" s="21"/>
      <c r="L17" s="21"/>
      <c r="M17" s="21"/>
      <c r="N17" s="21"/>
    </row>
    <row r="18" spans="1:14" x14ac:dyDescent="0.2">
      <c r="A18" s="49">
        <v>0.46875</v>
      </c>
      <c r="B18" s="50">
        <v>0.5625</v>
      </c>
      <c r="C18" s="172" t="s">
        <v>129</v>
      </c>
      <c r="D18" s="173"/>
      <c r="E18" s="174"/>
      <c r="F18" s="51"/>
      <c r="G18" s="51"/>
      <c r="H18" s="51"/>
      <c r="I18" s="52" t="s">
        <v>130</v>
      </c>
      <c r="J18" s="21"/>
      <c r="K18" s="21"/>
      <c r="L18" s="21"/>
      <c r="M18" s="21"/>
      <c r="N18" s="21"/>
    </row>
    <row r="19" spans="1:14" x14ac:dyDescent="0.2">
      <c r="A19" s="44">
        <v>0.5625</v>
      </c>
      <c r="B19" s="45">
        <v>0.60416666666666663</v>
      </c>
      <c r="C19" s="175" t="s">
        <v>109</v>
      </c>
      <c r="D19" s="176"/>
      <c r="E19" s="177"/>
      <c r="F19" s="46"/>
      <c r="G19" s="46">
        <v>60</v>
      </c>
      <c r="H19" s="47" t="s">
        <v>108</v>
      </c>
      <c r="I19" s="48"/>
      <c r="J19" s="21"/>
      <c r="K19" s="21"/>
      <c r="L19" s="21"/>
      <c r="M19" s="21"/>
      <c r="N19" s="21"/>
    </row>
    <row r="20" spans="1:14" x14ac:dyDescent="0.2">
      <c r="A20" s="49">
        <v>0.625</v>
      </c>
      <c r="B20" s="50">
        <v>0.70833333333333337</v>
      </c>
      <c r="C20" s="172" t="s">
        <v>129</v>
      </c>
      <c r="D20" s="173"/>
      <c r="E20" s="174"/>
      <c r="F20" s="51"/>
      <c r="G20" s="51"/>
      <c r="H20" s="51"/>
      <c r="I20" s="52" t="s">
        <v>130</v>
      </c>
      <c r="J20" s="21"/>
      <c r="K20" s="21"/>
      <c r="L20" s="21"/>
      <c r="M20" s="21"/>
      <c r="N20" s="21"/>
    </row>
    <row r="21" spans="1:14" x14ac:dyDescent="0.2">
      <c r="A21" s="49">
        <v>0.71875</v>
      </c>
      <c r="B21" s="50">
        <v>0.75</v>
      </c>
      <c r="C21" s="172" t="s">
        <v>129</v>
      </c>
      <c r="D21" s="173"/>
      <c r="E21" s="174"/>
      <c r="F21" s="51"/>
      <c r="G21" s="51"/>
      <c r="H21" s="51"/>
      <c r="I21" s="52" t="s">
        <v>130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78" t="s">
        <v>110</v>
      </c>
      <c r="D22" s="179"/>
      <c r="E22" s="180"/>
      <c r="F22" s="43"/>
      <c r="G22" s="43"/>
      <c r="H22" s="42"/>
      <c r="I22" s="27" t="s">
        <v>126</v>
      </c>
      <c r="J22" s="21"/>
      <c r="K22" s="21"/>
      <c r="L22" s="21"/>
      <c r="M22" s="21"/>
      <c r="N22" s="21"/>
    </row>
    <row r="23" spans="1:14" ht="15" customHeight="1" x14ac:dyDescent="0.2">
      <c r="A23" s="55">
        <v>0.83333333333333337</v>
      </c>
      <c r="B23" s="56">
        <v>0.875</v>
      </c>
      <c r="C23" s="181" t="s">
        <v>127</v>
      </c>
      <c r="D23" s="182"/>
      <c r="E23" s="183"/>
      <c r="F23" s="57"/>
      <c r="G23" s="57">
        <v>60</v>
      </c>
      <c r="H23" s="47" t="s">
        <v>108</v>
      </c>
      <c r="I23" s="58"/>
      <c r="J23" s="21"/>
      <c r="K23" s="21"/>
      <c r="L23" s="21"/>
      <c r="M23" s="21"/>
      <c r="N23" s="21"/>
    </row>
    <row r="24" spans="1:14" s="54" customFormat="1" ht="15" customHeight="1" x14ac:dyDescent="0.2">
      <c r="A24" s="64"/>
      <c r="B24" s="64"/>
      <c r="C24" s="65"/>
      <c r="D24" s="65"/>
      <c r="E24" s="65"/>
      <c r="F24" s="66"/>
      <c r="G24" s="66"/>
      <c r="H24" s="67"/>
      <c r="I24" s="68"/>
      <c r="J24" s="53"/>
      <c r="K24" s="53"/>
      <c r="L24" s="53"/>
      <c r="M24" s="53"/>
      <c r="N24" s="53"/>
    </row>
    <row r="25" spans="1:14" x14ac:dyDescent="0.2">
      <c r="A25" s="28" t="s">
        <v>101</v>
      </c>
      <c r="B25" s="29" t="s">
        <v>102</v>
      </c>
      <c r="C25" s="184" t="s">
        <v>132</v>
      </c>
      <c r="D25" s="185"/>
      <c r="E25" s="186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4">
        <v>0.33333333333333331</v>
      </c>
      <c r="B26" s="45">
        <v>0.375</v>
      </c>
      <c r="C26" s="187" t="s">
        <v>107</v>
      </c>
      <c r="D26" s="188"/>
      <c r="E26" s="189"/>
      <c r="F26" s="59"/>
      <c r="G26" s="59">
        <v>60</v>
      </c>
      <c r="H26" s="59"/>
      <c r="I26" s="60"/>
      <c r="J26" s="21"/>
      <c r="K26" s="21"/>
      <c r="L26" s="21"/>
      <c r="M26" s="21"/>
      <c r="N26" s="21"/>
    </row>
    <row r="27" spans="1:14" x14ac:dyDescent="0.2">
      <c r="A27" s="49">
        <v>0.375</v>
      </c>
      <c r="B27" s="50">
        <v>0.45833333333333331</v>
      </c>
      <c r="C27" s="172" t="s">
        <v>129</v>
      </c>
      <c r="D27" s="173"/>
      <c r="E27" s="174"/>
      <c r="F27" s="51"/>
      <c r="G27" s="51"/>
      <c r="H27" s="51"/>
      <c r="I27" s="52" t="s">
        <v>130</v>
      </c>
      <c r="J27" s="21"/>
      <c r="K27" s="21"/>
      <c r="L27" s="21"/>
      <c r="M27" s="21"/>
      <c r="N27" s="21"/>
    </row>
    <row r="28" spans="1:14" x14ac:dyDescent="0.2">
      <c r="A28" s="49">
        <v>0.46875</v>
      </c>
      <c r="B28" s="50">
        <v>0.5625</v>
      </c>
      <c r="C28" s="172" t="s">
        <v>129</v>
      </c>
      <c r="D28" s="173"/>
      <c r="E28" s="174"/>
      <c r="F28" s="51"/>
      <c r="G28" s="51"/>
      <c r="H28" s="51"/>
      <c r="I28" s="52" t="s">
        <v>130</v>
      </c>
      <c r="J28" s="21"/>
      <c r="K28" s="21"/>
      <c r="L28" s="21"/>
      <c r="M28" s="21"/>
      <c r="N28" s="21"/>
    </row>
    <row r="29" spans="1:14" x14ac:dyDescent="0.2">
      <c r="A29" s="44">
        <v>0.5625</v>
      </c>
      <c r="B29" s="45">
        <v>0.60416666666666663</v>
      </c>
      <c r="C29" s="175" t="s">
        <v>109</v>
      </c>
      <c r="D29" s="176"/>
      <c r="E29" s="177"/>
      <c r="F29" s="46"/>
      <c r="G29" s="46">
        <v>60</v>
      </c>
      <c r="H29" s="47" t="s">
        <v>108</v>
      </c>
      <c r="I29" s="48"/>
      <c r="J29" s="21"/>
      <c r="K29" s="21"/>
      <c r="L29" s="21"/>
      <c r="M29" s="21"/>
      <c r="N29" s="21"/>
    </row>
    <row r="30" spans="1:14" x14ac:dyDescent="0.2">
      <c r="A30" s="49">
        <v>0.625</v>
      </c>
      <c r="B30" s="50">
        <v>0.70833333333333337</v>
      </c>
      <c r="C30" s="172" t="s">
        <v>129</v>
      </c>
      <c r="D30" s="173"/>
      <c r="E30" s="174"/>
      <c r="F30" s="51"/>
      <c r="G30" s="51"/>
      <c r="H30" s="51"/>
      <c r="I30" s="52" t="s">
        <v>130</v>
      </c>
      <c r="J30" s="21"/>
      <c r="K30" s="21"/>
      <c r="L30" s="21"/>
      <c r="M30" s="21"/>
      <c r="N30" s="21"/>
    </row>
    <row r="31" spans="1:14" x14ac:dyDescent="0.2">
      <c r="A31" s="49">
        <v>0.71875</v>
      </c>
      <c r="B31" s="50">
        <v>0.75</v>
      </c>
      <c r="C31" s="172" t="s">
        <v>129</v>
      </c>
      <c r="D31" s="173"/>
      <c r="E31" s="174"/>
      <c r="F31" s="51"/>
      <c r="G31" s="51"/>
      <c r="H31" s="51"/>
      <c r="I31" s="52" t="s">
        <v>130</v>
      </c>
      <c r="J31" s="21"/>
      <c r="K31" s="21"/>
      <c r="L31" s="21"/>
      <c r="M31" s="21"/>
      <c r="N31" s="21"/>
    </row>
    <row r="32" spans="1:14" s="54" customFormat="1" ht="15" customHeight="1" x14ac:dyDescent="0.2">
      <c r="A32" s="193"/>
      <c r="B32" s="193"/>
      <c r="C32" s="193"/>
      <c r="D32" s="193"/>
      <c r="E32" s="193"/>
      <c r="F32" s="193"/>
      <c r="G32" s="193"/>
      <c r="H32" s="193"/>
      <c r="I32" s="193"/>
      <c r="J32" s="53"/>
      <c r="K32" s="53"/>
      <c r="L32" s="53"/>
      <c r="M32" s="53"/>
      <c r="N32" s="53"/>
    </row>
    <row r="33" spans="1:14" s="54" customFormat="1" ht="15" customHeight="1" x14ac:dyDescent="0.2">
      <c r="A33" s="194" t="s">
        <v>133</v>
      </c>
      <c r="B33" s="194"/>
      <c r="C33" s="194"/>
      <c r="D33" s="194"/>
      <c r="E33" s="194"/>
      <c r="F33" s="194"/>
      <c r="G33" s="194"/>
      <c r="H33" s="194"/>
      <c r="I33" s="194"/>
      <c r="J33" s="53"/>
      <c r="K33" s="53"/>
      <c r="L33" s="53"/>
      <c r="M33" s="53"/>
      <c r="N33" s="53"/>
    </row>
    <row r="34" spans="1:14" s="54" customFormat="1" ht="15" customHeight="1" x14ac:dyDescent="0.2">
      <c r="A34" s="193"/>
      <c r="B34" s="193"/>
      <c r="C34" s="193"/>
      <c r="D34" s="193"/>
      <c r="E34" s="193"/>
      <c r="F34" s="193"/>
      <c r="G34" s="193"/>
      <c r="H34" s="193"/>
      <c r="I34" s="193"/>
      <c r="J34" s="53"/>
      <c r="K34" s="53"/>
      <c r="L34" s="53"/>
      <c r="M34" s="53"/>
      <c r="N34" s="53"/>
    </row>
    <row r="35" spans="1:14" s="54" customFormat="1" ht="15" customHeight="1" x14ac:dyDescent="0.2">
      <c r="A35" s="193"/>
      <c r="B35" s="193"/>
      <c r="C35" s="193"/>
      <c r="D35" s="193"/>
      <c r="E35" s="193"/>
      <c r="F35" s="193"/>
      <c r="G35" s="193"/>
      <c r="H35" s="193"/>
      <c r="I35" s="193"/>
      <c r="J35" s="53"/>
      <c r="K35" s="53"/>
      <c r="L35" s="53"/>
      <c r="M35" s="53"/>
      <c r="N35" s="53"/>
    </row>
    <row r="36" spans="1:14" s="54" customFormat="1" ht="15" customHeight="1" x14ac:dyDescent="0.2">
      <c r="A36" s="193"/>
      <c r="B36" s="193"/>
      <c r="C36" s="193"/>
      <c r="D36" s="193"/>
      <c r="E36" s="193"/>
      <c r="F36" s="193"/>
      <c r="G36" s="193"/>
      <c r="H36" s="193"/>
      <c r="I36" s="193"/>
      <c r="J36" s="53"/>
      <c r="K36" s="53"/>
      <c r="L36" s="53"/>
      <c r="M36" s="53"/>
      <c r="N36" s="53"/>
    </row>
    <row r="37" spans="1:14" s="54" customFormat="1" ht="15" customHeight="1" x14ac:dyDescent="0.2">
      <c r="A37" s="193"/>
      <c r="B37" s="193"/>
      <c r="C37" s="193"/>
      <c r="D37" s="193"/>
      <c r="E37" s="193"/>
      <c r="F37" s="193"/>
      <c r="G37" s="193"/>
      <c r="H37" s="193"/>
      <c r="I37" s="193"/>
      <c r="J37" s="53"/>
      <c r="K37" s="53"/>
      <c r="L37" s="53"/>
      <c r="M37" s="53"/>
      <c r="N37" s="53"/>
    </row>
    <row r="38" spans="1:14" s="54" customFormat="1" ht="15" customHeight="1" x14ac:dyDescent="0.2">
      <c r="A38" s="193"/>
      <c r="B38" s="193"/>
      <c r="C38" s="193"/>
      <c r="D38" s="193"/>
      <c r="E38" s="193"/>
      <c r="F38" s="193"/>
      <c r="G38" s="193"/>
      <c r="H38" s="193"/>
      <c r="I38" s="193"/>
      <c r="J38" s="53"/>
      <c r="K38" s="53"/>
      <c r="L38" s="53"/>
      <c r="M38" s="53"/>
      <c r="N38" s="53"/>
    </row>
    <row r="39" spans="1:14" s="54" customFormat="1" ht="15" customHeight="1" x14ac:dyDescent="0.2">
      <c r="A39" s="193"/>
      <c r="B39" s="193"/>
      <c r="C39" s="193"/>
      <c r="D39" s="193"/>
      <c r="E39" s="193"/>
      <c r="F39" s="193"/>
      <c r="G39" s="193"/>
      <c r="H39" s="193"/>
      <c r="I39" s="193"/>
      <c r="J39" s="53"/>
      <c r="K39" s="53"/>
      <c r="L39" s="53"/>
      <c r="M39" s="53"/>
      <c r="N39" s="53"/>
    </row>
    <row r="40" spans="1:14" s="54" customFormat="1" ht="15" customHeight="1" x14ac:dyDescent="0.2">
      <c r="A40" s="64"/>
      <c r="B40" s="64"/>
      <c r="C40" s="65"/>
      <c r="D40" s="65"/>
      <c r="E40" s="65"/>
      <c r="F40" s="66"/>
      <c r="G40" s="66"/>
      <c r="H40" s="67"/>
      <c r="I40" s="68"/>
      <c r="J40" s="53"/>
      <c r="K40" s="53"/>
      <c r="L40" s="53"/>
      <c r="M40" s="53"/>
      <c r="N40" s="53"/>
    </row>
    <row r="41" spans="1:14" s="54" customFormat="1" ht="15" customHeight="1" x14ac:dyDescent="0.2">
      <c r="A41" s="64"/>
      <c r="B41" s="64"/>
      <c r="C41" s="65"/>
      <c r="D41" s="65"/>
      <c r="E41" s="65"/>
      <c r="F41" s="66"/>
      <c r="G41" s="66"/>
      <c r="H41" s="67"/>
      <c r="I41" s="68"/>
      <c r="J41" s="53"/>
      <c r="K41" s="53"/>
      <c r="L41" s="53"/>
      <c r="M41" s="53"/>
      <c r="N41" s="53"/>
    </row>
    <row r="42" spans="1:14" s="54" customFormat="1" ht="15" customHeight="1" x14ac:dyDescent="0.2">
      <c r="A42" s="64"/>
      <c r="B42" s="64"/>
      <c r="C42" s="65"/>
      <c r="D42" s="65"/>
      <c r="E42" s="65"/>
      <c r="F42" s="66"/>
      <c r="G42" s="66"/>
      <c r="H42" s="67"/>
      <c r="I42" s="68"/>
      <c r="J42" s="53"/>
      <c r="K42" s="53"/>
      <c r="L42" s="53"/>
      <c r="M42" s="53"/>
      <c r="N42" s="53"/>
    </row>
    <row r="43" spans="1:14" x14ac:dyDescent="0.2">
      <c r="A43" s="34"/>
      <c r="B43" s="34"/>
      <c r="C43" s="21"/>
      <c r="D43" s="34"/>
      <c r="E43" s="21"/>
      <c r="F43" s="34"/>
      <c r="G43" s="34"/>
      <c r="H43" s="34"/>
      <c r="I43" s="21"/>
      <c r="J43" s="21"/>
      <c r="K43" s="21"/>
      <c r="L43" s="21"/>
      <c r="M43" s="21"/>
      <c r="N43" s="21"/>
    </row>
    <row r="44" spans="1:14" ht="24" customHeight="1" x14ac:dyDescent="0.2">
      <c r="A44" s="195" t="s">
        <v>111</v>
      </c>
      <c r="B44" s="195"/>
      <c r="C44" s="195"/>
      <c r="D44" s="195"/>
      <c r="E44" s="195"/>
      <c r="F44" s="195"/>
      <c r="G44" s="195"/>
      <c r="H44" s="34"/>
      <c r="I44" s="30" t="s">
        <v>112</v>
      </c>
      <c r="J44" s="21"/>
      <c r="K44" s="21"/>
      <c r="L44" s="21"/>
      <c r="M44" s="21"/>
      <c r="N44" s="21"/>
    </row>
    <row r="45" spans="1:14" x14ac:dyDescent="0.2">
      <c r="A45" s="190"/>
      <c r="B45" s="190"/>
      <c r="C45" s="190"/>
      <c r="D45" s="190"/>
      <c r="E45" s="190"/>
      <c r="F45" s="190"/>
      <c r="G45" s="190"/>
      <c r="H45" s="34"/>
      <c r="I45" s="21"/>
      <c r="J45" s="21"/>
      <c r="K45" s="21"/>
      <c r="L45" s="21"/>
      <c r="M45" s="21"/>
      <c r="N45" s="21"/>
    </row>
    <row r="46" spans="1:14" x14ac:dyDescent="0.2">
      <c r="A46" s="192" t="s">
        <v>113</v>
      </c>
      <c r="B46" s="192"/>
      <c r="C46" s="192"/>
      <c r="D46" s="192"/>
      <c r="E46" s="192"/>
      <c r="F46" s="192"/>
      <c r="G46" s="192"/>
      <c r="H46" s="34"/>
      <c r="I46" s="21"/>
      <c r="J46" s="21"/>
      <c r="K46" s="21"/>
      <c r="L46" s="21"/>
      <c r="M46" s="21"/>
      <c r="N46" s="21"/>
    </row>
    <row r="47" spans="1:14" x14ac:dyDescent="0.2">
      <c r="A47" s="34"/>
      <c r="B47" s="34"/>
      <c r="C47" s="21"/>
      <c r="D47" s="21"/>
      <c r="E47" s="21"/>
      <c r="F47" s="34"/>
      <c r="G47" s="34"/>
      <c r="H47" s="34"/>
      <c r="I47" s="21"/>
      <c r="J47" s="21"/>
      <c r="K47" s="21"/>
      <c r="L47" s="21"/>
      <c r="M47" s="21"/>
      <c r="N47" s="21"/>
    </row>
    <row r="48" spans="1:14" x14ac:dyDescent="0.2">
      <c r="A48" s="34"/>
      <c r="B48" s="34"/>
      <c r="C48" s="21"/>
      <c r="D48" s="21"/>
      <c r="E48" s="21"/>
      <c r="F48" s="34"/>
      <c r="G48" s="34"/>
      <c r="H48" s="34"/>
      <c r="I48" s="21"/>
      <c r="J48" s="21"/>
      <c r="K48" s="21"/>
      <c r="L48" s="21"/>
      <c r="M48" s="21"/>
      <c r="N48" s="21"/>
    </row>
    <row r="49" spans="1:14" x14ac:dyDescent="0.2">
      <c r="A49" s="34"/>
      <c r="B49" s="34"/>
      <c r="C49" s="21"/>
      <c r="D49" s="21"/>
      <c r="E49" s="21"/>
      <c r="F49" s="34"/>
      <c r="G49" s="34"/>
      <c r="H49" s="34"/>
      <c r="I49" s="21"/>
      <c r="J49" s="21"/>
      <c r="K49" s="21"/>
      <c r="L49" s="21"/>
      <c r="M49" s="21"/>
      <c r="N49" s="21"/>
    </row>
    <row r="50" spans="1:14" x14ac:dyDescent="0.2">
      <c r="A50" s="34"/>
      <c r="B50" s="34"/>
      <c r="C50" s="21"/>
      <c r="D50" s="21"/>
      <c r="E50" s="21"/>
      <c r="F50" s="34"/>
      <c r="G50" s="34"/>
      <c r="H50" s="34"/>
      <c r="I50" s="21"/>
      <c r="J50" s="21"/>
      <c r="K50" s="21"/>
      <c r="L50" s="21"/>
      <c r="M50" s="21"/>
      <c r="N50" s="21"/>
    </row>
    <row r="51" spans="1:14" x14ac:dyDescent="0.2">
      <c r="A51" s="34"/>
      <c r="B51" s="34"/>
      <c r="C51" s="21"/>
      <c r="D51" s="21"/>
      <c r="E51" s="21"/>
      <c r="F51" s="34"/>
      <c r="G51" s="34"/>
      <c r="H51" s="34"/>
      <c r="I51" s="21"/>
      <c r="J51" s="21"/>
      <c r="K51" s="21"/>
      <c r="L51" s="21"/>
      <c r="M51" s="21"/>
      <c r="N51" s="21"/>
    </row>
    <row r="52" spans="1:14" x14ac:dyDescent="0.2">
      <c r="A52" s="34"/>
      <c r="B52" s="34"/>
      <c r="C52" s="21"/>
      <c r="D52" s="21"/>
      <c r="E52" s="21"/>
      <c r="F52" s="34"/>
      <c r="G52" s="34"/>
      <c r="H52" s="34"/>
      <c r="I52" s="21"/>
      <c r="J52" s="21"/>
      <c r="K52" s="21"/>
      <c r="L52" s="21"/>
      <c r="M52" s="21"/>
      <c r="N52" s="21"/>
    </row>
    <row r="53" spans="1:14" x14ac:dyDescent="0.2">
      <c r="A53" s="34"/>
      <c r="B53" s="34"/>
      <c r="C53" s="21"/>
      <c r="D53" s="21"/>
      <c r="E53" s="21"/>
      <c r="F53" s="34"/>
      <c r="G53" s="34"/>
      <c r="H53" s="34"/>
      <c r="I53" s="21"/>
      <c r="J53" s="21"/>
      <c r="K53" s="21"/>
      <c r="L53" s="21"/>
      <c r="M53" s="21"/>
      <c r="N53" s="21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2" t="s">
        <v>233</v>
      </c>
    </row>
    <row r="3" spans="1:1" ht="28" customHeight="1" thickBot="1" x14ac:dyDescent="0.25">
      <c r="A3" s="93" t="s">
        <v>234</v>
      </c>
    </row>
    <row r="4" spans="1:1" ht="17" x14ac:dyDescent="0.2">
      <c r="A4" s="94" t="s">
        <v>235</v>
      </c>
    </row>
    <row r="5" spans="1:1" ht="41" customHeight="1" x14ac:dyDescent="0.25">
      <c r="A5" s="95" t="s">
        <v>236</v>
      </c>
    </row>
    <row r="6" spans="1:1" ht="33" customHeight="1" thickBot="1" x14ac:dyDescent="0.25">
      <c r="A6" s="93" t="s">
        <v>238</v>
      </c>
    </row>
    <row r="7" spans="1:1" ht="29" customHeight="1" thickBot="1" x14ac:dyDescent="0.25">
      <c r="A7" s="9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2018-02-03T19:20:30Z</dcterms:modified>
</cp:coreProperties>
</file>