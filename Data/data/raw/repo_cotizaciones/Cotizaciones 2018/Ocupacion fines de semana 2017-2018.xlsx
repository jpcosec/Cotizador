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carmenrodriguez/Dropbox/"/>
    </mc:Choice>
  </mc:AlternateContent>
  <bookViews>
    <workbookView xWindow="5080" yWindow="480" windowWidth="28800" windowHeight="16060" tabRatio="500"/>
  </bookViews>
  <sheets>
    <sheet name="Hoja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6" i="1" l="1"/>
  <c r="N35" i="1"/>
  <c r="M35" i="1"/>
  <c r="M36" i="1"/>
  <c r="C52" i="1"/>
  <c r="C12" i="1"/>
  <c r="C7" i="1"/>
</calcChain>
</file>

<file path=xl/sharedStrings.xml><?xml version="1.0" encoding="utf-8"?>
<sst xmlns="http://schemas.openxmlformats.org/spreadsheetml/2006/main" count="40" uniqueCount="34">
  <si>
    <t>Ocupación</t>
  </si>
  <si>
    <t>festival de yoga</t>
  </si>
  <si>
    <t>tae kon do</t>
  </si>
  <si>
    <t>centi</t>
  </si>
  <si>
    <t>semana santa</t>
  </si>
  <si>
    <t>fin de largo</t>
  </si>
  <si>
    <t>herbalife 50%</t>
  </si>
  <si>
    <t>enel 60%</t>
  </si>
  <si>
    <t>rita</t>
  </si>
  <si>
    <t>la araucana</t>
  </si>
  <si>
    <t>eventos doc</t>
  </si>
  <si>
    <t>sabado</t>
  </si>
  <si>
    <t>Dgo</t>
  </si>
  <si>
    <t>Tae kon do</t>
  </si>
  <si>
    <t>Grunenthal</t>
  </si>
  <si>
    <t>Centi</t>
  </si>
  <si>
    <t>fin de semana de amor.</t>
  </si>
  <si>
    <t>Fin de semasna de humor.</t>
  </si>
  <si>
    <t>Eventos Lodge clases y  lectura Tarot.</t>
  </si>
  <si>
    <t xml:space="preserve"> </t>
  </si>
  <si>
    <t>Fin de semana Santo</t>
  </si>
  <si>
    <t>Fin de mistico</t>
  </si>
  <si>
    <t>Fin de semana largo</t>
  </si>
  <si>
    <t>feriado</t>
  </si>
  <si>
    <t>fin de semana mistico</t>
  </si>
  <si>
    <t>fin de mistico</t>
  </si>
  <si>
    <t>Año Nuevo</t>
  </si>
  <si>
    <t>Sabado</t>
  </si>
  <si>
    <t>Eventos</t>
  </si>
  <si>
    <t>Ocupacion</t>
  </si>
  <si>
    <t>Pedro Engel</t>
  </si>
  <si>
    <t>Evento</t>
  </si>
  <si>
    <t>$70000 curso 2 dias.</t>
  </si>
  <si>
    <t>$40.000 pasajeros alojados.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</si>
</sst>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AEE6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5" xfId="0" applyBorder="1"/>
    <xf numFmtId="16" fontId="0" fillId="0" borderId="4" xfId="0" applyNumberFormat="1" applyBorder="1"/>
    <xf numFmtId="16" fontId="0" fillId="0" borderId="0" xfId="0" applyNumberFormat="1" applyBorder="1"/>
    <xf numFmtId="164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5" xfId="0" applyFont="1" applyBorder="1"/>
    <xf numFmtId="16" fontId="0" fillId="0" borderId="6" xfId="0" applyNumberFormat="1" applyBorder="1"/>
    <xf numFmtId="16" fontId="0" fillId="0" borderId="7" xfId="0" applyNumberFormat="1" applyBorder="1"/>
    <xf numFmtId="0" fontId="0" fillId="0" borderId="9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/>
    <xf numFmtId="0" fontId="0" fillId="0" borderId="10" xfId="0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tabSelected="1" topLeftCell="A13" workbookViewId="0">
      <selection activeCell="N37" sqref="N37"/>
    </sheetView>
  </sheetViews>
  <sheetFormatPr baseColWidth="10" defaultRowHeight="16" x14ac:dyDescent="0.2"/>
  <cols>
    <col min="4" max="4" width="21.5" customWidth="1"/>
    <col min="5" max="5" width="6.5" customWidth="1"/>
    <col min="9" max="9" width="33.6640625" customWidth="1"/>
  </cols>
  <sheetData>
    <row r="1" spans="1:9" x14ac:dyDescent="0.2">
      <c r="A1" s="15">
        <v>2017</v>
      </c>
      <c r="B1" s="16"/>
      <c r="C1" s="16"/>
      <c r="D1" s="17"/>
      <c r="F1" s="18">
        <v>2018</v>
      </c>
      <c r="G1" s="19"/>
      <c r="H1" s="19"/>
      <c r="I1" s="20"/>
    </row>
    <row r="2" spans="1:9" x14ac:dyDescent="0.2">
      <c r="A2" s="1" t="s">
        <v>11</v>
      </c>
      <c r="B2" s="2" t="s">
        <v>12</v>
      </c>
      <c r="C2" s="22" t="s">
        <v>0</v>
      </c>
      <c r="D2" s="21" t="s">
        <v>31</v>
      </c>
      <c r="F2" s="1" t="s">
        <v>27</v>
      </c>
      <c r="G2" s="2" t="s">
        <v>12</v>
      </c>
      <c r="H2" s="2" t="s">
        <v>29</v>
      </c>
      <c r="I2" s="21" t="s">
        <v>28</v>
      </c>
    </row>
    <row r="3" spans="1:9" x14ac:dyDescent="0.2">
      <c r="A3" s="5">
        <v>43464</v>
      </c>
      <c r="B3" s="6">
        <v>43101</v>
      </c>
      <c r="C3" s="7">
        <v>88</v>
      </c>
      <c r="D3" s="4"/>
      <c r="F3" s="5">
        <v>43106</v>
      </c>
      <c r="G3" s="6">
        <v>43107</v>
      </c>
      <c r="H3" s="3"/>
      <c r="I3" s="4"/>
    </row>
    <row r="4" spans="1:9" x14ac:dyDescent="0.2">
      <c r="A4" s="5">
        <v>43107</v>
      </c>
      <c r="B4" s="6">
        <v>43108</v>
      </c>
      <c r="C4" s="3">
        <v>54</v>
      </c>
      <c r="D4" s="4"/>
      <c r="F4" s="5">
        <v>43113</v>
      </c>
      <c r="G4" s="6">
        <v>43114</v>
      </c>
      <c r="H4" s="3"/>
      <c r="I4" s="4"/>
    </row>
    <row r="5" spans="1:9" x14ac:dyDescent="0.2">
      <c r="A5" s="5">
        <v>43114</v>
      </c>
      <c r="B5" s="6">
        <v>43115</v>
      </c>
      <c r="C5" s="3">
        <v>81</v>
      </c>
      <c r="D5" s="4"/>
      <c r="F5" s="5">
        <v>43120</v>
      </c>
      <c r="G5" s="6">
        <v>43121</v>
      </c>
      <c r="H5" s="3"/>
      <c r="I5" s="4"/>
    </row>
    <row r="6" spans="1:9" x14ac:dyDescent="0.2">
      <c r="A6" s="5">
        <v>43121</v>
      </c>
      <c r="B6" s="6">
        <v>43122</v>
      </c>
      <c r="C6" s="3">
        <v>88</v>
      </c>
      <c r="D6" s="4" t="s">
        <v>1</v>
      </c>
      <c r="F6" s="5">
        <v>43127</v>
      </c>
      <c r="G6" s="6">
        <v>43128</v>
      </c>
      <c r="H6" s="3"/>
      <c r="I6" s="4"/>
    </row>
    <row r="7" spans="1:9" x14ac:dyDescent="0.2">
      <c r="A7" s="5">
        <v>43128</v>
      </c>
      <c r="B7" s="6">
        <v>43129</v>
      </c>
      <c r="C7" s="3">
        <f>88-17</f>
        <v>71</v>
      </c>
      <c r="D7" s="4"/>
      <c r="F7" s="5">
        <v>43134</v>
      </c>
      <c r="G7" s="6">
        <v>43135</v>
      </c>
      <c r="H7" s="3"/>
      <c r="I7" s="4"/>
    </row>
    <row r="8" spans="1:9" x14ac:dyDescent="0.2">
      <c r="A8" s="5">
        <v>43135</v>
      </c>
      <c r="B8" s="6">
        <v>43136</v>
      </c>
      <c r="C8" s="3">
        <v>85</v>
      </c>
      <c r="D8" s="4"/>
      <c r="F8" s="5">
        <v>43141</v>
      </c>
      <c r="G8" s="6">
        <v>43142</v>
      </c>
      <c r="H8" s="3"/>
      <c r="I8" s="4" t="s">
        <v>16</v>
      </c>
    </row>
    <row r="9" spans="1:9" x14ac:dyDescent="0.2">
      <c r="A9" s="5">
        <v>43142</v>
      </c>
      <c r="B9" s="6">
        <v>43143</v>
      </c>
      <c r="C9" s="3">
        <v>87</v>
      </c>
      <c r="D9" s="4"/>
      <c r="F9" s="5">
        <v>43148</v>
      </c>
      <c r="G9" s="6">
        <v>43149</v>
      </c>
      <c r="H9" s="3"/>
      <c r="I9" s="4" t="s">
        <v>17</v>
      </c>
    </row>
    <row r="10" spans="1:9" x14ac:dyDescent="0.2">
      <c r="A10" s="5">
        <v>43149</v>
      </c>
      <c r="B10" s="6">
        <v>43150</v>
      </c>
      <c r="C10" s="3">
        <v>87</v>
      </c>
      <c r="D10" s="4"/>
      <c r="F10" s="5">
        <v>43155</v>
      </c>
      <c r="G10" s="6">
        <v>43156</v>
      </c>
      <c r="H10" s="3"/>
      <c r="I10" s="4" t="s">
        <v>13</v>
      </c>
    </row>
    <row r="11" spans="1:9" x14ac:dyDescent="0.2">
      <c r="A11" s="5">
        <v>43156</v>
      </c>
      <c r="B11" s="6">
        <v>43157</v>
      </c>
      <c r="C11" s="3">
        <v>85</v>
      </c>
      <c r="D11" s="4" t="s">
        <v>2</v>
      </c>
      <c r="F11" s="5">
        <v>43162</v>
      </c>
      <c r="G11" s="6">
        <v>43163</v>
      </c>
      <c r="H11" s="3"/>
      <c r="I11" s="4" t="s">
        <v>14</v>
      </c>
    </row>
    <row r="12" spans="1:9" x14ac:dyDescent="0.2">
      <c r="A12" s="5">
        <v>43163</v>
      </c>
      <c r="B12" s="6">
        <v>43164</v>
      </c>
      <c r="C12" s="3">
        <f>88-37</f>
        <v>51</v>
      </c>
      <c r="D12" s="4"/>
      <c r="F12" s="5">
        <v>43169</v>
      </c>
      <c r="G12" s="6">
        <v>43170</v>
      </c>
      <c r="H12" s="3"/>
      <c r="I12" s="4"/>
    </row>
    <row r="13" spans="1:9" x14ac:dyDescent="0.2">
      <c r="A13" s="5">
        <v>43170</v>
      </c>
      <c r="B13" s="6">
        <v>43171</v>
      </c>
      <c r="C13" s="3">
        <v>36</v>
      </c>
      <c r="D13" s="4"/>
      <c r="F13" s="5">
        <v>43176</v>
      </c>
      <c r="G13" s="6">
        <v>43177</v>
      </c>
      <c r="H13" s="3"/>
      <c r="I13" s="11" t="s">
        <v>18</v>
      </c>
    </row>
    <row r="14" spans="1:9" x14ac:dyDescent="0.2">
      <c r="A14" s="5">
        <v>43177</v>
      </c>
      <c r="B14" s="6">
        <v>43178</v>
      </c>
      <c r="C14" s="3">
        <v>30</v>
      </c>
      <c r="D14" s="4"/>
      <c r="F14" s="5">
        <v>43183</v>
      </c>
      <c r="G14" s="6">
        <v>43184</v>
      </c>
      <c r="H14" s="3"/>
      <c r="I14" s="4" t="s">
        <v>15</v>
      </c>
    </row>
    <row r="15" spans="1:9" x14ac:dyDescent="0.2">
      <c r="A15" s="5">
        <v>43184</v>
      </c>
      <c r="B15" s="6">
        <v>43185</v>
      </c>
      <c r="C15" s="3">
        <v>19</v>
      </c>
      <c r="D15" s="4"/>
      <c r="F15" s="5">
        <v>43190</v>
      </c>
      <c r="G15" s="6">
        <v>43191</v>
      </c>
      <c r="H15" s="3"/>
      <c r="I15" s="4" t="s">
        <v>20</v>
      </c>
    </row>
    <row r="16" spans="1:9" x14ac:dyDescent="0.2">
      <c r="A16" s="5">
        <v>43191</v>
      </c>
      <c r="B16" s="6">
        <v>43192</v>
      </c>
      <c r="C16" s="3">
        <v>14</v>
      </c>
      <c r="D16" s="4"/>
      <c r="F16" s="5">
        <v>43197</v>
      </c>
      <c r="G16" s="6">
        <v>43198</v>
      </c>
      <c r="H16" s="3"/>
      <c r="I16" s="4" t="s">
        <v>19</v>
      </c>
    </row>
    <row r="17" spans="1:9" x14ac:dyDescent="0.2">
      <c r="A17" s="5">
        <v>43198</v>
      </c>
      <c r="B17" s="6">
        <v>43199</v>
      </c>
      <c r="C17" s="3">
        <v>81</v>
      </c>
      <c r="D17" s="4" t="s">
        <v>3</v>
      </c>
      <c r="F17" s="5">
        <v>43204</v>
      </c>
      <c r="G17" s="6">
        <v>43205</v>
      </c>
      <c r="H17" s="3"/>
      <c r="I17" s="4" t="s">
        <v>21</v>
      </c>
    </row>
    <row r="18" spans="1:9" x14ac:dyDescent="0.2">
      <c r="A18" s="5">
        <v>43205</v>
      </c>
      <c r="B18" s="6">
        <v>43206</v>
      </c>
      <c r="C18" s="3">
        <v>88</v>
      </c>
      <c r="D18" s="4" t="s">
        <v>4</v>
      </c>
      <c r="F18" s="5">
        <v>43211</v>
      </c>
      <c r="G18" s="6">
        <v>43212</v>
      </c>
      <c r="H18" s="3"/>
      <c r="I18" s="4"/>
    </row>
    <row r="19" spans="1:9" x14ac:dyDescent="0.2">
      <c r="A19" s="5">
        <v>43212</v>
      </c>
      <c r="B19" s="6">
        <v>43213</v>
      </c>
      <c r="C19" s="3">
        <v>25</v>
      </c>
      <c r="D19" s="4"/>
      <c r="F19" s="5">
        <v>43218</v>
      </c>
      <c r="G19" s="6">
        <v>43221</v>
      </c>
      <c r="H19" s="3"/>
      <c r="I19" s="4" t="s">
        <v>5</v>
      </c>
    </row>
    <row r="20" spans="1:9" x14ac:dyDescent="0.2">
      <c r="A20" s="5">
        <v>43219</v>
      </c>
      <c r="B20" s="6">
        <v>43220</v>
      </c>
      <c r="C20" s="3">
        <v>88</v>
      </c>
      <c r="D20" s="4" t="s">
        <v>5</v>
      </c>
      <c r="F20" s="5">
        <v>43225</v>
      </c>
      <c r="G20" s="6">
        <v>43226</v>
      </c>
      <c r="H20" s="3"/>
      <c r="I20" s="4"/>
    </row>
    <row r="21" spans="1:9" x14ac:dyDescent="0.2">
      <c r="A21" s="5">
        <v>43226</v>
      </c>
      <c r="B21" s="6">
        <v>43227</v>
      </c>
      <c r="C21" s="3">
        <v>29</v>
      </c>
      <c r="D21" s="4"/>
      <c r="F21" s="5">
        <v>43232</v>
      </c>
      <c r="G21" s="6">
        <v>43233</v>
      </c>
      <c r="H21" s="3"/>
      <c r="I21" s="4"/>
    </row>
    <row r="22" spans="1:9" x14ac:dyDescent="0.2">
      <c r="A22" s="5">
        <v>43233</v>
      </c>
      <c r="B22" s="6">
        <v>43234</v>
      </c>
      <c r="C22" s="3">
        <v>24</v>
      </c>
      <c r="D22" s="4"/>
      <c r="F22" s="5">
        <v>43239</v>
      </c>
      <c r="G22" s="6">
        <v>43240</v>
      </c>
      <c r="H22" s="3"/>
      <c r="I22" s="4" t="s">
        <v>22</v>
      </c>
    </row>
    <row r="23" spans="1:9" x14ac:dyDescent="0.2">
      <c r="A23" s="5">
        <v>43240</v>
      </c>
      <c r="B23" s="6">
        <v>43241</v>
      </c>
      <c r="C23" s="3">
        <v>7</v>
      </c>
      <c r="D23" s="4"/>
      <c r="F23" s="5">
        <v>43246</v>
      </c>
      <c r="G23" s="6">
        <v>43247</v>
      </c>
      <c r="H23" s="3"/>
      <c r="I23" s="4" t="s">
        <v>21</v>
      </c>
    </row>
    <row r="24" spans="1:9" x14ac:dyDescent="0.2">
      <c r="A24" s="5">
        <v>43247</v>
      </c>
      <c r="B24" s="6">
        <v>43248</v>
      </c>
      <c r="C24" s="3">
        <v>63</v>
      </c>
      <c r="D24" s="4"/>
      <c r="F24" s="5">
        <v>43253</v>
      </c>
      <c r="G24" s="6">
        <v>43254</v>
      </c>
      <c r="H24" s="3"/>
      <c r="I24" s="4"/>
    </row>
    <row r="25" spans="1:9" x14ac:dyDescent="0.2">
      <c r="A25" s="5">
        <v>43254</v>
      </c>
      <c r="B25" s="6">
        <v>43255</v>
      </c>
      <c r="C25" s="3">
        <v>37</v>
      </c>
      <c r="D25" s="4"/>
      <c r="F25" s="5">
        <v>43260</v>
      </c>
      <c r="G25" s="6">
        <v>43261</v>
      </c>
      <c r="H25" s="3"/>
      <c r="I25" s="4"/>
    </row>
    <row r="26" spans="1:9" x14ac:dyDescent="0.2">
      <c r="A26" s="5">
        <v>43261</v>
      </c>
      <c r="B26" s="6">
        <v>43262</v>
      </c>
      <c r="C26" s="3">
        <v>35</v>
      </c>
      <c r="D26" s="4"/>
      <c r="F26" s="5">
        <v>43267</v>
      </c>
      <c r="G26" s="6">
        <v>43268</v>
      </c>
      <c r="H26" s="3"/>
      <c r="I26" s="4"/>
    </row>
    <row r="27" spans="1:9" x14ac:dyDescent="0.2">
      <c r="A27" s="5">
        <v>43268</v>
      </c>
      <c r="B27" s="6">
        <v>43269</v>
      </c>
      <c r="C27" s="3">
        <v>38</v>
      </c>
      <c r="D27" s="4"/>
      <c r="F27" s="5">
        <v>43274</v>
      </c>
      <c r="G27" s="6">
        <v>43275</v>
      </c>
      <c r="H27" s="3"/>
      <c r="I27" s="4" t="s">
        <v>24</v>
      </c>
    </row>
    <row r="28" spans="1:9" x14ac:dyDescent="0.2">
      <c r="A28" s="5">
        <v>43275</v>
      </c>
      <c r="B28" s="6">
        <v>43276</v>
      </c>
      <c r="C28" s="3">
        <v>87</v>
      </c>
      <c r="D28" s="4"/>
      <c r="F28" s="5">
        <v>43281</v>
      </c>
      <c r="G28" s="6">
        <v>43282</v>
      </c>
      <c r="H28" s="3"/>
      <c r="I28" s="4" t="s">
        <v>23</v>
      </c>
    </row>
    <row r="29" spans="1:9" x14ac:dyDescent="0.2">
      <c r="A29" s="5">
        <v>43282</v>
      </c>
      <c r="B29" s="6">
        <v>43283</v>
      </c>
      <c r="C29" s="3">
        <v>16</v>
      </c>
      <c r="D29" s="4"/>
      <c r="F29" s="5">
        <v>43288</v>
      </c>
      <c r="G29" s="6">
        <v>43289</v>
      </c>
      <c r="H29" s="3"/>
      <c r="I29" s="4"/>
    </row>
    <row r="30" spans="1:9" x14ac:dyDescent="0.2">
      <c r="A30" s="5">
        <v>43289</v>
      </c>
      <c r="B30" s="6">
        <v>43290</v>
      </c>
      <c r="C30" s="3">
        <v>68</v>
      </c>
      <c r="D30" s="4" t="s">
        <v>6</v>
      </c>
      <c r="F30" s="5">
        <v>43295</v>
      </c>
      <c r="G30" s="6">
        <v>43296</v>
      </c>
      <c r="H30" s="3"/>
      <c r="I30" s="4"/>
    </row>
    <row r="31" spans="1:9" x14ac:dyDescent="0.2">
      <c r="A31" s="5">
        <v>43296</v>
      </c>
      <c r="B31" s="6">
        <v>43297</v>
      </c>
      <c r="C31" s="3">
        <v>85</v>
      </c>
      <c r="D31" s="4"/>
      <c r="F31" s="5">
        <v>43302</v>
      </c>
      <c r="G31" s="6">
        <v>43303</v>
      </c>
      <c r="H31" s="3"/>
      <c r="I31" s="4" t="s">
        <v>23</v>
      </c>
    </row>
    <row r="32" spans="1:9" x14ac:dyDescent="0.2">
      <c r="A32" s="5">
        <v>43303</v>
      </c>
      <c r="B32" s="6">
        <v>43304</v>
      </c>
      <c r="C32" s="3">
        <v>66</v>
      </c>
      <c r="D32" s="4"/>
      <c r="F32" s="5">
        <v>43309</v>
      </c>
      <c r="G32" s="6">
        <v>43310</v>
      </c>
      <c r="H32" s="3"/>
      <c r="I32" s="4"/>
    </row>
    <row r="33" spans="1:14" x14ac:dyDescent="0.2">
      <c r="A33" s="5">
        <v>43310</v>
      </c>
      <c r="B33" s="6">
        <v>43311</v>
      </c>
      <c r="C33" s="3">
        <v>63</v>
      </c>
      <c r="D33" s="4" t="s">
        <v>7</v>
      </c>
      <c r="F33" s="5">
        <v>43316</v>
      </c>
      <c r="G33" s="6">
        <v>43317</v>
      </c>
      <c r="H33" s="3"/>
      <c r="I33" s="4"/>
    </row>
    <row r="34" spans="1:14" x14ac:dyDescent="0.2">
      <c r="A34" s="5">
        <v>43317</v>
      </c>
      <c r="B34" s="6">
        <v>43318</v>
      </c>
      <c r="C34" s="3">
        <v>25</v>
      </c>
      <c r="D34" s="4"/>
      <c r="F34" s="5">
        <v>43323</v>
      </c>
      <c r="G34" s="6">
        <v>43324</v>
      </c>
      <c r="H34" s="3"/>
      <c r="I34" s="4"/>
    </row>
    <row r="35" spans="1:14" x14ac:dyDescent="0.2">
      <c r="A35" s="5">
        <v>43324</v>
      </c>
      <c r="B35" s="6">
        <v>43325</v>
      </c>
      <c r="C35" s="3">
        <v>80</v>
      </c>
      <c r="D35" s="4"/>
      <c r="F35" s="5">
        <v>43330</v>
      </c>
      <c r="G35" s="6">
        <v>43331</v>
      </c>
      <c r="H35" s="3"/>
      <c r="I35" s="24" t="s">
        <v>30</v>
      </c>
      <c r="J35" t="s">
        <v>33</v>
      </c>
      <c r="M35">
        <f>(286000+80000)/2</f>
        <v>183000</v>
      </c>
      <c r="N35">
        <f>M35*0.85</f>
        <v>155550</v>
      </c>
    </row>
    <row r="36" spans="1:14" x14ac:dyDescent="0.2">
      <c r="A36" s="5">
        <v>43331</v>
      </c>
      <c r="B36" s="6">
        <v>43332</v>
      </c>
      <c r="C36" s="3">
        <v>21</v>
      </c>
      <c r="D36" s="4"/>
      <c r="F36" s="5">
        <v>43337</v>
      </c>
      <c r="G36" s="6">
        <v>43338</v>
      </c>
      <c r="H36" s="3"/>
      <c r="I36" s="23"/>
      <c r="J36" t="s">
        <v>32</v>
      </c>
      <c r="M36">
        <f>(286000+99500*8+40000*10)/10</f>
        <v>148200</v>
      </c>
      <c r="N36">
        <f>M36*0.85</f>
        <v>125970</v>
      </c>
    </row>
    <row r="37" spans="1:14" x14ac:dyDescent="0.2">
      <c r="A37" s="5">
        <v>43338</v>
      </c>
      <c r="B37" s="6">
        <v>43339</v>
      </c>
      <c r="C37" s="3">
        <v>31</v>
      </c>
      <c r="D37" s="4"/>
      <c r="F37" s="5">
        <v>43344</v>
      </c>
      <c r="G37" s="6">
        <v>43345</v>
      </c>
      <c r="H37" s="3"/>
      <c r="I37" s="4"/>
    </row>
    <row r="38" spans="1:14" x14ac:dyDescent="0.2">
      <c r="A38" s="5">
        <v>43345</v>
      </c>
      <c r="B38" s="6">
        <v>43346</v>
      </c>
      <c r="C38" s="3">
        <v>43</v>
      </c>
      <c r="D38" s="4" t="s">
        <v>8</v>
      </c>
      <c r="F38" s="5">
        <v>43351</v>
      </c>
      <c r="G38" s="6">
        <v>43352</v>
      </c>
      <c r="H38" s="3"/>
      <c r="I38" s="4"/>
    </row>
    <row r="39" spans="1:14" x14ac:dyDescent="0.2">
      <c r="A39" s="5">
        <v>43352</v>
      </c>
      <c r="B39" s="6">
        <v>43353</v>
      </c>
      <c r="C39" s="3">
        <v>20</v>
      </c>
      <c r="D39" s="4"/>
      <c r="F39" s="5">
        <v>43358</v>
      </c>
      <c r="G39" s="6">
        <v>43359</v>
      </c>
      <c r="H39" s="3"/>
      <c r="I39" s="4"/>
    </row>
    <row r="40" spans="1:14" x14ac:dyDescent="0.2">
      <c r="A40" s="5">
        <v>43359</v>
      </c>
      <c r="B40" s="6">
        <v>43360</v>
      </c>
      <c r="C40" s="3">
        <v>88</v>
      </c>
      <c r="D40" s="4"/>
      <c r="F40" s="5">
        <v>43365</v>
      </c>
      <c r="G40" s="6">
        <v>43366</v>
      </c>
      <c r="H40" s="3"/>
      <c r="I40" s="4"/>
    </row>
    <row r="41" spans="1:14" x14ac:dyDescent="0.2">
      <c r="A41" s="5">
        <v>43366</v>
      </c>
      <c r="B41" s="6">
        <v>43367</v>
      </c>
      <c r="C41" s="3">
        <v>29</v>
      </c>
      <c r="D41" s="4"/>
      <c r="F41" s="5">
        <v>43372</v>
      </c>
      <c r="G41" s="6">
        <v>43373</v>
      </c>
      <c r="H41" s="3"/>
      <c r="I41" s="4"/>
    </row>
    <row r="42" spans="1:14" x14ac:dyDescent="0.2">
      <c r="A42" s="5">
        <v>43373</v>
      </c>
      <c r="B42" s="6">
        <v>43374</v>
      </c>
      <c r="C42" s="3">
        <v>14</v>
      </c>
      <c r="D42" s="4"/>
      <c r="F42" s="5">
        <v>43379</v>
      </c>
      <c r="G42" s="6">
        <v>43380</v>
      </c>
      <c r="H42" s="3"/>
      <c r="I42" s="4" t="s">
        <v>25</v>
      </c>
    </row>
    <row r="43" spans="1:14" x14ac:dyDescent="0.2">
      <c r="A43" s="5">
        <v>43380</v>
      </c>
      <c r="B43" s="6">
        <v>43381</v>
      </c>
      <c r="C43" s="3">
        <v>86</v>
      </c>
      <c r="D43" s="4" t="s">
        <v>9</v>
      </c>
      <c r="F43" s="5">
        <v>43386</v>
      </c>
      <c r="G43" s="6">
        <v>43387</v>
      </c>
      <c r="H43" s="3"/>
      <c r="I43" s="4" t="s">
        <v>23</v>
      </c>
    </row>
    <row r="44" spans="1:14" x14ac:dyDescent="0.2">
      <c r="A44" s="5">
        <v>43387</v>
      </c>
      <c r="B44" s="6">
        <v>43388</v>
      </c>
      <c r="C44" s="3">
        <v>31</v>
      </c>
      <c r="D44" s="4"/>
      <c r="F44" s="5">
        <v>43393</v>
      </c>
      <c r="G44" s="6">
        <v>43394</v>
      </c>
      <c r="H44" s="3"/>
      <c r="I44" s="4"/>
    </row>
    <row r="45" spans="1:14" x14ac:dyDescent="0.2">
      <c r="A45" s="5">
        <v>43394</v>
      </c>
      <c r="B45" s="6">
        <v>43395</v>
      </c>
      <c r="C45" s="3">
        <v>29</v>
      </c>
      <c r="D45" s="4"/>
      <c r="F45" s="5">
        <v>43400</v>
      </c>
      <c r="G45" s="6">
        <v>43401</v>
      </c>
      <c r="H45" s="3"/>
      <c r="I45" s="4"/>
    </row>
    <row r="46" spans="1:14" x14ac:dyDescent="0.2">
      <c r="A46" s="5">
        <v>43401</v>
      </c>
      <c r="B46" s="6">
        <v>43402</v>
      </c>
      <c r="C46" s="3">
        <v>88</v>
      </c>
      <c r="D46" s="4"/>
      <c r="F46" s="5">
        <v>43407</v>
      </c>
      <c r="G46" s="6">
        <v>43408</v>
      </c>
      <c r="H46" s="3"/>
      <c r="I46" s="4" t="s">
        <v>21</v>
      </c>
    </row>
    <row r="47" spans="1:14" x14ac:dyDescent="0.2">
      <c r="A47" s="5">
        <v>43408</v>
      </c>
      <c r="B47" s="6">
        <v>43409</v>
      </c>
      <c r="C47" s="3">
        <v>25</v>
      </c>
      <c r="D47" s="4"/>
      <c r="F47" s="5">
        <v>43414</v>
      </c>
      <c r="G47" s="6">
        <v>43415</v>
      </c>
      <c r="H47" s="3"/>
      <c r="I47" s="4"/>
    </row>
    <row r="48" spans="1:14" x14ac:dyDescent="0.2">
      <c r="A48" s="5">
        <v>43415</v>
      </c>
      <c r="B48" s="6">
        <v>43416</v>
      </c>
      <c r="C48" s="3">
        <v>50</v>
      </c>
      <c r="D48" s="4"/>
      <c r="F48" s="5">
        <v>43421</v>
      </c>
      <c r="G48" s="6">
        <v>43422</v>
      </c>
      <c r="H48" s="3"/>
      <c r="I48" s="4"/>
    </row>
    <row r="49" spans="1:9" x14ac:dyDescent="0.2">
      <c r="A49" s="5">
        <v>43422</v>
      </c>
      <c r="B49" s="6">
        <v>43423</v>
      </c>
      <c r="C49" s="3">
        <v>30</v>
      </c>
      <c r="D49" s="4"/>
      <c r="F49" s="5">
        <v>43428</v>
      </c>
      <c r="G49" s="6">
        <v>43429</v>
      </c>
      <c r="H49" s="3"/>
      <c r="I49" s="4"/>
    </row>
    <row r="50" spans="1:9" x14ac:dyDescent="0.2">
      <c r="A50" s="5">
        <v>43429</v>
      </c>
      <c r="B50" s="6">
        <v>43430</v>
      </c>
      <c r="C50" s="3">
        <v>32</v>
      </c>
      <c r="D50" s="4"/>
      <c r="F50" s="5">
        <v>43435</v>
      </c>
      <c r="G50" s="6">
        <v>43436</v>
      </c>
      <c r="H50" s="3"/>
      <c r="I50" s="4"/>
    </row>
    <row r="51" spans="1:9" x14ac:dyDescent="0.2">
      <c r="A51" s="5">
        <v>43436</v>
      </c>
      <c r="B51" s="6">
        <v>43437</v>
      </c>
      <c r="C51" s="3">
        <v>66</v>
      </c>
      <c r="D51" s="4" t="s">
        <v>10</v>
      </c>
      <c r="F51" s="5">
        <v>43442</v>
      </c>
      <c r="G51" s="6">
        <v>43443</v>
      </c>
      <c r="H51" s="3"/>
      <c r="I51" s="4"/>
    </row>
    <row r="52" spans="1:9" x14ac:dyDescent="0.2">
      <c r="A52" s="5">
        <v>43443</v>
      </c>
      <c r="B52" s="6">
        <v>43444</v>
      </c>
      <c r="C52" s="3">
        <f>88-21</f>
        <v>67</v>
      </c>
      <c r="D52" s="4"/>
      <c r="F52" s="5">
        <v>43449</v>
      </c>
      <c r="G52" s="6">
        <v>43450</v>
      </c>
      <c r="H52" s="3"/>
      <c r="I52" s="4"/>
    </row>
    <row r="53" spans="1:9" x14ac:dyDescent="0.2">
      <c r="A53" s="5">
        <v>43450</v>
      </c>
      <c r="B53" s="6">
        <v>43451</v>
      </c>
      <c r="C53" s="3">
        <v>23</v>
      </c>
      <c r="D53" s="4"/>
      <c r="F53" s="5">
        <v>43456</v>
      </c>
      <c r="G53" s="6">
        <v>43457</v>
      </c>
      <c r="H53" s="3"/>
      <c r="I53" s="4"/>
    </row>
    <row r="54" spans="1:9" x14ac:dyDescent="0.2">
      <c r="A54" s="5">
        <v>43457</v>
      </c>
      <c r="B54" s="6">
        <v>43458</v>
      </c>
      <c r="C54" s="3">
        <v>0</v>
      </c>
      <c r="D54" s="4"/>
      <c r="F54" s="5">
        <v>43463</v>
      </c>
      <c r="G54" s="6">
        <v>43464</v>
      </c>
      <c r="H54" s="3"/>
      <c r="I54" s="4" t="s">
        <v>26</v>
      </c>
    </row>
    <row r="55" spans="1:9" ht="17" thickBot="1" x14ac:dyDescent="0.25">
      <c r="A55" s="5">
        <v>43464</v>
      </c>
      <c r="B55" s="6">
        <v>43465</v>
      </c>
      <c r="C55" s="3">
        <v>100</v>
      </c>
      <c r="D55" s="4"/>
      <c r="F55" s="12">
        <v>43470</v>
      </c>
      <c r="G55" s="13">
        <v>43471</v>
      </c>
      <c r="H55" s="9"/>
      <c r="I55" s="14"/>
    </row>
    <row r="56" spans="1:9" ht="17" thickBot="1" x14ac:dyDescent="0.25">
      <c r="A56" s="8"/>
      <c r="B56" s="9"/>
      <c r="C56" s="9"/>
      <c r="D56" s="10"/>
    </row>
  </sheetData>
  <mergeCells count="2">
    <mergeCell ref="F1:I1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dcterms:created xsi:type="dcterms:W3CDTF">2018-01-20T22:14:38Z</dcterms:created>
  <dcterms:modified xsi:type="dcterms:W3CDTF">2018-01-22T22:23:55Z</dcterms:modified>
</cp:coreProperties>
</file>