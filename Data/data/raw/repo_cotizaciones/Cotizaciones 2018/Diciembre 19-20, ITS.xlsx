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900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"/>
    </mc:Choice>
  </mc:AlternateContent>
  <bookViews>
    <workbookView xWindow="2840" yWindow="720" windowWidth="25600" windowHeight="1044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5" i="1" l="1"/>
  <c r="F29" i="1"/>
  <c r="F22" i="1"/>
  <c r="F27" i="1"/>
  <c r="F26" i="1"/>
  <c r="E28" i="1"/>
  <c r="F28" i="1"/>
  <c r="F25" i="1"/>
  <c r="F18" i="1"/>
  <c r="F17" i="1"/>
  <c r="F19" i="1"/>
  <c r="F16" i="1"/>
  <c r="E15" i="1"/>
  <c r="E12" i="1"/>
  <c r="F10" i="1"/>
  <c r="F9" i="1"/>
  <c r="F11" i="1"/>
  <c r="F12" i="1"/>
  <c r="F13" i="1"/>
  <c r="F14" i="1"/>
  <c r="F15" i="1"/>
  <c r="F20" i="1"/>
  <c r="F21" i="1"/>
  <c r="F32" i="1"/>
  <c r="F33" i="1"/>
  <c r="F34" i="1"/>
  <c r="F65" i="1"/>
  <c r="F31" i="1"/>
  <c r="F72" i="1"/>
  <c r="F71" i="1"/>
  <c r="F73" i="1"/>
  <c r="F76" i="1"/>
  <c r="F94" i="1"/>
  <c r="F90" i="1"/>
  <c r="F88" i="1"/>
  <c r="F89" i="1"/>
  <c r="F91" i="1"/>
  <c r="F92" i="1"/>
  <c r="F93" i="1"/>
  <c r="F95" i="1"/>
  <c r="F87" i="1"/>
  <c r="F84" i="1"/>
  <c r="F79" i="1"/>
  <c r="F86" i="1"/>
  <c r="F69" i="1"/>
  <c r="F74" i="1"/>
  <c r="F70" i="1"/>
  <c r="F82" i="1"/>
  <c r="F77" i="1"/>
  <c r="F78" i="1"/>
  <c r="F80" i="1"/>
  <c r="F81" i="1"/>
  <c r="F83" i="1"/>
  <c r="F85" i="1"/>
  <c r="F66" i="1"/>
  <c r="F67" i="1"/>
  <c r="F68" i="1"/>
  <c r="F75" i="1"/>
  <c r="F30" i="5"/>
  <c r="E30" i="5"/>
  <c r="D30" i="5"/>
  <c r="C30" i="5"/>
  <c r="B30" i="5"/>
  <c r="P29" i="5"/>
  <c r="O29" i="5"/>
  <c r="N29" i="5"/>
  <c r="K29" i="5"/>
  <c r="J29" i="5"/>
  <c r="I29" i="5"/>
  <c r="Z23" i="5"/>
  <c r="F36" i="1"/>
  <c r="F37" i="1"/>
</calcChain>
</file>

<file path=xl/sharedStrings.xml><?xml version="1.0" encoding="utf-8"?>
<sst xmlns="http://schemas.openxmlformats.org/spreadsheetml/2006/main" count="585" uniqueCount="382">
  <si>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</si>
  <si>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</si>
  <si>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</si>
  <si>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</si>
  <si>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</si>
  <si>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</si>
  <si>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</si>
  <si>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</si>
  <si>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</si>
  <si>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</si>
  <si>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</si>
  <si>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</si>
  <si>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</si>
  <si>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</si>
  <si>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</si>
  <si>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</si>
  <si>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</si>
  <si>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</si>
  <si>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</si>
  <si>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</si>
  <si>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</si>
  <si>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</si>
  <si>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</si>
  <si>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</si>
  <si>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</si>
  <si>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</si>
  <si>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</si>
  <si>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</si>
  <si>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</si>
  <si>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</si>
  <si>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</si>
  <si>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</si>
  <si>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</si>
  <si>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</si>
  <si>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</si>
  <si>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</si>
  <si>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</si>
  <si>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</si>
  <si>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</si>
  <si>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</si>
  <si>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</si>
  <si>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</si>
  <si>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</si>
  <si>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</si>
  <si>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</si>
  <si>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</si>
  <si>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</si>
  <si>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</si>
  <si>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</si>
  <si>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</si>
  <si>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</si>
  <si>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</si>
  <si>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</si>
  <si>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</si>
  <si>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</si>
  <si>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</si>
  <si>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</si>
  <si>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</si>
  <si>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</si>
  <si>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</si>
  <si>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</si>
  <si>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</si>
  <si>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</si>
  <si>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</si>
  <si>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</si>
  <si>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</si>
  <si>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</si>
  <si>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</si>
  <si>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</si>
  <si>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</si>
  <si>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</si>
  <si>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</si>
  <si>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</si>
  <si>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</si>
  <si>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</si>
  <si>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</si>
  <si>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</si>
  <si>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</si>
  <si>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</si>
  <si>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</si>
  <si>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</si>
  <si>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</si>
  <si>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</si>
  <si>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</si>
  <si>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</si>
  <si>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</si>
  <si>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</si>
  <si>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</si>
  <si>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</si>
  <si>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</si>
  <si>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</si>
  <si>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</si>
  <si>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</si>
  <si>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</si>
  <si>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</si>
  <si>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</si>
  <si>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</si>
  <si>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</si>
  <si>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</si>
  <si>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</si>
  <si>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</si>
  <si>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</si>
  <si>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</si>
  <si>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</si>
  <si>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</si>
  <si>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</si>
  <si>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</si>
  <si>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</si>
  <si>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</si>
  <si>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</si>
  <si>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</si>
  <si>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</si>
  <si>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</si>
  <si>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</si>
  <si>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</si>
  <si>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</si>
  <si>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</si>
  <si>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</si>
  <si>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</si>
  <si>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</si>
  <si>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</si>
  <si>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</si>
  <si>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</si>
  <si>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</si>
  <si>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</si>
  <si>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</si>
  <si>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</si>
  <si>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</si>
  <si>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</si>
  <si>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</si>
  <si>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</si>
  <si>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</si>
  <si>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</si>
  <si>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</si>
  <si>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</si>
  <si>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</si>
  <si>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</si>
  <si>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</si>
  <si>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</si>
  <si>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</si>
  <si>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</si>
  <si>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</si>
  <si>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</si>
  <si>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</si>
  <si>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</si>
  <si>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</si>
  <si>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</si>
  <si>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</si>
  <si>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</si>
  <si>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</si>
  <si>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</si>
  <si>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</si>
  <si>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</si>
  <si>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</si>
  <si>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</si>
  <si>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</si>
  <si>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</si>
  <si>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</si>
  <si>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</si>
  <si>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</si>
  <si>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</si>
  <si>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</si>
  <si>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</si>
  <si>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</si>
  <si>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</si>
  <si>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</si>
  <si>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</si>
  <si>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</si>
  <si>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</si>
  <si>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</si>
  <si>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</si>
  <si>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</si>
  <si>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</si>
  <si>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</si>
  <si>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</si>
  <si>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</si>
  <si>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</si>
  <si>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</si>
  <si>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</si>
  <si>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</si>
  <si>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</si>
  <si>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</si>
  <si>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</si>
  <si>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</si>
  <si>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</si>
  <si>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</si>
  <si>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</si>
  <si>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</si>
  <si>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</si>
  <si>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</si>
  <si>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</si>
  <si>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</si>
  <si>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</si>
  <si>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</si>
  <si>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</si>
  <si>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</si>
  <si>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</si>
  <si>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</si>
  <si>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</si>
  <si>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</si>
  <si>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</si>
  <si>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</si>
  <si>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</si>
  <si>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</si>
  <si>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</si>
  <si>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</si>
  <si>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</si>
  <si>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</si>
  <si>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</si>
  <si>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</si>
  <si>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</si>
  <si>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</si>
  <si>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</si>
  <si>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</si>
  <si>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</si>
  <si>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</si>
  <si>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</si>
  <si>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</si>
  <si>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</si>
  <si>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</si>
  <si>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</si>
  <si>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</si>
  <si>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1 agua mineral por persona, café, té, infusiones, 5 dulces por persona en pocillo, 3 galletas artesanales.</t>
  </si>
  <si>
    <t>Pérgola comedor principal o pérgola bar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</si>
  <si>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</si>
  <si>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</si>
  <si>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</si>
  <si>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</si>
  <si>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</si>
  <si>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</si>
  <si>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</si>
  <si>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</si>
  <si>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</si>
  <si>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</si>
  <si>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</si>
  <si>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</si>
  <si>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</si>
  <si>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</si>
  <si>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</si>
  <si>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</si>
  <si>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</si>
  <si>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</si>
  <si>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</si>
  <si>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</si>
  <si>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</si>
  <si>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</si>
  <si>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Tragos(1 p/p entre) Pisco sour o espumante, vino,  bebida, cerveza, 1 empanaditas, 1 bruzquetas, quesos, frutos secos, galletas.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</si>
  <si>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</si>
  <si>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 xml:space="preserve">Bebida gaseosa </t>
  </si>
  <si>
    <t>Gaseosa ó mineral ó  jugo de botella ó cerveza Cristal o Escudo en lata.</t>
  </si>
  <si>
    <t>BAR/RESTAURANT</t>
  </si>
  <si>
    <t>Valor Carta</t>
  </si>
  <si>
    <t>Valor s/IVA</t>
  </si>
  <si>
    <t>CERVEZA BOTELLA $ 2.500</t>
  </si>
  <si>
    <t>Corona, Heineken, Kunstmann, Austral, Cristal Zero</t>
  </si>
  <si>
    <t>MICHELADA $ 2.800</t>
  </si>
  <si>
    <t>(Cerveza botella, jugo de limón, tabasco, salsa inglesa, borde de sal)</t>
  </si>
  <si>
    <t>Altamira</t>
  </si>
  <si>
    <t>Pale Ale, Amber Ale, Stout</t>
  </si>
  <si>
    <t>CERVEZA LATA $ 1.800</t>
  </si>
  <si>
    <t>Escudo, Cristal</t>
  </si>
  <si>
    <t>BEBIDAS $ 1.800</t>
  </si>
  <si>
    <t>JUGO BOTELLA $ 1.800</t>
  </si>
  <si>
    <t>MINERALES $ 1.800</t>
  </si>
  <si>
    <t>JUGOS NATURALES O LIMONADAS VASO $ 2.500</t>
  </si>
  <si>
    <t>JARRO DE JUGO 1.5 Lts $ 8.500</t>
  </si>
  <si>
    <t>PRIMAVERA SIN LICOR $ 3.000</t>
  </si>
  <si>
    <t>ENERGETICA $ 3.600</t>
  </si>
  <si>
    <t>ISOTÓNICA</t>
  </si>
  <si>
    <t>PISCO</t>
  </si>
  <si>
    <t>MISTRAL, ALTO DEL CARMEN $ 3.600</t>
  </si>
  <si>
    <t>HORCON QUEMADO $ 4.800</t>
  </si>
  <si>
    <t>VODKA &amp; GIN</t>
  </si>
  <si>
    <t>STOLICHNAYA $ 3.600</t>
  </si>
  <si>
    <t>ABSOLUT SABORES $ 4.500</t>
  </si>
  <si>
    <t>BEEFEARTER $ 4.800</t>
  </si>
  <si>
    <t>WHISKY, WHISKEY</t>
  </si>
  <si>
    <t>JOHNNIE WALKER RED LABEL $ 4.500</t>
  </si>
  <si>
    <t>JHONNIE WALKER BLACK LABEL $ 8.000</t>
  </si>
  <si>
    <t>BALLANTINES $ 4.500</t>
  </si>
  <si>
    <t>JACK DANIEL`S OLD N°7, FIRE, HONEY $ 6.500</t>
  </si>
  <si>
    <t>CHIVAS REGAL 12 AÑOS $ 7.500</t>
  </si>
  <si>
    <t>RON</t>
  </si>
  <si>
    <t>HAVANA CLUB AÑEJO ESPECIAL $ 4.800</t>
  </si>
  <si>
    <t>HAVANA CLUB AÑEJO 7 AÑOS $ 6.000</t>
  </si>
  <si>
    <t>BACARDI o PAMPERO BLANCO, AÑEJO $ 4.500</t>
  </si>
  <si>
    <t>TEQUILA, SHOTS</t>
  </si>
  <si>
    <t>OLMECA SILVER $ 3.000</t>
  </si>
  <si>
    <t>OLMECA GOLDEN $ 3.200</t>
  </si>
  <si>
    <t>OTROS</t>
  </si>
  <si>
    <t>CAMPARI $ 4.800</t>
  </si>
  <si>
    <t>FERNET BRANCA $ 4.800</t>
  </si>
  <si>
    <t>DRAMBUIE $ 6.000</t>
  </si>
  <si>
    <t>AMARETTO DISARONO $ 6.000</t>
  </si>
  <si>
    <t>BAILEY`S $ 4.500</t>
  </si>
  <si>
    <t>APEROL SPRITZ $ 4.800</t>
  </si>
  <si>
    <t>ARAUCANO $ 3.600</t>
  </si>
  <si>
    <t>JAGERMEISTER $ 6.000</t>
  </si>
  <si>
    <t>BAJATIVOS NACIONALES</t>
  </si>
  <si>
    <t>MANZANILLA $ 2.400</t>
  </si>
  <si>
    <t>AMARETTO NACIONAL $ 2.400</t>
  </si>
  <si>
    <t>MENTA $ 2.400</t>
  </si>
  <si>
    <t>PISCO SOUR $ 3.600</t>
  </si>
  <si>
    <t>(Pisco, Jugo de limón, triplecsec, goma, hielo)</t>
  </si>
  <si>
    <t>KIR ROYAL $ 3.600</t>
  </si>
  <si>
    <t>(Espumante, licor de cassis)</t>
  </si>
  <si>
    <t>MARGARITA $ 4.500</t>
  </si>
  <si>
    <t>(Tequila, jugo de limón, triplesec, azúcar flor, hielo, sal)</t>
  </si>
  <si>
    <t>DAIQUIRIES $4.500</t>
  </si>
  <si>
    <t>(Ron, jugo de limón o fruta, triplesec, azúcar flor, hielo)</t>
  </si>
  <si>
    <t>PIÑA COLADA $ 4.800</t>
  </si>
  <si>
    <t>(Ron, piña, crema de leche, coco López, azúcar flor, hielo, coco rallado)</t>
  </si>
  <si>
    <t>MOJITO $ 4.500</t>
  </si>
  <si>
    <t>(Ron, Menta macerada, azúcar flor, dash de limón, hielo, soda)</t>
  </si>
  <si>
    <t>CAIPIRIÑA $ 5.400</t>
  </si>
  <si>
    <t>(Cachaza, limón de pica macerado, azúcar flor, hielo)</t>
  </si>
  <si>
    <t>RUSO BLANCO/NEGRO $ 4.500</t>
  </si>
  <si>
    <t>(Vodka, kaluha/Vodka, kaluha, leche evaporada, hielo)</t>
  </si>
  <si>
    <t>BLOODIE MARY $ 4.500</t>
  </si>
  <si>
    <t>(Vodka, jugo de tomate, sal, limón, sal, limón, salsa inglesa, tabasco, hielo)</t>
  </si>
  <si>
    <t>DESTORNILLADOR $ 4.500</t>
  </si>
  <si>
    <t>(Vodka, jugo de naranja, hielo)</t>
  </si>
  <si>
    <t>TOM COLLINS $ 4.500</t>
  </si>
  <si>
    <t>(Gin, jugo de limón, azúcar flor, soda, hielo)</t>
  </si>
  <si>
    <t>OLD FASHIONED $ 4.500</t>
  </si>
  <si>
    <t>(Whisky, terrón de azúcar, angostura, soda, rodaja de naranja, twist de limón, hielo)</t>
  </si>
  <si>
    <t>CLAVO OXIDADO $ 6.000</t>
  </si>
  <si>
    <t>(Bourbon, drambuie, clavos de olor, hielo)</t>
  </si>
  <si>
    <t>MARTINI DRY $ 4.500</t>
  </si>
  <si>
    <t>(Gin y Martini Seco)</t>
  </si>
  <si>
    <t>Viñedos Emiliana, EMILIANA RESERVA $ 9.000</t>
  </si>
  <si>
    <t>Cabernet Sauvignon, Carmenere, Sauvignon Blanc, Chardonnay</t>
  </si>
  <si>
    <t>Viñedos Emiliana, ADOBE $ 12.000</t>
  </si>
  <si>
    <t>Tierra del Fuego, RESERVA $ 12.000</t>
  </si>
  <si>
    <t>Merlot, Sauvignon Blanc</t>
  </si>
  <si>
    <t>Cremaschi Furlotti, RESERVA $ 12.000</t>
  </si>
  <si>
    <t>Cabernet Sauvignon</t>
  </si>
  <si>
    <t>Concha y Toro, TRIO RESERVA $ 12.000</t>
  </si>
  <si>
    <t>Sauvignon Blanc, Chardonnay</t>
  </si>
  <si>
    <t>Castillo Molina, RESERVA $ 14.000</t>
  </si>
  <si>
    <t>Concha y Toro, CASILLERO DEL DIABLO RESERVA $ 14.000</t>
  </si>
  <si>
    <t>Cabernet Sauvignon, Carmenere, Merlot, Syrah, Sauvignon Blanc, Chardonnay</t>
  </si>
  <si>
    <t>Tierra del Fuego, GRAN RESERVA $ 16.000</t>
  </si>
  <si>
    <t>Cabernet Sauvignon, Carmenere, Merlot, Syrah</t>
  </si>
  <si>
    <t>Tarapacá, GRAN RESERVA $ 18.000</t>
  </si>
  <si>
    <t>Leyda Single Vinyard, RESERVA $ 18.000</t>
  </si>
  <si>
    <t>Cab. Sauv. Belloto, Carmenere Talhuen, Sauv. Blanc Garuma, Sauv. Gris Kadun,</t>
  </si>
  <si>
    <t>Chardonnay Falaris Hill, Leyda Single Vinyard, Pinot Noir Las Brisas</t>
  </si>
  <si>
    <t>Tarapacá, GRAN RESERVA $ 21.000</t>
  </si>
  <si>
    <t>Orgánico Red Blend</t>
  </si>
  <si>
    <t>Concha y Toro, MARQUÉS DE CASA CONCHA $ 24.000</t>
  </si>
  <si>
    <t>Concha y Toro $ 6.000</t>
  </si>
  <si>
    <t>Late Harvest 375 ml.</t>
  </si>
  <si>
    <t>SBX, Brut $ 10.000</t>
  </si>
  <si>
    <t>Tabla del Corte , 4 pers. $18.000</t>
  </si>
  <si>
    <t>Cortes de salames clásico, español y riojano ancho, lomo cinta y kassler, queso crema,</t>
  </si>
  <si>
    <t>aceitunas, corazón de alcachofa, palmitos, arrollado huaso y grisinis.</t>
  </si>
  <si>
    <t>Tabla de Quesos, 4 pers. $22.000</t>
  </si>
  <si>
    <t>Quesos mantecoso, azul, de cabra, camemberg y crema, nueces, maní, pasas y grisinis.</t>
  </si>
  <si>
    <t>Tabla Dulce, 4 pers. $9.000</t>
  </si>
  <si>
    <t>Palmeritas maquilladas, Croissants, donas cubiertas, enrejados de limón,</t>
  </si>
  <si>
    <t>medias lunas argentinas.</t>
  </si>
  <si>
    <t>Galletas de Mantequilla Semi Bañadas en Chocolate, 100 grs. $1.500</t>
  </si>
  <si>
    <t>Torta Panqueque Naranja, porción $3.000</t>
  </si>
  <si>
    <t>Torta Trufa, porción $2.500</t>
  </si>
  <si>
    <t>Barros Jarpa $5.500</t>
  </si>
  <si>
    <t>Barros Luco $6.500</t>
  </si>
  <si>
    <t>Chacarero $6.500</t>
  </si>
  <si>
    <t>Churrasco Italiano $6.500</t>
  </si>
  <si>
    <t>Churrasco Solo $4.500</t>
  </si>
  <si>
    <t>Valor adicional por persona  / por comida, desde 50 personas, chinook y bar minimo $300.000</t>
  </si>
  <si>
    <t>Carolina Molina</t>
  </si>
  <si>
    <t>ITS</t>
  </si>
  <si>
    <t>Carmen Rodriguez D.</t>
  </si>
  <si>
    <t>cmolinar@its.jnj.com</t>
  </si>
  <si>
    <t>19 -20 de diciembre 2018</t>
  </si>
  <si>
    <t>Salón para fiesta 4 horas en la noche</t>
  </si>
  <si>
    <t>Dj Karaoque</t>
  </si>
  <si>
    <t>Equipado con data, telón, aire acondicionado  4 h Noche</t>
  </si>
  <si>
    <t>4 horas en la noche</t>
  </si>
  <si>
    <t>Tragos con tickets</t>
  </si>
  <si>
    <t>Roncolola, piscola, sour,mojito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</si>
</sst>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;[Red]&quot;$&quot;\-#,##0"/>
    <numFmt numFmtId="165" formatCode="&quot;$&quot;#,##0"/>
    <numFmt numFmtId="166" formatCode="h:mm:ss;@"/>
  </numFmts>
  <fonts count="2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  <font>
      <b/>
      <sz val="18"/>
      <color rgb="FF000000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2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81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164" fontId="6" fillId="0" borderId="6" xfId="0" applyNumberFormat="1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164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8" xfId="0" applyNumberFormat="1" applyFont="1" applyBorder="1" applyAlignment="1">
      <alignment horizontal="right"/>
    </xf>
    <xf numFmtId="166" fontId="6" fillId="0" borderId="0" xfId="0" applyNumberFormat="1" applyFont="1" applyBorder="1" applyAlignment="1">
      <alignment horizontal="right"/>
    </xf>
    <xf numFmtId="166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right"/>
    </xf>
    <xf numFmtId="164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6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164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6" fontId="6" fillId="9" borderId="1" xfId="0" applyNumberFormat="1" applyFont="1" applyFill="1" applyBorder="1" applyAlignment="1">
      <alignment horizontal="center"/>
    </xf>
    <xf numFmtId="165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6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6" fontId="6" fillId="9" borderId="1" xfId="0" applyNumberFormat="1" applyFont="1" applyFill="1" applyBorder="1"/>
    <xf numFmtId="0" fontId="0" fillId="3" borderId="0" xfId="0" applyFill="1"/>
    <xf numFmtId="166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right"/>
    </xf>
    <xf numFmtId="0" fontId="14" fillId="9" borderId="1" xfId="0" applyFont="1" applyFill="1" applyBorder="1" applyAlignment="1">
      <alignment horizontal="left" vertical="center"/>
    </xf>
    <xf numFmtId="166" fontId="14" fillId="9" borderId="1" xfId="0" applyNumberFormat="1" applyFont="1" applyFill="1" applyBorder="1" applyAlignment="1">
      <alignment horizontal="left" vertical="center"/>
    </xf>
    <xf numFmtId="164" fontId="14" fillId="9" borderId="1" xfId="0" applyNumberFormat="1" applyFont="1" applyFill="1" applyBorder="1" applyAlignment="1">
      <alignment horizontal="right" vertical="center"/>
    </xf>
    <xf numFmtId="0" fontId="6" fillId="9" borderId="0" xfId="0" applyFont="1" applyFill="1" applyBorder="1"/>
    <xf numFmtId="166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164" fontId="6" fillId="9" borderId="0" xfId="0" applyNumberFormat="1" applyFont="1" applyFill="1" applyBorder="1"/>
    <xf numFmtId="164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6" fontId="0" fillId="0" borderId="1" xfId="0" applyNumberFormat="1" applyFill="1" applyBorder="1"/>
    <xf numFmtId="164" fontId="6" fillId="0" borderId="1" xfId="0" applyNumberFormat="1" applyFont="1" applyFill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Fill="1" applyAlignment="1">
      <alignment horizontal="left"/>
    </xf>
    <xf numFmtId="164" fontId="6" fillId="9" borderId="1" xfId="0" applyNumberFormat="1" applyFont="1" applyFill="1" applyBorder="1"/>
    <xf numFmtId="164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0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6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23" fillId="0" borderId="0" xfId="0" applyFont="1"/>
    <xf numFmtId="165" fontId="23" fillId="0" borderId="0" xfId="0" applyNumberFormat="1" applyFont="1"/>
    <xf numFmtId="165" fontId="0" fillId="0" borderId="0" xfId="0" applyNumberFormat="1"/>
    <xf numFmtId="0" fontId="22" fillId="0" borderId="1" xfId="0" applyFont="1" applyBorder="1"/>
    <xf numFmtId="0" fontId="23" fillId="0" borderId="1" xfId="0" applyFont="1" applyBorder="1"/>
    <xf numFmtId="0" fontId="24" fillId="0" borderId="1" xfId="0" applyFont="1" applyBorder="1"/>
    <xf numFmtId="0" fontId="26" fillId="0" borderId="1" xfId="0" applyFont="1" applyBorder="1"/>
    <xf numFmtId="165" fontId="25" fillId="0" borderId="1" xfId="0" applyNumberFormat="1" applyFont="1" applyBorder="1"/>
    <xf numFmtId="165" fontId="23" fillId="0" borderId="1" xfId="0" applyNumberFormat="1" applyFont="1" applyBorder="1"/>
    <xf numFmtId="0" fontId="27" fillId="0" borderId="1" xfId="0" applyFont="1" applyBorder="1"/>
    <xf numFmtId="0" fontId="28" fillId="0" borderId="1" xfId="0" applyFont="1" applyBorder="1"/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166" fontId="4" fillId="0" borderId="0" xfId="116" applyNumberFormat="1" applyAlignment="1">
      <alignment horizontal="left"/>
    </xf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Relationship Id="rId2" Type="http://schemas.openxmlformats.org/officeDocument/2006/relationships/hyperlink" Target="mailto:cmolinar@its.jnj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280"/>
  <sheetViews>
    <sheetView tabSelected="1" topLeftCell="A8" zoomScale="109" zoomScaleNormal="109" zoomScalePageLayoutView="109" workbookViewId="0">
      <selection activeCell="F36" sqref="F36"/>
    </sheetView>
  </sheetViews>
  <sheetFormatPr baseColWidth="10" defaultRowHeight="16" x14ac:dyDescent="0.2"/>
  <cols>
    <col min="1" max="1" width="31.83203125" customWidth="1"/>
    <col min="2" max="2" width="10.83203125" style="77" customWidth="1"/>
    <col min="3" max="3" width="12" customWidth="1"/>
    <col min="4" max="4" width="10.1640625" customWidth="1"/>
    <col min="5" max="5" width="10" customWidth="1"/>
    <col min="6" max="6" width="10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6"/>
      <c r="C1" s="73" t="s">
        <v>228</v>
      </c>
    </row>
    <row r="2" spans="1:7" x14ac:dyDescent="0.2">
      <c r="G2" t="s">
        <v>188</v>
      </c>
    </row>
    <row r="3" spans="1:7" x14ac:dyDescent="0.2">
      <c r="A3" s="70" t="s">
        <v>137</v>
      </c>
      <c r="B3" s="133" t="s">
        <v>371</v>
      </c>
      <c r="E3" t="s">
        <v>3</v>
      </c>
      <c r="F3" s="34" t="s">
        <v>372</v>
      </c>
      <c r="G3" s="86" t="s">
        <v>189</v>
      </c>
    </row>
    <row r="4" spans="1:7" x14ac:dyDescent="0.2">
      <c r="A4" t="s">
        <v>138</v>
      </c>
      <c r="B4" s="180" t="s">
        <v>374</v>
      </c>
      <c r="C4" s="74"/>
      <c r="E4" t="s">
        <v>5</v>
      </c>
      <c r="F4">
        <v>994995741</v>
      </c>
      <c r="G4" s="87" t="s">
        <v>190</v>
      </c>
    </row>
    <row r="5" spans="1:7" x14ac:dyDescent="0.2">
      <c r="A5" t="s">
        <v>139</v>
      </c>
      <c r="B5" s="133" t="s">
        <v>375</v>
      </c>
      <c r="E5" t="s">
        <v>4</v>
      </c>
      <c r="F5" s="34">
        <v>40</v>
      </c>
      <c r="G5" s="87" t="s">
        <v>191</v>
      </c>
    </row>
    <row r="6" spans="1:7" x14ac:dyDescent="0.2">
      <c r="A6" s="72" t="s">
        <v>141</v>
      </c>
      <c r="B6" s="134" t="s">
        <v>373</v>
      </c>
      <c r="C6" s="71"/>
      <c r="D6" s="71"/>
      <c r="E6" s="71" t="s">
        <v>140</v>
      </c>
      <c r="F6" s="71">
        <v>974961403</v>
      </c>
      <c r="G6" s="87" t="s">
        <v>192</v>
      </c>
    </row>
    <row r="7" spans="1:7" ht="17" thickBot="1" x14ac:dyDescent="0.25">
      <c r="A7" s="71"/>
      <c r="B7" s="134"/>
      <c r="C7" s="71"/>
      <c r="D7" s="71"/>
      <c r="E7" s="71"/>
      <c r="F7" s="71"/>
      <c r="G7" s="87"/>
    </row>
    <row r="8" spans="1:7" ht="15.75" customHeight="1" x14ac:dyDescent="0.2">
      <c r="A8" s="113" t="s">
        <v>124</v>
      </c>
      <c r="B8" s="114" t="s">
        <v>159</v>
      </c>
      <c r="C8" s="115" t="s">
        <v>123</v>
      </c>
      <c r="D8" s="115" t="s">
        <v>7</v>
      </c>
      <c r="E8" s="115" t="s">
        <v>0</v>
      </c>
      <c r="F8" s="115" t="s">
        <v>1</v>
      </c>
      <c r="G8" s="116" t="s">
        <v>8</v>
      </c>
    </row>
    <row r="9" spans="1:7" x14ac:dyDescent="0.2">
      <c r="A9" s="106" t="s">
        <v>219</v>
      </c>
      <c r="B9" s="107"/>
      <c r="C9" s="95">
        <v>1</v>
      </c>
      <c r="D9" s="95">
        <v>40</v>
      </c>
      <c r="E9" s="105">
        <v>3850</v>
      </c>
      <c r="F9" s="94">
        <f>D9*E9</f>
        <v>154000</v>
      </c>
      <c r="G9" s="103" t="s">
        <v>153</v>
      </c>
    </row>
    <row r="10" spans="1:7" x14ac:dyDescent="0.2">
      <c r="A10" s="103" t="s">
        <v>165</v>
      </c>
      <c r="B10" s="104"/>
      <c r="C10" s="95">
        <v>1</v>
      </c>
      <c r="D10" s="95">
        <v>1</v>
      </c>
      <c r="E10" s="105">
        <v>180000</v>
      </c>
      <c r="F10" s="94">
        <f>C10*E10</f>
        <v>180000</v>
      </c>
      <c r="G10" s="93" t="s">
        <v>221</v>
      </c>
    </row>
    <row r="11" spans="1:7" ht="14" customHeight="1" x14ac:dyDescent="0.2">
      <c r="A11" s="103" t="s">
        <v>120</v>
      </c>
      <c r="B11" s="104" t="s">
        <v>172</v>
      </c>
      <c r="C11" s="95">
        <v>1</v>
      </c>
      <c r="D11" s="95">
        <v>40</v>
      </c>
      <c r="E11" s="94">
        <v>15000</v>
      </c>
      <c r="F11" s="94">
        <f t="shared" ref="F11:F21" si="0">D11*E11</f>
        <v>600000</v>
      </c>
      <c r="G11" s="93" t="s">
        <v>113</v>
      </c>
    </row>
    <row r="12" spans="1:7" x14ac:dyDescent="0.2">
      <c r="A12" s="103" t="s">
        <v>248</v>
      </c>
      <c r="B12" s="104"/>
      <c r="C12" s="95">
        <v>1</v>
      </c>
      <c r="D12" s="95">
        <v>40</v>
      </c>
      <c r="E12" s="94">
        <f>1800/1.19</f>
        <v>1512.6050420168067</v>
      </c>
      <c r="F12" s="94">
        <f t="shared" si="0"/>
        <v>60504.201680672268</v>
      </c>
      <c r="G12" s="93" t="s">
        <v>249</v>
      </c>
    </row>
    <row r="13" spans="1:7" x14ac:dyDescent="0.2">
      <c r="A13" s="106" t="s">
        <v>219</v>
      </c>
      <c r="B13" s="107"/>
      <c r="C13" s="95">
        <v>1</v>
      </c>
      <c r="D13" s="95">
        <v>40</v>
      </c>
      <c r="E13" s="105">
        <v>3850</v>
      </c>
      <c r="F13" s="94">
        <f t="shared" si="0"/>
        <v>154000</v>
      </c>
      <c r="G13" s="103" t="s">
        <v>153</v>
      </c>
    </row>
    <row r="14" spans="1:7" x14ac:dyDescent="0.2">
      <c r="A14" s="103" t="s">
        <v>121</v>
      </c>
      <c r="B14" s="104" t="s">
        <v>173</v>
      </c>
      <c r="C14" s="95">
        <v>1</v>
      </c>
      <c r="D14" s="95">
        <v>40</v>
      </c>
      <c r="E14" s="105">
        <v>15000</v>
      </c>
      <c r="F14" s="94">
        <f t="shared" si="0"/>
        <v>600000</v>
      </c>
      <c r="G14" s="93" t="s">
        <v>213</v>
      </c>
    </row>
    <row r="15" spans="1:7" x14ac:dyDescent="0.2">
      <c r="A15" s="103" t="s">
        <v>217</v>
      </c>
      <c r="B15" s="104"/>
      <c r="C15" s="95">
        <v>1</v>
      </c>
      <c r="D15" s="95">
        <v>40</v>
      </c>
      <c r="E15" s="94">
        <f>1800/1.19</f>
        <v>1512.6050420168067</v>
      </c>
      <c r="F15" s="94">
        <f t="shared" si="0"/>
        <v>60504.201680672268</v>
      </c>
      <c r="G15" s="93" t="s">
        <v>249</v>
      </c>
    </row>
    <row r="16" spans="1:7" x14ac:dyDescent="0.2">
      <c r="A16" s="103" t="s">
        <v>376</v>
      </c>
      <c r="B16" s="104"/>
      <c r="C16" s="95">
        <v>1</v>
      </c>
      <c r="D16" s="95">
        <v>1</v>
      </c>
      <c r="E16" s="105">
        <v>300000</v>
      </c>
      <c r="F16" s="94">
        <f>C16*E16</f>
        <v>300000</v>
      </c>
      <c r="G16" s="93" t="s">
        <v>378</v>
      </c>
    </row>
    <row r="17" spans="1:7" x14ac:dyDescent="0.2">
      <c r="A17" s="103" t="s">
        <v>377</v>
      </c>
      <c r="B17" s="104"/>
      <c r="C17" s="95">
        <v>1</v>
      </c>
      <c r="D17" s="95">
        <v>1</v>
      </c>
      <c r="E17" s="105">
        <v>280000</v>
      </c>
      <c r="F17" s="94">
        <f>C17*E17</f>
        <v>280000</v>
      </c>
      <c r="G17" s="93" t="s">
        <v>379</v>
      </c>
    </row>
    <row r="18" spans="1:7" x14ac:dyDescent="0.2">
      <c r="A18" s="103" t="s">
        <v>380</v>
      </c>
      <c r="B18" s="104"/>
      <c r="C18" s="95">
        <v>0</v>
      </c>
      <c r="D18" s="95">
        <v>0</v>
      </c>
      <c r="E18" s="105">
        <v>3850</v>
      </c>
      <c r="F18" s="94">
        <f>C18*E18</f>
        <v>0</v>
      </c>
      <c r="G18" s="93" t="s">
        <v>381</v>
      </c>
    </row>
    <row r="19" spans="1:7" x14ac:dyDescent="0.2">
      <c r="A19" s="103" t="s">
        <v>92</v>
      </c>
      <c r="B19" s="104"/>
      <c r="C19" s="95">
        <v>0</v>
      </c>
      <c r="D19" s="95">
        <v>0</v>
      </c>
      <c r="E19" s="94">
        <v>26000</v>
      </c>
      <c r="F19" s="94">
        <f t="shared" ref="F19" si="1">C19*D19*E19</f>
        <v>0</v>
      </c>
      <c r="G19" s="93" t="s">
        <v>117</v>
      </c>
    </row>
    <row r="20" spans="1:7" ht="16.5" customHeight="1" x14ac:dyDescent="0.2">
      <c r="A20" s="130" t="s">
        <v>225</v>
      </c>
      <c r="B20" s="131"/>
      <c r="C20" s="95">
        <v>0</v>
      </c>
      <c r="D20" s="95">
        <v>0</v>
      </c>
      <c r="E20" s="132">
        <v>87000</v>
      </c>
      <c r="F20" s="94">
        <f t="shared" si="0"/>
        <v>0</v>
      </c>
      <c r="G20" s="130" t="s">
        <v>226</v>
      </c>
    </row>
    <row r="21" spans="1:7" ht="16.5" customHeight="1" x14ac:dyDescent="0.2">
      <c r="A21" s="130" t="s">
        <v>148</v>
      </c>
      <c r="B21" s="131"/>
      <c r="C21" s="95">
        <v>1</v>
      </c>
      <c r="D21" s="95">
        <v>20</v>
      </c>
      <c r="E21" s="132">
        <v>99000</v>
      </c>
      <c r="F21" s="94">
        <f t="shared" si="0"/>
        <v>1980000</v>
      </c>
      <c r="G21" s="130" t="s">
        <v>227</v>
      </c>
    </row>
    <row r="22" spans="1:7" ht="16.5" customHeight="1" thickBot="1" x14ac:dyDescent="0.25">
      <c r="A22" s="2" t="s">
        <v>91</v>
      </c>
      <c r="B22" s="78"/>
      <c r="C22" s="33"/>
      <c r="D22" s="23"/>
      <c r="E22" s="7"/>
      <c r="F22" s="5">
        <f>SUM(F9:F21)</f>
        <v>4369008.4033613447</v>
      </c>
      <c r="G22" s="32" t="s">
        <v>2</v>
      </c>
    </row>
    <row r="23" spans="1:7" ht="16.5" customHeight="1" x14ac:dyDescent="0.2">
      <c r="A23" s="113" t="s">
        <v>125</v>
      </c>
      <c r="B23" s="114"/>
      <c r="C23" s="115" t="s">
        <v>123</v>
      </c>
      <c r="D23" s="115" t="s">
        <v>7</v>
      </c>
      <c r="E23" s="115" t="s">
        <v>0</v>
      </c>
      <c r="F23" s="115" t="s">
        <v>1</v>
      </c>
      <c r="G23" s="116" t="s">
        <v>8</v>
      </c>
    </row>
    <row r="24" spans="1:7" x14ac:dyDescent="0.2">
      <c r="A24" s="109" t="s">
        <v>9</v>
      </c>
      <c r="B24" s="110"/>
      <c r="C24" s="95">
        <v>1</v>
      </c>
      <c r="D24" s="95">
        <v>40</v>
      </c>
      <c r="E24" s="135">
        <v>10500</v>
      </c>
      <c r="F24" s="94" t="s">
        <v>126</v>
      </c>
      <c r="G24" s="93" t="s">
        <v>212</v>
      </c>
    </row>
    <row r="25" spans="1:7" x14ac:dyDescent="0.2">
      <c r="A25" s="103" t="s">
        <v>165</v>
      </c>
      <c r="B25" s="104"/>
      <c r="C25" s="95">
        <v>1</v>
      </c>
      <c r="D25" s="95">
        <v>1</v>
      </c>
      <c r="E25" s="105">
        <v>180000</v>
      </c>
      <c r="F25" s="94">
        <f>C25*E25</f>
        <v>180000</v>
      </c>
      <c r="G25" s="93" t="s">
        <v>221</v>
      </c>
    </row>
    <row r="26" spans="1:7" x14ac:dyDescent="0.2">
      <c r="A26" s="106" t="s">
        <v>219</v>
      </c>
      <c r="B26" s="107"/>
      <c r="C26" s="95">
        <v>1</v>
      </c>
      <c r="D26" s="95">
        <v>40</v>
      </c>
      <c r="E26" s="105">
        <v>3850</v>
      </c>
      <c r="F26" s="136">
        <f>D26*E26</f>
        <v>154000</v>
      </c>
      <c r="G26" s="103" t="s">
        <v>153</v>
      </c>
    </row>
    <row r="27" spans="1:7" s="16" customFormat="1" ht="16.5" customHeight="1" x14ac:dyDescent="0.2">
      <c r="A27" s="103" t="s">
        <v>120</v>
      </c>
      <c r="B27" s="104" t="s">
        <v>172</v>
      </c>
      <c r="C27" s="95">
        <v>1</v>
      </c>
      <c r="D27" s="95">
        <v>40</v>
      </c>
      <c r="E27" s="94">
        <v>15000</v>
      </c>
      <c r="F27" s="136">
        <f>D27*E27</f>
        <v>600000</v>
      </c>
      <c r="G27" s="93" t="s">
        <v>113</v>
      </c>
    </row>
    <row r="28" spans="1:7" x14ac:dyDescent="0.2">
      <c r="A28" s="103" t="s">
        <v>217</v>
      </c>
      <c r="B28" s="104"/>
      <c r="C28" s="95">
        <v>1</v>
      </c>
      <c r="D28" s="95">
        <v>40</v>
      </c>
      <c r="E28" s="94">
        <f>1513</f>
        <v>1513</v>
      </c>
      <c r="F28" s="136">
        <f t="shared" ref="F27:F28" si="2">D28*E28</f>
        <v>60520</v>
      </c>
      <c r="G28" s="93" t="s">
        <v>211</v>
      </c>
    </row>
    <row r="29" spans="1:7" x14ac:dyDescent="0.2">
      <c r="A29" s="124"/>
      <c r="B29" s="125"/>
      <c r="C29" s="126"/>
      <c r="D29" s="126"/>
      <c r="E29" s="127" t="s">
        <v>2</v>
      </c>
      <c r="F29" s="128">
        <f>SUM(F25:F28)</f>
        <v>994520</v>
      </c>
      <c r="G29" s="129"/>
    </row>
    <row r="30" spans="1:7" x14ac:dyDescent="0.2">
      <c r="A30" s="117" t="s">
        <v>207</v>
      </c>
      <c r="B30" s="118" t="s">
        <v>229</v>
      </c>
      <c r="C30" s="119"/>
      <c r="D30" s="119"/>
      <c r="E30" s="120"/>
      <c r="F30" s="120" t="s">
        <v>2</v>
      </c>
      <c r="G30" s="117" t="s">
        <v>208</v>
      </c>
    </row>
    <row r="31" spans="1:7" x14ac:dyDescent="0.2">
      <c r="A31" s="96" t="s">
        <v>203</v>
      </c>
      <c r="B31" s="97" t="s">
        <v>2</v>
      </c>
      <c r="C31" s="98">
        <v>0</v>
      </c>
      <c r="D31" s="98">
        <v>0</v>
      </c>
      <c r="E31" s="99">
        <v>0</v>
      </c>
      <c r="F31" s="99">
        <f t="shared" ref="F31:F34" si="3">C31*D31*E31</f>
        <v>0</v>
      </c>
      <c r="G31" s="100" t="s">
        <v>205</v>
      </c>
    </row>
    <row r="32" spans="1:7" x14ac:dyDescent="0.2">
      <c r="A32" s="96" t="s">
        <v>199</v>
      </c>
      <c r="B32" s="97" t="s">
        <v>2</v>
      </c>
      <c r="C32" s="98">
        <v>0</v>
      </c>
      <c r="D32" s="98">
        <v>0</v>
      </c>
      <c r="E32" s="99">
        <v>0</v>
      </c>
      <c r="F32" s="99">
        <f t="shared" si="3"/>
        <v>0</v>
      </c>
      <c r="G32" s="100" t="s">
        <v>206</v>
      </c>
    </row>
    <row r="33" spans="1:7" ht="16.5" customHeight="1" x14ac:dyDescent="0.2">
      <c r="A33" s="96" t="s">
        <v>200</v>
      </c>
      <c r="B33" s="97" t="s">
        <v>2</v>
      </c>
      <c r="C33" s="98">
        <v>0</v>
      </c>
      <c r="D33" s="98">
        <v>0</v>
      </c>
      <c r="E33" s="99">
        <v>0</v>
      </c>
      <c r="F33" s="99">
        <f t="shared" si="3"/>
        <v>0</v>
      </c>
      <c r="G33" s="100" t="s">
        <v>204</v>
      </c>
    </row>
    <row r="34" spans="1:7" ht="17" thickBot="1" x14ac:dyDescent="0.25">
      <c r="A34" s="96" t="s">
        <v>201</v>
      </c>
      <c r="B34" s="97" t="s">
        <v>2</v>
      </c>
      <c r="C34" s="98">
        <v>0</v>
      </c>
      <c r="D34" s="98">
        <v>0</v>
      </c>
      <c r="E34" s="99">
        <v>0</v>
      </c>
      <c r="F34" s="99">
        <f t="shared" si="3"/>
        <v>0</v>
      </c>
      <c r="G34" s="96" t="s">
        <v>202</v>
      </c>
    </row>
    <row r="35" spans="1:7" ht="17" thickBot="1" x14ac:dyDescent="0.25">
      <c r="A35" s="36" t="s">
        <v>209</v>
      </c>
      <c r="B35" s="80"/>
      <c r="C35" s="37"/>
      <c r="D35" s="37"/>
      <c r="E35" s="38"/>
      <c r="F35" s="39">
        <f>F22+F29</f>
        <v>5363528.4033613447</v>
      </c>
      <c r="G35" s="6" t="s">
        <v>146</v>
      </c>
    </row>
    <row r="36" spans="1:7" x14ac:dyDescent="0.2">
      <c r="A36" s="3" t="s">
        <v>147</v>
      </c>
      <c r="B36" s="79"/>
      <c r="C36" s="31"/>
      <c r="D36" s="23"/>
      <c r="E36" s="7"/>
      <c r="F36" s="5">
        <f>F35*1.19-F35</f>
        <v>1019070.3966386551</v>
      </c>
      <c r="G36" s="6"/>
    </row>
    <row r="37" spans="1:7" x14ac:dyDescent="0.2">
      <c r="A37" s="81" t="s">
        <v>224</v>
      </c>
      <c r="B37" s="82"/>
      <c r="C37" s="83"/>
      <c r="D37" s="83"/>
      <c r="E37" s="84"/>
      <c r="F37" s="85">
        <f>F35+F36</f>
        <v>6382598.7999999998</v>
      </c>
      <c r="G37" s="6"/>
    </row>
    <row r="38" spans="1:7" x14ac:dyDescent="0.2">
      <c r="A38" s="3"/>
      <c r="B38" s="79"/>
      <c r="C38" s="31"/>
      <c r="D38" s="23"/>
      <c r="E38" s="7"/>
      <c r="F38" s="4"/>
      <c r="G38" s="6"/>
    </row>
    <row r="39" spans="1:7" ht="17" x14ac:dyDescent="0.2">
      <c r="A39" s="137" t="s">
        <v>176</v>
      </c>
      <c r="B39"/>
      <c r="E39" s="75"/>
      <c r="F39" s="75"/>
      <c r="G39" s="75"/>
    </row>
    <row r="40" spans="1:7" x14ac:dyDescent="0.2">
      <c r="A40" s="139" t="s">
        <v>242</v>
      </c>
      <c r="B40"/>
    </row>
    <row r="41" spans="1:7" x14ac:dyDescent="0.2">
      <c r="A41" s="139" t="s">
        <v>243</v>
      </c>
      <c r="B41"/>
    </row>
    <row r="43" spans="1:7" x14ac:dyDescent="0.2">
      <c r="A43" s="137" t="s">
        <v>244</v>
      </c>
      <c r="B43"/>
    </row>
    <row r="44" spans="1:7" x14ac:dyDescent="0.2">
      <c r="A44" s="137" t="s">
        <v>230</v>
      </c>
      <c r="B44"/>
      <c r="F44" s="137" t="s">
        <v>234</v>
      </c>
    </row>
    <row r="45" spans="1:7" x14ac:dyDescent="0.2">
      <c r="A45" s="139" t="s">
        <v>231</v>
      </c>
      <c r="B45"/>
      <c r="F45" s="139" t="s">
        <v>231</v>
      </c>
    </row>
    <row r="46" spans="1:7" x14ac:dyDescent="0.2">
      <c r="A46" s="139" t="s">
        <v>232</v>
      </c>
      <c r="B46"/>
      <c r="F46" s="139" t="s">
        <v>232</v>
      </c>
    </row>
    <row r="47" spans="1:7" x14ac:dyDescent="0.2">
      <c r="A47" s="139" t="s">
        <v>233</v>
      </c>
      <c r="B47"/>
      <c r="F47" s="139" t="s">
        <v>235</v>
      </c>
    </row>
    <row r="48" spans="1:7" x14ac:dyDescent="0.2">
      <c r="F48" s="139" t="s">
        <v>236</v>
      </c>
    </row>
    <row r="49" spans="1:7" x14ac:dyDescent="0.2">
      <c r="A49" s="137" t="s">
        <v>245</v>
      </c>
      <c r="B49"/>
    </row>
    <row r="50" spans="1:7" x14ac:dyDescent="0.2">
      <c r="A50" s="138" t="s">
        <v>149</v>
      </c>
      <c r="B50"/>
    </row>
    <row r="51" spans="1:7" x14ac:dyDescent="0.2">
      <c r="A51" s="138" t="s">
        <v>150</v>
      </c>
      <c r="B51"/>
    </row>
    <row r="52" spans="1:7" ht="17" x14ac:dyDescent="0.2">
      <c r="A52" s="138" t="s">
        <v>151</v>
      </c>
      <c r="B52"/>
      <c r="F52" s="75" t="s">
        <v>2</v>
      </c>
    </row>
    <row r="53" spans="1:7" ht="17" x14ac:dyDescent="0.2">
      <c r="A53" s="138" t="s">
        <v>152</v>
      </c>
      <c r="B53"/>
      <c r="F53" s="75" t="s">
        <v>2</v>
      </c>
    </row>
    <row r="54" spans="1:7" ht="17" x14ac:dyDescent="0.2">
      <c r="A54" s="138"/>
      <c r="B54"/>
      <c r="F54" s="75" t="s">
        <v>2</v>
      </c>
    </row>
    <row r="55" spans="1:7" ht="16" customHeight="1" x14ac:dyDescent="0.2">
      <c r="A55" s="138" t="s">
        <v>239</v>
      </c>
      <c r="B55"/>
    </row>
    <row r="56" spans="1:7" ht="16" customHeight="1" x14ac:dyDescent="0.2">
      <c r="A56" s="138" t="s">
        <v>237</v>
      </c>
      <c r="B56"/>
    </row>
    <row r="57" spans="1:7" ht="16" customHeight="1" x14ac:dyDescent="0.2">
      <c r="B57"/>
    </row>
    <row r="58" spans="1:7" ht="16" customHeight="1" x14ac:dyDescent="0.2">
      <c r="A58" s="137" t="s">
        <v>238</v>
      </c>
      <c r="B58"/>
      <c r="E58" s="138" t="s">
        <v>182</v>
      </c>
      <c r="F58" s="138" t="s">
        <v>183</v>
      </c>
    </row>
    <row r="59" spans="1:7" ht="16" customHeight="1" x14ac:dyDescent="0.2">
      <c r="A59" s="138" t="s">
        <v>177</v>
      </c>
      <c r="B59" s="138" t="s">
        <v>178</v>
      </c>
      <c r="E59" s="138" t="s">
        <v>184</v>
      </c>
      <c r="F59" s="138" t="s">
        <v>185</v>
      </c>
    </row>
    <row r="60" spans="1:7" ht="16" customHeight="1" x14ac:dyDescent="0.2">
      <c r="A60" s="138" t="s">
        <v>179</v>
      </c>
      <c r="B60" s="138" t="s">
        <v>180</v>
      </c>
      <c r="E60" s="138" t="s">
        <v>186</v>
      </c>
      <c r="F60" s="138" t="s">
        <v>187</v>
      </c>
    </row>
    <row r="61" spans="1:7" ht="16" customHeight="1" x14ac:dyDescent="0.2">
      <c r="A61" s="138" t="s">
        <v>181</v>
      </c>
      <c r="B61" s="138" t="s">
        <v>240</v>
      </c>
      <c r="E61" s="138" t="s">
        <v>5</v>
      </c>
      <c r="F61" s="138">
        <v>29539311</v>
      </c>
    </row>
    <row r="62" spans="1:7" ht="16" customHeight="1" x14ac:dyDescent="0.2">
      <c r="A62" s="140" t="s">
        <v>241</v>
      </c>
    </row>
    <row r="63" spans="1:7" ht="16" customHeight="1" x14ac:dyDescent="0.2">
      <c r="A63" s="75"/>
      <c r="B63"/>
    </row>
    <row r="64" spans="1:7" x14ac:dyDescent="0.2">
      <c r="A64" s="141" t="s">
        <v>122</v>
      </c>
      <c r="B64" s="142" t="s">
        <v>159</v>
      </c>
      <c r="C64" s="141" t="s">
        <v>88</v>
      </c>
      <c r="D64" s="141" t="s">
        <v>7</v>
      </c>
      <c r="E64" s="141" t="s">
        <v>6</v>
      </c>
      <c r="F64" s="141" t="s">
        <v>89</v>
      </c>
      <c r="G64" s="141" t="s">
        <v>8</v>
      </c>
    </row>
    <row r="65" spans="1:7" x14ac:dyDescent="0.2">
      <c r="A65" s="93" t="s">
        <v>175</v>
      </c>
      <c r="B65" s="101"/>
      <c r="C65" s="95">
        <v>0</v>
      </c>
      <c r="D65" s="95">
        <v>0</v>
      </c>
      <c r="E65" s="102">
        <v>200000</v>
      </c>
      <c r="F65" s="102">
        <f>C65*D65*E65</f>
        <v>0</v>
      </c>
      <c r="G65" s="93" t="s">
        <v>210</v>
      </c>
    </row>
    <row r="66" spans="1:7" x14ac:dyDescent="0.2">
      <c r="A66" s="103" t="s">
        <v>90</v>
      </c>
      <c r="B66" s="104"/>
      <c r="C66" s="95">
        <v>0</v>
      </c>
      <c r="D66" s="95">
        <v>0</v>
      </c>
      <c r="E66" s="94">
        <v>12000</v>
      </c>
      <c r="F66" s="94">
        <f t="shared" ref="F66:F75" si="4">C66*D66*E66</f>
        <v>0</v>
      </c>
      <c r="G66" s="93" t="s">
        <v>214</v>
      </c>
    </row>
    <row r="67" spans="1:7" x14ac:dyDescent="0.2">
      <c r="A67" s="103" t="s">
        <v>92</v>
      </c>
      <c r="B67" s="104"/>
      <c r="C67" s="95">
        <v>0</v>
      </c>
      <c r="D67" s="95">
        <v>0</v>
      </c>
      <c r="E67" s="94">
        <v>26000</v>
      </c>
      <c r="F67" s="94">
        <f t="shared" si="4"/>
        <v>0</v>
      </c>
      <c r="G67" s="93" t="s">
        <v>117</v>
      </c>
    </row>
    <row r="68" spans="1:7" x14ac:dyDescent="0.2">
      <c r="A68" s="103" t="s">
        <v>93</v>
      </c>
      <c r="B68" s="104"/>
      <c r="C68" s="95">
        <v>0</v>
      </c>
      <c r="D68" s="95">
        <v>0</v>
      </c>
      <c r="E68" s="94">
        <v>35000</v>
      </c>
      <c r="F68" s="94">
        <f t="shared" si="4"/>
        <v>0</v>
      </c>
      <c r="G68" s="93" t="s">
        <v>117</v>
      </c>
    </row>
    <row r="69" spans="1:7" x14ac:dyDescent="0.2">
      <c r="A69" s="103" t="s">
        <v>119</v>
      </c>
      <c r="B69" s="104"/>
      <c r="C69" s="95">
        <v>0</v>
      </c>
      <c r="D69" s="95">
        <v>0</v>
      </c>
      <c r="E69" s="94">
        <v>10000</v>
      </c>
      <c r="F69" s="94">
        <f t="shared" si="4"/>
        <v>0</v>
      </c>
      <c r="G69" s="93"/>
    </row>
    <row r="70" spans="1:7" x14ac:dyDescent="0.2">
      <c r="A70" s="103" t="s">
        <v>157</v>
      </c>
      <c r="B70" s="104"/>
      <c r="C70" s="95">
        <v>0</v>
      </c>
      <c r="D70" s="95">
        <v>0</v>
      </c>
      <c r="E70" s="94">
        <v>4500</v>
      </c>
      <c r="F70" s="94">
        <f t="shared" si="4"/>
        <v>0</v>
      </c>
      <c r="G70" s="93" t="s">
        <v>158</v>
      </c>
    </row>
    <row r="71" spans="1:7" x14ac:dyDescent="0.2">
      <c r="A71" s="103" t="s">
        <v>170</v>
      </c>
      <c r="B71" s="104"/>
      <c r="C71" s="95">
        <v>0</v>
      </c>
      <c r="D71" s="95">
        <v>0</v>
      </c>
      <c r="E71" s="94">
        <v>5000</v>
      </c>
      <c r="F71" s="94">
        <f t="shared" ref="F71:F72" si="5">C71*D71*E71</f>
        <v>0</v>
      </c>
      <c r="G71" s="93" t="s">
        <v>370</v>
      </c>
    </row>
    <row r="72" spans="1:7" x14ac:dyDescent="0.2">
      <c r="A72" s="103" t="s">
        <v>171</v>
      </c>
      <c r="B72" s="104"/>
      <c r="C72" s="95">
        <v>0</v>
      </c>
      <c r="D72" s="95">
        <v>0</v>
      </c>
      <c r="E72" s="94">
        <v>5000</v>
      </c>
      <c r="F72" s="94">
        <f t="shared" si="5"/>
        <v>0</v>
      </c>
      <c r="G72" s="93" t="s">
        <v>215</v>
      </c>
    </row>
    <row r="73" spans="1:7" x14ac:dyDescent="0.2">
      <c r="A73" s="103" t="s">
        <v>156</v>
      </c>
      <c r="B73" s="104"/>
      <c r="C73" s="95">
        <v>0</v>
      </c>
      <c r="D73" s="95">
        <v>0</v>
      </c>
      <c r="E73" s="94">
        <v>3000</v>
      </c>
      <c r="F73" s="94">
        <f t="shared" ref="F73" si="6">C73*D73*E73</f>
        <v>0</v>
      </c>
      <c r="G73" s="93" t="s">
        <v>216</v>
      </c>
    </row>
    <row r="74" spans="1:7" x14ac:dyDescent="0.2">
      <c r="A74" s="103" t="s">
        <v>118</v>
      </c>
      <c r="B74" s="104"/>
      <c r="C74" s="95">
        <v>0</v>
      </c>
      <c r="D74" s="95">
        <v>0</v>
      </c>
      <c r="E74" s="94">
        <v>16000</v>
      </c>
      <c r="F74" s="94">
        <f t="shared" si="4"/>
        <v>0</v>
      </c>
      <c r="G74" s="93" t="s">
        <v>145</v>
      </c>
    </row>
    <row r="75" spans="1:7" x14ac:dyDescent="0.2">
      <c r="A75" s="103" t="s">
        <v>10</v>
      </c>
      <c r="B75" s="104"/>
      <c r="C75" s="95">
        <v>0</v>
      </c>
      <c r="D75" s="95">
        <v>0</v>
      </c>
      <c r="E75" s="94">
        <v>7000</v>
      </c>
      <c r="F75" s="94">
        <f t="shared" si="4"/>
        <v>0</v>
      </c>
      <c r="G75" s="93" t="s">
        <v>160</v>
      </c>
    </row>
    <row r="76" spans="1:7" x14ac:dyDescent="0.2">
      <c r="A76" s="121" t="s">
        <v>218</v>
      </c>
      <c r="B76" s="122"/>
      <c r="C76" s="98">
        <v>0</v>
      </c>
      <c r="D76" s="98">
        <v>0</v>
      </c>
      <c r="E76" s="99">
        <v>1000</v>
      </c>
      <c r="F76" s="99">
        <f t="shared" ref="F76" si="7">C76*D76*E76</f>
        <v>0</v>
      </c>
      <c r="G76" s="96" t="s">
        <v>161</v>
      </c>
    </row>
    <row r="77" spans="1:7" x14ac:dyDescent="0.2">
      <c r="A77" s="121" t="s">
        <v>95</v>
      </c>
      <c r="B77" s="122"/>
      <c r="C77" s="98">
        <v>0</v>
      </c>
      <c r="D77" s="98">
        <v>0</v>
      </c>
      <c r="E77" s="123">
        <v>150000</v>
      </c>
      <c r="F77" s="99">
        <f t="shared" ref="F77:F84" si="8">C77*D77*E77</f>
        <v>0</v>
      </c>
      <c r="G77" s="96" t="s">
        <v>96</v>
      </c>
    </row>
    <row r="78" spans="1:7" x14ac:dyDescent="0.2">
      <c r="A78" s="103" t="s">
        <v>97</v>
      </c>
      <c r="B78" s="104"/>
      <c r="C78" s="95">
        <v>0</v>
      </c>
      <c r="D78" s="95">
        <v>0</v>
      </c>
      <c r="E78" s="105">
        <v>120000</v>
      </c>
      <c r="F78" s="94">
        <f t="shared" si="8"/>
        <v>0</v>
      </c>
      <c r="G78" s="93" t="s">
        <v>98</v>
      </c>
    </row>
    <row r="79" spans="1:7" x14ac:dyDescent="0.2">
      <c r="A79" s="106" t="s">
        <v>219</v>
      </c>
      <c r="B79" s="107"/>
      <c r="C79" s="95">
        <v>0</v>
      </c>
      <c r="D79" s="143">
        <v>0</v>
      </c>
      <c r="E79" s="105">
        <v>3850</v>
      </c>
      <c r="F79" s="136">
        <f>E79*D79*C79</f>
        <v>0</v>
      </c>
      <c r="G79" s="103" t="s">
        <v>153</v>
      </c>
    </row>
    <row r="80" spans="1:7" x14ac:dyDescent="0.2">
      <c r="A80" s="106" t="s">
        <v>114</v>
      </c>
      <c r="B80" s="107"/>
      <c r="C80" s="95">
        <v>0</v>
      </c>
      <c r="D80" s="95">
        <v>0</v>
      </c>
      <c r="E80" s="105">
        <v>4800</v>
      </c>
      <c r="F80" s="94">
        <f>C80*D80*E80</f>
        <v>0</v>
      </c>
      <c r="G80" s="103" t="s">
        <v>220</v>
      </c>
    </row>
    <row r="81" spans="1:7" ht="15" customHeight="1" x14ac:dyDescent="0.2">
      <c r="A81" s="106" t="s">
        <v>115</v>
      </c>
      <c r="B81" s="107"/>
      <c r="C81" s="95">
        <v>0</v>
      </c>
      <c r="D81" s="95">
        <v>0</v>
      </c>
      <c r="E81" s="105">
        <v>5500</v>
      </c>
      <c r="F81" s="94">
        <f>C81*D81*E81</f>
        <v>0</v>
      </c>
      <c r="G81" s="103" t="s">
        <v>155</v>
      </c>
    </row>
    <row r="82" spans="1:7" ht="15" customHeight="1" x14ac:dyDescent="0.2">
      <c r="A82" s="106" t="s">
        <v>116</v>
      </c>
      <c r="B82" s="107"/>
      <c r="C82" s="95">
        <v>0</v>
      </c>
      <c r="D82" s="95">
        <v>0</v>
      </c>
      <c r="E82" s="105">
        <v>7500</v>
      </c>
      <c r="F82" s="94">
        <f t="shared" si="8"/>
        <v>0</v>
      </c>
      <c r="G82" s="103" t="s">
        <v>154</v>
      </c>
    </row>
    <row r="83" spans="1:7" x14ac:dyDescent="0.2">
      <c r="A83" s="103" t="s">
        <v>169</v>
      </c>
      <c r="B83" s="104"/>
      <c r="C83" s="95">
        <v>0</v>
      </c>
      <c r="D83" s="95">
        <v>0</v>
      </c>
      <c r="E83" s="94">
        <v>8500</v>
      </c>
      <c r="F83" s="94">
        <f t="shared" si="8"/>
        <v>0</v>
      </c>
      <c r="G83" s="108" t="s">
        <v>246</v>
      </c>
    </row>
    <row r="84" spans="1:7" ht="32" x14ac:dyDescent="0.2">
      <c r="A84" s="103" t="s">
        <v>162</v>
      </c>
      <c r="B84" s="104"/>
      <c r="C84" s="95">
        <v>0</v>
      </c>
      <c r="D84" s="95">
        <v>0</v>
      </c>
      <c r="E84" s="94">
        <v>13500</v>
      </c>
      <c r="F84" s="94">
        <f t="shared" si="8"/>
        <v>0</v>
      </c>
      <c r="G84" s="144" t="s">
        <v>247</v>
      </c>
    </row>
    <row r="85" spans="1:7" x14ac:dyDescent="0.2">
      <c r="A85" s="103" t="s">
        <v>94</v>
      </c>
      <c r="B85" s="104"/>
      <c r="C85" s="95">
        <v>0</v>
      </c>
      <c r="D85" s="95">
        <v>0</v>
      </c>
      <c r="E85" s="94">
        <v>2500</v>
      </c>
      <c r="F85" s="94">
        <f>C85*D85*E85</f>
        <v>0</v>
      </c>
      <c r="G85" s="93" t="s">
        <v>222</v>
      </c>
    </row>
    <row r="86" spans="1:7" x14ac:dyDescent="0.2">
      <c r="A86" s="103" t="s">
        <v>163</v>
      </c>
      <c r="B86" s="104"/>
      <c r="C86" s="95">
        <v>0</v>
      </c>
      <c r="D86" s="95">
        <v>0</v>
      </c>
      <c r="E86" s="105">
        <v>300000</v>
      </c>
      <c r="F86" s="94">
        <f>C86*D86*E86</f>
        <v>0</v>
      </c>
      <c r="G86" s="93" t="s">
        <v>221</v>
      </c>
    </row>
    <row r="87" spans="1:7" x14ac:dyDescent="0.2">
      <c r="A87" s="103" t="s">
        <v>164</v>
      </c>
      <c r="B87" s="104"/>
      <c r="C87" s="95">
        <v>0</v>
      </c>
      <c r="D87" s="95">
        <v>0</v>
      </c>
      <c r="E87" s="105">
        <v>250000</v>
      </c>
      <c r="F87" s="94">
        <f>C87*D87*E87</f>
        <v>0</v>
      </c>
      <c r="G87" s="93" t="s">
        <v>221</v>
      </c>
    </row>
    <row r="88" spans="1:7" x14ac:dyDescent="0.2">
      <c r="A88" s="103" t="s">
        <v>143</v>
      </c>
      <c r="B88" s="104"/>
      <c r="C88" s="95">
        <v>0</v>
      </c>
      <c r="D88" s="95">
        <v>0</v>
      </c>
      <c r="E88" s="105">
        <v>210000</v>
      </c>
      <c r="F88" s="94">
        <f t="shared" ref="F88:F95" si="9">C88*D88*E88</f>
        <v>0</v>
      </c>
      <c r="G88" s="93" t="s">
        <v>221</v>
      </c>
    </row>
    <row r="89" spans="1:7" x14ac:dyDescent="0.2">
      <c r="A89" s="103" t="s">
        <v>144</v>
      </c>
      <c r="B89" s="104"/>
      <c r="C89" s="95">
        <v>0</v>
      </c>
      <c r="D89" s="95">
        <v>0</v>
      </c>
      <c r="E89" s="105">
        <v>210000</v>
      </c>
      <c r="F89" s="94">
        <f t="shared" si="9"/>
        <v>0</v>
      </c>
      <c r="G89" s="93" t="s">
        <v>221</v>
      </c>
    </row>
    <row r="90" spans="1:7" x14ac:dyDescent="0.2">
      <c r="A90" s="103" t="s">
        <v>165</v>
      </c>
      <c r="B90" s="104"/>
      <c r="C90" s="95">
        <v>0</v>
      </c>
      <c r="D90" s="95">
        <v>0</v>
      </c>
      <c r="E90" s="105">
        <v>180000</v>
      </c>
      <c r="F90" s="94">
        <f t="shared" si="9"/>
        <v>0</v>
      </c>
      <c r="G90" s="93" t="s">
        <v>221</v>
      </c>
    </row>
    <row r="91" spans="1:7" x14ac:dyDescent="0.2">
      <c r="A91" s="103" t="s">
        <v>142</v>
      </c>
      <c r="B91" s="104"/>
      <c r="C91" s="95">
        <v>0</v>
      </c>
      <c r="D91" s="95">
        <v>0</v>
      </c>
      <c r="E91" s="105">
        <v>180000</v>
      </c>
      <c r="F91" s="94">
        <f t="shared" si="9"/>
        <v>0</v>
      </c>
      <c r="G91" s="93" t="s">
        <v>221</v>
      </c>
    </row>
    <row r="92" spans="1:7" x14ac:dyDescent="0.2">
      <c r="A92" s="103" t="s">
        <v>167</v>
      </c>
      <c r="B92" s="104"/>
      <c r="C92" s="95">
        <v>0</v>
      </c>
      <c r="D92" s="95">
        <v>0</v>
      </c>
      <c r="E92" s="99">
        <v>120000</v>
      </c>
      <c r="F92" s="94">
        <f t="shared" si="9"/>
        <v>0</v>
      </c>
      <c r="G92" s="93" t="s">
        <v>221</v>
      </c>
    </row>
    <row r="93" spans="1:7" x14ac:dyDescent="0.2">
      <c r="A93" s="103" t="s">
        <v>166</v>
      </c>
      <c r="B93" s="104"/>
      <c r="C93" s="95">
        <v>0</v>
      </c>
      <c r="D93" s="95">
        <v>0</v>
      </c>
      <c r="E93" s="99">
        <v>90000</v>
      </c>
      <c r="F93" s="94">
        <f t="shared" si="9"/>
        <v>0</v>
      </c>
      <c r="G93" s="93" t="s">
        <v>221</v>
      </c>
    </row>
    <row r="94" spans="1:7" x14ac:dyDescent="0.2">
      <c r="A94" s="103" t="s">
        <v>174</v>
      </c>
      <c r="B94" s="104"/>
      <c r="C94" s="95">
        <v>0</v>
      </c>
      <c r="D94" s="95">
        <v>0</v>
      </c>
      <c r="E94" s="99">
        <v>150000</v>
      </c>
      <c r="F94" s="94">
        <f t="shared" si="9"/>
        <v>0</v>
      </c>
      <c r="G94" s="93" t="s">
        <v>223</v>
      </c>
    </row>
    <row r="95" spans="1:7" x14ac:dyDescent="0.2">
      <c r="A95" s="103" t="s">
        <v>168</v>
      </c>
      <c r="B95" s="104"/>
      <c r="C95" s="95">
        <v>0</v>
      </c>
      <c r="D95" s="95">
        <v>0</v>
      </c>
      <c r="E95" s="99">
        <v>300000</v>
      </c>
      <c r="F95" s="94">
        <f t="shared" si="9"/>
        <v>0</v>
      </c>
      <c r="G95" s="93" t="s">
        <v>221</v>
      </c>
    </row>
    <row r="96" spans="1:7" x14ac:dyDescent="0.2">
      <c r="A96" s="111"/>
      <c r="B96" s="112"/>
      <c r="C96" s="111"/>
      <c r="D96" s="111"/>
      <c r="E96" s="111"/>
      <c r="F96" s="111"/>
    </row>
    <row r="97" spans="1:6" x14ac:dyDescent="0.2">
      <c r="A97" s="111"/>
      <c r="B97" s="112"/>
      <c r="C97" s="111"/>
      <c r="D97" s="111"/>
      <c r="E97" s="111"/>
      <c r="F97" s="111"/>
    </row>
    <row r="98" spans="1:6" ht="24" x14ac:dyDescent="0.3">
      <c r="A98" s="148" t="s">
        <v>250</v>
      </c>
      <c r="B98" s="149"/>
      <c r="C98" s="150" t="s">
        <v>251</v>
      </c>
      <c r="D98" s="150" t="s">
        <v>252</v>
      </c>
      <c r="E98" s="111"/>
      <c r="F98" s="111"/>
    </row>
    <row r="99" spans="1:6" x14ac:dyDescent="0.2">
      <c r="A99" s="149"/>
      <c r="B99" s="149"/>
      <c r="C99" s="149"/>
      <c r="D99" s="149"/>
      <c r="E99" s="111"/>
      <c r="F99" s="111"/>
    </row>
    <row r="100" spans="1:6" x14ac:dyDescent="0.2">
      <c r="A100" s="151" t="s">
        <v>253</v>
      </c>
      <c r="B100" s="149"/>
      <c r="C100" s="152">
        <v>2500</v>
      </c>
      <c r="D100" s="152">
        <v>2100.8000000000002</v>
      </c>
      <c r="E100" s="111"/>
      <c r="F100" s="111"/>
    </row>
    <row r="101" spans="1:6" x14ac:dyDescent="0.2">
      <c r="A101" s="149" t="s">
        <v>254</v>
      </c>
      <c r="B101" s="149"/>
      <c r="C101" s="152"/>
      <c r="D101" s="153"/>
      <c r="E101" s="111"/>
      <c r="F101" s="111"/>
    </row>
    <row r="102" spans="1:6" x14ac:dyDescent="0.2">
      <c r="A102" s="151" t="s">
        <v>255</v>
      </c>
      <c r="B102" s="149"/>
      <c r="C102" s="152">
        <v>2800</v>
      </c>
      <c r="D102" s="152">
        <v>2352.9</v>
      </c>
      <c r="E102" s="111"/>
      <c r="F102" s="111"/>
    </row>
    <row r="103" spans="1:6" x14ac:dyDescent="0.2">
      <c r="A103" s="149" t="s">
        <v>256</v>
      </c>
      <c r="B103" s="149"/>
      <c r="C103" s="153"/>
      <c r="D103" s="153"/>
      <c r="E103" s="111"/>
      <c r="F103" s="111"/>
    </row>
    <row r="104" spans="1:6" x14ac:dyDescent="0.2">
      <c r="A104" s="151" t="s">
        <v>257</v>
      </c>
      <c r="B104" s="149"/>
      <c r="C104" s="152">
        <v>3200</v>
      </c>
      <c r="D104" s="152">
        <v>2689.1</v>
      </c>
      <c r="E104" s="111"/>
      <c r="F104" s="111"/>
    </row>
    <row r="105" spans="1:6" x14ac:dyDescent="0.2">
      <c r="A105" s="149" t="s">
        <v>258</v>
      </c>
      <c r="B105" s="149"/>
      <c r="C105" s="153"/>
      <c r="D105" s="153"/>
      <c r="E105" s="111"/>
      <c r="F105" s="111"/>
    </row>
    <row r="106" spans="1:6" x14ac:dyDescent="0.2">
      <c r="A106" s="151" t="s">
        <v>259</v>
      </c>
      <c r="B106" s="149"/>
      <c r="C106" s="152">
        <v>1800</v>
      </c>
      <c r="D106" s="152">
        <v>1512.6</v>
      </c>
      <c r="E106" s="111"/>
      <c r="F106" s="111"/>
    </row>
    <row r="107" spans="1:6" x14ac:dyDescent="0.2">
      <c r="A107" s="149" t="s">
        <v>260</v>
      </c>
      <c r="B107" s="149"/>
      <c r="C107" s="153"/>
      <c r="D107" s="153"/>
      <c r="E107" s="111"/>
      <c r="F107" s="111"/>
    </row>
    <row r="108" spans="1:6" x14ac:dyDescent="0.2">
      <c r="A108" s="149"/>
      <c r="B108" s="149"/>
      <c r="C108" s="153"/>
      <c r="D108" s="153"/>
      <c r="E108" s="111"/>
      <c r="F108" s="111"/>
    </row>
    <row r="109" spans="1:6" x14ac:dyDescent="0.2">
      <c r="A109" s="151" t="s">
        <v>261</v>
      </c>
      <c r="B109" s="149"/>
      <c r="C109" s="152">
        <v>1800</v>
      </c>
      <c r="D109" s="152">
        <v>1512.6</v>
      </c>
      <c r="E109" s="111"/>
      <c r="F109" s="111"/>
    </row>
    <row r="110" spans="1:6" x14ac:dyDescent="0.2">
      <c r="A110" s="151" t="s">
        <v>262</v>
      </c>
      <c r="B110" s="149"/>
      <c r="C110" s="152">
        <v>1800</v>
      </c>
      <c r="D110" s="152">
        <v>1512.6</v>
      </c>
      <c r="E110" s="111"/>
      <c r="F110" s="111"/>
    </row>
    <row r="111" spans="1:6" x14ac:dyDescent="0.2">
      <c r="A111" s="151" t="s">
        <v>263</v>
      </c>
      <c r="B111" s="149"/>
      <c r="C111" s="152">
        <v>1800</v>
      </c>
      <c r="D111" s="152">
        <v>1512.6</v>
      </c>
      <c r="E111" s="111"/>
      <c r="F111" s="111"/>
    </row>
    <row r="112" spans="1:6" x14ac:dyDescent="0.2">
      <c r="A112" s="151" t="s">
        <v>264</v>
      </c>
      <c r="B112" s="149"/>
      <c r="C112" s="152">
        <v>2500</v>
      </c>
      <c r="D112" s="152">
        <v>2100.8000000000002</v>
      </c>
      <c r="E112" s="111"/>
      <c r="F112" s="111"/>
    </row>
    <row r="113" spans="1:7" x14ac:dyDescent="0.2">
      <c r="A113" s="151" t="s">
        <v>265</v>
      </c>
      <c r="B113" s="149"/>
      <c r="C113" s="152">
        <v>8500</v>
      </c>
      <c r="D113" s="152">
        <v>7142.9</v>
      </c>
      <c r="E113" s="111"/>
      <c r="F113" s="111"/>
      <c r="G113" s="6"/>
    </row>
    <row r="114" spans="1:7" x14ac:dyDescent="0.2">
      <c r="A114" s="151" t="s">
        <v>266</v>
      </c>
      <c r="B114" s="149"/>
      <c r="C114" s="152">
        <v>3000</v>
      </c>
      <c r="D114" s="152">
        <v>2521</v>
      </c>
      <c r="E114" s="111"/>
      <c r="F114" s="111"/>
    </row>
    <row r="115" spans="1:7" x14ac:dyDescent="0.2">
      <c r="A115" s="151" t="s">
        <v>267</v>
      </c>
      <c r="B115" s="149"/>
      <c r="C115" s="152">
        <v>3600</v>
      </c>
      <c r="D115" s="152">
        <v>3025.2</v>
      </c>
      <c r="E115" s="111"/>
      <c r="F115" s="111"/>
    </row>
    <row r="116" spans="1:7" x14ac:dyDescent="0.2">
      <c r="A116" s="151" t="s">
        <v>268</v>
      </c>
      <c r="B116" s="149"/>
      <c r="C116" s="152">
        <v>2500</v>
      </c>
      <c r="D116" s="152">
        <v>2100.8000000000002</v>
      </c>
      <c r="E116" s="111"/>
      <c r="F116" s="111"/>
    </row>
    <row r="117" spans="1:7" x14ac:dyDescent="0.2">
      <c r="A117" s="149"/>
      <c r="B117" s="149"/>
      <c r="C117" s="153"/>
      <c r="D117" s="153"/>
      <c r="E117" s="111"/>
      <c r="F117" s="111"/>
    </row>
    <row r="118" spans="1:7" x14ac:dyDescent="0.2">
      <c r="A118" s="154" t="s">
        <v>269</v>
      </c>
      <c r="B118" s="149"/>
      <c r="C118" s="153"/>
      <c r="D118" s="153"/>
      <c r="E118" s="111"/>
      <c r="F118" s="111"/>
    </row>
    <row r="119" spans="1:7" x14ac:dyDescent="0.2">
      <c r="A119" s="151" t="s">
        <v>270</v>
      </c>
      <c r="B119" s="149"/>
      <c r="C119" s="152">
        <v>3600</v>
      </c>
      <c r="D119" s="152">
        <v>3025.2</v>
      </c>
      <c r="E119" s="111"/>
      <c r="F119" s="111"/>
    </row>
    <row r="120" spans="1:7" x14ac:dyDescent="0.2">
      <c r="A120" s="151" t="s">
        <v>271</v>
      </c>
      <c r="B120" s="149"/>
      <c r="C120" s="152">
        <v>4800</v>
      </c>
      <c r="D120" s="152">
        <v>4033.6</v>
      </c>
      <c r="E120" s="111"/>
      <c r="F120" s="111"/>
    </row>
    <row r="121" spans="1:7" x14ac:dyDescent="0.2">
      <c r="A121" s="154" t="s">
        <v>272</v>
      </c>
      <c r="B121" s="149"/>
      <c r="C121" s="153"/>
      <c r="D121" s="153"/>
      <c r="E121" s="111"/>
      <c r="F121" s="111"/>
    </row>
    <row r="122" spans="1:7" x14ac:dyDescent="0.2">
      <c r="A122" s="151" t="s">
        <v>273</v>
      </c>
      <c r="B122" s="149"/>
      <c r="C122" s="152">
        <v>3600</v>
      </c>
      <c r="D122" s="152">
        <v>3025.2</v>
      </c>
      <c r="E122" s="111"/>
      <c r="F122" s="111"/>
    </row>
    <row r="123" spans="1:7" x14ac:dyDescent="0.2">
      <c r="A123" s="151" t="s">
        <v>274</v>
      </c>
      <c r="B123" s="149"/>
      <c r="C123" s="152">
        <v>4500</v>
      </c>
      <c r="D123" s="152">
        <v>3781.5</v>
      </c>
      <c r="E123" s="111"/>
      <c r="F123" s="111"/>
    </row>
    <row r="124" spans="1:7" x14ac:dyDescent="0.2">
      <c r="A124" s="151" t="s">
        <v>275</v>
      </c>
      <c r="B124" s="149"/>
      <c r="C124" s="152">
        <v>4800</v>
      </c>
      <c r="D124" s="152">
        <v>4033.6</v>
      </c>
      <c r="E124" s="111"/>
      <c r="F124" s="111"/>
    </row>
    <row r="125" spans="1:7" x14ac:dyDescent="0.2">
      <c r="A125" s="154" t="s">
        <v>276</v>
      </c>
      <c r="B125" s="149"/>
      <c r="C125" s="153"/>
      <c r="D125" s="153"/>
      <c r="E125" s="111"/>
      <c r="F125" s="111"/>
    </row>
    <row r="126" spans="1:7" x14ac:dyDescent="0.2">
      <c r="A126" s="151" t="s">
        <v>277</v>
      </c>
      <c r="B126" s="149"/>
      <c r="C126" s="152">
        <v>4500</v>
      </c>
      <c r="D126" s="152">
        <v>3781.5</v>
      </c>
      <c r="E126" s="111"/>
      <c r="F126" s="111"/>
    </row>
    <row r="127" spans="1:7" x14ac:dyDescent="0.2">
      <c r="A127" s="151" t="s">
        <v>278</v>
      </c>
      <c r="B127" s="149"/>
      <c r="C127" s="152">
        <v>8000</v>
      </c>
      <c r="D127" s="152">
        <v>6722.7</v>
      </c>
      <c r="E127" s="111"/>
      <c r="F127" s="111"/>
    </row>
    <row r="128" spans="1:7" x14ac:dyDescent="0.2">
      <c r="A128" s="151" t="s">
        <v>279</v>
      </c>
      <c r="B128" s="149"/>
      <c r="C128" s="152">
        <v>4500</v>
      </c>
      <c r="D128" s="152">
        <v>3781.5</v>
      </c>
      <c r="E128" s="111"/>
      <c r="F128" s="111"/>
    </row>
    <row r="129" spans="1:6" x14ac:dyDescent="0.2">
      <c r="A129" s="151" t="s">
        <v>280</v>
      </c>
      <c r="B129" s="149"/>
      <c r="C129" s="152">
        <v>6500</v>
      </c>
      <c r="D129" s="152">
        <v>5462.2</v>
      </c>
      <c r="E129" s="111"/>
      <c r="F129" s="111"/>
    </row>
    <row r="130" spans="1:6" x14ac:dyDescent="0.2">
      <c r="A130" s="151" t="s">
        <v>281</v>
      </c>
      <c r="B130" s="149"/>
      <c r="C130" s="152">
        <v>7500</v>
      </c>
      <c r="D130" s="152">
        <v>6302.5</v>
      </c>
      <c r="E130" s="111"/>
      <c r="F130" s="111"/>
    </row>
    <row r="131" spans="1:6" x14ac:dyDescent="0.2">
      <c r="A131" s="154" t="s">
        <v>282</v>
      </c>
      <c r="B131" s="149"/>
      <c r="C131" s="153"/>
      <c r="D131" s="153"/>
      <c r="E131" s="111"/>
      <c r="F131" s="111"/>
    </row>
    <row r="132" spans="1:6" x14ac:dyDescent="0.2">
      <c r="A132" s="151" t="s">
        <v>283</v>
      </c>
      <c r="B132" s="149"/>
      <c r="C132" s="152">
        <v>4800</v>
      </c>
      <c r="D132" s="152">
        <v>4033.6</v>
      </c>
      <c r="E132" s="111"/>
      <c r="F132" s="111"/>
    </row>
    <row r="133" spans="1:6" x14ac:dyDescent="0.2">
      <c r="A133" s="151" t="s">
        <v>284</v>
      </c>
      <c r="B133" s="149"/>
      <c r="C133" s="152">
        <v>6000</v>
      </c>
      <c r="D133" s="152">
        <v>5042</v>
      </c>
      <c r="E133" s="111"/>
      <c r="F133" s="111"/>
    </row>
    <row r="134" spans="1:6" x14ac:dyDescent="0.2">
      <c r="A134" s="151" t="s">
        <v>285</v>
      </c>
      <c r="B134" s="149"/>
      <c r="C134" s="152">
        <v>4500</v>
      </c>
      <c r="D134" s="152">
        <v>3781.5</v>
      </c>
      <c r="E134" s="111"/>
      <c r="F134" s="111"/>
    </row>
    <row r="135" spans="1:6" x14ac:dyDescent="0.2">
      <c r="A135" s="154" t="s">
        <v>286</v>
      </c>
      <c r="B135" s="149"/>
      <c r="C135" s="153"/>
      <c r="D135" s="153"/>
      <c r="E135" s="111"/>
      <c r="F135" s="111"/>
    </row>
    <row r="136" spans="1:6" x14ac:dyDescent="0.2">
      <c r="A136" s="151" t="s">
        <v>287</v>
      </c>
      <c r="B136" s="149"/>
      <c r="C136" s="152">
        <v>3000</v>
      </c>
      <c r="D136" s="152">
        <v>2521</v>
      </c>
      <c r="E136" s="111"/>
      <c r="F136" s="111"/>
    </row>
    <row r="137" spans="1:6" x14ac:dyDescent="0.2">
      <c r="A137" s="151" t="s">
        <v>288</v>
      </c>
      <c r="B137" s="149"/>
      <c r="C137" s="152">
        <v>3200</v>
      </c>
      <c r="D137" s="152">
        <v>2689.1</v>
      </c>
      <c r="E137" s="111"/>
      <c r="F137" s="111"/>
    </row>
    <row r="138" spans="1:6" x14ac:dyDescent="0.2">
      <c r="A138" s="154" t="s">
        <v>289</v>
      </c>
      <c r="B138" s="149"/>
      <c r="C138" s="153"/>
      <c r="D138" s="153"/>
      <c r="E138" s="111"/>
      <c r="F138" s="111"/>
    </row>
    <row r="139" spans="1:6" x14ac:dyDescent="0.2">
      <c r="A139" s="151" t="s">
        <v>290</v>
      </c>
      <c r="B139" s="149"/>
      <c r="C139" s="152">
        <v>4800</v>
      </c>
      <c r="D139" s="152">
        <v>4033.6</v>
      </c>
      <c r="E139" s="111"/>
      <c r="F139" s="111"/>
    </row>
    <row r="140" spans="1:6" x14ac:dyDescent="0.2">
      <c r="A140" s="151" t="s">
        <v>291</v>
      </c>
      <c r="B140" s="149"/>
      <c r="C140" s="152">
        <v>4800</v>
      </c>
      <c r="D140" s="152">
        <v>4033.6</v>
      </c>
      <c r="E140" s="111"/>
      <c r="F140" s="111"/>
    </row>
    <row r="141" spans="1:6" x14ac:dyDescent="0.2">
      <c r="A141" s="151" t="s">
        <v>292</v>
      </c>
      <c r="B141" s="149"/>
      <c r="C141" s="152">
        <v>6000</v>
      </c>
      <c r="D141" s="152">
        <v>5042</v>
      </c>
      <c r="E141" s="111"/>
      <c r="F141" s="111"/>
    </row>
    <row r="142" spans="1:6" x14ac:dyDescent="0.2">
      <c r="A142" s="151" t="s">
        <v>293</v>
      </c>
      <c r="B142" s="149"/>
      <c r="C142" s="152">
        <v>6000</v>
      </c>
      <c r="D142" s="152">
        <v>5042</v>
      </c>
      <c r="E142" s="111"/>
      <c r="F142" s="111"/>
    </row>
    <row r="143" spans="1:6" x14ac:dyDescent="0.2">
      <c r="A143" s="151" t="s">
        <v>294</v>
      </c>
      <c r="B143" s="149"/>
      <c r="C143" s="152">
        <v>4500</v>
      </c>
      <c r="D143" s="152">
        <v>3781.5</v>
      </c>
      <c r="E143" s="111"/>
      <c r="F143" s="111"/>
    </row>
    <row r="144" spans="1:6" x14ac:dyDescent="0.2">
      <c r="A144" s="151" t="s">
        <v>295</v>
      </c>
      <c r="B144" s="149"/>
      <c r="C144" s="152">
        <v>4800</v>
      </c>
      <c r="D144" s="152">
        <v>4033.6</v>
      </c>
      <c r="E144" s="111"/>
      <c r="F144" s="111"/>
    </row>
    <row r="145" spans="1:6" x14ac:dyDescent="0.2">
      <c r="A145" s="151" t="s">
        <v>296</v>
      </c>
      <c r="B145" s="149"/>
      <c r="C145" s="152">
        <v>3600</v>
      </c>
      <c r="D145" s="152">
        <v>3025.2</v>
      </c>
      <c r="E145" s="111"/>
      <c r="F145" s="111"/>
    </row>
    <row r="146" spans="1:6" x14ac:dyDescent="0.2">
      <c r="A146" s="151" t="s">
        <v>297</v>
      </c>
      <c r="B146" s="149"/>
      <c r="C146" s="152">
        <v>6000</v>
      </c>
      <c r="D146" s="152">
        <v>5042</v>
      </c>
      <c r="E146" s="111"/>
      <c r="F146" s="111"/>
    </row>
    <row r="147" spans="1:6" x14ac:dyDescent="0.2">
      <c r="A147" s="154" t="s">
        <v>298</v>
      </c>
      <c r="B147" s="149"/>
      <c r="C147" s="153"/>
      <c r="D147" s="153"/>
      <c r="E147" s="111"/>
      <c r="F147" s="111"/>
    </row>
    <row r="148" spans="1:6" x14ac:dyDescent="0.2">
      <c r="A148" s="151" t="s">
        <v>299</v>
      </c>
      <c r="B148" s="149"/>
      <c r="C148" s="152">
        <v>2400</v>
      </c>
      <c r="D148" s="152">
        <v>2016.8</v>
      </c>
      <c r="E148" s="111"/>
      <c r="F148" s="111"/>
    </row>
    <row r="149" spans="1:6" x14ac:dyDescent="0.2">
      <c r="A149" s="151" t="s">
        <v>300</v>
      </c>
      <c r="B149" s="149"/>
      <c r="C149" s="152">
        <v>2400</v>
      </c>
      <c r="D149" s="152">
        <v>2016.8</v>
      </c>
      <c r="E149" s="111"/>
      <c r="F149" s="111"/>
    </row>
    <row r="150" spans="1:6" x14ac:dyDescent="0.2">
      <c r="A150" s="151" t="s">
        <v>301</v>
      </c>
      <c r="B150" s="149"/>
      <c r="C150" s="152">
        <v>2400</v>
      </c>
      <c r="D150" s="152">
        <v>2016.8</v>
      </c>
      <c r="E150" s="111"/>
      <c r="F150" s="111"/>
    </row>
    <row r="151" spans="1:6" x14ac:dyDescent="0.2">
      <c r="A151" s="149"/>
      <c r="B151" s="149"/>
      <c r="C151" s="153"/>
      <c r="D151" s="153"/>
      <c r="E151" s="111"/>
      <c r="F151" s="111"/>
    </row>
    <row r="152" spans="1:6" x14ac:dyDescent="0.2">
      <c r="A152" s="151" t="s">
        <v>302</v>
      </c>
      <c r="B152" s="149"/>
      <c r="C152" s="152">
        <v>3600</v>
      </c>
      <c r="D152" s="152">
        <v>3025.2</v>
      </c>
      <c r="E152" s="111"/>
      <c r="F152" s="111"/>
    </row>
    <row r="153" spans="1:6" x14ac:dyDescent="0.2">
      <c r="A153" s="149" t="s">
        <v>303</v>
      </c>
      <c r="B153" s="149"/>
      <c r="C153" s="153"/>
      <c r="D153" s="153"/>
      <c r="E153" s="111"/>
      <c r="F153" s="111"/>
    </row>
    <row r="154" spans="1:6" x14ac:dyDescent="0.2">
      <c r="A154" s="151" t="s">
        <v>304</v>
      </c>
      <c r="B154" s="149"/>
      <c r="C154" s="152">
        <v>3600</v>
      </c>
      <c r="D154" s="152">
        <v>3025.2</v>
      </c>
      <c r="E154" s="111"/>
      <c r="F154" s="111"/>
    </row>
    <row r="155" spans="1:6" x14ac:dyDescent="0.2">
      <c r="A155" s="149" t="s">
        <v>305</v>
      </c>
      <c r="B155" s="149"/>
      <c r="C155" s="153"/>
      <c r="D155" s="153"/>
      <c r="E155" s="111"/>
      <c r="F155" s="111"/>
    </row>
    <row r="156" spans="1:6" x14ac:dyDescent="0.2">
      <c r="A156" s="151" t="s">
        <v>306</v>
      </c>
      <c r="B156" s="149"/>
      <c r="C156" s="152">
        <v>4500</v>
      </c>
      <c r="D156" s="152">
        <v>3781.5</v>
      </c>
      <c r="E156" s="111"/>
      <c r="F156" s="111"/>
    </row>
    <row r="157" spans="1:6" x14ac:dyDescent="0.2">
      <c r="A157" s="149" t="s">
        <v>307</v>
      </c>
      <c r="B157" s="149"/>
      <c r="C157" s="153"/>
      <c r="D157" s="153"/>
      <c r="E157" s="111"/>
      <c r="F157" s="111"/>
    </row>
    <row r="158" spans="1:6" x14ac:dyDescent="0.2">
      <c r="A158" s="151" t="s">
        <v>308</v>
      </c>
      <c r="B158" s="149"/>
      <c r="C158" s="152">
        <v>4500</v>
      </c>
      <c r="D158" s="152">
        <v>3781.5</v>
      </c>
      <c r="E158" s="111"/>
      <c r="F158" s="111"/>
    </row>
    <row r="159" spans="1:6" x14ac:dyDescent="0.2">
      <c r="A159" s="155" t="s">
        <v>309</v>
      </c>
      <c r="B159" s="149"/>
      <c r="C159" s="153"/>
      <c r="D159" s="153"/>
      <c r="E159" s="111"/>
      <c r="F159" s="111"/>
    </row>
    <row r="160" spans="1:6" x14ac:dyDescent="0.2">
      <c r="A160" s="151" t="s">
        <v>310</v>
      </c>
      <c r="B160" s="149"/>
      <c r="C160" s="152">
        <v>4800</v>
      </c>
      <c r="D160" s="152">
        <v>4033.6</v>
      </c>
      <c r="E160" s="111"/>
      <c r="F160" s="111"/>
    </row>
    <row r="161" spans="1:6" x14ac:dyDescent="0.2">
      <c r="A161" s="149" t="s">
        <v>311</v>
      </c>
      <c r="B161" s="149"/>
      <c r="C161" s="153"/>
      <c r="D161" s="153"/>
      <c r="E161" s="111"/>
      <c r="F161" s="111"/>
    </row>
    <row r="162" spans="1:6" x14ac:dyDescent="0.2">
      <c r="A162" s="151" t="s">
        <v>312</v>
      </c>
      <c r="B162" s="149"/>
      <c r="C162" s="152">
        <v>4500</v>
      </c>
      <c r="D162" s="152">
        <v>3781.5</v>
      </c>
      <c r="E162" s="111"/>
      <c r="F162" s="111"/>
    </row>
    <row r="163" spans="1:6" x14ac:dyDescent="0.2">
      <c r="A163" s="149" t="s">
        <v>313</v>
      </c>
      <c r="B163" s="149"/>
      <c r="C163" s="153"/>
      <c r="D163" s="153"/>
      <c r="E163" s="111"/>
      <c r="F163" s="111"/>
    </row>
    <row r="164" spans="1:6" x14ac:dyDescent="0.2">
      <c r="A164" s="151" t="s">
        <v>314</v>
      </c>
      <c r="B164" s="149"/>
      <c r="C164" s="152">
        <v>5400</v>
      </c>
      <c r="D164" s="152">
        <v>4537.8</v>
      </c>
      <c r="E164" s="111"/>
      <c r="F164" s="111"/>
    </row>
    <row r="165" spans="1:6" x14ac:dyDescent="0.2">
      <c r="A165" s="149" t="s">
        <v>315</v>
      </c>
      <c r="B165" s="149"/>
      <c r="C165" s="153"/>
      <c r="D165" s="153"/>
      <c r="E165" s="111"/>
      <c r="F165" s="111"/>
    </row>
    <row r="166" spans="1:6" x14ac:dyDescent="0.2">
      <c r="A166" s="151" t="s">
        <v>316</v>
      </c>
      <c r="B166" s="149"/>
      <c r="C166" s="152">
        <v>4500</v>
      </c>
      <c r="D166" s="152">
        <v>3781.5</v>
      </c>
      <c r="E166" s="111"/>
      <c r="F166" s="111"/>
    </row>
    <row r="167" spans="1:6" x14ac:dyDescent="0.2">
      <c r="A167" s="149" t="s">
        <v>317</v>
      </c>
      <c r="B167" s="149"/>
      <c r="C167" s="153"/>
      <c r="D167" s="153"/>
      <c r="E167" s="111"/>
      <c r="F167" s="111"/>
    </row>
    <row r="168" spans="1:6" x14ac:dyDescent="0.2">
      <c r="A168" s="151" t="s">
        <v>318</v>
      </c>
      <c r="B168" s="149"/>
      <c r="C168" s="152">
        <v>4500</v>
      </c>
      <c r="D168" s="152">
        <v>3781.5</v>
      </c>
      <c r="E168" s="111"/>
      <c r="F168" s="111"/>
    </row>
    <row r="169" spans="1:6" x14ac:dyDescent="0.2">
      <c r="A169" s="149" t="s">
        <v>319</v>
      </c>
      <c r="B169" s="149"/>
      <c r="C169" s="153"/>
      <c r="D169" s="153"/>
      <c r="E169" s="111"/>
      <c r="F169" s="111"/>
    </row>
    <row r="170" spans="1:6" x14ac:dyDescent="0.2">
      <c r="A170" s="151" t="s">
        <v>320</v>
      </c>
      <c r="B170" s="149"/>
      <c r="C170" s="152">
        <v>4500</v>
      </c>
      <c r="D170" s="152">
        <v>3781.5</v>
      </c>
      <c r="E170" s="111"/>
      <c r="F170" s="111"/>
    </row>
    <row r="171" spans="1:6" x14ac:dyDescent="0.2">
      <c r="A171" s="149" t="s">
        <v>321</v>
      </c>
      <c r="B171" s="149"/>
      <c r="C171" s="153"/>
      <c r="D171" s="153"/>
      <c r="E171" s="111"/>
      <c r="F171" s="111"/>
    </row>
    <row r="172" spans="1:6" x14ac:dyDescent="0.2">
      <c r="A172" s="151" t="s">
        <v>322</v>
      </c>
      <c r="B172" s="149"/>
      <c r="C172" s="152">
        <v>4500</v>
      </c>
      <c r="D172" s="152">
        <v>3781.5</v>
      </c>
      <c r="E172" s="111"/>
      <c r="F172" s="111"/>
    </row>
    <row r="173" spans="1:6" x14ac:dyDescent="0.2">
      <c r="A173" s="149" t="s">
        <v>323</v>
      </c>
      <c r="B173" s="149"/>
      <c r="C173" s="153"/>
      <c r="D173" s="153"/>
      <c r="E173" s="111"/>
      <c r="F173" s="111"/>
    </row>
    <row r="174" spans="1:6" x14ac:dyDescent="0.2">
      <c r="A174" s="151" t="s">
        <v>324</v>
      </c>
      <c r="B174" s="149"/>
      <c r="C174" s="152">
        <v>4500</v>
      </c>
      <c r="D174" s="152">
        <v>3781.5</v>
      </c>
      <c r="E174" s="111"/>
      <c r="F174" s="111"/>
    </row>
    <row r="175" spans="1:6" x14ac:dyDescent="0.2">
      <c r="A175" s="149" t="s">
        <v>325</v>
      </c>
      <c r="B175" s="149"/>
      <c r="C175" s="153"/>
      <c r="D175" s="153"/>
      <c r="E175" s="111"/>
      <c r="F175" s="111"/>
    </row>
    <row r="176" spans="1:6" x14ac:dyDescent="0.2">
      <c r="A176" s="151" t="s">
        <v>326</v>
      </c>
      <c r="B176" s="149"/>
      <c r="C176" s="152">
        <v>6000</v>
      </c>
      <c r="D176" s="152">
        <v>5042</v>
      </c>
      <c r="E176" s="111"/>
      <c r="F176" s="111"/>
    </row>
    <row r="177" spans="1:6" x14ac:dyDescent="0.2">
      <c r="A177" s="149" t="s">
        <v>327</v>
      </c>
      <c r="B177" s="149"/>
      <c r="C177" s="153"/>
      <c r="D177" s="153"/>
      <c r="E177" s="111"/>
      <c r="F177" s="111"/>
    </row>
    <row r="178" spans="1:6" x14ac:dyDescent="0.2">
      <c r="A178" s="151" t="s">
        <v>328</v>
      </c>
      <c r="B178" s="149"/>
      <c r="C178" s="152">
        <v>4500</v>
      </c>
      <c r="D178" s="152">
        <v>3781.5</v>
      </c>
      <c r="E178" s="111"/>
      <c r="F178" s="111"/>
    </row>
    <row r="179" spans="1:6" x14ac:dyDescent="0.2">
      <c r="A179" s="149" t="s">
        <v>329</v>
      </c>
      <c r="B179" s="149"/>
      <c r="C179" s="153"/>
      <c r="D179" s="153"/>
      <c r="E179" s="111"/>
      <c r="F179" s="111"/>
    </row>
    <row r="180" spans="1:6" x14ac:dyDescent="0.2">
      <c r="A180" s="149"/>
      <c r="B180" s="149"/>
      <c r="C180" s="153"/>
      <c r="D180" s="153"/>
      <c r="E180" s="111"/>
      <c r="F180" s="111"/>
    </row>
    <row r="181" spans="1:6" x14ac:dyDescent="0.2">
      <c r="A181" s="151" t="s">
        <v>330</v>
      </c>
      <c r="B181" s="149"/>
      <c r="C181" s="152">
        <v>9000</v>
      </c>
      <c r="D181" s="152">
        <v>7563</v>
      </c>
      <c r="E181" s="111"/>
      <c r="F181" s="111"/>
    </row>
    <row r="182" spans="1:6" x14ac:dyDescent="0.2">
      <c r="A182" s="149" t="s">
        <v>331</v>
      </c>
      <c r="B182" s="149"/>
      <c r="C182" s="153"/>
      <c r="D182" s="153"/>
      <c r="E182" s="111"/>
      <c r="F182" s="111"/>
    </row>
    <row r="183" spans="1:6" x14ac:dyDescent="0.2">
      <c r="A183" s="151" t="s">
        <v>332</v>
      </c>
      <c r="B183" s="149"/>
      <c r="C183" s="152">
        <v>12000</v>
      </c>
      <c r="D183" s="152">
        <v>10084</v>
      </c>
      <c r="E183" s="111"/>
      <c r="F183" s="111"/>
    </row>
    <row r="184" spans="1:6" x14ac:dyDescent="0.2">
      <c r="A184" s="149" t="s">
        <v>331</v>
      </c>
      <c r="B184" s="149"/>
      <c r="C184" s="153"/>
      <c r="D184" s="153"/>
      <c r="E184" s="111"/>
      <c r="F184" s="111"/>
    </row>
    <row r="185" spans="1:6" x14ac:dyDescent="0.2">
      <c r="A185" s="151" t="s">
        <v>333</v>
      </c>
      <c r="B185" s="149"/>
      <c r="C185" s="152">
        <v>12000</v>
      </c>
      <c r="D185" s="152">
        <v>10084</v>
      </c>
      <c r="E185" s="111"/>
      <c r="F185" s="111"/>
    </row>
    <row r="186" spans="1:6" x14ac:dyDescent="0.2">
      <c r="A186" s="149" t="s">
        <v>334</v>
      </c>
      <c r="B186" s="149"/>
      <c r="C186" s="153"/>
      <c r="D186" s="153"/>
      <c r="E186" s="111"/>
      <c r="F186" s="111"/>
    </row>
    <row r="187" spans="1:6" x14ac:dyDescent="0.2">
      <c r="A187" s="151" t="s">
        <v>335</v>
      </c>
      <c r="B187" s="149"/>
      <c r="C187" s="152">
        <v>12000</v>
      </c>
      <c r="D187" s="152">
        <v>10084</v>
      </c>
      <c r="E187" s="111"/>
      <c r="F187" s="111"/>
    </row>
    <row r="188" spans="1:6" x14ac:dyDescent="0.2">
      <c r="A188" s="149" t="s">
        <v>336</v>
      </c>
      <c r="B188" s="149"/>
      <c r="C188" s="153"/>
      <c r="D188" s="153"/>
      <c r="E188" s="111"/>
      <c r="F188" s="111"/>
    </row>
    <row r="189" spans="1:6" x14ac:dyDescent="0.2">
      <c r="A189" s="151" t="s">
        <v>337</v>
      </c>
      <c r="B189" s="149"/>
      <c r="C189" s="152">
        <v>12000</v>
      </c>
      <c r="D189" s="152">
        <v>10084</v>
      </c>
      <c r="E189" s="111"/>
      <c r="F189" s="111"/>
    </row>
    <row r="190" spans="1:6" x14ac:dyDescent="0.2">
      <c r="A190" s="149" t="s">
        <v>338</v>
      </c>
      <c r="B190" s="149"/>
      <c r="C190" s="153"/>
      <c r="D190" s="153"/>
      <c r="E190" s="111"/>
      <c r="F190" s="111"/>
    </row>
    <row r="191" spans="1:6" x14ac:dyDescent="0.2">
      <c r="A191" s="151" t="s">
        <v>339</v>
      </c>
      <c r="B191" s="149"/>
      <c r="C191" s="152">
        <v>14000</v>
      </c>
      <c r="D191" s="152">
        <v>11764.7</v>
      </c>
      <c r="E191" s="111"/>
      <c r="F191" s="111"/>
    </row>
    <row r="192" spans="1:6" x14ac:dyDescent="0.2">
      <c r="A192" s="149" t="s">
        <v>331</v>
      </c>
      <c r="B192" s="149"/>
      <c r="C192" s="153"/>
      <c r="D192" s="153"/>
      <c r="E192" s="111"/>
      <c r="F192" s="111"/>
    </row>
    <row r="193" spans="1:6" x14ac:dyDescent="0.2">
      <c r="A193" s="151" t="s">
        <v>340</v>
      </c>
      <c r="B193" s="149"/>
      <c r="C193" s="152">
        <v>14000</v>
      </c>
      <c r="D193" s="152">
        <v>11764.7</v>
      </c>
      <c r="E193" s="111"/>
      <c r="F193" s="111"/>
    </row>
    <row r="194" spans="1:6" x14ac:dyDescent="0.2">
      <c r="A194" s="149" t="s">
        <v>341</v>
      </c>
      <c r="B194" s="149"/>
      <c r="C194" s="153"/>
      <c r="D194" s="153"/>
      <c r="E194" s="111"/>
      <c r="F194" s="111"/>
    </row>
    <row r="195" spans="1:6" x14ac:dyDescent="0.2">
      <c r="A195" s="151" t="s">
        <v>342</v>
      </c>
      <c r="B195" s="149"/>
      <c r="C195" s="152">
        <v>16000</v>
      </c>
      <c r="D195" s="152">
        <v>13445.4</v>
      </c>
      <c r="E195" s="111"/>
      <c r="F195" s="111"/>
    </row>
    <row r="196" spans="1:6" x14ac:dyDescent="0.2">
      <c r="A196" s="149" t="s">
        <v>343</v>
      </c>
      <c r="B196" s="149"/>
      <c r="C196" s="153"/>
      <c r="D196" s="153"/>
      <c r="E196" s="111"/>
      <c r="F196" s="111"/>
    </row>
    <row r="197" spans="1:6" x14ac:dyDescent="0.2">
      <c r="A197" s="151" t="s">
        <v>344</v>
      </c>
      <c r="B197" s="149"/>
      <c r="C197" s="152">
        <v>18000</v>
      </c>
      <c r="D197" s="152">
        <v>15126.1</v>
      </c>
      <c r="E197" s="111"/>
      <c r="F197" s="111"/>
    </row>
    <row r="198" spans="1:6" x14ac:dyDescent="0.2">
      <c r="A198" s="149" t="s">
        <v>331</v>
      </c>
      <c r="B198" s="149"/>
      <c r="C198" s="153"/>
      <c r="D198" s="153"/>
      <c r="E198" s="111"/>
      <c r="F198" s="111"/>
    </row>
    <row r="199" spans="1:6" x14ac:dyDescent="0.2">
      <c r="A199" s="151" t="s">
        <v>345</v>
      </c>
      <c r="B199" s="149"/>
      <c r="C199" s="152">
        <v>18000</v>
      </c>
      <c r="D199" s="152">
        <v>15126.1</v>
      </c>
      <c r="E199" s="111"/>
      <c r="F199" s="111"/>
    </row>
    <row r="200" spans="1:6" x14ac:dyDescent="0.2">
      <c r="A200" s="149" t="s">
        <v>346</v>
      </c>
      <c r="B200" s="149"/>
      <c r="C200" s="153"/>
      <c r="D200" s="153"/>
      <c r="E200" s="111"/>
      <c r="F200" s="111"/>
    </row>
    <row r="201" spans="1:6" x14ac:dyDescent="0.2">
      <c r="A201" s="149" t="s">
        <v>347</v>
      </c>
      <c r="B201" s="149"/>
      <c r="C201" s="153"/>
      <c r="D201" s="153"/>
      <c r="E201" s="111"/>
      <c r="F201" s="111"/>
    </row>
    <row r="202" spans="1:6" x14ac:dyDescent="0.2">
      <c r="A202" s="151" t="s">
        <v>348</v>
      </c>
      <c r="B202" s="149"/>
      <c r="C202" s="152">
        <v>21000</v>
      </c>
      <c r="D202" s="152">
        <v>17647.099999999999</v>
      </c>
      <c r="E202" s="111"/>
      <c r="F202" s="111"/>
    </row>
    <row r="203" spans="1:6" x14ac:dyDescent="0.2">
      <c r="A203" s="149" t="s">
        <v>349</v>
      </c>
      <c r="B203" s="149"/>
      <c r="C203" s="153"/>
      <c r="D203" s="153"/>
      <c r="E203" s="111"/>
      <c r="F203" s="111"/>
    </row>
    <row r="204" spans="1:6" x14ac:dyDescent="0.2">
      <c r="A204" s="151" t="s">
        <v>350</v>
      </c>
      <c r="B204" s="149"/>
      <c r="C204" s="152">
        <v>24000</v>
      </c>
      <c r="D204" s="152">
        <v>20168.099999999999</v>
      </c>
      <c r="E204" s="111"/>
      <c r="F204" s="111"/>
    </row>
    <row r="205" spans="1:6" x14ac:dyDescent="0.2">
      <c r="A205" s="149" t="s">
        <v>331</v>
      </c>
      <c r="B205" s="149"/>
      <c r="C205" s="153"/>
      <c r="D205" s="153"/>
      <c r="E205" s="111"/>
      <c r="F205" s="111"/>
    </row>
    <row r="206" spans="1:6" x14ac:dyDescent="0.2">
      <c r="A206" s="151" t="s">
        <v>351</v>
      </c>
      <c r="B206" s="149"/>
      <c r="C206" s="152">
        <v>6000</v>
      </c>
      <c r="D206" s="152">
        <v>5042</v>
      </c>
      <c r="E206" s="111"/>
      <c r="F206" s="111"/>
    </row>
    <row r="207" spans="1:6" x14ac:dyDescent="0.2">
      <c r="A207" s="149" t="s">
        <v>352</v>
      </c>
      <c r="B207" s="149"/>
      <c r="C207" s="153"/>
      <c r="D207" s="153"/>
      <c r="E207" s="111"/>
      <c r="F207" s="111"/>
    </row>
    <row r="208" spans="1:6" x14ac:dyDescent="0.2">
      <c r="A208" s="151" t="s">
        <v>353</v>
      </c>
      <c r="B208" s="149"/>
      <c r="C208" s="152">
        <v>10000</v>
      </c>
      <c r="D208" s="152">
        <v>8403.4</v>
      </c>
      <c r="E208" s="111"/>
      <c r="F208" s="111"/>
    </row>
    <row r="209" spans="1:6" x14ac:dyDescent="0.2">
      <c r="A209" s="149"/>
      <c r="B209" s="149"/>
      <c r="C209" s="153"/>
      <c r="D209" s="153"/>
      <c r="E209" s="111"/>
      <c r="F209" s="111"/>
    </row>
    <row r="210" spans="1:6" x14ac:dyDescent="0.2">
      <c r="A210" s="149"/>
      <c r="B210" s="149"/>
      <c r="C210" s="153"/>
      <c r="D210" s="153"/>
      <c r="E210" s="111"/>
      <c r="F210" s="111"/>
    </row>
    <row r="211" spans="1:6" x14ac:dyDescent="0.2">
      <c r="A211" s="151" t="s">
        <v>354</v>
      </c>
      <c r="B211" s="149"/>
      <c r="C211" s="152">
        <v>18000</v>
      </c>
      <c r="D211" s="152">
        <v>15126.1</v>
      </c>
      <c r="E211" s="111"/>
      <c r="F211" s="111"/>
    </row>
    <row r="212" spans="1:6" x14ac:dyDescent="0.2">
      <c r="A212" s="149" t="s">
        <v>355</v>
      </c>
      <c r="B212" s="149"/>
      <c r="C212" s="153"/>
      <c r="D212" s="153"/>
      <c r="E212" s="111"/>
      <c r="F212" s="111"/>
    </row>
    <row r="213" spans="1:6" x14ac:dyDescent="0.2">
      <c r="A213" s="149" t="s">
        <v>356</v>
      </c>
      <c r="B213" s="149"/>
      <c r="C213" s="153"/>
      <c r="D213" s="153"/>
      <c r="E213" s="111"/>
      <c r="F213" s="111"/>
    </row>
    <row r="214" spans="1:6" x14ac:dyDescent="0.2">
      <c r="A214" s="151" t="s">
        <v>357</v>
      </c>
      <c r="B214" s="149"/>
      <c r="C214" s="152">
        <v>22000</v>
      </c>
      <c r="D214" s="152">
        <v>18487.400000000001</v>
      </c>
      <c r="E214" s="111"/>
      <c r="F214" s="111"/>
    </row>
    <row r="215" spans="1:6" x14ac:dyDescent="0.2">
      <c r="A215" s="149" t="s">
        <v>358</v>
      </c>
      <c r="B215" s="149"/>
      <c r="C215" s="153"/>
      <c r="D215" s="153"/>
      <c r="E215" s="111"/>
      <c r="F215" s="111"/>
    </row>
    <row r="216" spans="1:6" x14ac:dyDescent="0.2">
      <c r="A216" s="149"/>
      <c r="B216" s="149"/>
      <c r="C216" s="153"/>
      <c r="D216" s="153"/>
      <c r="E216" s="111"/>
      <c r="F216" s="111"/>
    </row>
    <row r="217" spans="1:6" x14ac:dyDescent="0.2">
      <c r="A217" s="151" t="s">
        <v>359</v>
      </c>
      <c r="B217" s="149"/>
      <c r="C217" s="152">
        <v>9000</v>
      </c>
      <c r="D217" s="152">
        <v>7563</v>
      </c>
      <c r="E217" s="111"/>
      <c r="F217" s="111"/>
    </row>
    <row r="218" spans="1:6" x14ac:dyDescent="0.2">
      <c r="A218" s="149" t="s">
        <v>360</v>
      </c>
      <c r="B218" s="149"/>
      <c r="C218" s="153"/>
      <c r="D218" s="153"/>
      <c r="E218" s="111"/>
      <c r="F218" s="111"/>
    </row>
    <row r="219" spans="1:6" x14ac:dyDescent="0.2">
      <c r="A219" s="149" t="s">
        <v>361</v>
      </c>
      <c r="B219" s="149"/>
      <c r="C219" s="153"/>
      <c r="D219" s="153"/>
      <c r="E219" s="111"/>
      <c r="F219" s="111"/>
    </row>
    <row r="220" spans="1:6" x14ac:dyDescent="0.2">
      <c r="A220" s="151" t="s">
        <v>362</v>
      </c>
      <c r="B220" s="149"/>
      <c r="C220" s="152">
        <v>1500</v>
      </c>
      <c r="D220" s="152">
        <v>1260.5</v>
      </c>
      <c r="E220" s="111"/>
      <c r="F220" s="111"/>
    </row>
    <row r="221" spans="1:6" x14ac:dyDescent="0.2">
      <c r="A221" s="151" t="s">
        <v>363</v>
      </c>
      <c r="B221" s="149"/>
      <c r="C221" s="152">
        <v>3000</v>
      </c>
      <c r="D221" s="152">
        <v>2521</v>
      </c>
      <c r="E221" s="111"/>
      <c r="F221" s="111"/>
    </row>
    <row r="222" spans="1:6" x14ac:dyDescent="0.2">
      <c r="A222" s="151" t="s">
        <v>364</v>
      </c>
      <c r="B222" s="149"/>
      <c r="C222" s="152">
        <v>2500</v>
      </c>
      <c r="D222" s="152">
        <v>2100.8000000000002</v>
      </c>
      <c r="E222" s="111"/>
      <c r="F222" s="111"/>
    </row>
    <row r="223" spans="1:6" x14ac:dyDescent="0.2">
      <c r="A223" s="149"/>
      <c r="B223" s="149"/>
      <c r="C223" s="153"/>
      <c r="D223" s="153"/>
      <c r="E223" s="111"/>
      <c r="F223" s="111"/>
    </row>
    <row r="224" spans="1:6" x14ac:dyDescent="0.2">
      <c r="A224" s="149"/>
      <c r="B224" s="149"/>
      <c r="C224" s="153"/>
      <c r="D224" s="153"/>
      <c r="E224" s="111"/>
      <c r="F224" s="111"/>
    </row>
    <row r="225" spans="1:6" x14ac:dyDescent="0.2">
      <c r="A225" s="151" t="s">
        <v>365</v>
      </c>
      <c r="B225" s="149"/>
      <c r="C225" s="152">
        <v>5500</v>
      </c>
      <c r="D225" s="152">
        <v>4621.8</v>
      </c>
      <c r="E225" s="111"/>
      <c r="F225" s="111"/>
    </row>
    <row r="226" spans="1:6" x14ac:dyDescent="0.2">
      <c r="A226" s="151" t="s">
        <v>366</v>
      </c>
      <c r="B226" s="149"/>
      <c r="C226" s="152">
        <v>6500</v>
      </c>
      <c r="D226" s="152">
        <v>5462.2</v>
      </c>
      <c r="E226" s="111"/>
      <c r="F226" s="111"/>
    </row>
    <row r="227" spans="1:6" x14ac:dyDescent="0.2">
      <c r="A227" s="151" t="s">
        <v>367</v>
      </c>
      <c r="B227" s="149"/>
      <c r="C227" s="152">
        <v>6500</v>
      </c>
      <c r="D227" s="152">
        <v>5462.2</v>
      </c>
      <c r="E227" s="111"/>
      <c r="F227" s="111"/>
    </row>
    <row r="228" spans="1:6" x14ac:dyDescent="0.2">
      <c r="A228" s="151" t="s">
        <v>368</v>
      </c>
      <c r="B228" s="149"/>
      <c r="C228" s="152">
        <v>6500</v>
      </c>
      <c r="D228" s="152">
        <v>5462.2</v>
      </c>
      <c r="E228" s="111"/>
      <c r="F228" s="111"/>
    </row>
    <row r="229" spans="1:6" x14ac:dyDescent="0.2">
      <c r="A229" s="151" t="s">
        <v>369</v>
      </c>
      <c r="B229" s="149"/>
      <c r="C229" s="152">
        <v>4500</v>
      </c>
      <c r="D229" s="152">
        <v>3781.5</v>
      </c>
      <c r="E229" s="111"/>
      <c r="F229" s="111"/>
    </row>
    <row r="230" spans="1:6" x14ac:dyDescent="0.2">
      <c r="A230" s="145"/>
      <c r="B230" s="145"/>
      <c r="C230" s="146"/>
      <c r="D230" s="146"/>
      <c r="E230" s="111"/>
      <c r="F230" s="111"/>
    </row>
    <row r="231" spans="1:6" x14ac:dyDescent="0.2">
      <c r="C231" s="147"/>
      <c r="D231" s="147"/>
      <c r="E231" s="111"/>
      <c r="F231" s="111"/>
    </row>
    <row r="232" spans="1:6" x14ac:dyDescent="0.2">
      <c r="C232" s="147"/>
      <c r="D232" s="147"/>
      <c r="E232" s="111"/>
      <c r="F232" s="111"/>
    </row>
    <row r="233" spans="1:6" x14ac:dyDescent="0.2">
      <c r="C233" s="147"/>
      <c r="D233" s="147"/>
      <c r="E233" s="111"/>
      <c r="F233" s="111"/>
    </row>
    <row r="234" spans="1:6" x14ac:dyDescent="0.2">
      <c r="C234" s="147"/>
      <c r="D234" s="147"/>
      <c r="E234" s="111"/>
      <c r="F234" s="111"/>
    </row>
    <row r="235" spans="1:6" x14ac:dyDescent="0.2">
      <c r="C235" s="147"/>
      <c r="D235" s="147"/>
      <c r="E235" s="111"/>
      <c r="F235" s="111"/>
    </row>
    <row r="236" spans="1:6" x14ac:dyDescent="0.2">
      <c r="C236" s="147"/>
      <c r="D236" s="147"/>
      <c r="E236" s="111"/>
      <c r="F236" s="111"/>
    </row>
    <row r="237" spans="1:6" x14ac:dyDescent="0.2">
      <c r="C237" s="147"/>
      <c r="D237" s="147"/>
      <c r="E237" s="111"/>
      <c r="F237" s="111"/>
    </row>
    <row r="238" spans="1:6" x14ac:dyDescent="0.2">
      <c r="C238" s="147"/>
      <c r="D238" s="147"/>
      <c r="E238" s="111"/>
      <c r="F238" s="111"/>
    </row>
    <row r="239" spans="1:6" x14ac:dyDescent="0.2">
      <c r="C239" s="147"/>
      <c r="D239" s="147"/>
      <c r="E239" s="111"/>
      <c r="F239" s="111"/>
    </row>
    <row r="240" spans="1:6" x14ac:dyDescent="0.2">
      <c r="C240" s="147"/>
      <c r="D240" s="147"/>
      <c r="E240" s="111"/>
      <c r="F240" s="111"/>
    </row>
    <row r="241" spans="3:6" x14ac:dyDescent="0.2">
      <c r="C241" s="147"/>
      <c r="D241" s="147"/>
      <c r="E241" s="111"/>
      <c r="F241" s="111"/>
    </row>
    <row r="242" spans="3:6" x14ac:dyDescent="0.2">
      <c r="C242" s="147"/>
      <c r="D242" s="147"/>
      <c r="E242" s="111"/>
      <c r="F242" s="111"/>
    </row>
    <row r="243" spans="3:6" x14ac:dyDescent="0.2">
      <c r="C243" s="147"/>
      <c r="D243" s="147"/>
      <c r="E243" s="111"/>
      <c r="F243" s="111"/>
    </row>
    <row r="244" spans="3:6" x14ac:dyDescent="0.2">
      <c r="C244" s="147"/>
      <c r="D244" s="147"/>
      <c r="E244" s="111"/>
      <c r="F244" s="111"/>
    </row>
    <row r="245" spans="3:6" x14ac:dyDescent="0.2">
      <c r="C245" s="147"/>
      <c r="D245" s="147"/>
      <c r="E245" s="111"/>
      <c r="F245" s="111"/>
    </row>
    <row r="246" spans="3:6" x14ac:dyDescent="0.2">
      <c r="C246" s="147"/>
      <c r="D246" s="147"/>
      <c r="E246" s="111"/>
      <c r="F246" s="111"/>
    </row>
    <row r="247" spans="3:6" x14ac:dyDescent="0.2">
      <c r="C247" s="147"/>
      <c r="D247" s="147"/>
      <c r="E247" s="111"/>
      <c r="F247" s="111"/>
    </row>
    <row r="248" spans="3:6" x14ac:dyDescent="0.2">
      <c r="C248" s="147"/>
      <c r="D248" s="147"/>
      <c r="E248" s="111"/>
      <c r="F248" s="111"/>
    </row>
    <row r="249" spans="3:6" x14ac:dyDescent="0.2">
      <c r="C249" s="147"/>
      <c r="D249" s="147"/>
      <c r="E249" s="111"/>
      <c r="F249" s="111"/>
    </row>
    <row r="250" spans="3:6" x14ac:dyDescent="0.2">
      <c r="C250" s="147"/>
      <c r="D250" s="147"/>
      <c r="E250" s="111"/>
      <c r="F250" s="111"/>
    </row>
    <row r="251" spans="3:6" x14ac:dyDescent="0.2">
      <c r="C251" s="147"/>
      <c r="E251" s="111"/>
      <c r="F251" s="111"/>
    </row>
    <row r="252" spans="3:6" x14ac:dyDescent="0.2">
      <c r="C252" s="147"/>
      <c r="E252" s="111"/>
      <c r="F252" s="111"/>
    </row>
    <row r="253" spans="3:6" x14ac:dyDescent="0.2">
      <c r="C253" s="147"/>
      <c r="E253" s="111"/>
      <c r="F253" s="111"/>
    </row>
    <row r="254" spans="3:6" x14ac:dyDescent="0.2">
      <c r="C254" s="147"/>
      <c r="E254" s="111"/>
      <c r="F254" s="111"/>
    </row>
    <row r="255" spans="3:6" x14ac:dyDescent="0.2">
      <c r="C255" s="147"/>
      <c r="E255" s="111"/>
      <c r="F255" s="111"/>
    </row>
    <row r="256" spans="3:6" x14ac:dyDescent="0.2">
      <c r="C256" s="147"/>
      <c r="E256" s="111"/>
      <c r="F256" s="111"/>
    </row>
    <row r="257" spans="3:6" x14ac:dyDescent="0.2">
      <c r="C257" s="147"/>
      <c r="E257" s="111"/>
      <c r="F257" s="111"/>
    </row>
    <row r="258" spans="3:6" x14ac:dyDescent="0.2">
      <c r="C258" s="147"/>
      <c r="E258" s="111"/>
      <c r="F258" s="111"/>
    </row>
    <row r="259" spans="3:6" x14ac:dyDescent="0.2">
      <c r="C259" s="147"/>
    </row>
    <row r="260" spans="3:6" x14ac:dyDescent="0.2">
      <c r="C260" s="147"/>
    </row>
    <row r="261" spans="3:6" x14ac:dyDescent="0.2">
      <c r="C261" s="147"/>
    </row>
    <row r="262" spans="3:6" x14ac:dyDescent="0.2">
      <c r="C262" s="147"/>
    </row>
    <row r="263" spans="3:6" x14ac:dyDescent="0.2">
      <c r="C263" s="147"/>
    </row>
    <row r="264" spans="3:6" x14ac:dyDescent="0.2">
      <c r="C264" s="147"/>
    </row>
    <row r="265" spans="3:6" x14ac:dyDescent="0.2">
      <c r="C265" s="147"/>
    </row>
    <row r="266" spans="3:6" x14ac:dyDescent="0.2">
      <c r="C266" s="147"/>
    </row>
    <row r="267" spans="3:6" x14ac:dyDescent="0.2">
      <c r="C267" s="147"/>
    </row>
    <row r="268" spans="3:6" x14ac:dyDescent="0.2">
      <c r="C268" s="147"/>
    </row>
    <row r="269" spans="3:6" x14ac:dyDescent="0.2">
      <c r="C269" s="147"/>
    </row>
    <row r="270" spans="3:6" x14ac:dyDescent="0.2">
      <c r="C270" s="147"/>
    </row>
    <row r="271" spans="3:6" x14ac:dyDescent="0.2">
      <c r="C271" s="147"/>
    </row>
    <row r="272" spans="3:6" x14ac:dyDescent="0.2">
      <c r="C272" s="147"/>
    </row>
    <row r="273" spans="3:3" x14ac:dyDescent="0.2">
      <c r="C273" s="147"/>
    </row>
    <row r="274" spans="3:3" x14ac:dyDescent="0.2">
      <c r="C274" s="147"/>
    </row>
    <row r="275" spans="3:3" x14ac:dyDescent="0.2">
      <c r="C275" s="147"/>
    </row>
    <row r="276" spans="3:3" x14ac:dyDescent="0.2">
      <c r="C276" s="147"/>
    </row>
    <row r="277" spans="3:3" x14ac:dyDescent="0.2">
      <c r="C277" s="147"/>
    </row>
    <row r="278" spans="3:3" x14ac:dyDescent="0.2">
      <c r="C278" s="147"/>
    </row>
    <row r="279" spans="3:3" x14ac:dyDescent="0.2">
      <c r="C279" s="147"/>
    </row>
    <row r="280" spans="3:3" x14ac:dyDescent="0.2">
      <c r="C280" s="147"/>
    </row>
  </sheetData>
  <phoneticPr fontId="7" type="noConversion"/>
  <hyperlinks>
    <hyperlink ref="A62" r:id="rId1"/>
    <hyperlink ref="B4" r:id="rId2"/>
  </hyperlinks>
  <pageMargins left="0.75000000000000011" right="0.75000000000000011" top="1" bottom="1" header="0.5" footer="0.5"/>
  <pageSetup paperSize="5" orientation="portrait" horizontalDpi="4294967292" verticalDpi="4294967292" r:id="rId3"/>
  <ignoredErrors>
    <ignoredError sqref="F10" formula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74"/>
      <c r="B1" s="174"/>
      <c r="C1" s="174"/>
      <c r="D1" s="24"/>
      <c r="E1" s="24" t="s">
        <v>99</v>
      </c>
      <c r="F1" s="40"/>
      <c r="G1" s="40"/>
      <c r="H1" s="40"/>
      <c r="I1" s="24"/>
      <c r="J1" s="22"/>
      <c r="K1" s="22"/>
      <c r="L1" s="22"/>
      <c r="M1" s="22"/>
      <c r="N1" s="22"/>
    </row>
    <row r="2" spans="1:14" x14ac:dyDescent="0.2">
      <c r="A2" s="174"/>
      <c r="B2" s="174"/>
      <c r="C2" s="174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 x14ac:dyDescent="0.2">
      <c r="A3" s="174"/>
      <c r="B3" s="174"/>
      <c r="C3" s="174"/>
      <c r="D3" s="24"/>
      <c r="E3" s="24" t="s">
        <v>135</v>
      </c>
      <c r="F3" s="40"/>
      <c r="G3" s="40"/>
      <c r="H3" s="40"/>
      <c r="I3" s="24"/>
      <c r="J3" s="22"/>
      <c r="K3" s="22"/>
      <c r="L3" s="22"/>
      <c r="M3" s="22"/>
      <c r="N3" s="22"/>
    </row>
    <row r="4" spans="1:14" x14ac:dyDescent="0.2">
      <c r="A4" s="174"/>
      <c r="B4" s="174"/>
      <c r="C4" s="174"/>
      <c r="D4" s="41"/>
      <c r="E4" s="41" t="s">
        <v>136</v>
      </c>
      <c r="F4" s="42"/>
      <c r="G4" s="42"/>
      <c r="H4" s="42"/>
      <c r="I4" s="41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 x14ac:dyDescent="0.2">
      <c r="A6" s="28" t="s">
        <v>100</v>
      </c>
      <c r="B6" s="29" t="s">
        <v>101</v>
      </c>
      <c r="C6" s="175" t="s">
        <v>129</v>
      </c>
      <c r="D6" s="169"/>
      <c r="E6" s="170"/>
      <c r="F6" s="29" t="s">
        <v>102</v>
      </c>
      <c r="G6" s="29" t="s">
        <v>103</v>
      </c>
      <c r="H6" s="29" t="s">
        <v>104</v>
      </c>
      <c r="I6" s="29" t="s">
        <v>105</v>
      </c>
      <c r="J6" s="22"/>
      <c r="K6" s="22"/>
      <c r="L6" s="22"/>
      <c r="M6" s="22"/>
      <c r="N6" s="22"/>
    </row>
    <row r="7" spans="1:14" x14ac:dyDescent="0.2">
      <c r="A7" s="50">
        <v>0.375</v>
      </c>
      <c r="B7" s="51">
        <v>0.45833333333333331</v>
      </c>
      <c r="C7" s="156" t="s">
        <v>130</v>
      </c>
      <c r="D7" s="157"/>
      <c r="E7" s="158"/>
      <c r="F7" s="52"/>
      <c r="G7" s="52"/>
      <c r="H7" s="52"/>
      <c r="I7" s="53" t="s">
        <v>131</v>
      </c>
      <c r="J7" s="22"/>
      <c r="K7" s="22"/>
      <c r="L7" s="22"/>
      <c r="M7" s="22"/>
      <c r="N7" s="22"/>
    </row>
    <row r="8" spans="1:14" x14ac:dyDescent="0.2">
      <c r="A8" s="50">
        <v>0.46875</v>
      </c>
      <c r="B8" s="51">
        <v>0.5625</v>
      </c>
      <c r="C8" s="156" t="s">
        <v>130</v>
      </c>
      <c r="D8" s="157"/>
      <c r="E8" s="158"/>
      <c r="F8" s="52"/>
      <c r="G8" s="52"/>
      <c r="H8" s="52"/>
      <c r="I8" s="53" t="s">
        <v>131</v>
      </c>
      <c r="J8" s="22"/>
      <c r="K8" s="22"/>
      <c r="L8" s="22"/>
      <c r="M8" s="22"/>
      <c r="N8" s="22"/>
    </row>
    <row r="9" spans="1:14" x14ac:dyDescent="0.2">
      <c r="A9" s="45">
        <v>0.5625</v>
      </c>
      <c r="B9" s="46">
        <v>0.60416666666666663</v>
      </c>
      <c r="C9" s="159" t="s">
        <v>108</v>
      </c>
      <c r="D9" s="160"/>
      <c r="E9" s="161"/>
      <c r="F9" s="47"/>
      <c r="G9" s="47">
        <v>60</v>
      </c>
      <c r="H9" s="48" t="s">
        <v>107</v>
      </c>
      <c r="I9" s="49"/>
      <c r="J9" s="22"/>
      <c r="K9" s="22"/>
      <c r="L9" s="22"/>
      <c r="M9" s="22"/>
      <c r="N9" s="22"/>
    </row>
    <row r="10" spans="1:14" x14ac:dyDescent="0.2">
      <c r="A10" s="50">
        <v>0.625</v>
      </c>
      <c r="B10" s="51">
        <v>0.70833333333333337</v>
      </c>
      <c r="C10" s="156" t="s">
        <v>130</v>
      </c>
      <c r="D10" s="157"/>
      <c r="E10" s="158"/>
      <c r="F10" s="52"/>
      <c r="G10" s="52"/>
      <c r="H10" s="52"/>
      <c r="I10" s="53" t="s">
        <v>131</v>
      </c>
      <c r="J10" s="22"/>
      <c r="K10" s="22"/>
      <c r="L10" s="22"/>
      <c r="M10" s="22"/>
      <c r="N10" s="22"/>
    </row>
    <row r="11" spans="1:14" x14ac:dyDescent="0.2">
      <c r="A11" s="50">
        <v>0.71875</v>
      </c>
      <c r="B11" s="51">
        <v>0.75</v>
      </c>
      <c r="C11" s="156" t="s">
        <v>130</v>
      </c>
      <c r="D11" s="157"/>
      <c r="E11" s="158"/>
      <c r="F11" s="52"/>
      <c r="G11" s="52"/>
      <c r="H11" s="52"/>
      <c r="I11" s="53" t="s">
        <v>131</v>
      </c>
      <c r="J11" s="22"/>
      <c r="K11" s="22"/>
      <c r="L11" s="22"/>
      <c r="M11" s="22"/>
      <c r="N11" s="22"/>
    </row>
    <row r="12" spans="1:14" x14ac:dyDescent="0.2">
      <c r="A12" s="25">
        <v>0.75</v>
      </c>
      <c r="B12" s="26">
        <v>0.79166666666666663</v>
      </c>
      <c r="C12" s="162" t="s">
        <v>109</v>
      </c>
      <c r="D12" s="163"/>
      <c r="E12" s="164"/>
      <c r="F12" s="44"/>
      <c r="G12" s="44"/>
      <c r="H12" s="43"/>
      <c r="I12" s="27" t="s">
        <v>127</v>
      </c>
      <c r="J12" s="22"/>
      <c r="K12" s="22"/>
      <c r="L12" s="22"/>
      <c r="M12" s="22"/>
      <c r="N12" s="22"/>
    </row>
    <row r="13" spans="1:14" ht="15" customHeight="1" x14ac:dyDescent="0.2">
      <c r="A13" s="56">
        <v>0.83333333333333337</v>
      </c>
      <c r="B13" s="57">
        <v>0.875</v>
      </c>
      <c r="C13" s="165" t="s">
        <v>128</v>
      </c>
      <c r="D13" s="166"/>
      <c r="E13" s="167"/>
      <c r="F13" s="58"/>
      <c r="G13" s="58">
        <v>60</v>
      </c>
      <c r="H13" s="48" t="s">
        <v>107</v>
      </c>
      <c r="I13" s="59"/>
      <c r="J13" s="22"/>
      <c r="K13" s="22"/>
      <c r="L13" s="22"/>
      <c r="M13" s="22"/>
      <c r="N13" s="22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 x14ac:dyDescent="0.2">
      <c r="A15" s="28" t="s">
        <v>100</v>
      </c>
      <c r="B15" s="29" t="s">
        <v>101</v>
      </c>
      <c r="C15" s="168" t="s">
        <v>132</v>
      </c>
      <c r="D15" s="169"/>
      <c r="E15" s="170"/>
      <c r="F15" s="29" t="s">
        <v>102</v>
      </c>
      <c r="G15" s="29" t="s">
        <v>103</v>
      </c>
      <c r="H15" s="29" t="s">
        <v>104</v>
      </c>
      <c r="I15" s="29" t="s">
        <v>105</v>
      </c>
      <c r="J15" s="22"/>
      <c r="K15" s="22"/>
      <c r="L15" s="22"/>
      <c r="M15" s="22"/>
      <c r="N15" s="22"/>
    </row>
    <row r="16" spans="1:14" x14ac:dyDescent="0.2">
      <c r="A16" s="45">
        <v>0.33333333333333331</v>
      </c>
      <c r="B16" s="46">
        <v>0.375</v>
      </c>
      <c r="C16" s="171" t="s">
        <v>106</v>
      </c>
      <c r="D16" s="172"/>
      <c r="E16" s="173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 x14ac:dyDescent="0.2">
      <c r="A17" s="50">
        <v>0.375</v>
      </c>
      <c r="B17" s="51">
        <v>0.45833333333333331</v>
      </c>
      <c r="C17" s="156" t="s">
        <v>130</v>
      </c>
      <c r="D17" s="157"/>
      <c r="E17" s="158"/>
      <c r="F17" s="52"/>
      <c r="G17" s="52"/>
      <c r="H17" s="52"/>
      <c r="I17" s="53" t="s">
        <v>131</v>
      </c>
      <c r="J17" s="22"/>
      <c r="K17" s="22"/>
      <c r="L17" s="22"/>
      <c r="M17" s="22"/>
      <c r="N17" s="22"/>
    </row>
    <row r="18" spans="1:14" x14ac:dyDescent="0.2">
      <c r="A18" s="50">
        <v>0.46875</v>
      </c>
      <c r="B18" s="51">
        <v>0.5625</v>
      </c>
      <c r="C18" s="156" t="s">
        <v>130</v>
      </c>
      <c r="D18" s="157"/>
      <c r="E18" s="158"/>
      <c r="F18" s="52"/>
      <c r="G18" s="52"/>
      <c r="H18" s="52"/>
      <c r="I18" s="53" t="s">
        <v>131</v>
      </c>
      <c r="J18" s="22"/>
      <c r="K18" s="22"/>
      <c r="L18" s="22"/>
      <c r="M18" s="22"/>
      <c r="N18" s="22"/>
    </row>
    <row r="19" spans="1:14" x14ac:dyDescent="0.2">
      <c r="A19" s="45">
        <v>0.5625</v>
      </c>
      <c r="B19" s="46">
        <v>0.60416666666666663</v>
      </c>
      <c r="C19" s="159" t="s">
        <v>108</v>
      </c>
      <c r="D19" s="160"/>
      <c r="E19" s="161"/>
      <c r="F19" s="47"/>
      <c r="G19" s="47">
        <v>60</v>
      </c>
      <c r="H19" s="48" t="s">
        <v>107</v>
      </c>
      <c r="I19" s="49"/>
      <c r="J19" s="22"/>
      <c r="K19" s="22"/>
      <c r="L19" s="22"/>
      <c r="M19" s="22"/>
      <c r="N19" s="22"/>
    </row>
    <row r="20" spans="1:14" x14ac:dyDescent="0.2">
      <c r="A20" s="50">
        <v>0.625</v>
      </c>
      <c r="B20" s="51">
        <v>0.70833333333333337</v>
      </c>
      <c r="C20" s="156" t="s">
        <v>130</v>
      </c>
      <c r="D20" s="157"/>
      <c r="E20" s="158"/>
      <c r="F20" s="52"/>
      <c r="G20" s="52"/>
      <c r="H20" s="52"/>
      <c r="I20" s="53" t="s">
        <v>131</v>
      </c>
      <c r="J20" s="22"/>
      <c r="K20" s="22"/>
      <c r="L20" s="22"/>
      <c r="M20" s="22"/>
      <c r="N20" s="22"/>
    </row>
    <row r="21" spans="1:14" x14ac:dyDescent="0.2">
      <c r="A21" s="50">
        <v>0.71875</v>
      </c>
      <c r="B21" s="51">
        <v>0.75</v>
      </c>
      <c r="C21" s="156" t="s">
        <v>130</v>
      </c>
      <c r="D21" s="157"/>
      <c r="E21" s="158"/>
      <c r="F21" s="52"/>
      <c r="G21" s="52"/>
      <c r="H21" s="52"/>
      <c r="I21" s="53" t="s">
        <v>131</v>
      </c>
      <c r="J21" s="22"/>
      <c r="K21" s="22"/>
      <c r="L21" s="22"/>
      <c r="M21" s="22"/>
      <c r="N21" s="22"/>
    </row>
    <row r="22" spans="1:14" x14ac:dyDescent="0.2">
      <c r="A22" s="25">
        <v>0.75</v>
      </c>
      <c r="B22" s="26">
        <v>0.79166666666666663</v>
      </c>
      <c r="C22" s="162" t="s">
        <v>109</v>
      </c>
      <c r="D22" s="163"/>
      <c r="E22" s="164"/>
      <c r="F22" s="44"/>
      <c r="G22" s="44"/>
      <c r="H22" s="43"/>
      <c r="I22" s="27" t="s">
        <v>127</v>
      </c>
      <c r="J22" s="22"/>
      <c r="K22" s="22"/>
      <c r="L22" s="22"/>
      <c r="M22" s="22"/>
      <c r="N22" s="22"/>
    </row>
    <row r="23" spans="1:14" ht="15" customHeight="1" x14ac:dyDescent="0.2">
      <c r="A23" s="56">
        <v>0.83333333333333337</v>
      </c>
      <c r="B23" s="57">
        <v>0.875</v>
      </c>
      <c r="C23" s="165" t="s">
        <v>128</v>
      </c>
      <c r="D23" s="166"/>
      <c r="E23" s="167"/>
      <c r="F23" s="58"/>
      <c r="G23" s="58">
        <v>60</v>
      </c>
      <c r="H23" s="48" t="s">
        <v>107</v>
      </c>
      <c r="I23" s="59"/>
      <c r="J23" s="22"/>
      <c r="K23" s="22"/>
      <c r="L23" s="22"/>
      <c r="M23" s="22"/>
      <c r="N23" s="22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8" t="s">
        <v>100</v>
      </c>
      <c r="B25" s="29" t="s">
        <v>101</v>
      </c>
      <c r="C25" s="168" t="s">
        <v>133</v>
      </c>
      <c r="D25" s="169"/>
      <c r="E25" s="170"/>
      <c r="F25" s="29" t="s">
        <v>102</v>
      </c>
      <c r="G25" s="29" t="s">
        <v>103</v>
      </c>
      <c r="H25" s="29" t="s">
        <v>104</v>
      </c>
      <c r="I25" s="29" t="s">
        <v>105</v>
      </c>
      <c r="J25" s="22"/>
      <c r="K25" s="22"/>
      <c r="L25" s="22"/>
      <c r="M25" s="22"/>
      <c r="N25" s="22"/>
    </row>
    <row r="26" spans="1:14" x14ac:dyDescent="0.2">
      <c r="A26" s="45">
        <v>0.33333333333333331</v>
      </c>
      <c r="B26" s="46">
        <v>0.375</v>
      </c>
      <c r="C26" s="171" t="s">
        <v>106</v>
      </c>
      <c r="D26" s="172"/>
      <c r="E26" s="173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 x14ac:dyDescent="0.2">
      <c r="A27" s="50">
        <v>0.375</v>
      </c>
      <c r="B27" s="51">
        <v>0.45833333333333331</v>
      </c>
      <c r="C27" s="156" t="s">
        <v>130</v>
      </c>
      <c r="D27" s="157"/>
      <c r="E27" s="158"/>
      <c r="F27" s="52"/>
      <c r="G27" s="52"/>
      <c r="H27" s="52"/>
      <c r="I27" s="53" t="s">
        <v>131</v>
      </c>
      <c r="J27" s="22"/>
      <c r="K27" s="22"/>
      <c r="L27" s="22"/>
      <c r="M27" s="22"/>
      <c r="N27" s="22"/>
    </row>
    <row r="28" spans="1:14" x14ac:dyDescent="0.2">
      <c r="A28" s="50">
        <v>0.46875</v>
      </c>
      <c r="B28" s="51">
        <v>0.5625</v>
      </c>
      <c r="C28" s="156" t="s">
        <v>130</v>
      </c>
      <c r="D28" s="157"/>
      <c r="E28" s="158"/>
      <c r="F28" s="52"/>
      <c r="G28" s="52"/>
      <c r="H28" s="52"/>
      <c r="I28" s="53" t="s">
        <v>131</v>
      </c>
      <c r="J28" s="22"/>
      <c r="K28" s="22"/>
      <c r="L28" s="22"/>
      <c r="M28" s="22"/>
      <c r="N28" s="22"/>
    </row>
    <row r="29" spans="1:14" x14ac:dyDescent="0.2">
      <c r="A29" s="45">
        <v>0.5625</v>
      </c>
      <c r="B29" s="46">
        <v>0.60416666666666663</v>
      </c>
      <c r="C29" s="159" t="s">
        <v>108</v>
      </c>
      <c r="D29" s="160"/>
      <c r="E29" s="161"/>
      <c r="F29" s="47"/>
      <c r="G29" s="47">
        <v>60</v>
      </c>
      <c r="H29" s="48" t="s">
        <v>107</v>
      </c>
      <c r="I29" s="49"/>
      <c r="J29" s="22"/>
      <c r="K29" s="22"/>
      <c r="L29" s="22"/>
      <c r="M29" s="22"/>
      <c r="N29" s="22"/>
    </row>
    <row r="30" spans="1:14" x14ac:dyDescent="0.2">
      <c r="A30" s="50">
        <v>0.625</v>
      </c>
      <c r="B30" s="51">
        <v>0.70833333333333337</v>
      </c>
      <c r="C30" s="156" t="s">
        <v>130</v>
      </c>
      <c r="D30" s="157"/>
      <c r="E30" s="158"/>
      <c r="F30" s="52"/>
      <c r="G30" s="52"/>
      <c r="H30" s="52"/>
      <c r="I30" s="53" t="s">
        <v>131</v>
      </c>
      <c r="J30" s="22"/>
      <c r="K30" s="22"/>
      <c r="L30" s="22"/>
      <c r="M30" s="22"/>
      <c r="N30" s="22"/>
    </row>
    <row r="31" spans="1:14" x14ac:dyDescent="0.2">
      <c r="A31" s="50">
        <v>0.71875</v>
      </c>
      <c r="B31" s="51">
        <v>0.75</v>
      </c>
      <c r="C31" s="156" t="s">
        <v>130</v>
      </c>
      <c r="D31" s="157"/>
      <c r="E31" s="158"/>
      <c r="F31" s="52"/>
      <c r="G31" s="52"/>
      <c r="H31" s="52"/>
      <c r="I31" s="53" t="s">
        <v>131</v>
      </c>
      <c r="J31" s="22"/>
      <c r="K31" s="22"/>
      <c r="L31" s="22"/>
      <c r="M31" s="22"/>
      <c r="N31" s="22"/>
    </row>
    <row r="32" spans="1:14" s="55" customFormat="1" ht="15" customHeight="1" x14ac:dyDescent="0.2">
      <c r="A32" s="177"/>
      <c r="B32" s="177"/>
      <c r="C32" s="177"/>
      <c r="D32" s="177"/>
      <c r="E32" s="177"/>
      <c r="F32" s="177"/>
      <c r="G32" s="177"/>
      <c r="H32" s="177"/>
      <c r="I32" s="177"/>
      <c r="J32" s="54"/>
      <c r="K32" s="54"/>
      <c r="L32" s="54"/>
      <c r="M32" s="54"/>
      <c r="N32" s="54"/>
    </row>
    <row r="33" spans="1:14" s="55" customFormat="1" ht="15" customHeight="1" x14ac:dyDescent="0.2">
      <c r="A33" s="178" t="s">
        <v>134</v>
      </c>
      <c r="B33" s="178"/>
      <c r="C33" s="178"/>
      <c r="D33" s="178"/>
      <c r="E33" s="178"/>
      <c r="F33" s="178"/>
      <c r="G33" s="178"/>
      <c r="H33" s="178"/>
      <c r="I33" s="178"/>
      <c r="J33" s="54"/>
      <c r="K33" s="54"/>
      <c r="L33" s="54"/>
      <c r="M33" s="54"/>
      <c r="N33" s="54"/>
    </row>
    <row r="34" spans="1:14" s="55" customFormat="1" ht="15" customHeight="1" x14ac:dyDescent="0.2">
      <c r="A34" s="177"/>
      <c r="B34" s="177"/>
      <c r="C34" s="177"/>
      <c r="D34" s="177"/>
      <c r="E34" s="177"/>
      <c r="F34" s="177"/>
      <c r="G34" s="177"/>
      <c r="H34" s="177"/>
      <c r="I34" s="177"/>
      <c r="J34" s="54"/>
      <c r="K34" s="54"/>
      <c r="L34" s="54"/>
      <c r="M34" s="54"/>
      <c r="N34" s="54"/>
    </row>
    <row r="35" spans="1:14" s="55" customFormat="1" ht="15" customHeight="1" x14ac:dyDescent="0.2">
      <c r="A35" s="177"/>
      <c r="B35" s="177"/>
      <c r="C35" s="177"/>
      <c r="D35" s="177"/>
      <c r="E35" s="177"/>
      <c r="F35" s="177"/>
      <c r="G35" s="177"/>
      <c r="H35" s="177"/>
      <c r="I35" s="177"/>
      <c r="J35" s="54"/>
      <c r="K35" s="54"/>
      <c r="L35" s="54"/>
      <c r="M35" s="54"/>
      <c r="N35" s="54"/>
    </row>
    <row r="36" spans="1:14" s="55" customFormat="1" ht="15" customHeight="1" x14ac:dyDescent="0.2">
      <c r="A36" s="177"/>
      <c r="B36" s="177"/>
      <c r="C36" s="177"/>
      <c r="D36" s="177"/>
      <c r="E36" s="177"/>
      <c r="F36" s="177"/>
      <c r="G36" s="177"/>
      <c r="H36" s="177"/>
      <c r="I36" s="177"/>
      <c r="J36" s="54"/>
      <c r="K36" s="54"/>
      <c r="L36" s="54"/>
      <c r="M36" s="54"/>
      <c r="N36" s="54"/>
    </row>
    <row r="37" spans="1:14" s="55" customFormat="1" ht="15" customHeight="1" x14ac:dyDescent="0.2">
      <c r="A37" s="177"/>
      <c r="B37" s="177"/>
      <c r="C37" s="177"/>
      <c r="D37" s="177"/>
      <c r="E37" s="177"/>
      <c r="F37" s="177"/>
      <c r="G37" s="177"/>
      <c r="H37" s="177"/>
      <c r="I37" s="177"/>
      <c r="J37" s="54"/>
      <c r="K37" s="54"/>
      <c r="L37" s="54"/>
      <c r="M37" s="54"/>
      <c r="N37" s="54"/>
    </row>
    <row r="38" spans="1:14" s="55" customFormat="1" ht="15" customHeight="1" x14ac:dyDescent="0.2">
      <c r="A38" s="177"/>
      <c r="B38" s="177"/>
      <c r="C38" s="177"/>
      <c r="D38" s="177"/>
      <c r="E38" s="177"/>
      <c r="F38" s="177"/>
      <c r="G38" s="177"/>
      <c r="H38" s="177"/>
      <c r="I38" s="177"/>
      <c r="J38" s="54"/>
      <c r="K38" s="54"/>
      <c r="L38" s="54"/>
      <c r="M38" s="54"/>
      <c r="N38" s="54"/>
    </row>
    <row r="39" spans="1:14" s="55" customFormat="1" ht="15" customHeight="1" x14ac:dyDescent="0.2">
      <c r="A39" s="177"/>
      <c r="B39" s="177"/>
      <c r="C39" s="177"/>
      <c r="D39" s="177"/>
      <c r="E39" s="177"/>
      <c r="F39" s="177"/>
      <c r="G39" s="177"/>
      <c r="H39" s="177"/>
      <c r="I39" s="177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79" t="s">
        <v>110</v>
      </c>
      <c r="B44" s="179"/>
      <c r="C44" s="179"/>
      <c r="D44" s="179"/>
      <c r="E44" s="179"/>
      <c r="F44" s="179"/>
      <c r="G44" s="179"/>
      <c r="H44" s="35"/>
      <c r="I44" s="30" t="s">
        <v>111</v>
      </c>
      <c r="J44" s="22"/>
      <c r="K44" s="22"/>
      <c r="L44" s="22"/>
      <c r="M44" s="22"/>
      <c r="N44" s="22"/>
    </row>
    <row r="45" spans="1:14" x14ac:dyDescent="0.2">
      <c r="A45" s="174"/>
      <c r="B45" s="174"/>
      <c r="C45" s="174"/>
      <c r="D45" s="174"/>
      <c r="E45" s="174"/>
      <c r="F45" s="174"/>
      <c r="G45" s="174"/>
      <c r="H45" s="35"/>
      <c r="I45" s="22"/>
      <c r="J45" s="22"/>
      <c r="K45" s="22"/>
      <c r="L45" s="22"/>
      <c r="M45" s="22"/>
      <c r="N45" s="22"/>
    </row>
    <row r="46" spans="1:14" x14ac:dyDescent="0.2">
      <c r="A46" s="176" t="s">
        <v>112</v>
      </c>
      <c r="B46" s="176"/>
      <c r="C46" s="176"/>
      <c r="D46" s="176"/>
      <c r="E46" s="176"/>
      <c r="F46" s="176"/>
      <c r="G46" s="176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11</v>
      </c>
      <c r="L1" s="19" t="s">
        <v>2</v>
      </c>
    </row>
    <row r="2" spans="1:26" x14ac:dyDescent="0.2">
      <c r="A2" t="s">
        <v>12</v>
      </c>
      <c r="J2" t="s">
        <v>13</v>
      </c>
      <c r="P2" t="s">
        <v>2</v>
      </c>
      <c r="U2" t="s">
        <v>14</v>
      </c>
    </row>
    <row r="3" spans="1:26" ht="58" x14ac:dyDescent="0.2">
      <c r="A3" s="9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H3" s="11" t="s">
        <v>21</v>
      </c>
      <c r="I3" s="10" t="s">
        <v>16</v>
      </c>
      <c r="J3" s="10" t="s">
        <v>17</v>
      </c>
      <c r="K3" s="10" t="s">
        <v>87</v>
      </c>
      <c r="L3" s="12"/>
      <c r="M3" s="11" t="s">
        <v>22</v>
      </c>
      <c r="N3" s="10" t="s">
        <v>16</v>
      </c>
      <c r="O3" s="10" t="s">
        <v>17</v>
      </c>
      <c r="P3" s="10" t="s">
        <v>18</v>
      </c>
      <c r="R3" s="13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5" t="s">
        <v>1</v>
      </c>
    </row>
    <row r="4" spans="1:26" x14ac:dyDescent="0.2">
      <c r="A4" s="9" t="s">
        <v>31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32</v>
      </c>
      <c r="I4" s="9">
        <v>1</v>
      </c>
      <c r="J4" s="9">
        <v>2</v>
      </c>
      <c r="K4" s="20">
        <v>4</v>
      </c>
      <c r="L4" s="16"/>
      <c r="M4" s="9" t="s">
        <v>32</v>
      </c>
      <c r="N4" s="9">
        <v>1</v>
      </c>
      <c r="O4" s="9">
        <v>2</v>
      </c>
      <c r="P4" s="20">
        <v>3</v>
      </c>
      <c r="R4" s="9">
        <v>41</v>
      </c>
      <c r="S4" s="9" t="s">
        <v>33</v>
      </c>
      <c r="T4" s="9" t="s">
        <v>33</v>
      </c>
      <c r="U4" s="9" t="s">
        <v>34</v>
      </c>
      <c r="V4" s="9" t="s">
        <v>34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35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36</v>
      </c>
      <c r="I5" s="9">
        <v>1</v>
      </c>
      <c r="J5" s="9">
        <v>2</v>
      </c>
      <c r="K5" s="20">
        <v>4</v>
      </c>
      <c r="L5" s="16"/>
      <c r="M5" s="9" t="s">
        <v>36</v>
      </c>
      <c r="N5" s="9">
        <v>1</v>
      </c>
      <c r="O5" s="9">
        <v>2</v>
      </c>
      <c r="P5" s="20">
        <v>3</v>
      </c>
      <c r="R5" s="9">
        <v>42</v>
      </c>
      <c r="S5" s="9" t="s">
        <v>33</v>
      </c>
      <c r="T5" s="9" t="s">
        <v>33</v>
      </c>
      <c r="U5" s="9" t="s">
        <v>34</v>
      </c>
      <c r="V5" s="9" t="s">
        <v>34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37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38</v>
      </c>
      <c r="I6" s="9">
        <v>1</v>
      </c>
      <c r="J6" s="9">
        <v>2</v>
      </c>
      <c r="K6" s="20">
        <v>4</v>
      </c>
      <c r="L6" s="16"/>
      <c r="M6" s="9" t="s">
        <v>38</v>
      </c>
      <c r="N6" s="9">
        <v>1</v>
      </c>
      <c r="O6" s="9">
        <v>2</v>
      </c>
      <c r="P6" s="20">
        <v>3</v>
      </c>
      <c r="R6" s="9">
        <v>43</v>
      </c>
      <c r="S6" s="9" t="s">
        <v>33</v>
      </c>
      <c r="T6" s="9" t="s">
        <v>33</v>
      </c>
      <c r="U6" s="9" t="s">
        <v>34</v>
      </c>
      <c r="V6" s="9" t="s">
        <v>34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39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40</v>
      </c>
      <c r="I7" s="9">
        <v>1</v>
      </c>
      <c r="J7" s="9">
        <v>2</v>
      </c>
      <c r="K7" s="20">
        <v>4</v>
      </c>
      <c r="L7" s="16"/>
      <c r="M7" s="9" t="s">
        <v>40</v>
      </c>
      <c r="N7" s="9">
        <v>1</v>
      </c>
      <c r="O7" s="9">
        <v>2</v>
      </c>
      <c r="P7" s="20">
        <v>3</v>
      </c>
      <c r="R7" s="9">
        <v>44</v>
      </c>
      <c r="S7" s="9" t="s">
        <v>33</v>
      </c>
      <c r="T7" s="9" t="s">
        <v>33</v>
      </c>
      <c r="U7" s="9" t="s">
        <v>34</v>
      </c>
      <c r="V7" s="9" t="s">
        <v>41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42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43</v>
      </c>
      <c r="I8" s="9">
        <v>1</v>
      </c>
      <c r="J8" s="9">
        <v>2</v>
      </c>
      <c r="K8" s="20" t="s">
        <v>2</v>
      </c>
      <c r="L8" s="16"/>
      <c r="M8" s="9" t="s">
        <v>43</v>
      </c>
      <c r="N8" s="9">
        <v>1</v>
      </c>
      <c r="O8" s="9">
        <v>2</v>
      </c>
      <c r="P8" s="20">
        <v>3</v>
      </c>
    </row>
    <row r="9" spans="1:26" x14ac:dyDescent="0.2">
      <c r="A9" s="9" t="s">
        <v>44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45</v>
      </c>
      <c r="I9" s="9">
        <v>1</v>
      </c>
      <c r="J9" s="9">
        <v>2</v>
      </c>
      <c r="K9" s="20" t="s">
        <v>2</v>
      </c>
      <c r="L9" s="16"/>
      <c r="M9" s="9" t="s">
        <v>45</v>
      </c>
      <c r="N9" s="9">
        <v>1</v>
      </c>
      <c r="O9" s="9">
        <v>2</v>
      </c>
      <c r="P9" s="20">
        <v>3</v>
      </c>
      <c r="R9" s="9">
        <v>31</v>
      </c>
      <c r="S9" s="9" t="s">
        <v>33</v>
      </c>
      <c r="T9" s="9" t="s">
        <v>46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47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48</v>
      </c>
      <c r="I10" s="9">
        <v>1</v>
      </c>
      <c r="J10" s="9">
        <v>2</v>
      </c>
      <c r="K10" s="20" t="s">
        <v>2</v>
      </c>
      <c r="L10" s="16"/>
      <c r="M10" s="9" t="s">
        <v>48</v>
      </c>
      <c r="N10" s="9">
        <v>1</v>
      </c>
      <c r="O10" s="9">
        <v>2</v>
      </c>
      <c r="P10" s="20">
        <v>3</v>
      </c>
      <c r="R10" s="9">
        <v>32</v>
      </c>
      <c r="S10" s="9" t="s">
        <v>33</v>
      </c>
      <c r="T10" s="9" t="s">
        <v>33</v>
      </c>
      <c r="U10" s="9" t="s">
        <v>34</v>
      </c>
      <c r="V10" s="9" t="s">
        <v>41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49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50</v>
      </c>
      <c r="I11" s="9">
        <v>1</v>
      </c>
      <c r="J11" s="9">
        <v>2</v>
      </c>
      <c r="K11" s="20" t="s">
        <v>2</v>
      </c>
      <c r="L11" s="16"/>
      <c r="M11" s="9" t="s">
        <v>50</v>
      </c>
      <c r="N11" s="9">
        <v>1</v>
      </c>
      <c r="O11" s="9">
        <v>2</v>
      </c>
      <c r="P11" s="20">
        <v>3</v>
      </c>
      <c r="R11" s="9">
        <v>33</v>
      </c>
      <c r="S11" s="9" t="s">
        <v>33</v>
      </c>
      <c r="T11" s="9" t="s">
        <v>33</v>
      </c>
      <c r="U11" s="9" t="s">
        <v>34</v>
      </c>
      <c r="V11" s="9" t="s">
        <v>41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51</v>
      </c>
      <c r="B12">
        <v>0</v>
      </c>
      <c r="C12">
        <v>2</v>
      </c>
      <c r="D12" t="s">
        <v>2</v>
      </c>
      <c r="H12" s="9" t="s">
        <v>52</v>
      </c>
      <c r="I12" s="9">
        <v>1</v>
      </c>
      <c r="J12" s="9">
        <v>2</v>
      </c>
      <c r="K12" s="20" t="s">
        <v>2</v>
      </c>
      <c r="L12" s="16"/>
      <c r="M12" s="9" t="s">
        <v>52</v>
      </c>
      <c r="N12" s="9">
        <v>1</v>
      </c>
      <c r="O12" s="9">
        <v>2</v>
      </c>
      <c r="P12" s="20">
        <v>3</v>
      </c>
      <c r="R12" s="9">
        <v>34</v>
      </c>
      <c r="S12" s="9" t="s">
        <v>33</v>
      </c>
      <c r="T12" s="9" t="s">
        <v>33</v>
      </c>
      <c r="U12" s="9" t="s">
        <v>34</v>
      </c>
      <c r="V12" s="9" t="s">
        <v>41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53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54</v>
      </c>
      <c r="I13" s="9">
        <v>1</v>
      </c>
      <c r="J13" s="9">
        <v>2</v>
      </c>
      <c r="K13" s="20">
        <v>3</v>
      </c>
      <c r="L13" s="16"/>
      <c r="M13" s="9" t="s">
        <v>54</v>
      </c>
      <c r="N13" s="9">
        <v>1</v>
      </c>
      <c r="O13" s="9">
        <v>2</v>
      </c>
      <c r="P13" s="20">
        <v>3</v>
      </c>
    </row>
    <row r="14" spans="1:26" x14ac:dyDescent="0.2">
      <c r="A14" s="9" t="s">
        <v>55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56</v>
      </c>
      <c r="I14" s="9">
        <v>1</v>
      </c>
      <c r="J14" s="9">
        <v>2</v>
      </c>
      <c r="K14" s="20">
        <v>3</v>
      </c>
      <c r="L14" s="16"/>
      <c r="M14" s="9" t="s">
        <v>56</v>
      </c>
      <c r="N14" s="9">
        <v>1</v>
      </c>
      <c r="O14" s="9">
        <v>2</v>
      </c>
      <c r="P14" s="20">
        <v>3</v>
      </c>
      <c r="R14" s="9">
        <v>21</v>
      </c>
      <c r="S14" s="9" t="s">
        <v>33</v>
      </c>
      <c r="T14" s="9" t="s">
        <v>46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57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58</v>
      </c>
      <c r="I15" s="9">
        <v>1</v>
      </c>
      <c r="J15" s="9">
        <v>2</v>
      </c>
      <c r="K15" s="20" t="s">
        <v>2</v>
      </c>
      <c r="L15" s="16"/>
      <c r="M15" s="9" t="s">
        <v>58</v>
      </c>
      <c r="N15" s="9">
        <v>1</v>
      </c>
      <c r="O15" s="9">
        <v>2</v>
      </c>
      <c r="P15" s="20">
        <v>3</v>
      </c>
      <c r="R15" s="9">
        <v>22</v>
      </c>
      <c r="S15" s="9" t="s">
        <v>33</v>
      </c>
      <c r="T15" s="9" t="s">
        <v>33</v>
      </c>
      <c r="U15" s="9" t="s">
        <v>34</v>
      </c>
      <c r="V15" s="9" t="s">
        <v>41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59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60</v>
      </c>
      <c r="I16" s="18" t="s">
        <v>2</v>
      </c>
      <c r="J16" t="s">
        <v>2</v>
      </c>
      <c r="K16" t="s">
        <v>2</v>
      </c>
      <c r="M16" t="s">
        <v>61</v>
      </c>
      <c r="N16" s="18"/>
      <c r="P16" t="s">
        <v>2</v>
      </c>
      <c r="R16" s="9">
        <v>23</v>
      </c>
      <c r="S16" s="9" t="s">
        <v>33</v>
      </c>
      <c r="T16" s="9" t="s">
        <v>33</v>
      </c>
      <c r="U16" s="9" t="s">
        <v>34</v>
      </c>
      <c r="V16" s="9" t="s">
        <v>41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62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63</v>
      </c>
      <c r="I17" s="9">
        <v>1</v>
      </c>
      <c r="J17" s="9">
        <v>2</v>
      </c>
      <c r="K17" s="20">
        <v>4</v>
      </c>
      <c r="L17" s="16"/>
      <c r="M17" s="9" t="s">
        <v>63</v>
      </c>
      <c r="N17" s="9">
        <v>1</v>
      </c>
      <c r="O17" s="9">
        <v>2</v>
      </c>
      <c r="P17" s="20">
        <v>3</v>
      </c>
      <c r="R17" s="9">
        <v>24</v>
      </c>
      <c r="S17" s="9" t="s">
        <v>33</v>
      </c>
      <c r="T17" s="9" t="s">
        <v>33</v>
      </c>
      <c r="U17" s="9" t="s">
        <v>34</v>
      </c>
      <c r="V17" s="9" t="s">
        <v>41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64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65</v>
      </c>
      <c r="I18" s="9">
        <v>1</v>
      </c>
      <c r="J18" s="9">
        <v>2</v>
      </c>
      <c r="K18" s="20">
        <v>4</v>
      </c>
      <c r="L18" s="16"/>
      <c r="M18" s="9" t="s">
        <v>65</v>
      </c>
      <c r="N18" s="9">
        <v>1</v>
      </c>
      <c r="O18" s="9">
        <v>2</v>
      </c>
      <c r="P18" s="20">
        <v>3</v>
      </c>
    </row>
    <row r="19" spans="1:26" x14ac:dyDescent="0.2">
      <c r="A19" s="9" t="s">
        <v>66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67</v>
      </c>
      <c r="I19" s="9">
        <v>1</v>
      </c>
      <c r="J19" s="9">
        <v>2</v>
      </c>
      <c r="K19" s="20">
        <v>4</v>
      </c>
      <c r="L19" s="16"/>
      <c r="M19" s="9" t="s">
        <v>67</v>
      </c>
      <c r="N19" s="9">
        <v>1</v>
      </c>
      <c r="O19" s="9">
        <v>2</v>
      </c>
      <c r="P19" s="20">
        <v>3</v>
      </c>
      <c r="R19" s="9">
        <v>11</v>
      </c>
      <c r="S19" s="9" t="s">
        <v>33</v>
      </c>
      <c r="T19" s="9" t="s">
        <v>46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68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69</v>
      </c>
      <c r="I20" s="9">
        <v>1</v>
      </c>
      <c r="J20" s="9">
        <v>2</v>
      </c>
      <c r="K20" s="20">
        <v>4</v>
      </c>
      <c r="L20" s="16"/>
      <c r="M20" s="9" t="s">
        <v>69</v>
      </c>
      <c r="N20" s="9">
        <v>1</v>
      </c>
      <c r="O20" s="9">
        <v>2</v>
      </c>
      <c r="P20" s="20">
        <v>3</v>
      </c>
      <c r="R20" s="9">
        <v>12</v>
      </c>
      <c r="S20" s="9" t="s">
        <v>33</v>
      </c>
      <c r="T20" s="9" t="s">
        <v>33</v>
      </c>
      <c r="U20" s="9" t="s">
        <v>34</v>
      </c>
      <c r="V20" s="9" t="s">
        <v>41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70</v>
      </c>
      <c r="B21" t="s">
        <v>2</v>
      </c>
      <c r="C21" t="s">
        <v>2</v>
      </c>
      <c r="D21" t="s">
        <v>2</v>
      </c>
      <c r="H21" s="9" t="s">
        <v>71</v>
      </c>
      <c r="I21" s="9">
        <v>1</v>
      </c>
      <c r="J21" s="9">
        <v>2</v>
      </c>
      <c r="K21" s="20" t="s">
        <v>2</v>
      </c>
      <c r="L21" s="16"/>
      <c r="M21" s="9" t="s">
        <v>71</v>
      </c>
      <c r="N21" s="9">
        <v>1</v>
      </c>
      <c r="O21" s="9">
        <v>2</v>
      </c>
      <c r="P21" s="20">
        <v>3</v>
      </c>
      <c r="R21" s="9">
        <v>13</v>
      </c>
      <c r="S21" s="9" t="s">
        <v>33</v>
      </c>
      <c r="T21" s="9" t="s">
        <v>33</v>
      </c>
      <c r="U21" s="9" t="s">
        <v>34</v>
      </c>
      <c r="V21" s="9" t="s">
        <v>41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72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73</v>
      </c>
      <c r="I22" s="9">
        <v>1</v>
      </c>
      <c r="J22" s="9">
        <v>2</v>
      </c>
      <c r="K22" s="20" t="s">
        <v>2</v>
      </c>
      <c r="L22" s="16"/>
      <c r="M22" s="9" t="s">
        <v>73</v>
      </c>
      <c r="N22" s="9">
        <v>1</v>
      </c>
      <c r="O22" s="9">
        <v>2</v>
      </c>
      <c r="P22" s="20">
        <v>3</v>
      </c>
      <c r="R22" s="9">
        <v>14</v>
      </c>
      <c r="S22" s="9" t="s">
        <v>33</v>
      </c>
      <c r="T22" s="9" t="s">
        <v>33</v>
      </c>
      <c r="U22" s="9" t="s">
        <v>34</v>
      </c>
      <c r="V22" s="9" t="s">
        <v>41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74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75</v>
      </c>
      <c r="I23" s="9">
        <v>1</v>
      </c>
      <c r="J23" s="9">
        <v>2</v>
      </c>
      <c r="K23" s="20" t="s">
        <v>2</v>
      </c>
      <c r="L23" s="16"/>
      <c r="M23" s="9" t="s">
        <v>75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76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77</v>
      </c>
      <c r="I24" s="9">
        <v>1</v>
      </c>
      <c r="J24" s="9">
        <v>2</v>
      </c>
      <c r="K24" s="20" t="s">
        <v>2</v>
      </c>
      <c r="L24" s="16"/>
      <c r="M24" s="9" t="s">
        <v>77</v>
      </c>
      <c r="N24" s="9">
        <v>1</v>
      </c>
      <c r="O24" s="9">
        <v>2</v>
      </c>
      <c r="P24" s="20">
        <v>3</v>
      </c>
    </row>
    <row r="25" spans="1:26" x14ac:dyDescent="0.2">
      <c r="A25" s="9" t="s">
        <v>78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79</v>
      </c>
      <c r="I25" s="9">
        <v>1</v>
      </c>
      <c r="J25" s="9">
        <v>2</v>
      </c>
      <c r="K25" s="20" t="s">
        <v>2</v>
      </c>
      <c r="L25" s="16"/>
      <c r="M25" s="9" t="s">
        <v>79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80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81</v>
      </c>
      <c r="I26" s="9">
        <v>1</v>
      </c>
      <c r="J26" s="9">
        <v>2</v>
      </c>
      <c r="K26" s="20">
        <v>3</v>
      </c>
      <c r="L26" s="16"/>
      <c r="M26" s="9" t="s">
        <v>81</v>
      </c>
      <c r="N26" s="9">
        <v>1</v>
      </c>
      <c r="O26" s="9">
        <v>2</v>
      </c>
      <c r="P26" s="20">
        <v>3</v>
      </c>
    </row>
    <row r="27" spans="1:26" x14ac:dyDescent="0.2">
      <c r="A27" s="9" t="s">
        <v>82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83</v>
      </c>
      <c r="I27" s="9">
        <v>1</v>
      </c>
      <c r="J27" s="9">
        <v>2</v>
      </c>
      <c r="K27" s="20">
        <v>3</v>
      </c>
      <c r="L27" s="16"/>
      <c r="M27" s="9" t="s">
        <v>83</v>
      </c>
      <c r="N27" s="9">
        <v>1</v>
      </c>
      <c r="O27" s="9">
        <v>2</v>
      </c>
      <c r="P27" s="20">
        <v>3</v>
      </c>
    </row>
    <row r="28" spans="1:26" x14ac:dyDescent="0.2">
      <c r="A28" s="9" t="s">
        <v>84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85</v>
      </c>
      <c r="I28" s="9">
        <v>1</v>
      </c>
      <c r="J28" s="9">
        <v>2</v>
      </c>
      <c r="K28" s="20" t="s">
        <v>2</v>
      </c>
      <c r="L28" s="16"/>
      <c r="M28" s="9" t="s">
        <v>85</v>
      </c>
      <c r="N28" s="9">
        <v>1</v>
      </c>
      <c r="O28" s="9">
        <v>2</v>
      </c>
      <c r="P28" s="20">
        <v>3</v>
      </c>
    </row>
    <row r="29" spans="1:26" x14ac:dyDescent="0.2">
      <c r="A29" s="9" t="s">
        <v>86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88" t="s">
        <v>193</v>
      </c>
    </row>
    <row r="3" spans="1:1" ht="28" customHeight="1" thickBot="1" x14ac:dyDescent="0.25">
      <c r="A3" s="89" t="s">
        <v>194</v>
      </c>
    </row>
    <row r="4" spans="1:1" ht="17" x14ac:dyDescent="0.2">
      <c r="A4" s="90" t="s">
        <v>195</v>
      </c>
    </row>
    <row r="5" spans="1:1" ht="41" customHeight="1" x14ac:dyDescent="0.2">
      <c r="A5" s="91" t="s">
        <v>196</v>
      </c>
    </row>
    <row r="6" spans="1:1" ht="33" customHeight="1" thickBot="1" x14ac:dyDescent="0.25">
      <c r="A6" s="89" t="s">
        <v>198</v>
      </c>
    </row>
    <row r="7" spans="1:1" ht="29" customHeight="1" thickBot="1" x14ac:dyDescent="0.25">
      <c r="A7" s="92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2018-11-21T02:59:41Z</dcterms:modified>
</cp:coreProperties>
</file>