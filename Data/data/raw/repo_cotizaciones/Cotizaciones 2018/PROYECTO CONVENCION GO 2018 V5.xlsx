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0" yWindow="460" windowWidth="25600" windowHeight="14180" tabRatio="831"/>
  </bookViews>
  <sheets>
    <sheet name="MONTICELLO" sheetId="40" r:id="rId1"/>
    <sheet name="CONFERENCE TOWN" sheetId="44" r:id="rId2"/>
    <sheet name="LODGE" sheetId="42" r:id="rId3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9" i="40" l="1"/>
  <c r="O38" i="40"/>
  <c r="O82" i="40"/>
  <c r="O40" i="40"/>
  <c r="O41" i="40"/>
  <c r="O45" i="40"/>
  <c r="O46" i="40"/>
  <c r="O47" i="40"/>
  <c r="O48" i="40"/>
  <c r="O37" i="40"/>
  <c r="J30" i="40"/>
  <c r="J31" i="40"/>
  <c r="J32" i="40"/>
  <c r="J33" i="40"/>
  <c r="J34" i="40"/>
  <c r="J35" i="40"/>
  <c r="O36" i="40"/>
  <c r="O16" i="40"/>
  <c r="O17" i="40"/>
  <c r="O18" i="40"/>
  <c r="O31" i="40"/>
  <c r="O32" i="40"/>
  <c r="O33" i="40"/>
  <c r="O34" i="40"/>
  <c r="O35" i="40"/>
  <c r="J82" i="40"/>
  <c r="E82" i="40"/>
  <c r="E83" i="40"/>
  <c r="O20" i="40"/>
  <c r="O21" i="40"/>
  <c r="O22" i="40"/>
  <c r="O23" i="40"/>
  <c r="N70" i="40"/>
  <c r="N71" i="40"/>
  <c r="O85" i="40"/>
  <c r="O86" i="40"/>
  <c r="O87" i="40"/>
  <c r="O89" i="40"/>
  <c r="J16" i="40"/>
  <c r="J17" i="40"/>
  <c r="J18" i="40"/>
  <c r="J20" i="40"/>
  <c r="J21" i="40"/>
  <c r="J22" i="40"/>
  <c r="J39" i="40"/>
  <c r="J40" i="40"/>
  <c r="J41" i="40"/>
  <c r="J42" i="40"/>
  <c r="I64" i="40"/>
  <c r="I65" i="40"/>
  <c r="J65" i="40"/>
  <c r="J66" i="40"/>
  <c r="J83" i="40"/>
  <c r="J84" i="40"/>
  <c r="J85" i="40"/>
  <c r="J87" i="40"/>
  <c r="E69" i="42"/>
  <c r="D68" i="42"/>
  <c r="E68" i="42"/>
  <c r="D67" i="42"/>
  <c r="E67" i="42"/>
  <c r="E66" i="44"/>
  <c r="D65" i="44"/>
  <c r="E65" i="44"/>
  <c r="D64" i="44"/>
  <c r="E64" i="44"/>
  <c r="D70" i="40"/>
  <c r="D71" i="40"/>
  <c r="E12" i="42"/>
  <c r="E13" i="42"/>
  <c r="E14" i="42"/>
  <c r="E16" i="42"/>
  <c r="E17" i="42"/>
  <c r="E18" i="42"/>
  <c r="E20" i="42"/>
  <c r="E21" i="42"/>
  <c r="E22" i="42"/>
  <c r="E23" i="42"/>
  <c r="E26" i="42"/>
  <c r="E27" i="42"/>
  <c r="E28" i="42"/>
  <c r="E31" i="42"/>
  <c r="E32" i="42"/>
  <c r="E33" i="42"/>
  <c r="E34" i="42"/>
  <c r="E35" i="42"/>
  <c r="E36" i="42"/>
  <c r="E37" i="42"/>
  <c r="E38" i="42"/>
  <c r="E42" i="42"/>
  <c r="E43" i="42"/>
  <c r="E44" i="42"/>
  <c r="E45" i="42"/>
  <c r="E47" i="42"/>
  <c r="E48" i="42"/>
  <c r="E50" i="42"/>
  <c r="E51" i="42"/>
  <c r="E53" i="42"/>
  <c r="E54" i="42"/>
  <c r="E55" i="42"/>
  <c r="E56" i="42"/>
  <c r="E57" i="42"/>
  <c r="E58" i="42"/>
  <c r="E59" i="42"/>
  <c r="E60" i="42"/>
  <c r="E61" i="42"/>
  <c r="E62" i="42"/>
  <c r="E63" i="42"/>
  <c r="E64" i="42"/>
  <c r="E65" i="42"/>
  <c r="E71" i="42"/>
  <c r="E72" i="42"/>
  <c r="E74" i="42"/>
  <c r="E75" i="42"/>
  <c r="E76" i="42"/>
  <c r="E77" i="42"/>
  <c r="E78" i="42"/>
  <c r="E80" i="42"/>
  <c r="E81" i="42"/>
  <c r="E82" i="42"/>
  <c r="E34" i="44"/>
  <c r="E12" i="44"/>
  <c r="E13" i="44"/>
  <c r="E14" i="44"/>
  <c r="E16" i="44"/>
  <c r="E17" i="44"/>
  <c r="E18" i="44"/>
  <c r="E20" i="44"/>
  <c r="E21" i="44"/>
  <c r="E22" i="44"/>
  <c r="E25" i="44"/>
  <c r="E26" i="44"/>
  <c r="E27" i="44"/>
  <c r="E30" i="44"/>
  <c r="E31" i="44"/>
  <c r="E32" i="44"/>
  <c r="E33" i="44"/>
  <c r="E35" i="44"/>
  <c r="E39" i="44"/>
  <c r="E40" i="44"/>
  <c r="E41" i="44"/>
  <c r="E42" i="44"/>
  <c r="E44" i="44"/>
  <c r="E45" i="44"/>
  <c r="E47" i="44"/>
  <c r="E48" i="44"/>
  <c r="E50" i="44"/>
  <c r="E51" i="44"/>
  <c r="E52" i="44"/>
  <c r="E53" i="44"/>
  <c r="E54" i="44"/>
  <c r="E55" i="44"/>
  <c r="E56" i="44"/>
  <c r="E57" i="44"/>
  <c r="E58" i="44"/>
  <c r="E59" i="44"/>
  <c r="E60" i="44"/>
  <c r="E61" i="44"/>
  <c r="E62" i="44"/>
  <c r="E68" i="44"/>
  <c r="E69" i="44"/>
  <c r="E71" i="44"/>
  <c r="E72" i="44"/>
  <c r="E73" i="44"/>
  <c r="E74" i="44"/>
  <c r="E75" i="44"/>
  <c r="E77" i="44"/>
  <c r="E78" i="44"/>
  <c r="E84" i="42"/>
  <c r="E79" i="44"/>
  <c r="E81" i="44"/>
  <c r="E16" i="40"/>
  <c r="E17" i="40"/>
  <c r="E18" i="40"/>
  <c r="E20" i="40"/>
  <c r="E21" i="40"/>
  <c r="E22" i="40"/>
  <c r="E23" i="40"/>
  <c r="E31" i="40"/>
  <c r="E32" i="40"/>
  <c r="E33" i="40"/>
  <c r="E34" i="40"/>
  <c r="E35" i="40"/>
  <c r="E36" i="40"/>
  <c r="E37" i="40"/>
  <c r="E38" i="40"/>
  <c r="E39" i="40"/>
  <c r="E43" i="40"/>
  <c r="E44" i="40"/>
  <c r="E45" i="40"/>
  <c r="E46" i="40"/>
  <c r="E47" i="40"/>
  <c r="E48" i="40"/>
  <c r="E84" i="40"/>
  <c r="E85" i="40"/>
  <c r="E87" i="40"/>
</calcChain>
</file>

<file path=xl/comments1.xml><?xml version="1.0" encoding="utf-8"?>
<comments xmlns="http://schemas.openxmlformats.org/spreadsheetml/2006/main">
  <authors>
    <author>Usuario de Microsoft Office</author>
  </authors>
  <commentList>
    <comment ref="A4" authorId="0">
      <text>
        <r>
          <rPr>
            <sz val="10"/>
            <color indexed="81"/>
            <rFont val="Calibri"/>
          </rPr>
          <t xml:space="preserve">Usar Mismo numero en el cierre
</t>
        </r>
      </text>
    </comment>
  </commentList>
</comments>
</file>

<file path=xl/comments2.xml><?xml version="1.0" encoding="utf-8"?>
<comments xmlns="http://schemas.openxmlformats.org/spreadsheetml/2006/main">
  <authors>
    <author>Usuario de Microsoft Office</author>
  </authors>
  <commentList>
    <comment ref="A4" authorId="0">
      <text>
        <r>
          <rPr>
            <sz val="10"/>
            <color indexed="81"/>
            <rFont val="Calibri"/>
          </rPr>
          <t xml:space="preserve">Usar Mismo numero en el cierre
</t>
        </r>
      </text>
    </comment>
  </commentList>
</comments>
</file>

<file path=xl/comments3.xml><?xml version="1.0" encoding="utf-8"?>
<comments xmlns="http://schemas.openxmlformats.org/spreadsheetml/2006/main">
  <authors>
    <author>Usuario de Microsoft Office</author>
  </authors>
  <commentList>
    <comment ref="A4" authorId="0">
      <text>
        <r>
          <rPr>
            <sz val="10"/>
            <color indexed="81"/>
            <rFont val="Calibri"/>
          </rPr>
          <t xml:space="preserve">Usar Mismo numero en el cierre
</t>
        </r>
      </text>
    </comment>
  </commentList>
</comments>
</file>

<file path=xl/sharedStrings.xml><?xml version="1.0" encoding="utf-8"?>
<sst xmlns="http://schemas.openxmlformats.org/spreadsheetml/2006/main" count="412" uniqueCount="112">
  <si>
    <r>
      <t xml:space="preserve">Fecha: </t>
    </r>
    <r>
      <rPr>
        <sz val="10"/>
        <rFont val="Arial"/>
        <family val="2"/>
      </rPr>
      <t/>
    </r>
  </si>
  <si>
    <t xml:space="preserve">Invitados: </t>
  </si>
  <si>
    <t>TOTAL</t>
  </si>
  <si>
    <t>VALOR</t>
  </si>
  <si>
    <t>UNIDAD</t>
  </si>
  <si>
    <t>DIAS</t>
  </si>
  <si>
    <t>SUBTOTAL</t>
  </si>
  <si>
    <t>TOTAL NETO</t>
  </si>
  <si>
    <t>FEE 15%</t>
  </si>
  <si>
    <t>PRODUCCION DE EVENTO</t>
  </si>
  <si>
    <r>
      <t xml:space="preserve">Cliente: </t>
    </r>
    <r>
      <rPr>
        <sz val="14"/>
        <rFont val="Arial"/>
      </rPr>
      <t xml:space="preserve">Grunenthal </t>
    </r>
  </si>
  <si>
    <t>TRASLADO</t>
  </si>
  <si>
    <t>Productor</t>
  </si>
  <si>
    <t>UF:</t>
  </si>
  <si>
    <t>PRODUCCION GENERAL</t>
  </si>
  <si>
    <t>Amplificación Base</t>
  </si>
  <si>
    <t>009-17</t>
  </si>
  <si>
    <t>Tipo de Evento: Convención</t>
  </si>
  <si>
    <t>HOTEL</t>
  </si>
  <si>
    <t>ALIMENTOS Y BEBIDAS</t>
  </si>
  <si>
    <t>Coffee PM</t>
  </si>
  <si>
    <t>SALONES</t>
  </si>
  <si>
    <t>Papelógrafo</t>
  </si>
  <si>
    <t>Escenario</t>
  </si>
  <si>
    <t xml:space="preserve">Iluminacion </t>
  </si>
  <si>
    <t>DJ Dia evento</t>
  </si>
  <si>
    <t>Cotillon y Varios</t>
  </si>
  <si>
    <t>Fletes y traslados, Inspeccion</t>
  </si>
  <si>
    <t>Alimentos equipo de producción + Viaticos</t>
  </si>
  <si>
    <t>Coffee AM</t>
  </si>
  <si>
    <t>Cristian Garcia Huidobro</t>
  </si>
  <si>
    <t>Grupo Musical Trio JL MOYA</t>
  </si>
  <si>
    <t>Show Humor Pato Pimienta</t>
  </si>
  <si>
    <r>
      <t xml:space="preserve">Estaciòn de Hidrataciòn </t>
    </r>
    <r>
      <rPr>
        <sz val="14"/>
        <color rgb="FFFF0000"/>
        <rFont val="Arial"/>
      </rPr>
      <t>+ café</t>
    </r>
  </si>
  <si>
    <t>INCLUIDO</t>
  </si>
  <si>
    <t>Desayuno hotel</t>
  </si>
  <si>
    <t>VIERNES 6 DE ABRIL</t>
  </si>
  <si>
    <t>Líquidos cena 2 bebidas o jugo + café</t>
  </si>
  <si>
    <t>Cena</t>
  </si>
  <si>
    <t>Líquidos almuerzo 2 bebidas o jugo + café</t>
  </si>
  <si>
    <t>Almuerzo Buffet El Capataz</t>
  </si>
  <si>
    <t>Café llegada</t>
  </si>
  <si>
    <t>JUEVES 5 DE ABRIL</t>
  </si>
  <si>
    <t>Habitacion single</t>
  </si>
  <si>
    <t>Habitación doble</t>
  </si>
  <si>
    <t>Supervisor salida buses</t>
  </si>
  <si>
    <t>CONVENCIÓN GO - SUN MONTICELLO</t>
  </si>
  <si>
    <r>
      <t>Nombre Producto:</t>
    </r>
    <r>
      <rPr>
        <sz val="14"/>
        <rFont val="Arial"/>
      </rPr>
      <t xml:space="preserve"> Convención GO</t>
    </r>
  </si>
  <si>
    <t>MERCHAN</t>
  </si>
  <si>
    <t>Parkas Negras</t>
  </si>
  <si>
    <t>Poleras Negras</t>
  </si>
  <si>
    <t>Mentimeter</t>
  </si>
  <si>
    <t>Stefan Kramer Charla</t>
  </si>
  <si>
    <t>Habitación Produccion</t>
  </si>
  <si>
    <t>LOCACION</t>
  </si>
  <si>
    <t>Ficha Tecnica upgrade noche + banda o shows</t>
  </si>
  <si>
    <t>Visualista</t>
  </si>
  <si>
    <t>Animador (Evento y Team Building)</t>
  </si>
  <si>
    <t>Coordinadores pre produccion - produccion evento</t>
  </si>
  <si>
    <t>5 y 6 abril 2018</t>
  </si>
  <si>
    <t>Asistentes</t>
  </si>
  <si>
    <r>
      <t xml:space="preserve">Tag equipaje </t>
    </r>
    <r>
      <rPr>
        <sz val="14"/>
        <color rgb="FFFF0000"/>
        <rFont val="Arial"/>
      </rPr>
      <t>Hotel</t>
    </r>
  </si>
  <si>
    <t>Habitación doble superior</t>
  </si>
  <si>
    <t>Habitacion single superior</t>
  </si>
  <si>
    <t>Almuerzo ejecutivo</t>
  </si>
  <si>
    <t>Salones Business Center</t>
  </si>
  <si>
    <t>Amplificacion Salones extra</t>
  </si>
  <si>
    <t>Salón para 100 personas Team Building</t>
  </si>
  <si>
    <t xml:space="preserve">Pantalla Led 4 x 2,5 mt. </t>
  </si>
  <si>
    <t>Pantallas 42" con soporte y cable HDMI</t>
  </si>
  <si>
    <t>Premios</t>
  </si>
  <si>
    <t>SALDO CENA</t>
  </si>
  <si>
    <t>TOTAL FINAL</t>
  </si>
  <si>
    <t>Líquidos almuerzo 1 bebidas o jugo + café</t>
  </si>
  <si>
    <t>Bar abierto 2 horas (pisco, ron, vodka, cervezas nacionales, bebidas y jugos)</t>
  </si>
  <si>
    <t>Salón para 100 personas charla + ruedo</t>
  </si>
  <si>
    <t>Líquidos almuerzo 1 bebida o jugo + café</t>
  </si>
  <si>
    <t>Show Trio musical Ladies</t>
  </si>
  <si>
    <t>Buses 44 pax</t>
  </si>
  <si>
    <t>DISEÑO E IMPRESIÓN</t>
  </si>
  <si>
    <t>CLIENTE</t>
  </si>
  <si>
    <t>Diseños</t>
  </si>
  <si>
    <t>Señaléicas</t>
  </si>
  <si>
    <t>Libretas</t>
  </si>
  <si>
    <t>PODUCCION</t>
  </si>
  <si>
    <t>COACHING</t>
  </si>
  <si>
    <t>Branding identificacion relatores GO para charlas posteriores a equipos (Jockey chapitas, otros)</t>
  </si>
  <si>
    <t>Lapiz evento</t>
  </si>
  <si>
    <t>Claudio Lucero</t>
  </si>
  <si>
    <t>Coach Taller preparación para bajada de contenidos</t>
  </si>
  <si>
    <t>CHARLA</t>
  </si>
  <si>
    <t>Espacio Team Building</t>
  </si>
  <si>
    <t>Habitación single</t>
  </si>
  <si>
    <t>Alojamientos Produccion</t>
  </si>
  <si>
    <t>Almuerzo Buffet</t>
  </si>
  <si>
    <t xml:space="preserve">Habitacion doble </t>
  </si>
  <si>
    <t>Cena al plato</t>
  </si>
  <si>
    <t>Bebidas gaseosa o cerveza</t>
  </si>
  <si>
    <t>Coffee llegada</t>
  </si>
  <si>
    <t>Bar con ticket</t>
  </si>
  <si>
    <t>Amplificacion exterior Team building</t>
  </si>
  <si>
    <t>Remontaje salón y uso nocturno + fogatas</t>
  </si>
  <si>
    <t>Uso Areas Team Building</t>
  </si>
  <si>
    <t>Buses 25 pax</t>
  </si>
  <si>
    <t>CONVENCIÓN GO - SAN FRANCISCO LODGE</t>
  </si>
  <si>
    <t>CONVENCIÓN GO - CONFERENCE TOWN</t>
  </si>
  <si>
    <t xml:space="preserve"> </t>
  </si>
  <si>
    <t>Conference</t>
  </si>
  <si>
    <t>Lodge</t>
  </si>
  <si>
    <t>montaje buffet exclusivo</t>
  </si>
  <si>
    <t>2 corderos y 2 piernas para coctail acampado</t>
  </si>
  <si>
    <t>Tragos para coctail acampado en terraza de 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</si>
</sst>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$&quot;#,##0;[Red]&quot;$&quot;\-#,##0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"/>
    <numFmt numFmtId="169" formatCode="[$$-340A]\ #,##0"/>
    <numFmt numFmtId="170" formatCode="_-* #,##0_-;\-* #,##0_-;_-* &quot;-&quot;??_-;_-@_-"/>
    <numFmt numFmtId="171" formatCode="_-[$$-340A]\ * #,##0_-;\-[$$-340A]\ * #,##0_-;_-[$$-340A]\ * &quot;-&quot;_-;_-@_-"/>
  </numFmts>
  <fonts count="22" x14ac:knownFonts="1">
    <font>
      <sz val="10"/>
      <name val="Arial"/>
      <family val="2"/>
    </font>
    <font>
      <sz val="10"/>
      <name val="Arial"/>
      <family val="2"/>
    </font>
    <font>
      <b/>
      <sz val="10"/>
      <name val="Frutiger 47LightCn"/>
    </font>
    <font>
      <sz val="10"/>
      <name val="Arial"/>
      <family val="2"/>
    </font>
    <font>
      <b/>
      <sz val="14"/>
      <name val="Arial"/>
      <family val="2"/>
    </font>
    <font>
      <sz val="14"/>
      <name val="Arial"/>
    </font>
    <font>
      <sz val="14"/>
      <color rgb="FFFF0000"/>
      <name val="Arial"/>
    </font>
    <font>
      <b/>
      <sz val="14"/>
      <color rgb="FFFF0000"/>
      <name val="Arial"/>
      <family val="2"/>
    </font>
    <font>
      <sz val="14"/>
      <color theme="1"/>
      <name val="Arial"/>
    </font>
    <font>
      <sz val="14"/>
      <color theme="3"/>
      <name val="Arial"/>
    </font>
    <font>
      <b/>
      <sz val="16"/>
      <name val="Arial"/>
      <family val="2"/>
    </font>
    <font>
      <sz val="10"/>
      <color indexed="81"/>
      <name val="Calibri"/>
    </font>
    <font>
      <b/>
      <sz val="12"/>
      <color rgb="FFF27A1E"/>
      <name val="Arial"/>
    </font>
    <font>
      <b/>
      <i/>
      <sz val="12"/>
      <color rgb="FFF27A1E"/>
      <name val="Arial"/>
    </font>
    <font>
      <b/>
      <sz val="12"/>
      <color indexed="9"/>
      <name val="Arial"/>
    </font>
    <font>
      <sz val="12"/>
      <name val="Arial"/>
    </font>
    <font>
      <b/>
      <sz val="14"/>
      <color indexed="9"/>
      <name val="Arial"/>
    </font>
    <font>
      <b/>
      <sz val="12"/>
      <color theme="1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4"/>
      <color indexed="63"/>
      <name val="Arial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4">
    <xf numFmtId="0" fontId="0" fillId="0" borderId="0"/>
    <xf numFmtId="165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1" applyAlignment="0"/>
    <xf numFmtId="0" fontId="3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1">
    <xf numFmtId="0" fontId="0" fillId="0" borderId="0" xfId="0"/>
    <xf numFmtId="0" fontId="4" fillId="2" borderId="0" xfId="0" applyFont="1" applyFill="1" applyBorder="1" applyAlignment="1">
      <alignment horizontal="left"/>
    </xf>
    <xf numFmtId="165" fontId="4" fillId="2" borderId="0" xfId="3" applyFont="1" applyFill="1" applyAlignment="1"/>
    <xf numFmtId="0" fontId="5" fillId="0" borderId="0" xfId="0" applyFont="1"/>
    <xf numFmtId="0" fontId="4" fillId="2" borderId="0" xfId="0" applyFont="1" applyFill="1" applyAlignment="1">
      <alignment horizontal="left"/>
    </xf>
    <xf numFmtId="165" fontId="5" fillId="2" borderId="0" xfId="3" applyFont="1" applyFill="1" applyAlignment="1"/>
    <xf numFmtId="0" fontId="5" fillId="3" borderId="0" xfId="0" applyFont="1" applyFill="1"/>
    <xf numFmtId="168" fontId="5" fillId="3" borderId="0" xfId="0" applyNumberFormat="1" applyFont="1" applyFill="1"/>
    <xf numFmtId="168" fontId="5" fillId="3" borderId="0" xfId="0" applyNumberFormat="1" applyFont="1" applyFill="1" applyBorder="1"/>
    <xf numFmtId="170" fontId="4" fillId="3" borderId="0" xfId="2" applyNumberFormat="1" applyFont="1" applyFill="1" applyBorder="1" applyAlignment="1">
      <alignment horizontal="right"/>
    </xf>
    <xf numFmtId="0" fontId="5" fillId="3" borderId="0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165" fontId="4" fillId="2" borderId="0" xfId="3" applyFont="1" applyFill="1" applyAlignment="1">
      <alignment horizontal="left" vertical="top"/>
    </xf>
    <xf numFmtId="0" fontId="7" fillId="3" borderId="0" xfId="0" applyFont="1" applyFill="1" applyBorder="1"/>
    <xf numFmtId="0" fontId="7" fillId="3" borderId="0" xfId="0" applyFont="1" applyFill="1"/>
    <xf numFmtId="169" fontId="5" fillId="0" borderId="4" xfId="0" applyNumberFormat="1" applyFont="1" applyBorder="1"/>
    <xf numFmtId="0" fontId="5" fillId="0" borderId="2" xfId="0" applyFont="1" applyBorder="1" applyAlignment="1">
      <alignment vertical="center"/>
    </xf>
    <xf numFmtId="170" fontId="5" fillId="0" borderId="6" xfId="2" applyNumberFormat="1" applyFont="1" applyFill="1" applyBorder="1" applyAlignment="1">
      <alignment vertical="center"/>
    </xf>
    <xf numFmtId="169" fontId="5" fillId="0" borderId="7" xfId="6" applyNumberFormat="1" applyFont="1" applyFill="1" applyBorder="1" applyAlignment="1">
      <alignment horizontal="right"/>
    </xf>
    <xf numFmtId="0" fontId="4" fillId="2" borderId="0" xfId="0" applyFont="1" applyFill="1" applyAlignment="1">
      <alignment vertical="top"/>
    </xf>
    <xf numFmtId="164" fontId="5" fillId="2" borderId="0" xfId="7" applyFont="1" applyFill="1" applyAlignment="1">
      <alignment vertical="top"/>
    </xf>
    <xf numFmtId="170" fontId="12" fillId="0" borderId="0" xfId="2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Fill="1" applyAlignment="1">
      <alignment horizontal="left" indent="5"/>
    </xf>
    <xf numFmtId="0" fontId="5" fillId="0" borderId="0" xfId="0" applyFont="1" applyAlignment="1">
      <alignment vertical="center"/>
    </xf>
    <xf numFmtId="0" fontId="5" fillId="0" borderId="8" xfId="0" applyFont="1" applyFill="1" applyBorder="1" applyAlignment="1">
      <alignment vertical="center"/>
    </xf>
    <xf numFmtId="165" fontId="5" fillId="0" borderId="8" xfId="3" applyFont="1" applyFill="1" applyBorder="1" applyAlignment="1">
      <alignment horizontal="right" vertical="center"/>
    </xf>
    <xf numFmtId="171" fontId="9" fillId="0" borderId="8" xfId="3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/>
    </xf>
    <xf numFmtId="165" fontId="5" fillId="0" borderId="0" xfId="3" applyFont="1" applyFill="1" applyBorder="1" applyAlignment="1">
      <alignment horizontal="center" vertical="center"/>
    </xf>
    <xf numFmtId="171" fontId="9" fillId="0" borderId="0" xfId="3" applyNumberFormat="1" applyFont="1" applyFill="1" applyBorder="1" applyAlignment="1">
      <alignment vertical="center"/>
    </xf>
    <xf numFmtId="171" fontId="5" fillId="0" borderId="0" xfId="3" applyNumberFormat="1" applyFont="1" applyFill="1" applyBorder="1" applyAlignment="1">
      <alignment vertical="center"/>
    </xf>
    <xf numFmtId="171" fontId="5" fillId="0" borderId="8" xfId="3" applyNumberFormat="1" applyFont="1" applyFill="1" applyBorder="1" applyAlignment="1">
      <alignment vertical="center"/>
    </xf>
    <xf numFmtId="165" fontId="8" fillId="5" borderId="8" xfId="3" applyFont="1" applyFill="1" applyBorder="1" applyAlignment="1">
      <alignment horizontal="center"/>
    </xf>
    <xf numFmtId="171" fontId="8" fillId="3" borderId="8" xfId="3" applyNumberFormat="1" applyFont="1" applyFill="1" applyBorder="1" applyAlignment="1">
      <alignment vertical="center"/>
    </xf>
    <xf numFmtId="165" fontId="5" fillId="3" borderId="8" xfId="3" applyFont="1" applyFill="1" applyBorder="1" applyAlignment="1">
      <alignment horizontal="right" vertical="center"/>
    </xf>
    <xf numFmtId="0" fontId="5" fillId="3" borderId="8" xfId="0" applyFont="1" applyFill="1" applyBorder="1" applyAlignment="1">
      <alignment vertical="center"/>
    </xf>
    <xf numFmtId="165" fontId="8" fillId="6" borderId="8" xfId="3" applyFont="1" applyFill="1" applyBorder="1" applyAlignment="1">
      <alignment horizontal="center"/>
    </xf>
    <xf numFmtId="171" fontId="8" fillId="0" borderId="8" xfId="3" applyNumberFormat="1" applyFont="1" applyFill="1" applyBorder="1" applyAlignment="1">
      <alignment vertical="center"/>
    </xf>
    <xf numFmtId="14" fontId="8" fillId="3" borderId="0" xfId="3" applyNumberFormat="1" applyFont="1" applyFill="1" applyAlignment="1"/>
    <xf numFmtId="0" fontId="5" fillId="7" borderId="8" xfId="0" applyFont="1" applyFill="1" applyBorder="1" applyAlignment="1">
      <alignment vertical="center"/>
    </xf>
    <xf numFmtId="165" fontId="5" fillId="7" borderId="8" xfId="3" applyFont="1" applyFill="1" applyBorder="1" applyAlignment="1">
      <alignment horizontal="right" vertical="center"/>
    </xf>
    <xf numFmtId="171" fontId="8" fillId="7" borderId="8" xfId="3" applyNumberFormat="1" applyFont="1" applyFill="1" applyBorder="1" applyAlignment="1">
      <alignment vertical="center"/>
    </xf>
    <xf numFmtId="3" fontId="16" fillId="4" borderId="8" xfId="10" applyNumberFormat="1" applyFont="1" applyFill="1" applyBorder="1" applyAlignment="1">
      <alignment horizontal="left" vertical="center"/>
    </xf>
    <xf numFmtId="165" fontId="14" fillId="4" borderId="8" xfId="3" applyFont="1" applyFill="1" applyBorder="1" applyAlignment="1">
      <alignment horizontal="center" vertical="center"/>
    </xf>
    <xf numFmtId="3" fontId="17" fillId="5" borderId="8" xfId="10" applyNumberFormat="1" applyFont="1" applyFill="1" applyBorder="1" applyAlignment="1">
      <alignment horizontal="left"/>
    </xf>
    <xf numFmtId="0" fontId="5" fillId="3" borderId="8" xfId="0" applyFont="1" applyFill="1" applyBorder="1" applyAlignment="1">
      <alignment vertical="center" wrapText="1"/>
    </xf>
    <xf numFmtId="171" fontId="5" fillId="3" borderId="8" xfId="3" applyNumberFormat="1" applyFont="1" applyFill="1" applyBorder="1" applyAlignment="1">
      <alignment vertical="center"/>
    </xf>
    <xf numFmtId="0" fontId="5" fillId="7" borderId="8" xfId="0" applyFont="1" applyFill="1" applyBorder="1" applyAlignment="1">
      <alignment vertical="center" wrapText="1"/>
    </xf>
    <xf numFmtId="171" fontId="5" fillId="7" borderId="8" xfId="3" applyNumberFormat="1" applyFont="1" applyFill="1" applyBorder="1" applyAlignment="1">
      <alignment vertical="center"/>
    </xf>
    <xf numFmtId="0" fontId="5" fillId="0" borderId="8" xfId="0" applyFont="1" applyFill="1" applyBorder="1" applyAlignment="1">
      <alignment vertical="center" wrapText="1"/>
    </xf>
    <xf numFmtId="3" fontId="17" fillId="6" borderId="8" xfId="10" applyNumberFormat="1" applyFont="1" applyFill="1" applyBorder="1" applyAlignment="1">
      <alignment horizontal="left"/>
    </xf>
    <xf numFmtId="0" fontId="20" fillId="0" borderId="8" xfId="0" applyNumberFormat="1" applyFont="1" applyFill="1" applyBorder="1" applyAlignment="1" applyProtection="1">
      <alignment horizontal="left"/>
      <protection locked="0"/>
    </xf>
    <xf numFmtId="0" fontId="20" fillId="3" borderId="8" xfId="0" applyNumberFormat="1" applyFont="1" applyFill="1" applyBorder="1" applyAlignment="1" applyProtection="1">
      <alignment horizontal="left"/>
      <protection locked="0"/>
    </xf>
    <xf numFmtId="171" fontId="5" fillId="3" borderId="8" xfId="3" applyNumberFormat="1" applyFont="1" applyFill="1" applyBorder="1" applyAlignment="1">
      <alignment horizontal="center" vertical="center"/>
    </xf>
    <xf numFmtId="171" fontId="9" fillId="3" borderId="8" xfId="3" applyNumberFormat="1" applyFont="1" applyFill="1" applyBorder="1" applyAlignment="1">
      <alignment vertical="center"/>
    </xf>
    <xf numFmtId="171" fontId="5" fillId="0" borderId="8" xfId="3" applyNumberFormat="1" applyFont="1" applyFill="1" applyBorder="1" applyAlignment="1">
      <alignment horizontal="center" vertical="center"/>
    </xf>
    <xf numFmtId="0" fontId="5" fillId="3" borderId="2" xfId="0" applyFont="1" applyFill="1" applyBorder="1"/>
    <xf numFmtId="164" fontId="5" fillId="3" borderId="4" xfId="7" applyFont="1" applyFill="1" applyBorder="1"/>
    <xf numFmtId="0" fontId="5" fillId="3" borderId="3" xfId="0" applyFont="1" applyFill="1" applyBorder="1"/>
    <xf numFmtId="169" fontId="5" fillId="3" borderId="5" xfId="0" applyNumberFormat="1" applyFont="1" applyFill="1" applyBorder="1"/>
    <xf numFmtId="0" fontId="5" fillId="3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71" fontId="5" fillId="0" borderId="0" xfId="0" applyNumberFormat="1" applyFont="1"/>
    <xf numFmtId="171" fontId="5" fillId="3" borderId="0" xfId="0" applyNumberFormat="1" applyFont="1" applyFill="1" applyBorder="1" applyAlignment="1">
      <alignment horizontal="right"/>
    </xf>
    <xf numFmtId="171" fontId="5" fillId="3" borderId="0" xfId="0" applyNumberFormat="1" applyFont="1" applyFill="1"/>
    <xf numFmtId="0" fontId="21" fillId="0" borderId="0" xfId="0" applyFont="1" applyAlignment="1">
      <alignment horizontal="center"/>
    </xf>
    <xf numFmtId="0" fontId="21" fillId="0" borderId="0" xfId="0" applyFont="1"/>
    <xf numFmtId="0" fontId="5" fillId="0" borderId="8" xfId="0" applyFont="1" applyBorder="1"/>
    <xf numFmtId="6" fontId="5" fillId="0" borderId="8" xfId="0" applyNumberFormat="1" applyFont="1" applyBorder="1"/>
  </cellXfs>
  <cellStyles count="114">
    <cellStyle name="Comma [0] 2" xfId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Millares" xfId="2" builtinId="3"/>
    <cellStyle name="Millares [0]" xfId="3" builtinId="6"/>
    <cellStyle name="Millares [0] 2" xfId="4"/>
    <cellStyle name="Millares 2" xfId="5"/>
    <cellStyle name="Moneda" xfId="6" builtinId="4"/>
    <cellStyle name="Moneda [0]" xfId="7" builtinId="7"/>
    <cellStyle name="Moneda 2" xfId="8"/>
    <cellStyle name="Normal" xfId="0" builtinId="0"/>
    <cellStyle name="Normal 2" xfId="11"/>
    <cellStyle name="Porcentual 2" xfId="9"/>
    <cellStyle name="Título columna" xfId="1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1282874</xdr:colOff>
      <xdr:row>2</xdr:row>
      <xdr:rowOff>413528</xdr:rowOff>
    </xdr:to>
    <xdr:pic>
      <xdr:nvPicPr>
        <xdr:cNvPr id="2" name="bba73f69-9dfa-44d3-9af2-e64a9d4338c6" descr="F53F0D0E-9DF3-4D5A-B35C-BB04F17C406B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1187624" cy="102947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1282874</xdr:colOff>
      <xdr:row>2</xdr:row>
      <xdr:rowOff>413528</xdr:rowOff>
    </xdr:to>
    <xdr:pic>
      <xdr:nvPicPr>
        <xdr:cNvPr id="2" name="bba73f69-9dfa-44d3-9af2-e64a9d4338c6" descr="F53F0D0E-9DF3-4D5A-B35C-BB04F17C406B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1187624" cy="104217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1282874</xdr:colOff>
      <xdr:row>2</xdr:row>
      <xdr:rowOff>413528</xdr:rowOff>
    </xdr:to>
    <xdr:pic>
      <xdr:nvPicPr>
        <xdr:cNvPr id="2" name="bba73f69-9dfa-44d3-9af2-e64a9d4338c6" descr="F53F0D0E-9DF3-4D5A-B35C-BB04F17C406B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250" y="95250"/>
          <a:ext cx="1187624" cy="104217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theme="6" tint="-0.249977111117893"/>
  </sheetPr>
  <dimension ref="A1:Q124"/>
  <sheetViews>
    <sheetView showGridLines="0" tabSelected="1" topLeftCell="D71" zoomScale="110" zoomScaleNormal="110" zoomScalePageLayoutView="110" workbookViewId="0">
      <selection activeCell="K43" sqref="K43"/>
    </sheetView>
  </sheetViews>
  <sheetFormatPr baseColWidth="10" defaultRowHeight="18" x14ac:dyDescent="0.2"/>
  <cols>
    <col min="1" max="1" width="45.83203125" style="3" customWidth="1"/>
    <col min="2" max="2" width="10.5" style="3" bestFit="1" customWidth="1"/>
    <col min="3" max="3" width="7.1640625" style="3" bestFit="1" customWidth="1"/>
    <col min="4" max="4" width="18.83203125" style="3" bestFit="1" customWidth="1"/>
    <col min="5" max="5" width="18.1640625" style="3" customWidth="1"/>
    <col min="6" max="6" width="10.83203125" style="3"/>
    <col min="7" max="7" width="6.33203125" style="3" customWidth="1"/>
    <col min="8" max="8" width="7.1640625" style="3" bestFit="1" customWidth="1"/>
    <col min="9" max="9" width="16.33203125" style="3" customWidth="1"/>
    <col min="10" max="10" width="15.83203125" style="3" customWidth="1"/>
    <col min="11" max="11" width="10.83203125" style="3"/>
    <col min="12" max="12" width="7.5" style="3" customWidth="1"/>
    <col min="13" max="13" width="7.1640625" style="3" bestFit="1" customWidth="1"/>
    <col min="14" max="14" width="14.33203125" style="3" customWidth="1"/>
    <col min="15" max="15" width="17.1640625" style="3" customWidth="1"/>
    <col min="16" max="16384" width="10.83203125" style="3"/>
  </cols>
  <sheetData>
    <row r="1" spans="1:15" ht="39" customHeight="1" x14ac:dyDescent="0.2">
      <c r="A1" s="63" t="s">
        <v>9</v>
      </c>
      <c r="B1" s="63"/>
      <c r="C1" s="63"/>
      <c r="D1" s="21"/>
      <c r="I1" s="21"/>
      <c r="N1" s="21"/>
    </row>
    <row r="3" spans="1:15" ht="33" customHeight="1" x14ac:dyDescent="0.25">
      <c r="I3" s="67" t="s">
        <v>107</v>
      </c>
      <c r="N3" s="68" t="s">
        <v>108</v>
      </c>
    </row>
    <row r="4" spans="1:15" ht="20" customHeight="1" x14ac:dyDescent="0.2">
      <c r="A4" s="23" t="s">
        <v>16</v>
      </c>
    </row>
    <row r="5" spans="1:15" x14ac:dyDescent="0.2">
      <c r="A5" s="1" t="s">
        <v>10</v>
      </c>
      <c r="D5" s="2" t="s">
        <v>0</v>
      </c>
      <c r="E5" s="40" t="s">
        <v>59</v>
      </c>
      <c r="I5" s="2" t="s">
        <v>0</v>
      </c>
      <c r="J5" s="40" t="s">
        <v>59</v>
      </c>
      <c r="N5" s="2" t="s">
        <v>0</v>
      </c>
      <c r="O5" s="40" t="s">
        <v>59</v>
      </c>
    </row>
    <row r="6" spans="1:15" x14ac:dyDescent="0.2">
      <c r="A6" s="4" t="s">
        <v>47</v>
      </c>
      <c r="D6" s="12" t="s">
        <v>1</v>
      </c>
      <c r="E6" s="5">
        <v>100</v>
      </c>
      <c r="I6" s="12" t="s">
        <v>1</v>
      </c>
      <c r="J6" s="5">
        <v>100</v>
      </c>
      <c r="N6" s="12" t="s">
        <v>1</v>
      </c>
      <c r="O6" s="5">
        <v>100</v>
      </c>
    </row>
    <row r="7" spans="1:15" x14ac:dyDescent="0.2">
      <c r="A7" s="4" t="s">
        <v>17</v>
      </c>
      <c r="D7" s="19" t="s">
        <v>13</v>
      </c>
      <c r="E7" s="20"/>
      <c r="I7" s="19" t="s">
        <v>13</v>
      </c>
      <c r="J7" s="20"/>
      <c r="N7" s="19" t="s">
        <v>13</v>
      </c>
      <c r="O7" s="20"/>
    </row>
    <row r="8" spans="1:15" x14ac:dyDescent="0.2">
      <c r="A8" s="4"/>
      <c r="D8" s="19"/>
      <c r="E8" s="20"/>
      <c r="I8" s="19"/>
      <c r="J8" s="20"/>
      <c r="N8" s="19"/>
      <c r="O8" s="20"/>
    </row>
    <row r="9" spans="1:15" x14ac:dyDescent="0.2">
      <c r="A9" s="4"/>
      <c r="D9" s="19"/>
      <c r="E9" s="20"/>
      <c r="I9" s="19"/>
      <c r="J9" s="20"/>
      <c r="N9" s="19"/>
      <c r="O9" s="20"/>
    </row>
    <row r="10" spans="1:15" s="22" customFormat="1" ht="19" customHeight="1" x14ac:dyDescent="0.15">
      <c r="A10" s="44" t="s">
        <v>46</v>
      </c>
      <c r="B10" s="45" t="s">
        <v>4</v>
      </c>
      <c r="C10" s="45" t="s">
        <v>5</v>
      </c>
      <c r="D10" s="45" t="s">
        <v>3</v>
      </c>
      <c r="E10" s="45" t="s">
        <v>2</v>
      </c>
      <c r="G10" s="45" t="s">
        <v>4</v>
      </c>
      <c r="H10" s="45" t="s">
        <v>5</v>
      </c>
      <c r="I10" s="45" t="s">
        <v>3</v>
      </c>
      <c r="J10" s="45" t="s">
        <v>2</v>
      </c>
      <c r="L10" s="45" t="s">
        <v>4</v>
      </c>
      <c r="M10" s="45" t="s">
        <v>5</v>
      </c>
      <c r="N10" s="45" t="s">
        <v>3</v>
      </c>
      <c r="O10" s="45" t="s">
        <v>2</v>
      </c>
    </row>
    <row r="11" spans="1:15" x14ac:dyDescent="0.2">
      <c r="A11" s="46" t="s">
        <v>11</v>
      </c>
      <c r="B11" s="34"/>
      <c r="C11" s="34"/>
      <c r="D11" s="34"/>
      <c r="E11" s="34"/>
      <c r="G11" s="34"/>
      <c r="H11" s="34"/>
      <c r="I11" s="34"/>
      <c r="J11" s="34"/>
      <c r="L11" s="34"/>
      <c r="M11" s="34"/>
      <c r="N11" s="34"/>
      <c r="O11" s="34"/>
    </row>
    <row r="12" spans="1:15" x14ac:dyDescent="0.2">
      <c r="A12" s="47" t="s">
        <v>78</v>
      </c>
      <c r="B12" s="37">
        <v>2</v>
      </c>
      <c r="C12" s="36">
        <v>2</v>
      </c>
      <c r="D12" s="35">
        <v>170000</v>
      </c>
      <c r="E12" s="48" t="s">
        <v>106</v>
      </c>
      <c r="G12" s="37">
        <v>2</v>
      </c>
      <c r="H12" s="36">
        <v>2</v>
      </c>
      <c r="I12" s="35">
        <v>285000</v>
      </c>
      <c r="J12" s="48" t="s">
        <v>106</v>
      </c>
      <c r="L12" s="37">
        <v>4</v>
      </c>
      <c r="M12" s="36">
        <v>2</v>
      </c>
      <c r="N12" s="35">
        <v>290000</v>
      </c>
      <c r="O12" s="48" t="s">
        <v>106</v>
      </c>
    </row>
    <row r="13" spans="1:15" x14ac:dyDescent="0.2">
      <c r="A13" s="47" t="s">
        <v>45</v>
      </c>
      <c r="B13" s="37">
        <v>1</v>
      </c>
      <c r="C13" s="36">
        <v>1</v>
      </c>
      <c r="D13" s="35">
        <v>27777</v>
      </c>
      <c r="E13" s="48" t="s">
        <v>106</v>
      </c>
      <c r="G13" s="37">
        <v>1</v>
      </c>
      <c r="H13" s="36">
        <v>1</v>
      </c>
      <c r="I13" s="35">
        <v>27777</v>
      </c>
      <c r="J13" s="48" t="s">
        <v>106</v>
      </c>
      <c r="L13" s="37">
        <v>1</v>
      </c>
      <c r="M13" s="36">
        <v>1</v>
      </c>
      <c r="N13" s="35">
        <v>27777</v>
      </c>
      <c r="O13" s="48" t="s">
        <v>106</v>
      </c>
    </row>
    <row r="14" spans="1:15" x14ac:dyDescent="0.2">
      <c r="A14" s="49" t="s">
        <v>61</v>
      </c>
      <c r="B14" s="41">
        <v>100</v>
      </c>
      <c r="C14" s="42">
        <v>0</v>
      </c>
      <c r="D14" s="43">
        <v>500</v>
      </c>
      <c r="E14" s="50" t="s">
        <v>106</v>
      </c>
      <c r="G14" s="41">
        <v>100</v>
      </c>
      <c r="H14" s="42">
        <v>0</v>
      </c>
      <c r="I14" s="43">
        <v>500</v>
      </c>
      <c r="J14" s="50" t="s">
        <v>106</v>
      </c>
      <c r="L14" s="41">
        <v>100</v>
      </c>
      <c r="M14" s="42">
        <v>0</v>
      </c>
      <c r="N14" s="43">
        <v>500</v>
      </c>
      <c r="O14" s="50" t="s">
        <v>106</v>
      </c>
    </row>
    <row r="15" spans="1:15" x14ac:dyDescent="0.2">
      <c r="A15" s="46" t="s">
        <v>18</v>
      </c>
      <c r="B15" s="34"/>
      <c r="C15" s="34"/>
      <c r="D15" s="34"/>
      <c r="E15" s="34"/>
      <c r="G15" s="34"/>
      <c r="H15" s="34"/>
      <c r="I15" s="34"/>
      <c r="J15" s="34"/>
      <c r="L15" s="34"/>
      <c r="M15" s="34"/>
      <c r="N15" s="34"/>
      <c r="O15" s="34"/>
    </row>
    <row r="16" spans="1:15" x14ac:dyDescent="0.2">
      <c r="A16" s="51" t="s">
        <v>44</v>
      </c>
      <c r="B16" s="25">
        <v>35</v>
      </c>
      <c r="C16" s="26">
        <v>1</v>
      </c>
      <c r="D16" s="39">
        <v>78000</v>
      </c>
      <c r="E16" s="33">
        <f>B16*C16*D16</f>
        <v>2730000</v>
      </c>
      <c r="G16" s="25">
        <v>10</v>
      </c>
      <c r="H16" s="26">
        <v>1</v>
      </c>
      <c r="I16" s="39">
        <v>78900</v>
      </c>
      <c r="J16" s="33">
        <f>G16*H16*I16</f>
        <v>789000</v>
      </c>
      <c r="L16" s="25">
        <v>30</v>
      </c>
      <c r="M16" s="26">
        <v>1</v>
      </c>
      <c r="N16" s="39">
        <v>99000</v>
      </c>
      <c r="O16" s="33">
        <f>L16*M16*N16</f>
        <v>2970000</v>
      </c>
    </row>
    <row r="17" spans="1:15" x14ac:dyDescent="0.2">
      <c r="A17" s="51" t="s">
        <v>43</v>
      </c>
      <c r="B17" s="25">
        <v>30</v>
      </c>
      <c r="C17" s="26">
        <v>1</v>
      </c>
      <c r="D17" s="39">
        <v>91260</v>
      </c>
      <c r="E17" s="33">
        <f>B17*C17*D17</f>
        <v>2737800</v>
      </c>
      <c r="G17" s="25">
        <v>45</v>
      </c>
      <c r="H17" s="26">
        <v>1</v>
      </c>
      <c r="I17" s="39">
        <v>84900</v>
      </c>
      <c r="J17" s="33">
        <f>G17*H17*I17</f>
        <v>3820500</v>
      </c>
      <c r="L17" s="25">
        <v>35</v>
      </c>
      <c r="M17" s="26">
        <v>1</v>
      </c>
      <c r="N17" s="39">
        <v>113500</v>
      </c>
      <c r="O17" s="33">
        <f>L17*M17*N17</f>
        <v>3972500</v>
      </c>
    </row>
    <row r="18" spans="1:15" x14ac:dyDescent="0.2">
      <c r="A18" s="51" t="s">
        <v>53</v>
      </c>
      <c r="B18" s="25">
        <v>3</v>
      </c>
      <c r="C18" s="26">
        <v>1</v>
      </c>
      <c r="D18" s="39">
        <v>78000</v>
      </c>
      <c r="E18" s="33">
        <f>B18*C18*D18</f>
        <v>234000</v>
      </c>
      <c r="G18" s="25">
        <v>6</v>
      </c>
      <c r="H18" s="26">
        <v>1</v>
      </c>
      <c r="I18" s="39">
        <v>84900</v>
      </c>
      <c r="J18" s="33">
        <f>G18*H18*I18</f>
        <v>509400</v>
      </c>
      <c r="L18" s="25">
        <v>3</v>
      </c>
      <c r="M18" s="26">
        <v>1</v>
      </c>
      <c r="N18" s="39">
        <v>50000</v>
      </c>
      <c r="O18" s="33">
        <f>L18*M18*N18</f>
        <v>150000</v>
      </c>
    </row>
    <row r="19" spans="1:15" x14ac:dyDescent="0.2">
      <c r="A19" s="46" t="s">
        <v>21</v>
      </c>
      <c r="B19" s="34"/>
      <c r="C19" s="34"/>
      <c r="D19" s="34"/>
      <c r="E19" s="34"/>
      <c r="G19" s="34"/>
      <c r="H19" s="34"/>
      <c r="I19" s="34"/>
      <c r="J19" s="34"/>
      <c r="L19" s="34"/>
      <c r="M19" s="34"/>
      <c r="N19" s="34"/>
      <c r="O19" s="34"/>
    </row>
    <row r="20" spans="1:15" x14ac:dyDescent="0.2">
      <c r="A20" s="51" t="s">
        <v>75</v>
      </c>
      <c r="B20" s="25">
        <v>1</v>
      </c>
      <c r="C20" s="26">
        <v>2</v>
      </c>
      <c r="D20" s="39">
        <v>720000</v>
      </c>
      <c r="E20" s="33">
        <f>B20*C20*D20</f>
        <v>1440000</v>
      </c>
      <c r="G20" s="25">
        <v>1</v>
      </c>
      <c r="H20" s="26">
        <v>2</v>
      </c>
      <c r="I20" s="39">
        <v>340000</v>
      </c>
      <c r="J20" s="33">
        <f>G20*H20*I20</f>
        <v>680000</v>
      </c>
      <c r="L20" s="25">
        <v>1</v>
      </c>
      <c r="M20" s="26">
        <v>2</v>
      </c>
      <c r="N20" s="39">
        <v>300000</v>
      </c>
      <c r="O20" s="33">
        <f>L20*M20*N20</f>
        <v>600000</v>
      </c>
    </row>
    <row r="21" spans="1:15" x14ac:dyDescent="0.2">
      <c r="A21" s="47" t="s">
        <v>67</v>
      </c>
      <c r="B21" s="37">
        <v>1</v>
      </c>
      <c r="C21" s="36">
        <v>1</v>
      </c>
      <c r="D21" s="35">
        <v>600000</v>
      </c>
      <c r="E21" s="48">
        <f>B21*C21*D21</f>
        <v>600000</v>
      </c>
      <c r="G21" s="37">
        <v>1</v>
      </c>
      <c r="H21" s="36">
        <v>1</v>
      </c>
      <c r="I21" s="35">
        <v>300000</v>
      </c>
      <c r="J21" s="48">
        <f>G21*H21*I21</f>
        <v>300000</v>
      </c>
      <c r="L21" s="25">
        <v>1</v>
      </c>
      <c r="M21" s="26">
        <v>1</v>
      </c>
      <c r="N21" s="39">
        <v>400000</v>
      </c>
      <c r="O21" s="33">
        <f>L21*M21*N21</f>
        <v>400000</v>
      </c>
    </row>
    <row r="22" spans="1:15" x14ac:dyDescent="0.2">
      <c r="A22" s="51" t="s">
        <v>65</v>
      </c>
      <c r="B22" s="25">
        <v>1</v>
      </c>
      <c r="C22" s="26">
        <v>0</v>
      </c>
      <c r="D22" s="39">
        <v>250000</v>
      </c>
      <c r="E22" s="33">
        <f>B22*C22*D22</f>
        <v>0</v>
      </c>
      <c r="G22" s="41">
        <v>0</v>
      </c>
      <c r="H22" s="42">
        <v>2</v>
      </c>
      <c r="I22" s="43">
        <v>15000</v>
      </c>
      <c r="J22" s="50">
        <f>G22*H22*I22</f>
        <v>0</v>
      </c>
      <c r="L22" s="37">
        <v>1</v>
      </c>
      <c r="M22" s="36">
        <v>1</v>
      </c>
      <c r="N22" s="35">
        <v>300000</v>
      </c>
      <c r="O22" s="48">
        <f>L22*M22*N22</f>
        <v>300000</v>
      </c>
    </row>
    <row r="23" spans="1:15" x14ac:dyDescent="0.2">
      <c r="A23" s="49" t="s">
        <v>22</v>
      </c>
      <c r="B23" s="41">
        <v>0</v>
      </c>
      <c r="C23" s="42">
        <v>2</v>
      </c>
      <c r="D23" s="43">
        <v>15000</v>
      </c>
      <c r="E23" s="50">
        <f>B23*C23*D23</f>
        <v>0</v>
      </c>
      <c r="G23" s="34"/>
      <c r="H23" s="34"/>
      <c r="I23" s="34"/>
      <c r="J23" s="34"/>
      <c r="L23" s="41">
        <v>0</v>
      </c>
      <c r="M23" s="42">
        <v>2</v>
      </c>
      <c r="N23" s="43">
        <v>15000</v>
      </c>
      <c r="O23" s="50">
        <f>L23*M23*N23</f>
        <v>0</v>
      </c>
    </row>
    <row r="24" spans="1:15" x14ac:dyDescent="0.2">
      <c r="A24" s="46" t="s">
        <v>79</v>
      </c>
      <c r="B24" s="34"/>
      <c r="C24" s="34"/>
      <c r="D24" s="34"/>
      <c r="E24" s="34"/>
      <c r="G24" s="25">
        <v>1</v>
      </c>
      <c r="H24" s="26">
        <v>1</v>
      </c>
      <c r="I24" s="39">
        <v>0</v>
      </c>
      <c r="J24" s="57" t="s">
        <v>106</v>
      </c>
      <c r="L24" s="34"/>
      <c r="M24" s="34"/>
      <c r="N24" s="34"/>
      <c r="O24" s="34"/>
    </row>
    <row r="25" spans="1:15" x14ac:dyDescent="0.2">
      <c r="A25" s="51" t="s">
        <v>81</v>
      </c>
      <c r="B25" s="25">
        <v>1</v>
      </c>
      <c r="C25" s="26">
        <v>1</v>
      </c>
      <c r="D25" s="39">
        <v>0</v>
      </c>
      <c r="E25" s="57" t="s">
        <v>106</v>
      </c>
      <c r="G25" s="37">
        <v>10</v>
      </c>
      <c r="H25" s="36">
        <v>1</v>
      </c>
      <c r="I25" s="35">
        <v>15000</v>
      </c>
      <c r="J25" s="48" t="s">
        <v>106</v>
      </c>
      <c r="L25" s="25">
        <v>1</v>
      </c>
      <c r="M25" s="26">
        <v>1</v>
      </c>
      <c r="N25" s="39">
        <v>0</v>
      </c>
      <c r="O25" s="57" t="s">
        <v>106</v>
      </c>
    </row>
    <row r="26" spans="1:15" x14ac:dyDescent="0.2">
      <c r="A26" s="47" t="s">
        <v>82</v>
      </c>
      <c r="B26" s="37">
        <v>10</v>
      </c>
      <c r="C26" s="36">
        <v>1</v>
      </c>
      <c r="D26" s="35">
        <v>15000</v>
      </c>
      <c r="E26" s="48" t="s">
        <v>106</v>
      </c>
      <c r="G26" s="25">
        <v>100</v>
      </c>
      <c r="H26" s="26">
        <v>1</v>
      </c>
      <c r="I26" s="39">
        <v>3800</v>
      </c>
      <c r="J26" s="33" t="s">
        <v>106</v>
      </c>
      <c r="L26" s="37">
        <v>10</v>
      </c>
      <c r="M26" s="36">
        <v>1</v>
      </c>
      <c r="N26" s="35">
        <v>15000</v>
      </c>
      <c r="O26" s="48" t="s">
        <v>106</v>
      </c>
    </row>
    <row r="27" spans="1:15" x14ac:dyDescent="0.2">
      <c r="A27" s="51" t="s">
        <v>83</v>
      </c>
      <c r="B27" s="25">
        <v>100</v>
      </c>
      <c r="C27" s="26">
        <v>1</v>
      </c>
      <c r="D27" s="39">
        <v>3800</v>
      </c>
      <c r="E27" s="33" t="s">
        <v>106</v>
      </c>
      <c r="G27" s="25">
        <v>100</v>
      </c>
      <c r="H27" s="26">
        <v>1</v>
      </c>
      <c r="I27" s="39">
        <v>1550</v>
      </c>
      <c r="J27" s="33" t="s">
        <v>106</v>
      </c>
      <c r="L27" s="25">
        <v>100</v>
      </c>
      <c r="M27" s="26">
        <v>1</v>
      </c>
      <c r="N27" s="39">
        <v>3800</v>
      </c>
      <c r="O27" s="33" t="s">
        <v>106</v>
      </c>
    </row>
    <row r="28" spans="1:15" x14ac:dyDescent="0.2">
      <c r="A28" s="51" t="s">
        <v>87</v>
      </c>
      <c r="B28" s="25">
        <v>100</v>
      </c>
      <c r="C28" s="26">
        <v>1</v>
      </c>
      <c r="D28" s="39">
        <v>1550</v>
      </c>
      <c r="E28" s="33" t="s">
        <v>106</v>
      </c>
      <c r="G28" s="34"/>
      <c r="H28" s="34"/>
      <c r="I28" s="34"/>
      <c r="J28" s="34" t="s">
        <v>106</v>
      </c>
      <c r="L28" s="25">
        <v>100</v>
      </c>
      <c r="M28" s="26">
        <v>1</v>
      </c>
      <c r="N28" s="39">
        <v>1550</v>
      </c>
      <c r="O28" s="33" t="s">
        <v>106</v>
      </c>
    </row>
    <row r="29" spans="1:15" x14ac:dyDescent="0.2">
      <c r="A29" s="46" t="s">
        <v>42</v>
      </c>
      <c r="B29" s="34"/>
      <c r="C29" s="34"/>
      <c r="D29" s="34"/>
      <c r="E29" s="34"/>
      <c r="G29" s="38"/>
      <c r="H29" s="38"/>
      <c r="I29" s="38"/>
      <c r="J29" s="38"/>
      <c r="L29" s="34"/>
      <c r="M29" s="34"/>
      <c r="N29" s="34"/>
      <c r="O29" s="34"/>
    </row>
    <row r="30" spans="1:15" x14ac:dyDescent="0.2">
      <c r="A30" s="52" t="s">
        <v>19</v>
      </c>
      <c r="B30" s="38"/>
      <c r="C30" s="38"/>
      <c r="D30" s="38"/>
      <c r="E30" s="38"/>
      <c r="G30" s="37">
        <v>100</v>
      </c>
      <c r="H30" s="36">
        <v>1</v>
      </c>
      <c r="I30" s="35">
        <v>6200</v>
      </c>
      <c r="J30" s="48">
        <f t="shared" ref="J30:J35" si="0">G30*H30*I30</f>
        <v>620000</v>
      </c>
      <c r="L30" s="38"/>
      <c r="M30" s="38"/>
      <c r="N30" s="38"/>
      <c r="O30" s="38"/>
    </row>
    <row r="31" spans="1:15" x14ac:dyDescent="0.2">
      <c r="A31" s="53" t="s">
        <v>41</v>
      </c>
      <c r="B31" s="25">
        <v>100</v>
      </c>
      <c r="C31" s="26">
        <v>1</v>
      </c>
      <c r="D31" s="39">
        <v>6200</v>
      </c>
      <c r="E31" s="33">
        <f t="shared" ref="E31:E39" si="1">B31*C31*D31</f>
        <v>620000</v>
      </c>
      <c r="G31" s="37">
        <v>100</v>
      </c>
      <c r="H31" s="36">
        <v>1</v>
      </c>
      <c r="I31" s="35">
        <v>3700</v>
      </c>
      <c r="J31" s="48">
        <f t="shared" si="0"/>
        <v>370000</v>
      </c>
      <c r="L31" s="25">
        <v>100</v>
      </c>
      <c r="M31" s="26">
        <v>1</v>
      </c>
      <c r="N31" s="39">
        <v>3950</v>
      </c>
      <c r="O31" s="33">
        <f t="shared" ref="O31:O39" si="2">L31*M31*N31</f>
        <v>395000</v>
      </c>
    </row>
    <row r="32" spans="1:15" x14ac:dyDescent="0.2">
      <c r="A32" s="53" t="s">
        <v>29</v>
      </c>
      <c r="B32" s="25">
        <v>100</v>
      </c>
      <c r="C32" s="26">
        <v>1</v>
      </c>
      <c r="D32" s="39">
        <v>3700</v>
      </c>
      <c r="E32" s="33">
        <f t="shared" si="1"/>
        <v>370000</v>
      </c>
      <c r="G32" s="37">
        <v>100</v>
      </c>
      <c r="H32" s="36">
        <v>1</v>
      </c>
      <c r="I32" s="35">
        <v>14900</v>
      </c>
      <c r="J32" s="48">
        <f t="shared" si="0"/>
        <v>1490000</v>
      </c>
      <c r="L32" s="25">
        <v>100</v>
      </c>
      <c r="M32" s="26">
        <v>1</v>
      </c>
      <c r="N32" s="39">
        <v>3950</v>
      </c>
      <c r="O32" s="33">
        <f t="shared" si="2"/>
        <v>395000</v>
      </c>
    </row>
    <row r="33" spans="1:17" x14ac:dyDescent="0.2">
      <c r="A33" s="53" t="s">
        <v>40</v>
      </c>
      <c r="B33" s="25">
        <v>100</v>
      </c>
      <c r="C33" s="26">
        <v>1</v>
      </c>
      <c r="D33" s="39">
        <v>18500</v>
      </c>
      <c r="E33" s="33">
        <f t="shared" si="1"/>
        <v>1850000</v>
      </c>
      <c r="G33" s="37">
        <v>100</v>
      </c>
      <c r="H33" s="36">
        <v>1</v>
      </c>
      <c r="I33" s="35">
        <v>6200</v>
      </c>
      <c r="J33" s="48">
        <f t="shared" si="0"/>
        <v>620000</v>
      </c>
      <c r="L33" s="25">
        <v>100</v>
      </c>
      <c r="M33" s="26">
        <v>1</v>
      </c>
      <c r="N33" s="39">
        <v>15000</v>
      </c>
      <c r="O33" s="33">
        <f t="shared" si="2"/>
        <v>1500000</v>
      </c>
    </row>
    <row r="34" spans="1:17" x14ac:dyDescent="0.2">
      <c r="A34" s="53" t="s">
        <v>76</v>
      </c>
      <c r="B34" s="25">
        <v>100</v>
      </c>
      <c r="C34" s="26">
        <v>1</v>
      </c>
      <c r="D34" s="39">
        <v>2900</v>
      </c>
      <c r="E34" s="33">
        <f t="shared" ref="E34" si="3">B34*C34*D34</f>
        <v>290000</v>
      </c>
      <c r="G34" s="37">
        <v>100</v>
      </c>
      <c r="H34" s="36">
        <v>1</v>
      </c>
      <c r="I34" s="35">
        <v>18000</v>
      </c>
      <c r="J34" s="48">
        <f t="shared" si="0"/>
        <v>1800000</v>
      </c>
      <c r="L34" s="25">
        <v>100</v>
      </c>
      <c r="M34" s="26">
        <v>1</v>
      </c>
      <c r="N34" s="39">
        <v>1500</v>
      </c>
      <c r="O34" s="33">
        <f t="shared" si="2"/>
        <v>150000</v>
      </c>
    </row>
    <row r="35" spans="1:17" x14ac:dyDescent="0.2">
      <c r="A35" s="53" t="s">
        <v>39</v>
      </c>
      <c r="B35" s="25">
        <v>100</v>
      </c>
      <c r="C35" s="26">
        <v>0</v>
      </c>
      <c r="D35" s="39">
        <v>4500</v>
      </c>
      <c r="E35" s="33">
        <f t="shared" si="1"/>
        <v>0</v>
      </c>
      <c r="G35" s="37">
        <v>100</v>
      </c>
      <c r="H35" s="36">
        <v>1</v>
      </c>
      <c r="I35" s="35">
        <v>10000</v>
      </c>
      <c r="J35" s="48">
        <f t="shared" si="0"/>
        <v>1000000</v>
      </c>
      <c r="L35" s="25">
        <v>100</v>
      </c>
      <c r="M35" s="26">
        <v>1</v>
      </c>
      <c r="N35" s="39">
        <v>3950</v>
      </c>
      <c r="O35" s="33">
        <f t="shared" si="2"/>
        <v>395000</v>
      </c>
    </row>
    <row r="36" spans="1:17" x14ac:dyDescent="0.2">
      <c r="A36" s="53" t="s">
        <v>20</v>
      </c>
      <c r="B36" s="25">
        <v>100</v>
      </c>
      <c r="C36" s="26">
        <v>1</v>
      </c>
      <c r="D36" s="39">
        <v>6200</v>
      </c>
      <c r="E36" s="33">
        <f t="shared" si="1"/>
        <v>620000</v>
      </c>
      <c r="G36" s="34"/>
      <c r="H36" s="34"/>
      <c r="I36" s="34"/>
      <c r="J36" s="34"/>
      <c r="L36" s="25">
        <v>100</v>
      </c>
      <c r="M36" s="26">
        <v>1</v>
      </c>
      <c r="N36" s="39">
        <v>15000</v>
      </c>
      <c r="O36" s="33">
        <f t="shared" si="2"/>
        <v>1500000</v>
      </c>
      <c r="P36" s="3" t="s">
        <v>106</v>
      </c>
      <c r="Q36" s="3" t="s">
        <v>106</v>
      </c>
    </row>
    <row r="37" spans="1:17" x14ac:dyDescent="0.2">
      <c r="A37" s="53" t="s">
        <v>38</v>
      </c>
      <c r="B37" s="25">
        <v>100</v>
      </c>
      <c r="C37" s="26">
        <v>1</v>
      </c>
      <c r="D37" s="39">
        <v>17700</v>
      </c>
      <c r="E37" s="33">
        <f t="shared" si="1"/>
        <v>1770000</v>
      </c>
      <c r="G37" s="38"/>
      <c r="H37" s="38"/>
      <c r="I37" s="38"/>
      <c r="J37" s="38"/>
      <c r="K37" s="3" t="s">
        <v>106</v>
      </c>
      <c r="L37" s="69">
        <v>1</v>
      </c>
      <c r="M37" s="69">
        <v>4</v>
      </c>
      <c r="N37" s="70">
        <v>150000</v>
      </c>
      <c r="O37" s="33">
        <f t="shared" si="2"/>
        <v>600000</v>
      </c>
      <c r="P37" s="3" t="s">
        <v>110</v>
      </c>
    </row>
    <row r="38" spans="1:17" x14ac:dyDescent="0.2">
      <c r="A38" s="53" t="s">
        <v>37</v>
      </c>
      <c r="B38" s="25">
        <v>100</v>
      </c>
      <c r="C38" s="26">
        <v>1</v>
      </c>
      <c r="D38" s="39">
        <v>4500</v>
      </c>
      <c r="E38" s="33">
        <f t="shared" si="1"/>
        <v>450000</v>
      </c>
      <c r="G38" s="37">
        <v>100</v>
      </c>
      <c r="H38" s="36">
        <v>1</v>
      </c>
      <c r="I38" s="35">
        <v>0</v>
      </c>
      <c r="J38" s="55" t="s">
        <v>34</v>
      </c>
      <c r="L38" s="69">
        <v>1</v>
      </c>
      <c r="M38" s="69">
        <v>1</v>
      </c>
      <c r="N38" s="70">
        <v>500000</v>
      </c>
      <c r="O38" s="33">
        <f t="shared" si="2"/>
        <v>500000</v>
      </c>
      <c r="P38" s="3" t="s">
        <v>109</v>
      </c>
    </row>
    <row r="39" spans="1:17" x14ac:dyDescent="0.2">
      <c r="A39" s="54" t="s">
        <v>74</v>
      </c>
      <c r="B39" s="25">
        <v>100</v>
      </c>
      <c r="C39" s="36">
        <v>1</v>
      </c>
      <c r="D39" s="35">
        <v>8900</v>
      </c>
      <c r="E39" s="48">
        <f t="shared" si="1"/>
        <v>890000</v>
      </c>
      <c r="G39" s="37">
        <v>100</v>
      </c>
      <c r="H39" s="36">
        <v>1</v>
      </c>
      <c r="I39" s="35">
        <v>6200</v>
      </c>
      <c r="J39" s="48">
        <f>G39*H39*I39</f>
        <v>620000</v>
      </c>
      <c r="L39" s="69">
        <v>150</v>
      </c>
      <c r="M39" s="69">
        <v>1</v>
      </c>
      <c r="N39" s="69">
        <v>3850</v>
      </c>
      <c r="O39" s="69">
        <f>L39*M39*N39</f>
        <v>577500</v>
      </c>
      <c r="P39" s="3" t="s">
        <v>111</v>
      </c>
    </row>
    <row r="40" spans="1:17" x14ac:dyDescent="0.2">
      <c r="A40" s="46" t="s">
        <v>36</v>
      </c>
      <c r="B40" s="34"/>
      <c r="C40" s="34"/>
      <c r="D40" s="34"/>
      <c r="E40" s="34"/>
      <c r="G40" s="37">
        <v>100</v>
      </c>
      <c r="H40" s="36">
        <v>1</v>
      </c>
      <c r="I40" s="35">
        <v>14900</v>
      </c>
      <c r="J40" s="48">
        <f t="shared" ref="J40" si="4">G40*H40*I40</f>
        <v>1490000</v>
      </c>
      <c r="L40" s="25">
        <v>100</v>
      </c>
      <c r="M40" s="26">
        <v>1</v>
      </c>
      <c r="N40" s="39">
        <v>1500</v>
      </c>
      <c r="O40" s="33">
        <f>L40*M40*N40</f>
        <v>150000</v>
      </c>
    </row>
    <row r="41" spans="1:17" x14ac:dyDescent="0.2">
      <c r="A41" s="52" t="s">
        <v>19</v>
      </c>
      <c r="B41" s="38"/>
      <c r="C41" s="38"/>
      <c r="D41" s="38"/>
      <c r="E41" s="38"/>
      <c r="G41" s="37">
        <v>100</v>
      </c>
      <c r="H41" s="36">
        <v>1</v>
      </c>
      <c r="I41" s="35">
        <v>6200</v>
      </c>
      <c r="J41" s="48">
        <f>G41*H41*I41</f>
        <v>620000</v>
      </c>
      <c r="L41" s="25">
        <v>100</v>
      </c>
      <c r="M41" s="36">
        <v>2</v>
      </c>
      <c r="N41" s="35">
        <v>3850</v>
      </c>
      <c r="O41" s="48">
        <f>L41*M41*N41</f>
        <v>770000</v>
      </c>
    </row>
    <row r="42" spans="1:17" x14ac:dyDescent="0.2">
      <c r="A42" s="54" t="s">
        <v>35</v>
      </c>
      <c r="B42" s="37">
        <v>100</v>
      </c>
      <c r="C42" s="36">
        <v>1</v>
      </c>
      <c r="D42" s="35">
        <v>0</v>
      </c>
      <c r="E42" s="55" t="s">
        <v>34</v>
      </c>
      <c r="G42" s="37">
        <v>100</v>
      </c>
      <c r="H42" s="36">
        <v>1</v>
      </c>
      <c r="I42" s="35">
        <v>2000</v>
      </c>
      <c r="J42" s="48">
        <f>G42*H42*I42</f>
        <v>200000</v>
      </c>
      <c r="L42" s="34"/>
      <c r="M42" s="34"/>
      <c r="N42" s="34"/>
      <c r="O42" s="34"/>
    </row>
    <row r="43" spans="1:17" s="24" customFormat="1" x14ac:dyDescent="0.2">
      <c r="A43" s="53" t="s">
        <v>29</v>
      </c>
      <c r="B43" s="37">
        <v>100</v>
      </c>
      <c r="C43" s="26">
        <v>1</v>
      </c>
      <c r="D43" s="39">
        <v>6200</v>
      </c>
      <c r="E43" s="33">
        <f>B43*C43*D43</f>
        <v>620000</v>
      </c>
      <c r="G43" s="34"/>
      <c r="H43" s="34"/>
      <c r="I43" s="34"/>
      <c r="J43" s="34"/>
      <c r="L43" s="38"/>
      <c r="M43" s="38"/>
      <c r="N43" s="38"/>
      <c r="O43" s="38"/>
    </row>
    <row r="44" spans="1:17" s="24" customFormat="1" x14ac:dyDescent="0.2">
      <c r="A44" s="53" t="s">
        <v>40</v>
      </c>
      <c r="B44" s="37">
        <v>100</v>
      </c>
      <c r="C44" s="26">
        <v>1</v>
      </c>
      <c r="D44" s="39">
        <v>18500</v>
      </c>
      <c r="E44" s="33">
        <f>B44*C44*D44</f>
        <v>1850000</v>
      </c>
      <c r="G44" s="37">
        <v>100</v>
      </c>
      <c r="H44" s="36">
        <v>1</v>
      </c>
      <c r="I44" s="56">
        <v>15500</v>
      </c>
      <c r="J44" s="48" t="s">
        <v>106</v>
      </c>
      <c r="L44" s="37">
        <v>100</v>
      </c>
      <c r="M44" s="36">
        <v>1</v>
      </c>
      <c r="N44" s="35">
        <v>0</v>
      </c>
      <c r="O44" s="55" t="s">
        <v>34</v>
      </c>
    </row>
    <row r="45" spans="1:17" x14ac:dyDescent="0.2">
      <c r="A45" s="53" t="s">
        <v>73</v>
      </c>
      <c r="B45" s="25">
        <v>100</v>
      </c>
      <c r="C45" s="26">
        <v>1</v>
      </c>
      <c r="D45" s="39">
        <v>2900</v>
      </c>
      <c r="E45" s="33">
        <f t="shared" ref="E45" si="5">B45*C45*D45</f>
        <v>290000</v>
      </c>
      <c r="G45" s="37">
        <v>100</v>
      </c>
      <c r="H45" s="36">
        <v>0</v>
      </c>
      <c r="I45" s="56">
        <v>4500</v>
      </c>
      <c r="J45" s="48" t="s">
        <v>106</v>
      </c>
      <c r="L45" s="25">
        <v>100</v>
      </c>
      <c r="M45" s="26">
        <v>1</v>
      </c>
      <c r="N45" s="39">
        <v>3950</v>
      </c>
      <c r="O45" s="33">
        <f t="shared" ref="O45:O47" si="6">L45*M45*N45</f>
        <v>395000</v>
      </c>
    </row>
    <row r="46" spans="1:17" s="24" customFormat="1" x14ac:dyDescent="0.2">
      <c r="A46" s="53" t="s">
        <v>39</v>
      </c>
      <c r="B46" s="37">
        <v>100</v>
      </c>
      <c r="C46" s="26">
        <v>0</v>
      </c>
      <c r="D46" s="39">
        <v>4500</v>
      </c>
      <c r="E46" s="33">
        <f>B46*C46*D46</f>
        <v>0</v>
      </c>
      <c r="G46" s="34"/>
      <c r="H46" s="34"/>
      <c r="I46" s="34"/>
      <c r="J46" s="34"/>
      <c r="L46" s="25">
        <v>100</v>
      </c>
      <c r="M46" s="26">
        <v>1</v>
      </c>
      <c r="N46" s="39">
        <v>15000</v>
      </c>
      <c r="O46" s="33">
        <f t="shared" si="6"/>
        <v>1500000</v>
      </c>
    </row>
    <row r="47" spans="1:17" s="24" customFormat="1" x14ac:dyDescent="0.2">
      <c r="A47" s="53" t="s">
        <v>20</v>
      </c>
      <c r="B47" s="37">
        <v>100</v>
      </c>
      <c r="C47" s="26">
        <v>1</v>
      </c>
      <c r="D47" s="39">
        <v>6200</v>
      </c>
      <c r="E47" s="33">
        <f>B47*C47*D47</f>
        <v>620000</v>
      </c>
      <c r="G47" s="25">
        <v>2</v>
      </c>
      <c r="H47" s="26">
        <v>1</v>
      </c>
      <c r="I47" s="27">
        <v>350000</v>
      </c>
      <c r="J47" s="33" t="s">
        <v>106</v>
      </c>
      <c r="L47" s="25">
        <v>100</v>
      </c>
      <c r="M47" s="26">
        <v>1</v>
      </c>
      <c r="N47" s="39">
        <v>3950</v>
      </c>
      <c r="O47" s="33">
        <f t="shared" si="6"/>
        <v>395000</v>
      </c>
    </row>
    <row r="48" spans="1:17" s="24" customFormat="1" x14ac:dyDescent="0.2">
      <c r="A48" s="54" t="s">
        <v>33</v>
      </c>
      <c r="B48" s="37">
        <v>100</v>
      </c>
      <c r="C48" s="36">
        <v>1</v>
      </c>
      <c r="D48" s="35">
        <v>2000</v>
      </c>
      <c r="E48" s="48">
        <f>B48*C48*D48</f>
        <v>200000</v>
      </c>
      <c r="G48" s="25">
        <v>1</v>
      </c>
      <c r="H48" s="26">
        <v>1</v>
      </c>
      <c r="I48" s="27">
        <v>180000</v>
      </c>
      <c r="J48" s="33" t="s">
        <v>106</v>
      </c>
      <c r="L48" s="37">
        <v>100</v>
      </c>
      <c r="M48" s="36">
        <v>1</v>
      </c>
      <c r="N48" s="35">
        <v>2000</v>
      </c>
      <c r="O48" s="48">
        <f>L48*M48*N48</f>
        <v>200000</v>
      </c>
    </row>
    <row r="49" spans="1:15" s="24" customFormat="1" x14ac:dyDescent="0.2">
      <c r="A49" s="46" t="s">
        <v>48</v>
      </c>
      <c r="B49" s="34"/>
      <c r="C49" s="34"/>
      <c r="D49" s="34"/>
      <c r="E49" s="34"/>
      <c r="G49" s="25">
        <v>2</v>
      </c>
      <c r="H49" s="26">
        <v>0</v>
      </c>
      <c r="I49" s="27">
        <v>350000</v>
      </c>
      <c r="J49" s="33" t="s">
        <v>106</v>
      </c>
      <c r="L49" s="34"/>
      <c r="M49" s="34"/>
      <c r="N49" s="34"/>
      <c r="O49" s="34"/>
    </row>
    <row r="50" spans="1:15" s="24" customFormat="1" x14ac:dyDescent="0.15">
      <c r="A50" s="47" t="s">
        <v>49</v>
      </c>
      <c r="B50" s="37">
        <v>100</v>
      </c>
      <c r="C50" s="36">
        <v>1</v>
      </c>
      <c r="D50" s="56">
        <v>15500</v>
      </c>
      <c r="E50" s="48" t="s">
        <v>106</v>
      </c>
      <c r="G50" s="25">
        <v>2</v>
      </c>
      <c r="H50" s="26">
        <v>10</v>
      </c>
      <c r="I50" s="33">
        <v>65000</v>
      </c>
      <c r="J50" s="33" t="s">
        <v>106</v>
      </c>
      <c r="L50" s="37">
        <v>100</v>
      </c>
      <c r="M50" s="36">
        <v>1</v>
      </c>
      <c r="N50" s="56">
        <v>15500</v>
      </c>
      <c r="O50" s="48" t="s">
        <v>106</v>
      </c>
    </row>
    <row r="51" spans="1:15" s="24" customFormat="1" x14ac:dyDescent="0.15">
      <c r="A51" s="47" t="s">
        <v>50</v>
      </c>
      <c r="B51" s="37">
        <v>100</v>
      </c>
      <c r="C51" s="36">
        <v>0</v>
      </c>
      <c r="D51" s="56">
        <v>4500</v>
      </c>
      <c r="E51" s="48" t="s">
        <v>106</v>
      </c>
      <c r="G51" s="25">
        <v>1</v>
      </c>
      <c r="H51" s="26">
        <v>2</v>
      </c>
      <c r="I51" s="33">
        <v>250000</v>
      </c>
      <c r="J51" s="33" t="s">
        <v>106</v>
      </c>
      <c r="L51" s="37">
        <v>100</v>
      </c>
      <c r="M51" s="36">
        <v>0</v>
      </c>
      <c r="N51" s="56">
        <v>4500</v>
      </c>
      <c r="O51" s="48" t="s">
        <v>106</v>
      </c>
    </row>
    <row r="52" spans="1:15" s="24" customFormat="1" x14ac:dyDescent="0.2">
      <c r="A52" s="46" t="s">
        <v>14</v>
      </c>
      <c r="B52" s="34"/>
      <c r="C52" s="34"/>
      <c r="D52" s="34"/>
      <c r="E52" s="34"/>
      <c r="G52" s="25">
        <v>1</v>
      </c>
      <c r="H52" s="26">
        <v>1</v>
      </c>
      <c r="I52" s="27">
        <v>88888</v>
      </c>
      <c r="J52" s="33" t="s">
        <v>106</v>
      </c>
      <c r="L52" s="34"/>
      <c r="M52" s="34"/>
      <c r="N52" s="34"/>
      <c r="O52" s="34"/>
    </row>
    <row r="53" spans="1:15" x14ac:dyDescent="0.2">
      <c r="A53" s="51" t="s">
        <v>15</v>
      </c>
      <c r="B53" s="25">
        <v>2</v>
      </c>
      <c r="C53" s="26">
        <v>1</v>
      </c>
      <c r="D53" s="27">
        <v>350000</v>
      </c>
      <c r="E53" s="33" t="s">
        <v>106</v>
      </c>
      <c r="G53" s="25">
        <v>10</v>
      </c>
      <c r="H53" s="26">
        <v>1</v>
      </c>
      <c r="I53" s="27">
        <v>65000</v>
      </c>
      <c r="J53" s="33" t="s">
        <v>106</v>
      </c>
      <c r="L53" s="25">
        <v>2</v>
      </c>
      <c r="M53" s="26">
        <v>1</v>
      </c>
      <c r="N53" s="27">
        <v>350000</v>
      </c>
      <c r="O53" s="33" t="s">
        <v>106</v>
      </c>
    </row>
    <row r="54" spans="1:15" x14ac:dyDescent="0.2">
      <c r="A54" s="51" t="s">
        <v>66</v>
      </c>
      <c r="B54" s="25">
        <v>1</v>
      </c>
      <c r="C54" s="26">
        <v>1</v>
      </c>
      <c r="D54" s="27">
        <v>180000</v>
      </c>
      <c r="E54" s="33" t="s">
        <v>106</v>
      </c>
      <c r="G54" s="25">
        <v>2</v>
      </c>
      <c r="H54" s="26">
        <v>1</v>
      </c>
      <c r="I54" s="27">
        <v>550000</v>
      </c>
      <c r="J54" s="33" t="s">
        <v>106</v>
      </c>
      <c r="L54" s="25">
        <v>1</v>
      </c>
      <c r="M54" s="26">
        <v>1</v>
      </c>
      <c r="N54" s="27">
        <v>180000</v>
      </c>
      <c r="O54" s="33" t="s">
        <v>106</v>
      </c>
    </row>
    <row r="55" spans="1:15" x14ac:dyDescent="0.2">
      <c r="A55" s="51" t="s">
        <v>23</v>
      </c>
      <c r="B55" s="25">
        <v>2</v>
      </c>
      <c r="C55" s="26">
        <v>0</v>
      </c>
      <c r="D55" s="27">
        <v>350000</v>
      </c>
      <c r="E55" s="33" t="s">
        <v>106</v>
      </c>
      <c r="G55" s="25">
        <v>1</v>
      </c>
      <c r="H55" s="26">
        <v>1</v>
      </c>
      <c r="I55" s="27">
        <v>320000</v>
      </c>
      <c r="J55" s="33" t="s">
        <v>106</v>
      </c>
      <c r="L55" s="25">
        <v>2</v>
      </c>
      <c r="M55" s="26">
        <v>0</v>
      </c>
      <c r="N55" s="27">
        <v>350000</v>
      </c>
      <c r="O55" s="57" t="s">
        <v>106</v>
      </c>
    </row>
    <row r="56" spans="1:15" x14ac:dyDescent="0.2">
      <c r="A56" s="51" t="s">
        <v>68</v>
      </c>
      <c r="B56" s="25">
        <v>2</v>
      </c>
      <c r="C56" s="26">
        <v>10</v>
      </c>
      <c r="D56" s="33">
        <v>65000</v>
      </c>
      <c r="E56" s="33" t="s">
        <v>106</v>
      </c>
      <c r="G56" s="25">
        <v>1</v>
      </c>
      <c r="H56" s="26">
        <v>1</v>
      </c>
      <c r="I56" s="27">
        <v>200000</v>
      </c>
      <c r="J56" s="33" t="s">
        <v>106</v>
      </c>
      <c r="L56" s="25">
        <v>2</v>
      </c>
      <c r="M56" s="26">
        <v>10</v>
      </c>
      <c r="N56" s="33">
        <v>65000</v>
      </c>
      <c r="O56" s="33" t="s">
        <v>106</v>
      </c>
    </row>
    <row r="57" spans="1:15" x14ac:dyDescent="0.2">
      <c r="A57" s="51" t="s">
        <v>56</v>
      </c>
      <c r="B57" s="25">
        <v>1</v>
      </c>
      <c r="C57" s="26">
        <v>2</v>
      </c>
      <c r="D57" s="33">
        <v>250000</v>
      </c>
      <c r="E57" s="33" t="s">
        <v>106</v>
      </c>
      <c r="G57" s="25">
        <v>1</v>
      </c>
      <c r="H57" s="26">
        <v>2</v>
      </c>
      <c r="I57" s="33">
        <v>350000</v>
      </c>
      <c r="J57" s="33" t="s">
        <v>106</v>
      </c>
      <c r="L57" s="25">
        <v>1</v>
      </c>
      <c r="M57" s="26">
        <v>2</v>
      </c>
      <c r="N57" s="33">
        <v>250000</v>
      </c>
      <c r="O57" s="33" t="s">
        <v>106</v>
      </c>
    </row>
    <row r="58" spans="1:15" x14ac:dyDescent="0.2">
      <c r="A58" s="51" t="s">
        <v>51</v>
      </c>
      <c r="B58" s="25">
        <v>1</v>
      </c>
      <c r="C58" s="26">
        <v>1</v>
      </c>
      <c r="D58" s="27">
        <v>88888</v>
      </c>
      <c r="E58" s="33" t="s">
        <v>106</v>
      </c>
      <c r="G58" s="25">
        <v>1</v>
      </c>
      <c r="H58" s="26">
        <v>1</v>
      </c>
      <c r="I58" s="33">
        <v>100000</v>
      </c>
      <c r="J58" s="33" t="s">
        <v>106</v>
      </c>
      <c r="L58" s="25">
        <v>1</v>
      </c>
      <c r="M58" s="26">
        <v>1</v>
      </c>
      <c r="N58" s="27">
        <v>88888</v>
      </c>
      <c r="O58" s="33" t="s">
        <v>106</v>
      </c>
    </row>
    <row r="59" spans="1:15" x14ac:dyDescent="0.2">
      <c r="A59" s="51" t="s">
        <v>69</v>
      </c>
      <c r="B59" s="25">
        <v>10</v>
      </c>
      <c r="C59" s="26">
        <v>1</v>
      </c>
      <c r="D59" s="27">
        <v>65000</v>
      </c>
      <c r="E59" s="33" t="s">
        <v>106</v>
      </c>
      <c r="G59" s="25">
        <v>1</v>
      </c>
      <c r="H59" s="26">
        <v>1</v>
      </c>
      <c r="I59" s="27">
        <v>1150000</v>
      </c>
      <c r="J59" s="33" t="s">
        <v>106</v>
      </c>
      <c r="L59" s="25">
        <v>10</v>
      </c>
      <c r="M59" s="26">
        <v>1</v>
      </c>
      <c r="N59" s="27">
        <v>65000</v>
      </c>
      <c r="O59" s="33" t="s">
        <v>106</v>
      </c>
    </row>
    <row r="60" spans="1:15" x14ac:dyDescent="0.2">
      <c r="A60" s="51" t="s">
        <v>24</v>
      </c>
      <c r="B60" s="25">
        <v>2</v>
      </c>
      <c r="C60" s="26">
        <v>1</v>
      </c>
      <c r="D60" s="27">
        <v>550000</v>
      </c>
      <c r="E60" s="33" t="s">
        <v>106</v>
      </c>
      <c r="G60" s="25">
        <v>0</v>
      </c>
      <c r="H60" s="26">
        <v>1</v>
      </c>
      <c r="I60" s="27">
        <v>1500000</v>
      </c>
      <c r="J60" s="33" t="s">
        <v>106</v>
      </c>
      <c r="L60" s="25">
        <v>2</v>
      </c>
      <c r="M60" s="26">
        <v>1</v>
      </c>
      <c r="N60" s="27">
        <v>550000</v>
      </c>
      <c r="O60" s="33" t="s">
        <v>106</v>
      </c>
    </row>
    <row r="61" spans="1:15" x14ac:dyDescent="0.2">
      <c r="A61" s="51" t="s">
        <v>25</v>
      </c>
      <c r="B61" s="25">
        <v>1</v>
      </c>
      <c r="C61" s="26">
        <v>1</v>
      </c>
      <c r="D61" s="27">
        <v>320000</v>
      </c>
      <c r="E61" s="33" t="s">
        <v>106</v>
      </c>
      <c r="G61" s="25">
        <v>0</v>
      </c>
      <c r="H61" s="26">
        <v>1</v>
      </c>
      <c r="I61" s="27">
        <v>777777</v>
      </c>
      <c r="J61" s="33" t="s">
        <v>106</v>
      </c>
      <c r="L61" s="25">
        <v>1</v>
      </c>
      <c r="M61" s="26">
        <v>1</v>
      </c>
      <c r="N61" s="27">
        <v>320000</v>
      </c>
      <c r="O61" s="33" t="s">
        <v>106</v>
      </c>
    </row>
    <row r="62" spans="1:15" s="6" customFormat="1" x14ac:dyDescent="0.2">
      <c r="A62" s="51" t="s">
        <v>26</v>
      </c>
      <c r="B62" s="25">
        <v>1</v>
      </c>
      <c r="C62" s="26">
        <v>1</v>
      </c>
      <c r="D62" s="27">
        <v>200000</v>
      </c>
      <c r="E62" s="33" t="s">
        <v>106</v>
      </c>
      <c r="G62" s="25">
        <v>1</v>
      </c>
      <c r="H62" s="26">
        <v>1</v>
      </c>
      <c r="I62" s="33">
        <v>900000</v>
      </c>
      <c r="J62" s="33" t="s">
        <v>106</v>
      </c>
      <c r="L62" s="25">
        <v>1</v>
      </c>
      <c r="M62" s="26">
        <v>1</v>
      </c>
      <c r="N62" s="27">
        <v>200000</v>
      </c>
      <c r="O62" s="33" t="s">
        <v>106</v>
      </c>
    </row>
    <row r="63" spans="1:15" s="6" customFormat="1" x14ac:dyDescent="0.2">
      <c r="A63" s="51" t="s">
        <v>57</v>
      </c>
      <c r="B63" s="25">
        <v>1</v>
      </c>
      <c r="C63" s="26">
        <v>2</v>
      </c>
      <c r="D63" s="33">
        <v>350000</v>
      </c>
      <c r="E63" s="33" t="s">
        <v>106</v>
      </c>
      <c r="G63" s="34"/>
      <c r="H63" s="34"/>
      <c r="I63" s="34"/>
      <c r="J63" s="34"/>
      <c r="L63" s="25">
        <v>1</v>
      </c>
      <c r="M63" s="26">
        <v>2</v>
      </c>
      <c r="N63" s="33">
        <v>350000</v>
      </c>
      <c r="O63" s="33" t="s">
        <v>106</v>
      </c>
    </row>
    <row r="64" spans="1:15" s="6" customFormat="1" x14ac:dyDescent="0.2">
      <c r="A64" s="51" t="s">
        <v>70</v>
      </c>
      <c r="B64" s="25">
        <v>1</v>
      </c>
      <c r="C64" s="26">
        <v>1</v>
      </c>
      <c r="D64" s="33">
        <v>100000</v>
      </c>
      <c r="E64" s="33" t="s">
        <v>106</v>
      </c>
      <c r="G64" s="37">
        <v>1</v>
      </c>
      <c r="H64" s="36">
        <v>1</v>
      </c>
      <c r="I64" s="56">
        <f>G64*27000*100</f>
        <v>2700000</v>
      </c>
      <c r="J64" s="48" t="s">
        <v>106</v>
      </c>
      <c r="L64" s="25">
        <v>1</v>
      </c>
      <c r="M64" s="26">
        <v>1</v>
      </c>
      <c r="N64" s="33">
        <v>100000</v>
      </c>
      <c r="O64" s="33" t="s">
        <v>106</v>
      </c>
    </row>
    <row r="65" spans="1:15" s="6" customFormat="1" x14ac:dyDescent="0.2">
      <c r="A65" s="51" t="s">
        <v>31</v>
      </c>
      <c r="B65" s="25">
        <v>1</v>
      </c>
      <c r="C65" s="26">
        <v>1</v>
      </c>
      <c r="D65" s="27">
        <v>1150000</v>
      </c>
      <c r="E65" s="33" t="s">
        <v>106</v>
      </c>
      <c r="G65" s="37">
        <v>1</v>
      </c>
      <c r="H65" s="36">
        <v>0</v>
      </c>
      <c r="I65" s="56">
        <f>G65*27000*100</f>
        <v>2700000</v>
      </c>
      <c r="J65" s="48">
        <f t="shared" ref="J64:J66" si="7">G65*H65*I65</f>
        <v>0</v>
      </c>
      <c r="L65" s="25">
        <v>1</v>
      </c>
      <c r="M65" s="26">
        <v>1</v>
      </c>
      <c r="N65" s="27">
        <v>1150000</v>
      </c>
      <c r="O65" s="33" t="s">
        <v>106</v>
      </c>
    </row>
    <row r="66" spans="1:15" s="6" customFormat="1" x14ac:dyDescent="0.2">
      <c r="A66" s="51" t="s">
        <v>32</v>
      </c>
      <c r="B66" s="25">
        <v>0</v>
      </c>
      <c r="C66" s="26">
        <v>1</v>
      </c>
      <c r="D66" s="27">
        <v>1500000</v>
      </c>
      <c r="E66" s="33" t="s">
        <v>106</v>
      </c>
      <c r="G66" s="37">
        <v>0</v>
      </c>
      <c r="H66" s="36">
        <v>1</v>
      </c>
      <c r="I66" s="56">
        <v>6000000</v>
      </c>
      <c r="J66" s="48">
        <f t="shared" si="7"/>
        <v>0</v>
      </c>
      <c r="L66" s="25">
        <v>0</v>
      </c>
      <c r="M66" s="26">
        <v>1</v>
      </c>
      <c r="N66" s="27">
        <v>1500000</v>
      </c>
      <c r="O66" s="33" t="s">
        <v>106</v>
      </c>
    </row>
    <row r="67" spans="1:15" s="6" customFormat="1" x14ac:dyDescent="0.2">
      <c r="A67" s="51" t="s">
        <v>77</v>
      </c>
      <c r="B67" s="25">
        <v>0</v>
      </c>
      <c r="C67" s="26">
        <v>1</v>
      </c>
      <c r="D67" s="27">
        <v>777777</v>
      </c>
      <c r="E67" s="33" t="s">
        <v>106</v>
      </c>
      <c r="G67" s="34"/>
      <c r="H67" s="34"/>
      <c r="I67" s="34"/>
      <c r="J67" s="34"/>
      <c r="L67" s="25">
        <v>0</v>
      </c>
      <c r="M67" s="26">
        <v>1</v>
      </c>
      <c r="N67" s="27">
        <v>777777</v>
      </c>
      <c r="O67" s="33" t="s">
        <v>106</v>
      </c>
    </row>
    <row r="68" spans="1:15" s="6" customFormat="1" ht="36" x14ac:dyDescent="0.2">
      <c r="A68" s="51" t="s">
        <v>55</v>
      </c>
      <c r="B68" s="25">
        <v>1</v>
      </c>
      <c r="C68" s="26">
        <v>1</v>
      </c>
      <c r="D68" s="33">
        <v>900000</v>
      </c>
      <c r="E68" s="33" t="s">
        <v>106</v>
      </c>
      <c r="G68" s="37">
        <v>1</v>
      </c>
      <c r="H68" s="36">
        <v>1</v>
      </c>
      <c r="I68" s="56">
        <v>400000</v>
      </c>
      <c r="J68" s="48" t="s">
        <v>106</v>
      </c>
      <c r="L68" s="25">
        <v>1</v>
      </c>
      <c r="M68" s="26">
        <v>1</v>
      </c>
      <c r="N68" s="33">
        <v>900000</v>
      </c>
      <c r="O68" s="33" t="s">
        <v>106</v>
      </c>
    </row>
    <row r="69" spans="1:15" s="24" customFormat="1" x14ac:dyDescent="0.2">
      <c r="A69" s="46" t="s">
        <v>90</v>
      </c>
      <c r="B69" s="34"/>
      <c r="C69" s="34"/>
      <c r="D69" s="34"/>
      <c r="E69" s="33" t="s">
        <v>106</v>
      </c>
      <c r="G69" s="37">
        <v>50</v>
      </c>
      <c r="H69" s="36">
        <v>1</v>
      </c>
      <c r="I69" s="56">
        <v>8000</v>
      </c>
      <c r="J69" s="48" t="s">
        <v>106</v>
      </c>
      <c r="L69" s="34"/>
      <c r="M69" s="34"/>
      <c r="N69" s="34"/>
      <c r="O69" s="34"/>
    </row>
    <row r="70" spans="1:15" s="6" customFormat="1" x14ac:dyDescent="0.2">
      <c r="A70" s="47" t="s">
        <v>30</v>
      </c>
      <c r="B70" s="37">
        <v>1</v>
      </c>
      <c r="C70" s="36">
        <v>1</v>
      </c>
      <c r="D70" s="56">
        <f>B70*27000*100</f>
        <v>2700000</v>
      </c>
      <c r="E70" s="33" t="s">
        <v>106</v>
      </c>
      <c r="G70" s="34"/>
      <c r="H70" s="34"/>
      <c r="I70" s="34"/>
      <c r="J70" s="34"/>
      <c r="L70" s="37">
        <v>1</v>
      </c>
      <c r="M70" s="36">
        <v>1</v>
      </c>
      <c r="N70" s="56">
        <f>L70*27000*100</f>
        <v>2700000</v>
      </c>
      <c r="O70" s="48" t="s">
        <v>106</v>
      </c>
    </row>
    <row r="71" spans="1:15" s="6" customFormat="1" x14ac:dyDescent="0.2">
      <c r="A71" s="47" t="s">
        <v>88</v>
      </c>
      <c r="B71" s="37">
        <v>1</v>
      </c>
      <c r="C71" s="36">
        <v>0</v>
      </c>
      <c r="D71" s="56">
        <f>B71*27000*100</f>
        <v>2700000</v>
      </c>
      <c r="E71" s="33" t="s">
        <v>106</v>
      </c>
      <c r="G71" s="25">
        <v>1</v>
      </c>
      <c r="H71" s="26">
        <v>1</v>
      </c>
      <c r="I71" s="27">
        <v>555555</v>
      </c>
      <c r="J71" s="33" t="s">
        <v>106</v>
      </c>
      <c r="L71" s="37">
        <v>1</v>
      </c>
      <c r="M71" s="36">
        <v>0</v>
      </c>
      <c r="N71" s="56">
        <f>L71*27000*100</f>
        <v>2700000</v>
      </c>
      <c r="O71" s="48" t="s">
        <v>106</v>
      </c>
    </row>
    <row r="72" spans="1:15" s="6" customFormat="1" x14ac:dyDescent="0.2">
      <c r="A72" s="47" t="s">
        <v>52</v>
      </c>
      <c r="B72" s="37">
        <v>0</v>
      </c>
      <c r="C72" s="36">
        <v>1</v>
      </c>
      <c r="D72" s="56">
        <v>6000000</v>
      </c>
      <c r="E72" s="33" t="s">
        <v>106</v>
      </c>
      <c r="G72" s="25">
        <v>1</v>
      </c>
      <c r="H72" s="26">
        <v>2</v>
      </c>
      <c r="I72" s="33">
        <v>188888</v>
      </c>
      <c r="J72" s="33" t="s">
        <v>106</v>
      </c>
      <c r="L72" s="37">
        <v>0</v>
      </c>
      <c r="M72" s="36">
        <v>1</v>
      </c>
      <c r="N72" s="56">
        <v>6000000</v>
      </c>
      <c r="O72" s="48" t="s">
        <v>106</v>
      </c>
    </row>
    <row r="73" spans="1:15" s="24" customFormat="1" x14ac:dyDescent="0.2">
      <c r="A73" s="46" t="s">
        <v>85</v>
      </c>
      <c r="B73" s="34"/>
      <c r="C73" s="34"/>
      <c r="D73" s="34"/>
      <c r="E73" s="33" t="s">
        <v>106</v>
      </c>
      <c r="G73" s="25">
        <v>2</v>
      </c>
      <c r="H73" s="26">
        <v>1</v>
      </c>
      <c r="I73" s="33">
        <v>88888</v>
      </c>
      <c r="J73" s="33" t="s">
        <v>106</v>
      </c>
      <c r="L73" s="34"/>
      <c r="M73" s="34"/>
      <c r="N73" s="34"/>
      <c r="O73" s="34"/>
    </row>
    <row r="74" spans="1:15" s="24" customFormat="1" ht="36" x14ac:dyDescent="0.15">
      <c r="A74" s="47" t="s">
        <v>89</v>
      </c>
      <c r="B74" s="37">
        <v>1</v>
      </c>
      <c r="C74" s="36">
        <v>1</v>
      </c>
      <c r="D74" s="56">
        <v>400000</v>
      </c>
      <c r="E74" s="33" t="s">
        <v>106</v>
      </c>
      <c r="G74" s="25">
        <v>1</v>
      </c>
      <c r="H74" s="26">
        <v>1</v>
      </c>
      <c r="I74" s="27">
        <v>850000</v>
      </c>
      <c r="J74" s="33" t="s">
        <v>106</v>
      </c>
      <c r="L74" s="37">
        <v>1</v>
      </c>
      <c r="M74" s="36">
        <v>1</v>
      </c>
      <c r="N74" s="56">
        <v>400000</v>
      </c>
      <c r="O74" s="48" t="s">
        <v>106</v>
      </c>
    </row>
    <row r="75" spans="1:15" s="24" customFormat="1" ht="54" x14ac:dyDescent="0.15">
      <c r="A75" s="47" t="s">
        <v>86</v>
      </c>
      <c r="B75" s="37">
        <v>50</v>
      </c>
      <c r="C75" s="36">
        <v>1</v>
      </c>
      <c r="D75" s="56">
        <v>8000</v>
      </c>
      <c r="E75" s="33" t="s">
        <v>106</v>
      </c>
      <c r="G75" s="25">
        <v>12</v>
      </c>
      <c r="H75" s="26">
        <v>2</v>
      </c>
      <c r="I75" s="27">
        <v>35000</v>
      </c>
      <c r="J75" s="33" t="s">
        <v>106</v>
      </c>
      <c r="L75" s="37">
        <v>50</v>
      </c>
      <c r="M75" s="36">
        <v>1</v>
      </c>
      <c r="N75" s="56">
        <v>8000</v>
      </c>
      <c r="O75" s="48" t="s">
        <v>106</v>
      </c>
    </row>
    <row r="76" spans="1:15" s="24" customFormat="1" x14ac:dyDescent="0.2">
      <c r="A76" s="46" t="s">
        <v>84</v>
      </c>
      <c r="B76" s="34"/>
      <c r="C76" s="34"/>
      <c r="D76" s="34"/>
      <c r="E76" s="33" t="s">
        <v>106</v>
      </c>
      <c r="G76" s="29"/>
      <c r="H76" s="30"/>
      <c r="I76" s="31"/>
      <c r="J76" s="32"/>
      <c r="L76" s="34"/>
      <c r="M76" s="34"/>
      <c r="N76" s="34"/>
      <c r="O76" s="34"/>
    </row>
    <row r="77" spans="1:15" s="6" customFormat="1" x14ac:dyDescent="0.2">
      <c r="A77" s="51" t="s">
        <v>12</v>
      </c>
      <c r="B77" s="25">
        <v>1</v>
      </c>
      <c r="C77" s="26">
        <v>1</v>
      </c>
      <c r="D77" s="27">
        <v>555555</v>
      </c>
      <c r="E77" s="33" t="s">
        <v>106</v>
      </c>
      <c r="G77" s="9"/>
      <c r="H77" s="9"/>
      <c r="L77" s="25">
        <v>1</v>
      </c>
      <c r="M77" s="26">
        <v>1</v>
      </c>
      <c r="N77" s="27">
        <v>555555</v>
      </c>
      <c r="O77" s="33" t="s">
        <v>106</v>
      </c>
    </row>
    <row r="78" spans="1:15" s="6" customFormat="1" ht="36" x14ac:dyDescent="0.2">
      <c r="A78" s="51" t="s">
        <v>58</v>
      </c>
      <c r="B78" s="25">
        <v>1</v>
      </c>
      <c r="C78" s="26">
        <v>2</v>
      </c>
      <c r="D78" s="33">
        <v>188888</v>
      </c>
      <c r="E78" s="33" t="s">
        <v>106</v>
      </c>
      <c r="G78" s="11"/>
      <c r="H78" s="11"/>
      <c r="L78" s="25">
        <v>1</v>
      </c>
      <c r="M78" s="26">
        <v>2</v>
      </c>
      <c r="N78" s="33">
        <v>188888</v>
      </c>
      <c r="O78" s="33" t="s">
        <v>106</v>
      </c>
    </row>
    <row r="79" spans="1:15" s="6" customFormat="1" x14ac:dyDescent="0.2">
      <c r="A79" s="51" t="s">
        <v>60</v>
      </c>
      <c r="B79" s="25">
        <v>2</v>
      </c>
      <c r="C79" s="26">
        <v>1</v>
      </c>
      <c r="D79" s="33">
        <v>88888</v>
      </c>
      <c r="E79" s="33" t="s">
        <v>106</v>
      </c>
      <c r="G79" s="11"/>
      <c r="H79" s="11"/>
      <c r="L79" s="25">
        <v>2</v>
      </c>
      <c r="M79" s="26">
        <v>1</v>
      </c>
      <c r="N79" s="33">
        <v>88888</v>
      </c>
      <c r="O79" s="33" t="s">
        <v>106</v>
      </c>
    </row>
    <row r="80" spans="1:15" s="6" customFormat="1" x14ac:dyDescent="0.2">
      <c r="A80" s="51" t="s">
        <v>27</v>
      </c>
      <c r="B80" s="25">
        <v>1</v>
      </c>
      <c r="C80" s="26">
        <v>1</v>
      </c>
      <c r="D80" s="27">
        <v>550000</v>
      </c>
      <c r="E80" s="33" t="s">
        <v>106</v>
      </c>
      <c r="L80" s="25">
        <v>1</v>
      </c>
      <c r="M80" s="26">
        <v>1</v>
      </c>
      <c r="N80" s="27">
        <v>850000</v>
      </c>
      <c r="O80" s="33" t="s">
        <v>106</v>
      </c>
    </row>
    <row r="81" spans="1:15" s="6" customFormat="1" x14ac:dyDescent="0.2">
      <c r="A81" s="51" t="s">
        <v>28</v>
      </c>
      <c r="B81" s="25">
        <v>8</v>
      </c>
      <c r="C81" s="26">
        <v>2</v>
      </c>
      <c r="D81" s="27">
        <v>35000</v>
      </c>
      <c r="E81" s="33" t="s">
        <v>106</v>
      </c>
      <c r="H81" s="7"/>
      <c r="L81" s="25">
        <v>12</v>
      </c>
      <c r="M81" s="26">
        <v>2</v>
      </c>
      <c r="N81" s="27">
        <v>35000</v>
      </c>
      <c r="O81" s="33" t="s">
        <v>106</v>
      </c>
    </row>
    <row r="82" spans="1:15" s="6" customFormat="1" ht="19" thickBot="1" x14ac:dyDescent="0.25">
      <c r="A82" s="28"/>
      <c r="B82" s="29"/>
      <c r="C82" s="30"/>
      <c r="D82" s="31"/>
      <c r="E82" s="32">
        <f>E16+E17+E18+E20+E21+E31+E32+E33+E34+E36+E37+E38+E39+E43+E44+E45+E47+E48</f>
        <v>18181800</v>
      </c>
      <c r="H82" s="7"/>
      <c r="I82" s="8"/>
      <c r="J82" s="65">
        <f>J16+J17+J18+J20+J21+J30+J31+J32+J33+J34+J35+J39+J40+J41+J42</f>
        <v>14928900</v>
      </c>
      <c r="L82" s="11"/>
      <c r="M82" s="11"/>
      <c r="O82" s="66">
        <f>SUM(O2:O80)</f>
        <v>17815100</v>
      </c>
    </row>
    <row r="83" spans="1:15" s="6" customFormat="1" x14ac:dyDescent="0.2">
      <c r="A83" s="13"/>
      <c r="B83" s="9"/>
      <c r="C83" s="9"/>
      <c r="D83" s="17" t="s">
        <v>6</v>
      </c>
      <c r="E83" s="18">
        <f>SUM(E12:E82)</f>
        <v>36363600</v>
      </c>
      <c r="H83" s="7"/>
      <c r="I83" s="17" t="s">
        <v>6</v>
      </c>
      <c r="J83" s="18">
        <f>SUM(J12:J75)</f>
        <v>14928900</v>
      </c>
      <c r="O83" s="6" t="s">
        <v>106</v>
      </c>
    </row>
    <row r="84" spans="1:15" s="6" customFormat="1" ht="19" thickBot="1" x14ac:dyDescent="0.25">
      <c r="A84" s="3"/>
      <c r="B84" s="11"/>
      <c r="C84" s="11"/>
      <c r="D84" s="16" t="s">
        <v>8</v>
      </c>
      <c r="E84" s="15">
        <f>E83*15%</f>
        <v>5454540</v>
      </c>
      <c r="H84" s="7"/>
      <c r="I84" s="16" t="s">
        <v>8</v>
      </c>
      <c r="J84" s="15">
        <f>J83*15%</f>
        <v>2239335</v>
      </c>
      <c r="M84" s="7"/>
    </row>
    <row r="85" spans="1:15" s="6" customFormat="1" x14ac:dyDescent="0.2">
      <c r="A85" s="13"/>
      <c r="B85" s="11"/>
      <c r="C85" s="11"/>
      <c r="D85" s="16" t="s">
        <v>7</v>
      </c>
      <c r="E85" s="15">
        <f>E83+E84</f>
        <v>41818140</v>
      </c>
      <c r="I85" s="16" t="s">
        <v>7</v>
      </c>
      <c r="J85" s="15">
        <f>J83+J84</f>
        <v>17168235</v>
      </c>
      <c r="M85" s="7"/>
      <c r="N85" s="17" t="s">
        <v>6</v>
      </c>
      <c r="O85" s="18">
        <f>SUM(O12:O81)</f>
        <v>17815000</v>
      </c>
    </row>
    <row r="86" spans="1:15" s="6" customFormat="1" x14ac:dyDescent="0.2">
      <c r="A86" s="14"/>
      <c r="D86" s="58" t="s">
        <v>71</v>
      </c>
      <c r="E86" s="59">
        <v>1500000</v>
      </c>
      <c r="G86" s="3"/>
      <c r="H86" s="3"/>
      <c r="I86" s="58" t="s">
        <v>71</v>
      </c>
      <c r="J86" s="59">
        <v>1500000</v>
      </c>
      <c r="M86" s="7"/>
      <c r="N86" s="16" t="s">
        <v>8</v>
      </c>
      <c r="O86" s="15">
        <f>O85*15%</f>
        <v>2672250</v>
      </c>
    </row>
    <row r="87" spans="1:15" s="6" customFormat="1" ht="19" thickBot="1" x14ac:dyDescent="0.25">
      <c r="A87" s="13"/>
      <c r="C87" s="7"/>
      <c r="D87" s="60" t="s">
        <v>72</v>
      </c>
      <c r="E87" s="61">
        <f>E85+E86</f>
        <v>43318140</v>
      </c>
      <c r="G87" s="3"/>
      <c r="H87" s="3"/>
      <c r="I87" s="60" t="s">
        <v>72</v>
      </c>
      <c r="J87" s="61">
        <f>J85+J86</f>
        <v>18668235</v>
      </c>
      <c r="M87" s="7"/>
      <c r="N87" s="16" t="s">
        <v>7</v>
      </c>
      <c r="O87" s="15">
        <f>O85+O86</f>
        <v>20487250</v>
      </c>
    </row>
    <row r="88" spans="1:15" s="6" customFormat="1" x14ac:dyDescent="0.2">
      <c r="A88" s="13"/>
      <c r="C88" s="7"/>
      <c r="D88" s="8"/>
      <c r="E88" s="10"/>
      <c r="G88" s="3"/>
      <c r="H88" s="3"/>
      <c r="I88" s="3"/>
      <c r="J88" s="3"/>
      <c r="N88" s="58" t="s">
        <v>71</v>
      </c>
      <c r="O88" s="59">
        <v>1500000</v>
      </c>
    </row>
    <row r="89" spans="1:15" s="6" customFormat="1" ht="19" thickBot="1" x14ac:dyDescent="0.25">
      <c r="C89" s="7"/>
      <c r="G89" s="3"/>
      <c r="H89" s="3"/>
      <c r="I89" s="3"/>
      <c r="J89" s="3"/>
      <c r="L89" s="3"/>
      <c r="M89" s="3"/>
      <c r="N89" s="60" t="s">
        <v>72</v>
      </c>
      <c r="O89" s="61">
        <f>O87+O88</f>
        <v>21987250</v>
      </c>
    </row>
    <row r="90" spans="1:15" s="6" customFormat="1" x14ac:dyDescent="0.2">
      <c r="C90" s="7"/>
      <c r="G90" s="3"/>
      <c r="H90" s="3"/>
      <c r="I90" s="3"/>
      <c r="J90" s="3"/>
      <c r="L90" s="3"/>
      <c r="M90" s="3"/>
      <c r="N90" s="3"/>
      <c r="O90" s="3"/>
    </row>
    <row r="91" spans="1:15" s="6" customFormat="1" x14ac:dyDescent="0.2">
      <c r="G91" s="3"/>
      <c r="H91" s="3"/>
      <c r="I91" s="3"/>
      <c r="J91" s="3"/>
      <c r="L91" s="3"/>
      <c r="M91" s="3"/>
      <c r="N91" s="3"/>
      <c r="O91" s="3"/>
    </row>
    <row r="92" spans="1:15" s="6" customFormat="1" x14ac:dyDescent="0.2">
      <c r="A92" s="3"/>
      <c r="B92" s="3"/>
      <c r="C92" s="3"/>
      <c r="D92" s="3"/>
      <c r="E92" s="3"/>
      <c r="G92" s="3"/>
      <c r="H92" s="3"/>
      <c r="I92" s="3"/>
      <c r="J92" s="3"/>
      <c r="L92" s="3"/>
      <c r="M92" s="3"/>
      <c r="N92" s="3"/>
      <c r="O92" s="3"/>
    </row>
    <row r="93" spans="1:15" s="6" customFormat="1" x14ac:dyDescent="0.2">
      <c r="A93" s="3"/>
      <c r="B93" s="3"/>
      <c r="C93" s="3"/>
      <c r="D93" s="3"/>
      <c r="E93" s="3"/>
      <c r="G93" s="3"/>
      <c r="H93" s="3"/>
      <c r="I93" s="3"/>
      <c r="J93" s="3"/>
      <c r="L93" s="3"/>
      <c r="M93" s="3"/>
      <c r="N93" s="3"/>
      <c r="O93" s="3"/>
    </row>
    <row r="94" spans="1:15" s="6" customFormat="1" x14ac:dyDescent="0.2">
      <c r="A94" s="3"/>
      <c r="B94" s="3"/>
      <c r="C94" s="3"/>
      <c r="D94" s="3"/>
      <c r="E94" s="3"/>
      <c r="G94" s="3"/>
      <c r="H94" s="3"/>
      <c r="I94" s="3"/>
      <c r="J94" s="3"/>
      <c r="L94" s="3"/>
      <c r="M94" s="3"/>
      <c r="N94" s="3"/>
      <c r="O94" s="3"/>
    </row>
    <row r="95" spans="1:15" s="6" customFormat="1" x14ac:dyDescent="0.2">
      <c r="A95" s="3"/>
      <c r="B95" s="3"/>
      <c r="C95" s="3"/>
      <c r="D95" s="3"/>
      <c r="E95" s="3"/>
      <c r="G95" s="3"/>
      <c r="H95" s="3"/>
      <c r="I95" s="3"/>
      <c r="J95" s="3"/>
      <c r="L95" s="3"/>
      <c r="M95" s="3"/>
      <c r="N95" s="3"/>
      <c r="O95" s="3"/>
    </row>
    <row r="96" spans="1:15" s="6" customFormat="1" x14ac:dyDescent="0.2">
      <c r="A96" s="3"/>
      <c r="B96" s="3"/>
      <c r="C96" s="3"/>
      <c r="D96" s="3"/>
      <c r="E96" s="3"/>
      <c r="G96" s="3"/>
      <c r="H96" s="3"/>
      <c r="I96" s="3"/>
      <c r="J96" s="3"/>
      <c r="L96" s="3"/>
      <c r="M96" s="3"/>
      <c r="N96" s="3"/>
      <c r="O96" s="3"/>
    </row>
    <row r="97" spans="1:15" s="6" customFormat="1" x14ac:dyDescent="0.2">
      <c r="A97" s="3"/>
      <c r="B97" s="3"/>
      <c r="C97" s="3"/>
      <c r="D97" s="3"/>
      <c r="E97" s="3"/>
      <c r="G97" s="3"/>
      <c r="H97" s="3"/>
      <c r="I97" s="3"/>
      <c r="J97" s="3"/>
      <c r="L97" s="3"/>
      <c r="M97" s="3"/>
      <c r="N97" s="3"/>
      <c r="O97" s="3"/>
    </row>
    <row r="98" spans="1:15" s="6" customFormat="1" x14ac:dyDescent="0.2">
      <c r="A98" s="3"/>
      <c r="B98" s="3"/>
      <c r="C98" s="3"/>
      <c r="D98" s="3"/>
      <c r="E98" s="3"/>
      <c r="G98" s="3"/>
      <c r="H98" s="3"/>
      <c r="I98" s="3"/>
      <c r="J98" s="3"/>
      <c r="L98" s="3"/>
      <c r="M98" s="3"/>
      <c r="N98" s="3"/>
      <c r="O98" s="3"/>
    </row>
    <row r="99" spans="1:15" s="6" customFormat="1" x14ac:dyDescent="0.2">
      <c r="A99" s="3"/>
      <c r="B99" s="3"/>
      <c r="C99" s="3"/>
      <c r="D99" s="3"/>
      <c r="E99" s="3"/>
      <c r="G99" s="3"/>
      <c r="H99" s="3"/>
      <c r="I99" s="3"/>
      <c r="J99" s="3"/>
      <c r="L99" s="3"/>
      <c r="M99" s="3"/>
      <c r="N99" s="3"/>
      <c r="O99" s="3"/>
    </row>
    <row r="100" spans="1:15" s="6" customFormat="1" x14ac:dyDescent="0.2">
      <c r="A100" s="3"/>
      <c r="B100" s="3"/>
      <c r="C100" s="3"/>
      <c r="D100" s="3"/>
      <c r="E100" s="3"/>
      <c r="G100" s="3"/>
      <c r="H100" s="3"/>
      <c r="I100" s="3"/>
      <c r="J100" s="3"/>
      <c r="L100" s="3"/>
      <c r="M100" s="3"/>
      <c r="N100" s="3"/>
      <c r="O100" s="3"/>
    </row>
    <row r="101" spans="1:15" s="6" customFormat="1" x14ac:dyDescent="0.2">
      <c r="A101" s="3"/>
      <c r="B101" s="3"/>
      <c r="C101" s="3"/>
      <c r="D101" s="3"/>
      <c r="E101" s="3"/>
      <c r="G101" s="3"/>
      <c r="H101" s="3"/>
      <c r="I101" s="3"/>
      <c r="J101" s="3"/>
      <c r="L101" s="3"/>
      <c r="M101" s="3"/>
      <c r="N101" s="3"/>
      <c r="O101" s="3"/>
    </row>
    <row r="102" spans="1:15" s="6" customFormat="1" x14ac:dyDescent="0.2">
      <c r="A102" s="3"/>
      <c r="B102" s="3"/>
      <c r="C102" s="3"/>
      <c r="D102" s="3"/>
      <c r="E102" s="3"/>
      <c r="G102" s="3"/>
      <c r="H102" s="3"/>
      <c r="I102" s="3"/>
      <c r="J102" s="3"/>
      <c r="L102" s="3"/>
      <c r="M102" s="3"/>
      <c r="N102" s="3"/>
      <c r="O102" s="3"/>
    </row>
    <row r="103" spans="1:15" s="6" customFormat="1" x14ac:dyDescent="0.2">
      <c r="A103" s="3"/>
      <c r="B103" s="3"/>
      <c r="C103" s="3"/>
      <c r="D103" s="3"/>
      <c r="E103" s="3"/>
      <c r="G103" s="3"/>
      <c r="H103" s="3"/>
      <c r="I103" s="3"/>
      <c r="J103" s="3"/>
      <c r="L103" s="3"/>
      <c r="M103" s="3"/>
      <c r="N103" s="3"/>
      <c r="O103" s="3"/>
    </row>
    <row r="104" spans="1:15" s="6" customFormat="1" x14ac:dyDescent="0.2">
      <c r="A104" s="3"/>
      <c r="B104" s="3"/>
      <c r="C104" s="3"/>
      <c r="D104" s="3"/>
      <c r="E104" s="3"/>
      <c r="G104" s="3"/>
      <c r="H104" s="3"/>
      <c r="I104" s="3"/>
      <c r="J104" s="3"/>
      <c r="L104" s="3"/>
      <c r="M104" s="3"/>
      <c r="N104" s="3"/>
      <c r="O104" s="3"/>
    </row>
    <row r="105" spans="1:15" s="6" customFormat="1" x14ac:dyDescent="0.2">
      <c r="A105" s="3"/>
      <c r="B105" s="3"/>
      <c r="C105" s="3"/>
      <c r="D105" s="3"/>
      <c r="E105" s="3"/>
      <c r="G105" s="3"/>
      <c r="H105" s="3"/>
      <c r="I105" s="3"/>
      <c r="J105" s="3"/>
      <c r="L105" s="3"/>
      <c r="M105" s="3"/>
      <c r="N105" s="3"/>
      <c r="O105" s="3"/>
    </row>
    <row r="106" spans="1:15" s="6" customFormat="1" x14ac:dyDescent="0.2">
      <c r="A106" s="3"/>
      <c r="B106" s="3"/>
      <c r="C106" s="3"/>
      <c r="D106" s="3"/>
      <c r="E106" s="3"/>
      <c r="G106" s="3"/>
      <c r="H106" s="3"/>
      <c r="I106" s="3"/>
      <c r="J106" s="3"/>
      <c r="L106" s="3"/>
      <c r="M106" s="3"/>
      <c r="N106" s="3"/>
      <c r="O106" s="3"/>
    </row>
    <row r="107" spans="1:15" s="6" customFormat="1" x14ac:dyDescent="0.2">
      <c r="A107" s="3"/>
      <c r="B107" s="3"/>
      <c r="C107" s="3"/>
      <c r="D107" s="3"/>
      <c r="E107" s="3"/>
      <c r="G107" s="3"/>
      <c r="H107" s="3"/>
      <c r="I107" s="3"/>
      <c r="J107" s="3"/>
      <c r="L107" s="3"/>
      <c r="M107" s="3"/>
      <c r="N107" s="3"/>
      <c r="O107" s="3"/>
    </row>
    <row r="118" spans="1:15" s="6" customFormat="1" x14ac:dyDescent="0.2">
      <c r="A118" s="3"/>
      <c r="B118" s="3"/>
      <c r="C118" s="3"/>
      <c r="D118" s="3"/>
      <c r="E118" s="3"/>
      <c r="G118" s="3"/>
      <c r="H118" s="3"/>
      <c r="I118" s="3"/>
      <c r="J118" s="3"/>
      <c r="L118" s="3"/>
      <c r="M118" s="3"/>
      <c r="N118" s="3"/>
      <c r="O118" s="3"/>
    </row>
    <row r="119" spans="1:15" s="6" customFormat="1" x14ac:dyDescent="0.2">
      <c r="A119" s="3"/>
      <c r="B119" s="3"/>
      <c r="C119" s="3"/>
      <c r="D119" s="3"/>
      <c r="E119" s="3"/>
      <c r="G119" s="3"/>
      <c r="H119" s="3"/>
      <c r="I119" s="3"/>
      <c r="J119" s="3"/>
      <c r="L119" s="3"/>
      <c r="M119" s="3"/>
      <c r="N119" s="3"/>
      <c r="O119" s="3"/>
    </row>
    <row r="120" spans="1:15" s="6" customFormat="1" x14ac:dyDescent="0.2">
      <c r="A120" s="3"/>
      <c r="B120" s="3"/>
      <c r="C120" s="3"/>
      <c r="D120" s="3"/>
      <c r="E120" s="3"/>
      <c r="G120" s="3"/>
      <c r="H120" s="3"/>
      <c r="I120" s="3"/>
      <c r="J120" s="3"/>
      <c r="L120" s="3"/>
      <c r="M120" s="3"/>
      <c r="N120" s="3"/>
      <c r="O120" s="3"/>
    </row>
    <row r="121" spans="1:15" s="6" customFormat="1" x14ac:dyDescent="0.2">
      <c r="A121" s="3"/>
      <c r="B121" s="3"/>
      <c r="C121" s="3"/>
      <c r="D121" s="3"/>
      <c r="E121" s="3"/>
      <c r="G121" s="3"/>
      <c r="H121" s="3"/>
      <c r="I121" s="3"/>
      <c r="J121" s="3"/>
      <c r="L121" s="3"/>
      <c r="M121" s="3"/>
      <c r="N121" s="3"/>
      <c r="O121" s="3"/>
    </row>
    <row r="122" spans="1:15" s="6" customFormat="1" x14ac:dyDescent="0.2">
      <c r="A122" s="3"/>
      <c r="B122" s="3"/>
      <c r="C122" s="3"/>
      <c r="D122" s="3"/>
      <c r="E122" s="3"/>
      <c r="G122" s="3"/>
      <c r="H122" s="3"/>
      <c r="I122" s="3"/>
      <c r="J122" s="3"/>
      <c r="L122" s="3"/>
      <c r="M122" s="3"/>
      <c r="N122" s="3"/>
      <c r="O122" s="3"/>
    </row>
    <row r="123" spans="1:15" s="6" customFormat="1" x14ac:dyDescent="0.2">
      <c r="A123" s="3"/>
      <c r="B123" s="3"/>
      <c r="C123" s="3"/>
      <c r="D123" s="3"/>
      <c r="E123" s="3"/>
      <c r="G123" s="3"/>
      <c r="H123" s="3"/>
      <c r="I123" s="3"/>
      <c r="J123" s="3"/>
      <c r="L123" s="3"/>
      <c r="M123" s="3"/>
      <c r="N123" s="3"/>
      <c r="O123" s="3"/>
    </row>
    <row r="124" spans="1:15" s="6" customFormat="1" x14ac:dyDescent="0.2">
      <c r="A124" s="3"/>
      <c r="B124" s="3"/>
      <c r="C124" s="3"/>
      <c r="D124" s="3"/>
      <c r="E124" s="3"/>
      <c r="G124" s="3"/>
      <c r="H124" s="3"/>
      <c r="I124" s="3"/>
      <c r="J124" s="3"/>
      <c r="L124" s="3"/>
      <c r="M124" s="3"/>
      <c r="N124" s="3"/>
      <c r="O124" s="3"/>
    </row>
  </sheetData>
  <mergeCells count="1">
    <mergeCell ref="A1:C1"/>
  </mergeCells>
  <pageMargins left="0.7" right="0.7" top="0.75" bottom="0.75" header="0.3" footer="0.3"/>
  <pageSetup orientation="portrait" horizontalDpi="4294967292" verticalDpi="4294967292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8"/>
  <sheetViews>
    <sheetView showGridLines="0" workbookViewId="0">
      <selection activeCell="H13" sqref="H13"/>
    </sheetView>
  </sheetViews>
  <sheetFormatPr baseColWidth="10" defaultRowHeight="18" x14ac:dyDescent="0.2"/>
  <cols>
    <col min="1" max="1" width="80.6640625" style="3" bestFit="1" customWidth="1"/>
    <col min="2" max="2" width="10.5" style="3" bestFit="1" customWidth="1"/>
    <col min="3" max="3" width="7.1640625" style="3" bestFit="1" customWidth="1"/>
    <col min="4" max="4" width="18.83203125" style="3" bestFit="1" customWidth="1"/>
    <col min="5" max="5" width="22.33203125" style="3" customWidth="1"/>
    <col min="6" max="16384" width="10.83203125" style="3"/>
  </cols>
  <sheetData>
    <row r="1" spans="1:5" ht="39" customHeight="1" x14ac:dyDescent="0.2">
      <c r="A1" s="63" t="s">
        <v>9</v>
      </c>
      <c r="B1" s="63"/>
      <c r="C1" s="63"/>
      <c r="D1" s="21"/>
    </row>
    <row r="3" spans="1:5" ht="33" customHeight="1" x14ac:dyDescent="0.2"/>
    <row r="4" spans="1:5" ht="20" customHeight="1" x14ac:dyDescent="0.2">
      <c r="A4" s="23" t="s">
        <v>16</v>
      </c>
    </row>
    <row r="5" spans="1:5" x14ac:dyDescent="0.2">
      <c r="A5" s="1" t="s">
        <v>10</v>
      </c>
      <c r="D5" s="2" t="s">
        <v>0</v>
      </c>
      <c r="E5" s="40" t="s">
        <v>59</v>
      </c>
    </row>
    <row r="6" spans="1:5" x14ac:dyDescent="0.2">
      <c r="A6" s="4" t="s">
        <v>47</v>
      </c>
      <c r="D6" s="12" t="s">
        <v>1</v>
      </c>
      <c r="E6" s="5">
        <v>100</v>
      </c>
    </row>
    <row r="7" spans="1:5" x14ac:dyDescent="0.2">
      <c r="A7" s="4" t="s">
        <v>17</v>
      </c>
      <c r="D7" s="19" t="s">
        <v>13</v>
      </c>
      <c r="E7" s="20"/>
    </row>
    <row r="8" spans="1:5" x14ac:dyDescent="0.2">
      <c r="A8" s="4"/>
      <c r="D8" s="19"/>
      <c r="E8" s="20"/>
    </row>
    <row r="9" spans="1:5" x14ac:dyDescent="0.2">
      <c r="A9" s="4"/>
      <c r="D9" s="19"/>
      <c r="E9" s="20"/>
    </row>
    <row r="10" spans="1:5" s="22" customFormat="1" ht="19" customHeight="1" x14ac:dyDescent="0.15">
      <c r="A10" s="44" t="s">
        <v>105</v>
      </c>
      <c r="B10" s="45" t="s">
        <v>4</v>
      </c>
      <c r="C10" s="45" t="s">
        <v>5</v>
      </c>
      <c r="D10" s="45" t="s">
        <v>3</v>
      </c>
      <c r="E10" s="45" t="s">
        <v>2</v>
      </c>
    </row>
    <row r="11" spans="1:5" x14ac:dyDescent="0.2">
      <c r="A11" s="46" t="s">
        <v>11</v>
      </c>
      <c r="B11" s="34"/>
      <c r="C11" s="34"/>
      <c r="D11" s="34"/>
      <c r="E11" s="34"/>
    </row>
    <row r="12" spans="1:5" x14ac:dyDescent="0.2">
      <c r="A12" s="47" t="s">
        <v>78</v>
      </c>
      <c r="B12" s="37">
        <v>2</v>
      </c>
      <c r="C12" s="36">
        <v>2</v>
      </c>
      <c r="D12" s="35">
        <v>285000</v>
      </c>
      <c r="E12" s="48">
        <f>B12*C12*D12</f>
        <v>1140000</v>
      </c>
    </row>
    <row r="13" spans="1:5" x14ac:dyDescent="0.2">
      <c r="A13" s="47" t="s">
        <v>45</v>
      </c>
      <c r="B13" s="37">
        <v>1</v>
      </c>
      <c r="C13" s="36">
        <v>1</v>
      </c>
      <c r="D13" s="35">
        <v>27777</v>
      </c>
      <c r="E13" s="48">
        <f>B13*C13*D13</f>
        <v>27777</v>
      </c>
    </row>
    <row r="14" spans="1:5" x14ac:dyDescent="0.2">
      <c r="A14" s="49" t="s">
        <v>61</v>
      </c>
      <c r="B14" s="41">
        <v>100</v>
      </c>
      <c r="C14" s="42">
        <v>0</v>
      </c>
      <c r="D14" s="43">
        <v>500</v>
      </c>
      <c r="E14" s="50">
        <f>B14*C14*D14</f>
        <v>0</v>
      </c>
    </row>
    <row r="15" spans="1:5" x14ac:dyDescent="0.2">
      <c r="A15" s="46" t="s">
        <v>18</v>
      </c>
      <c r="B15" s="34"/>
      <c r="C15" s="34"/>
      <c r="D15" s="34"/>
      <c r="E15" s="34"/>
    </row>
    <row r="16" spans="1:5" x14ac:dyDescent="0.2">
      <c r="A16" s="51" t="s">
        <v>63</v>
      </c>
      <c r="B16" s="25">
        <v>10</v>
      </c>
      <c r="C16" s="26">
        <v>1</v>
      </c>
      <c r="D16" s="39">
        <v>78900</v>
      </c>
      <c r="E16" s="33">
        <f>B16*C16*D16</f>
        <v>789000</v>
      </c>
    </row>
    <row r="17" spans="1:5" x14ac:dyDescent="0.2">
      <c r="A17" s="51" t="s">
        <v>62</v>
      </c>
      <c r="B17" s="25">
        <v>45</v>
      </c>
      <c r="C17" s="26">
        <v>1</v>
      </c>
      <c r="D17" s="39">
        <v>84900</v>
      </c>
      <c r="E17" s="33">
        <f>B17*C17*D17</f>
        <v>3820500</v>
      </c>
    </row>
    <row r="18" spans="1:5" x14ac:dyDescent="0.2">
      <c r="A18" s="51" t="s">
        <v>53</v>
      </c>
      <c r="B18" s="25">
        <v>6</v>
      </c>
      <c r="C18" s="26">
        <v>1</v>
      </c>
      <c r="D18" s="39">
        <v>84900</v>
      </c>
      <c r="E18" s="33">
        <f>B18*C18*D18</f>
        <v>509400</v>
      </c>
    </row>
    <row r="19" spans="1:5" x14ac:dyDescent="0.2">
      <c r="A19" s="46" t="s">
        <v>21</v>
      </c>
      <c r="B19" s="34"/>
      <c r="C19" s="34"/>
      <c r="D19" s="34"/>
      <c r="E19" s="34"/>
    </row>
    <row r="20" spans="1:5" x14ac:dyDescent="0.2">
      <c r="A20" s="51" t="s">
        <v>75</v>
      </c>
      <c r="B20" s="25">
        <v>1</v>
      </c>
      <c r="C20" s="26">
        <v>2</v>
      </c>
      <c r="D20" s="39">
        <v>340000</v>
      </c>
      <c r="E20" s="33">
        <f>B20*C20*D20</f>
        <v>680000</v>
      </c>
    </row>
    <row r="21" spans="1:5" x14ac:dyDescent="0.2">
      <c r="A21" s="47" t="s">
        <v>91</v>
      </c>
      <c r="B21" s="37">
        <v>1</v>
      </c>
      <c r="C21" s="36">
        <v>1</v>
      </c>
      <c r="D21" s="35">
        <v>300000</v>
      </c>
      <c r="E21" s="48">
        <f>B21*C21*D21</f>
        <v>300000</v>
      </c>
    </row>
    <row r="22" spans="1:5" x14ac:dyDescent="0.2">
      <c r="A22" s="49" t="s">
        <v>22</v>
      </c>
      <c r="B22" s="41">
        <v>0</v>
      </c>
      <c r="C22" s="42">
        <v>2</v>
      </c>
      <c r="D22" s="43">
        <v>15000</v>
      </c>
      <c r="E22" s="50">
        <f>B22*C22*D22</f>
        <v>0</v>
      </c>
    </row>
    <row r="23" spans="1:5" x14ac:dyDescent="0.2">
      <c r="A23" s="46" t="s">
        <v>79</v>
      </c>
      <c r="B23" s="34"/>
      <c r="C23" s="34"/>
      <c r="D23" s="34"/>
      <c r="E23" s="34"/>
    </row>
    <row r="24" spans="1:5" x14ac:dyDescent="0.2">
      <c r="A24" s="51" t="s">
        <v>81</v>
      </c>
      <c r="B24" s="25">
        <v>1</v>
      </c>
      <c r="C24" s="26">
        <v>1</v>
      </c>
      <c r="D24" s="39">
        <v>0</v>
      </c>
      <c r="E24" s="57" t="s">
        <v>80</v>
      </c>
    </row>
    <row r="25" spans="1:5" x14ac:dyDescent="0.2">
      <c r="A25" s="47" t="s">
        <v>82</v>
      </c>
      <c r="B25" s="37">
        <v>10</v>
      </c>
      <c r="C25" s="36">
        <v>1</v>
      </c>
      <c r="D25" s="35">
        <v>15000</v>
      </c>
      <c r="E25" s="48">
        <f>B25*C25*D25</f>
        <v>150000</v>
      </c>
    </row>
    <row r="26" spans="1:5" x14ac:dyDescent="0.2">
      <c r="A26" s="51" t="s">
        <v>83</v>
      </c>
      <c r="B26" s="25">
        <v>100</v>
      </c>
      <c r="C26" s="26">
        <v>1</v>
      </c>
      <c r="D26" s="39">
        <v>3800</v>
      </c>
      <c r="E26" s="33">
        <f>B26*C26*D26</f>
        <v>380000</v>
      </c>
    </row>
    <row r="27" spans="1:5" x14ac:dyDescent="0.2">
      <c r="A27" s="51" t="s">
        <v>87</v>
      </c>
      <c r="B27" s="25">
        <v>100</v>
      </c>
      <c r="C27" s="26">
        <v>1</v>
      </c>
      <c r="D27" s="39">
        <v>1550</v>
      </c>
      <c r="E27" s="33">
        <f>B27*C27*D27</f>
        <v>155000</v>
      </c>
    </row>
    <row r="28" spans="1:5" x14ac:dyDescent="0.2">
      <c r="A28" s="46" t="s">
        <v>42</v>
      </c>
      <c r="B28" s="34"/>
      <c r="C28" s="34"/>
      <c r="D28" s="34"/>
      <c r="E28" s="34"/>
    </row>
    <row r="29" spans="1:5" x14ac:dyDescent="0.2">
      <c r="A29" s="52" t="s">
        <v>19</v>
      </c>
      <c r="B29" s="38"/>
      <c r="C29" s="38"/>
      <c r="D29" s="38"/>
      <c r="E29" s="38"/>
    </row>
    <row r="30" spans="1:5" s="6" customFormat="1" x14ac:dyDescent="0.2">
      <c r="A30" s="54" t="s">
        <v>41</v>
      </c>
      <c r="B30" s="37">
        <v>100</v>
      </c>
      <c r="C30" s="36">
        <v>1</v>
      </c>
      <c r="D30" s="35">
        <v>6200</v>
      </c>
      <c r="E30" s="48">
        <f t="shared" ref="E30:E35" si="0">B30*C30*D30</f>
        <v>620000</v>
      </c>
    </row>
    <row r="31" spans="1:5" s="6" customFormat="1" x14ac:dyDescent="0.2">
      <c r="A31" s="54" t="s">
        <v>29</v>
      </c>
      <c r="B31" s="37">
        <v>100</v>
      </c>
      <c r="C31" s="36">
        <v>1</v>
      </c>
      <c r="D31" s="35">
        <v>3700</v>
      </c>
      <c r="E31" s="48">
        <f t="shared" si="0"/>
        <v>370000</v>
      </c>
    </row>
    <row r="32" spans="1:5" s="6" customFormat="1" x14ac:dyDescent="0.2">
      <c r="A32" s="54" t="s">
        <v>64</v>
      </c>
      <c r="B32" s="37">
        <v>100</v>
      </c>
      <c r="C32" s="36">
        <v>1</v>
      </c>
      <c r="D32" s="35">
        <v>14900</v>
      </c>
      <c r="E32" s="48">
        <f t="shared" si="0"/>
        <v>1490000</v>
      </c>
    </row>
    <row r="33" spans="1:5" s="6" customFormat="1" x14ac:dyDescent="0.2">
      <c r="A33" s="54" t="s">
        <v>20</v>
      </c>
      <c r="B33" s="37">
        <v>100</v>
      </c>
      <c r="C33" s="36">
        <v>1</v>
      </c>
      <c r="D33" s="35">
        <v>6200</v>
      </c>
      <c r="E33" s="48">
        <f t="shared" si="0"/>
        <v>620000</v>
      </c>
    </row>
    <row r="34" spans="1:5" s="6" customFormat="1" x14ac:dyDescent="0.2">
      <c r="A34" s="54" t="s">
        <v>38</v>
      </c>
      <c r="B34" s="37">
        <v>100</v>
      </c>
      <c r="C34" s="36">
        <v>1</v>
      </c>
      <c r="D34" s="35">
        <v>18000</v>
      </c>
      <c r="E34" s="48">
        <f t="shared" si="0"/>
        <v>1800000</v>
      </c>
    </row>
    <row r="35" spans="1:5" s="6" customFormat="1" x14ac:dyDescent="0.2">
      <c r="A35" s="54" t="s">
        <v>74</v>
      </c>
      <c r="B35" s="37">
        <v>100</v>
      </c>
      <c r="C35" s="36">
        <v>1</v>
      </c>
      <c r="D35" s="35">
        <v>10000</v>
      </c>
      <c r="E35" s="48">
        <f t="shared" si="0"/>
        <v>1000000</v>
      </c>
    </row>
    <row r="36" spans="1:5" x14ac:dyDescent="0.2">
      <c r="A36" s="46" t="s">
        <v>36</v>
      </c>
      <c r="B36" s="34"/>
      <c r="C36" s="34"/>
      <c r="D36" s="34"/>
      <c r="E36" s="34"/>
    </row>
    <row r="37" spans="1:5" x14ac:dyDescent="0.2">
      <c r="A37" s="52" t="s">
        <v>19</v>
      </c>
      <c r="B37" s="38"/>
      <c r="C37" s="38"/>
      <c r="D37" s="38"/>
      <c r="E37" s="38"/>
    </row>
    <row r="38" spans="1:5" x14ac:dyDescent="0.2">
      <c r="A38" s="54" t="s">
        <v>35</v>
      </c>
      <c r="B38" s="37">
        <v>100</v>
      </c>
      <c r="C38" s="36">
        <v>1</v>
      </c>
      <c r="D38" s="35">
        <v>0</v>
      </c>
      <c r="E38" s="55" t="s">
        <v>34</v>
      </c>
    </row>
    <row r="39" spans="1:5" s="62" customFormat="1" x14ac:dyDescent="0.2">
      <c r="A39" s="54" t="s">
        <v>29</v>
      </c>
      <c r="B39" s="37">
        <v>100</v>
      </c>
      <c r="C39" s="36">
        <v>1</v>
      </c>
      <c r="D39" s="35">
        <v>6200</v>
      </c>
      <c r="E39" s="48">
        <f>B39*C39*D39</f>
        <v>620000</v>
      </c>
    </row>
    <row r="40" spans="1:5" s="62" customFormat="1" x14ac:dyDescent="0.2">
      <c r="A40" s="54" t="s">
        <v>64</v>
      </c>
      <c r="B40" s="37">
        <v>100</v>
      </c>
      <c r="C40" s="36">
        <v>1</v>
      </c>
      <c r="D40" s="35">
        <v>14900</v>
      </c>
      <c r="E40" s="48">
        <f t="shared" ref="E40" si="1">B40*C40*D40</f>
        <v>1490000</v>
      </c>
    </row>
    <row r="41" spans="1:5" s="62" customFormat="1" x14ac:dyDescent="0.2">
      <c r="A41" s="54" t="s">
        <v>20</v>
      </c>
      <c r="B41" s="37">
        <v>100</v>
      </c>
      <c r="C41" s="36">
        <v>1</v>
      </c>
      <c r="D41" s="35">
        <v>6200</v>
      </c>
      <c r="E41" s="48">
        <f>B41*C41*D41</f>
        <v>620000</v>
      </c>
    </row>
    <row r="42" spans="1:5" s="24" customFormat="1" x14ac:dyDescent="0.2">
      <c r="A42" s="54" t="s">
        <v>33</v>
      </c>
      <c r="B42" s="37">
        <v>100</v>
      </c>
      <c r="C42" s="36">
        <v>1</v>
      </c>
      <c r="D42" s="35">
        <v>2000</v>
      </c>
      <c r="E42" s="48">
        <f>B42*C42*D42</f>
        <v>200000</v>
      </c>
    </row>
    <row r="43" spans="1:5" s="24" customFormat="1" x14ac:dyDescent="0.2">
      <c r="A43" s="46" t="s">
        <v>48</v>
      </c>
      <c r="B43" s="34"/>
      <c r="C43" s="34"/>
      <c r="D43" s="34"/>
      <c r="E43" s="34"/>
    </row>
    <row r="44" spans="1:5" s="24" customFormat="1" x14ac:dyDescent="0.15">
      <c r="A44" s="47" t="s">
        <v>49</v>
      </c>
      <c r="B44" s="37">
        <v>100</v>
      </c>
      <c r="C44" s="36">
        <v>1</v>
      </c>
      <c r="D44" s="56">
        <v>15500</v>
      </c>
      <c r="E44" s="48">
        <f t="shared" ref="E44:E45" si="2">B44*C44*D44</f>
        <v>1550000</v>
      </c>
    </row>
    <row r="45" spans="1:5" s="24" customFormat="1" x14ac:dyDescent="0.15">
      <c r="A45" s="47" t="s">
        <v>50</v>
      </c>
      <c r="B45" s="37">
        <v>100</v>
      </c>
      <c r="C45" s="36">
        <v>0</v>
      </c>
      <c r="D45" s="56">
        <v>4500</v>
      </c>
      <c r="E45" s="48">
        <f t="shared" si="2"/>
        <v>0</v>
      </c>
    </row>
    <row r="46" spans="1:5" s="24" customFormat="1" x14ac:dyDescent="0.2">
      <c r="A46" s="46" t="s">
        <v>14</v>
      </c>
      <c r="B46" s="34"/>
      <c r="C46" s="34"/>
      <c r="D46" s="34"/>
      <c r="E46" s="34"/>
    </row>
    <row r="47" spans="1:5" x14ac:dyDescent="0.2">
      <c r="A47" s="51" t="s">
        <v>15</v>
      </c>
      <c r="B47" s="25">
        <v>2</v>
      </c>
      <c r="C47" s="26">
        <v>1</v>
      </c>
      <c r="D47" s="27">
        <v>350000</v>
      </c>
      <c r="E47" s="33">
        <f t="shared" ref="E47:E75" si="3">B47*C47*D47</f>
        <v>700000</v>
      </c>
    </row>
    <row r="48" spans="1:5" x14ac:dyDescent="0.2">
      <c r="A48" s="51" t="s">
        <v>66</v>
      </c>
      <c r="B48" s="25">
        <v>1</v>
      </c>
      <c r="C48" s="26">
        <v>1</v>
      </c>
      <c r="D48" s="27">
        <v>180000</v>
      </c>
      <c r="E48" s="33">
        <f t="shared" si="3"/>
        <v>180000</v>
      </c>
    </row>
    <row r="49" spans="1:5" x14ac:dyDescent="0.2">
      <c r="A49" s="51" t="s">
        <v>23</v>
      </c>
      <c r="B49" s="25">
        <v>2</v>
      </c>
      <c r="C49" s="26">
        <v>0</v>
      </c>
      <c r="D49" s="27">
        <v>350000</v>
      </c>
      <c r="E49" s="57" t="s">
        <v>54</v>
      </c>
    </row>
    <row r="50" spans="1:5" x14ac:dyDescent="0.2">
      <c r="A50" s="51" t="s">
        <v>68</v>
      </c>
      <c r="B50" s="25">
        <v>2</v>
      </c>
      <c r="C50" s="26">
        <v>10</v>
      </c>
      <c r="D50" s="33">
        <v>65000</v>
      </c>
      <c r="E50" s="33">
        <f t="shared" si="3"/>
        <v>1300000</v>
      </c>
    </row>
    <row r="51" spans="1:5" x14ac:dyDescent="0.2">
      <c r="A51" s="51" t="s">
        <v>56</v>
      </c>
      <c r="B51" s="25">
        <v>1</v>
      </c>
      <c r="C51" s="26">
        <v>2</v>
      </c>
      <c r="D51" s="33">
        <v>250000</v>
      </c>
      <c r="E51" s="33">
        <f t="shared" si="3"/>
        <v>500000</v>
      </c>
    </row>
    <row r="52" spans="1:5" x14ac:dyDescent="0.2">
      <c r="A52" s="51" t="s">
        <v>51</v>
      </c>
      <c r="B52" s="25">
        <v>1</v>
      </c>
      <c r="C52" s="26">
        <v>1</v>
      </c>
      <c r="D52" s="27">
        <v>88888</v>
      </c>
      <c r="E52" s="33">
        <f t="shared" si="3"/>
        <v>88888</v>
      </c>
    </row>
    <row r="53" spans="1:5" x14ac:dyDescent="0.2">
      <c r="A53" s="51" t="s">
        <v>69</v>
      </c>
      <c r="B53" s="25">
        <v>10</v>
      </c>
      <c r="C53" s="26">
        <v>1</v>
      </c>
      <c r="D53" s="27">
        <v>65000</v>
      </c>
      <c r="E53" s="33">
        <f t="shared" si="3"/>
        <v>650000</v>
      </c>
    </row>
    <row r="54" spans="1:5" x14ac:dyDescent="0.2">
      <c r="A54" s="51" t="s">
        <v>24</v>
      </c>
      <c r="B54" s="25">
        <v>2</v>
      </c>
      <c r="C54" s="26">
        <v>1</v>
      </c>
      <c r="D54" s="27">
        <v>550000</v>
      </c>
      <c r="E54" s="33">
        <f t="shared" si="3"/>
        <v>1100000</v>
      </c>
    </row>
    <row r="55" spans="1:5" x14ac:dyDescent="0.2">
      <c r="A55" s="51" t="s">
        <v>25</v>
      </c>
      <c r="B55" s="25">
        <v>1</v>
      </c>
      <c r="C55" s="26">
        <v>1</v>
      </c>
      <c r="D55" s="27">
        <v>320000</v>
      </c>
      <c r="E55" s="33">
        <f>B55*C55*D55</f>
        <v>320000</v>
      </c>
    </row>
    <row r="56" spans="1:5" s="6" customFormat="1" x14ac:dyDescent="0.2">
      <c r="A56" s="51" t="s">
        <v>26</v>
      </c>
      <c r="B56" s="25">
        <v>1</v>
      </c>
      <c r="C56" s="26">
        <v>1</v>
      </c>
      <c r="D56" s="27">
        <v>200000</v>
      </c>
      <c r="E56" s="33">
        <f t="shared" ref="E56:E62" si="4">B56*C56*D56</f>
        <v>200000</v>
      </c>
    </row>
    <row r="57" spans="1:5" s="6" customFormat="1" x14ac:dyDescent="0.2">
      <c r="A57" s="51" t="s">
        <v>57</v>
      </c>
      <c r="B57" s="25">
        <v>1</v>
      </c>
      <c r="C57" s="26">
        <v>2</v>
      </c>
      <c r="D57" s="33">
        <v>350000</v>
      </c>
      <c r="E57" s="33">
        <f t="shared" si="4"/>
        <v>700000</v>
      </c>
    </row>
    <row r="58" spans="1:5" s="6" customFormat="1" x14ac:dyDescent="0.2">
      <c r="A58" s="51" t="s">
        <v>70</v>
      </c>
      <c r="B58" s="25">
        <v>1</v>
      </c>
      <c r="C58" s="26">
        <v>1</v>
      </c>
      <c r="D58" s="33">
        <v>100000</v>
      </c>
      <c r="E58" s="33">
        <f t="shared" si="4"/>
        <v>100000</v>
      </c>
    </row>
    <row r="59" spans="1:5" s="6" customFormat="1" x14ac:dyDescent="0.2">
      <c r="A59" s="51" t="s">
        <v>31</v>
      </c>
      <c r="B59" s="25">
        <v>1</v>
      </c>
      <c r="C59" s="26">
        <v>1</v>
      </c>
      <c r="D59" s="27">
        <v>1150000</v>
      </c>
      <c r="E59" s="33">
        <f t="shared" si="4"/>
        <v>1150000</v>
      </c>
    </row>
    <row r="60" spans="1:5" s="6" customFormat="1" x14ac:dyDescent="0.2">
      <c r="A60" s="51" t="s">
        <v>32</v>
      </c>
      <c r="B60" s="25">
        <v>0</v>
      </c>
      <c r="C60" s="26">
        <v>1</v>
      </c>
      <c r="D60" s="27">
        <v>1500000</v>
      </c>
      <c r="E60" s="33">
        <f t="shared" si="4"/>
        <v>0</v>
      </c>
    </row>
    <row r="61" spans="1:5" s="6" customFormat="1" x14ac:dyDescent="0.2">
      <c r="A61" s="51" t="s">
        <v>77</v>
      </c>
      <c r="B61" s="25">
        <v>0</v>
      </c>
      <c r="C61" s="26">
        <v>1</v>
      </c>
      <c r="D61" s="27">
        <v>777777</v>
      </c>
      <c r="E61" s="33">
        <f t="shared" si="4"/>
        <v>0</v>
      </c>
    </row>
    <row r="62" spans="1:5" s="6" customFormat="1" x14ac:dyDescent="0.2">
      <c r="A62" s="51" t="s">
        <v>55</v>
      </c>
      <c r="B62" s="25">
        <v>1</v>
      </c>
      <c r="C62" s="26">
        <v>1</v>
      </c>
      <c r="D62" s="33">
        <v>900000</v>
      </c>
      <c r="E62" s="33">
        <f t="shared" si="4"/>
        <v>900000</v>
      </c>
    </row>
    <row r="63" spans="1:5" s="24" customFormat="1" x14ac:dyDescent="0.2">
      <c r="A63" s="46" t="s">
        <v>90</v>
      </c>
      <c r="B63" s="34"/>
      <c r="C63" s="34"/>
      <c r="D63" s="34"/>
      <c r="E63" s="34"/>
    </row>
    <row r="64" spans="1:5" s="6" customFormat="1" x14ac:dyDescent="0.2">
      <c r="A64" s="47" t="s">
        <v>30</v>
      </c>
      <c r="B64" s="37">
        <v>1</v>
      </c>
      <c r="C64" s="36">
        <v>1</v>
      </c>
      <c r="D64" s="56">
        <f>B64*27000*100</f>
        <v>2700000</v>
      </c>
      <c r="E64" s="48">
        <f t="shared" ref="E64:E66" si="5">B64*C64*D64</f>
        <v>2700000</v>
      </c>
    </row>
    <row r="65" spans="1:5" s="6" customFormat="1" x14ac:dyDescent="0.2">
      <c r="A65" s="47" t="s">
        <v>88</v>
      </c>
      <c r="B65" s="37">
        <v>1</v>
      </c>
      <c r="C65" s="36">
        <v>0</v>
      </c>
      <c r="D65" s="56">
        <f>B65*27000*100</f>
        <v>2700000</v>
      </c>
      <c r="E65" s="48">
        <f t="shared" si="5"/>
        <v>0</v>
      </c>
    </row>
    <row r="66" spans="1:5" s="6" customFormat="1" x14ac:dyDescent="0.2">
      <c r="A66" s="47" t="s">
        <v>52</v>
      </c>
      <c r="B66" s="37">
        <v>0</v>
      </c>
      <c r="C66" s="36">
        <v>1</v>
      </c>
      <c r="D66" s="56">
        <v>6000000</v>
      </c>
      <c r="E66" s="48">
        <f t="shared" si="5"/>
        <v>0</v>
      </c>
    </row>
    <row r="67" spans="1:5" s="24" customFormat="1" x14ac:dyDescent="0.2">
      <c r="A67" s="46" t="s">
        <v>85</v>
      </c>
      <c r="B67" s="34"/>
      <c r="C67" s="34"/>
      <c r="D67" s="34"/>
      <c r="E67" s="34"/>
    </row>
    <row r="68" spans="1:5" s="24" customFormat="1" x14ac:dyDescent="0.15">
      <c r="A68" s="47" t="s">
        <v>89</v>
      </c>
      <c r="B68" s="37">
        <v>1</v>
      </c>
      <c r="C68" s="36">
        <v>1</v>
      </c>
      <c r="D68" s="56">
        <v>400000</v>
      </c>
      <c r="E68" s="48">
        <f t="shared" ref="E68:E69" si="6">B68*C68*D68</f>
        <v>400000</v>
      </c>
    </row>
    <row r="69" spans="1:5" s="24" customFormat="1" ht="36" x14ac:dyDescent="0.15">
      <c r="A69" s="47" t="s">
        <v>86</v>
      </c>
      <c r="B69" s="37">
        <v>50</v>
      </c>
      <c r="C69" s="36">
        <v>1</v>
      </c>
      <c r="D69" s="56">
        <v>8000</v>
      </c>
      <c r="E69" s="48">
        <f t="shared" si="6"/>
        <v>400000</v>
      </c>
    </row>
    <row r="70" spans="1:5" s="24" customFormat="1" x14ac:dyDescent="0.2">
      <c r="A70" s="46" t="s">
        <v>84</v>
      </c>
      <c r="B70" s="34"/>
      <c r="C70" s="34"/>
      <c r="D70" s="34"/>
      <c r="E70" s="34"/>
    </row>
    <row r="71" spans="1:5" s="6" customFormat="1" x14ac:dyDescent="0.2">
      <c r="A71" s="51" t="s">
        <v>12</v>
      </c>
      <c r="B71" s="25">
        <v>1</v>
      </c>
      <c r="C71" s="26">
        <v>1</v>
      </c>
      <c r="D71" s="27">
        <v>555555</v>
      </c>
      <c r="E71" s="33">
        <f t="shared" si="3"/>
        <v>555555</v>
      </c>
    </row>
    <row r="72" spans="1:5" s="6" customFormat="1" x14ac:dyDescent="0.2">
      <c r="A72" s="51" t="s">
        <v>58</v>
      </c>
      <c r="B72" s="25">
        <v>1</v>
      </c>
      <c r="C72" s="26">
        <v>2</v>
      </c>
      <c r="D72" s="33">
        <v>188888</v>
      </c>
      <c r="E72" s="33">
        <f t="shared" si="3"/>
        <v>377776</v>
      </c>
    </row>
    <row r="73" spans="1:5" s="6" customFormat="1" x14ac:dyDescent="0.2">
      <c r="A73" s="51" t="s">
        <v>60</v>
      </c>
      <c r="B73" s="25">
        <v>2</v>
      </c>
      <c r="C73" s="26">
        <v>1</v>
      </c>
      <c r="D73" s="33">
        <v>88888</v>
      </c>
      <c r="E73" s="33">
        <f t="shared" si="3"/>
        <v>177776</v>
      </c>
    </row>
    <row r="74" spans="1:5" s="6" customFormat="1" x14ac:dyDescent="0.2">
      <c r="A74" s="51" t="s">
        <v>27</v>
      </c>
      <c r="B74" s="25">
        <v>1</v>
      </c>
      <c r="C74" s="26">
        <v>1</v>
      </c>
      <c r="D74" s="27">
        <v>850000</v>
      </c>
      <c r="E74" s="33">
        <f t="shared" si="3"/>
        <v>850000</v>
      </c>
    </row>
    <row r="75" spans="1:5" s="6" customFormat="1" x14ac:dyDescent="0.2">
      <c r="A75" s="51" t="s">
        <v>28</v>
      </c>
      <c r="B75" s="25">
        <v>12</v>
      </c>
      <c r="C75" s="26">
        <v>2</v>
      </c>
      <c r="D75" s="27">
        <v>35000</v>
      </c>
      <c r="E75" s="33">
        <f t="shared" si="3"/>
        <v>840000</v>
      </c>
    </row>
    <row r="76" spans="1:5" s="6" customFormat="1" ht="19" thickBot="1" x14ac:dyDescent="0.25">
      <c r="A76" s="28"/>
      <c r="B76" s="29"/>
      <c r="C76" s="30"/>
      <c r="D76" s="31"/>
      <c r="E76" s="32"/>
    </row>
    <row r="77" spans="1:5" s="6" customFormat="1" x14ac:dyDescent="0.2">
      <c r="A77" s="13"/>
      <c r="B77" s="9"/>
      <c r="C77" s="9"/>
      <c r="D77" s="17" t="s">
        <v>6</v>
      </c>
      <c r="E77" s="18">
        <f>SUM(E12:E75)</f>
        <v>32521672</v>
      </c>
    </row>
    <row r="78" spans="1:5" s="6" customFormat="1" x14ac:dyDescent="0.2">
      <c r="A78" s="3"/>
      <c r="B78" s="11"/>
      <c r="C78" s="11"/>
      <c r="D78" s="16" t="s">
        <v>8</v>
      </c>
      <c r="E78" s="15">
        <f>E77*15%</f>
        <v>4878250.8</v>
      </c>
    </row>
    <row r="79" spans="1:5" s="6" customFormat="1" x14ac:dyDescent="0.2">
      <c r="A79" s="13"/>
      <c r="B79" s="11"/>
      <c r="C79" s="11"/>
      <c r="D79" s="16" t="s">
        <v>7</v>
      </c>
      <c r="E79" s="15">
        <f>E77+E78</f>
        <v>37399922.799999997</v>
      </c>
    </row>
    <row r="80" spans="1:5" s="6" customFormat="1" x14ac:dyDescent="0.2">
      <c r="A80" s="14"/>
      <c r="D80" s="58" t="s">
        <v>71</v>
      </c>
      <c r="E80" s="59">
        <v>1500000</v>
      </c>
    </row>
    <row r="81" spans="1:5" s="6" customFormat="1" ht="19" thickBot="1" x14ac:dyDescent="0.25">
      <c r="A81" s="13"/>
      <c r="C81" s="7"/>
      <c r="D81" s="60" t="s">
        <v>72</v>
      </c>
      <c r="E81" s="61">
        <f>E79+E80</f>
        <v>38899922.799999997</v>
      </c>
    </row>
    <row r="82" spans="1:5" s="6" customFormat="1" x14ac:dyDescent="0.2">
      <c r="A82" s="13"/>
      <c r="C82" s="7"/>
      <c r="D82" s="8"/>
      <c r="E82" s="10"/>
    </row>
    <row r="83" spans="1:5" s="6" customFormat="1" x14ac:dyDescent="0.2">
      <c r="C83" s="7"/>
    </row>
    <row r="84" spans="1:5" s="6" customFormat="1" x14ac:dyDescent="0.2">
      <c r="C84" s="7"/>
    </row>
    <row r="85" spans="1:5" s="6" customFormat="1" x14ac:dyDescent="0.2"/>
    <row r="86" spans="1:5" s="6" customFormat="1" x14ac:dyDescent="0.2">
      <c r="A86" s="3"/>
      <c r="B86" s="3"/>
      <c r="C86" s="3"/>
      <c r="D86" s="3"/>
      <c r="E86" s="3"/>
    </row>
    <row r="87" spans="1:5" s="6" customFormat="1" x14ac:dyDescent="0.2">
      <c r="A87" s="3"/>
      <c r="B87" s="3"/>
      <c r="C87" s="3"/>
      <c r="D87" s="3"/>
      <c r="E87" s="3"/>
    </row>
    <row r="88" spans="1:5" s="6" customFormat="1" x14ac:dyDescent="0.2">
      <c r="A88" s="3"/>
      <c r="B88" s="3"/>
      <c r="C88" s="3"/>
      <c r="D88" s="3"/>
      <c r="E88" s="3"/>
    </row>
    <row r="89" spans="1:5" s="6" customFormat="1" x14ac:dyDescent="0.2">
      <c r="A89" s="3"/>
      <c r="B89" s="3"/>
      <c r="C89" s="3"/>
      <c r="D89" s="3"/>
      <c r="E89" s="3"/>
    </row>
    <row r="90" spans="1:5" s="6" customFormat="1" x14ac:dyDescent="0.2">
      <c r="A90" s="3"/>
      <c r="B90" s="3"/>
      <c r="C90" s="3"/>
      <c r="D90" s="3"/>
      <c r="E90" s="3"/>
    </row>
    <row r="91" spans="1:5" s="6" customFormat="1" x14ac:dyDescent="0.2">
      <c r="A91" s="3"/>
      <c r="B91" s="3"/>
      <c r="C91" s="3"/>
      <c r="D91" s="3"/>
      <c r="E91" s="3"/>
    </row>
    <row r="92" spans="1:5" s="6" customFormat="1" x14ac:dyDescent="0.2">
      <c r="A92" s="3"/>
      <c r="B92" s="3"/>
      <c r="C92" s="3"/>
      <c r="D92" s="3"/>
      <c r="E92" s="3"/>
    </row>
    <row r="93" spans="1:5" s="6" customFormat="1" x14ac:dyDescent="0.2">
      <c r="A93" s="3"/>
      <c r="B93" s="3"/>
      <c r="C93" s="3"/>
      <c r="D93" s="3"/>
      <c r="E93" s="3"/>
    </row>
    <row r="94" spans="1:5" s="6" customFormat="1" x14ac:dyDescent="0.2">
      <c r="A94" s="3"/>
      <c r="B94" s="3"/>
      <c r="C94" s="3"/>
      <c r="D94" s="3"/>
      <c r="E94" s="3"/>
    </row>
    <row r="95" spans="1:5" s="6" customFormat="1" x14ac:dyDescent="0.2">
      <c r="A95" s="3"/>
      <c r="B95" s="3"/>
      <c r="C95" s="3"/>
      <c r="D95" s="3"/>
      <c r="E95" s="3"/>
    </row>
    <row r="96" spans="1:5" s="6" customFormat="1" x14ac:dyDescent="0.2">
      <c r="A96" s="3"/>
      <c r="B96" s="3"/>
      <c r="C96" s="3"/>
      <c r="D96" s="3"/>
      <c r="E96" s="3"/>
    </row>
    <row r="97" spans="1:5" s="6" customFormat="1" x14ac:dyDescent="0.2">
      <c r="A97" s="3"/>
      <c r="B97" s="3"/>
      <c r="C97" s="3"/>
      <c r="D97" s="3"/>
      <c r="E97" s="3"/>
    </row>
    <row r="98" spans="1:5" s="6" customFormat="1" x14ac:dyDescent="0.2">
      <c r="A98" s="3"/>
      <c r="B98" s="3"/>
      <c r="C98" s="3"/>
      <c r="D98" s="3"/>
      <c r="E98" s="3"/>
    </row>
    <row r="99" spans="1:5" s="6" customFormat="1" x14ac:dyDescent="0.2">
      <c r="A99" s="3"/>
      <c r="B99" s="3"/>
      <c r="C99" s="3"/>
      <c r="D99" s="3"/>
      <c r="E99" s="3"/>
    </row>
    <row r="100" spans="1:5" s="6" customFormat="1" x14ac:dyDescent="0.2">
      <c r="A100" s="3"/>
      <c r="B100" s="3"/>
      <c r="C100" s="3"/>
      <c r="D100" s="3"/>
      <c r="E100" s="3"/>
    </row>
    <row r="101" spans="1:5" s="6" customFormat="1" x14ac:dyDescent="0.2">
      <c r="A101" s="3"/>
      <c r="B101" s="3"/>
      <c r="C101" s="3"/>
      <c r="D101" s="3"/>
      <c r="E101" s="3"/>
    </row>
    <row r="112" spans="1:5" s="6" customFormat="1" x14ac:dyDescent="0.2">
      <c r="A112" s="3"/>
      <c r="B112" s="3"/>
      <c r="C112" s="3"/>
      <c r="D112" s="3"/>
      <c r="E112" s="3"/>
    </row>
    <row r="113" spans="1:5" s="6" customFormat="1" x14ac:dyDescent="0.2">
      <c r="A113" s="3"/>
      <c r="B113" s="3"/>
      <c r="C113" s="3"/>
      <c r="D113" s="3"/>
      <c r="E113" s="3"/>
    </row>
    <row r="114" spans="1:5" s="6" customFormat="1" x14ac:dyDescent="0.2">
      <c r="A114" s="3"/>
      <c r="B114" s="3"/>
      <c r="C114" s="3"/>
      <c r="D114" s="3"/>
      <c r="E114" s="3"/>
    </row>
    <row r="115" spans="1:5" s="6" customFormat="1" x14ac:dyDescent="0.2">
      <c r="A115" s="3"/>
      <c r="B115" s="3"/>
      <c r="C115" s="3"/>
      <c r="D115" s="3"/>
      <c r="E115" s="3"/>
    </row>
    <row r="116" spans="1:5" s="6" customFormat="1" x14ac:dyDescent="0.2">
      <c r="A116" s="3"/>
      <c r="B116" s="3"/>
      <c r="C116" s="3"/>
      <c r="D116" s="3"/>
      <c r="E116" s="3"/>
    </row>
    <row r="117" spans="1:5" s="6" customFormat="1" x14ac:dyDescent="0.2">
      <c r="A117" s="3"/>
      <c r="B117" s="3"/>
      <c r="C117" s="3"/>
      <c r="D117" s="3"/>
      <c r="E117" s="3"/>
    </row>
    <row r="118" spans="1:5" s="6" customFormat="1" x14ac:dyDescent="0.2">
      <c r="A118" s="3"/>
      <c r="B118" s="3"/>
      <c r="C118" s="3"/>
      <c r="D118" s="3"/>
      <c r="E118" s="3"/>
    </row>
  </sheetData>
  <mergeCells count="1">
    <mergeCell ref="A1:C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1"/>
  <sheetViews>
    <sheetView showGridLines="0" topLeftCell="A8" workbookViewId="0">
      <selection activeCell="B8" sqref="B1:E1048576"/>
    </sheetView>
  </sheetViews>
  <sheetFormatPr baseColWidth="10" defaultRowHeight="18" x14ac:dyDescent="0.2"/>
  <cols>
    <col min="1" max="1" width="80.6640625" style="3" bestFit="1" customWidth="1"/>
    <col min="2" max="2" width="10.5" style="3" bestFit="1" customWidth="1"/>
    <col min="3" max="3" width="7.1640625" style="3" bestFit="1" customWidth="1"/>
    <col min="4" max="4" width="18.83203125" style="3" bestFit="1" customWidth="1"/>
    <col min="5" max="5" width="22.33203125" style="3" customWidth="1"/>
    <col min="6" max="6" width="10.83203125" style="3"/>
    <col min="7" max="7" width="15" style="3" bestFit="1" customWidth="1"/>
    <col min="8" max="16384" width="10.83203125" style="3"/>
  </cols>
  <sheetData>
    <row r="1" spans="1:5" ht="39" customHeight="1" x14ac:dyDescent="0.2">
      <c r="A1" s="63" t="s">
        <v>9</v>
      </c>
      <c r="B1" s="63"/>
      <c r="C1" s="63"/>
      <c r="D1" s="21"/>
    </row>
    <row r="3" spans="1:5" ht="33" customHeight="1" x14ac:dyDescent="0.2"/>
    <row r="4" spans="1:5" ht="20" customHeight="1" x14ac:dyDescent="0.2">
      <c r="A4" s="23" t="s">
        <v>16</v>
      </c>
    </row>
    <row r="5" spans="1:5" x14ac:dyDescent="0.2">
      <c r="A5" s="1" t="s">
        <v>10</v>
      </c>
      <c r="D5" s="2" t="s">
        <v>0</v>
      </c>
      <c r="E5" s="40" t="s">
        <v>59</v>
      </c>
    </row>
    <row r="6" spans="1:5" x14ac:dyDescent="0.2">
      <c r="A6" s="4" t="s">
        <v>47</v>
      </c>
      <c r="D6" s="12" t="s">
        <v>1</v>
      </c>
      <c r="E6" s="5">
        <v>100</v>
      </c>
    </row>
    <row r="7" spans="1:5" x14ac:dyDescent="0.2">
      <c r="A7" s="4" t="s">
        <v>17</v>
      </c>
      <c r="D7" s="19" t="s">
        <v>13</v>
      </c>
      <c r="E7" s="20"/>
    </row>
    <row r="8" spans="1:5" x14ac:dyDescent="0.2">
      <c r="A8" s="4"/>
      <c r="D8" s="19"/>
      <c r="E8" s="20"/>
    </row>
    <row r="9" spans="1:5" x14ac:dyDescent="0.2">
      <c r="A9" s="4"/>
      <c r="D9" s="19"/>
      <c r="E9" s="20"/>
    </row>
    <row r="10" spans="1:5" s="22" customFormat="1" ht="19" customHeight="1" x14ac:dyDescent="0.15">
      <c r="A10" s="44" t="s">
        <v>104</v>
      </c>
      <c r="B10" s="45" t="s">
        <v>4</v>
      </c>
      <c r="C10" s="45" t="s">
        <v>5</v>
      </c>
      <c r="D10" s="45" t="s">
        <v>3</v>
      </c>
      <c r="E10" s="45" t="s">
        <v>2</v>
      </c>
    </row>
    <row r="11" spans="1:5" x14ac:dyDescent="0.2">
      <c r="A11" s="46" t="s">
        <v>11</v>
      </c>
      <c r="B11" s="34"/>
      <c r="C11" s="34"/>
      <c r="D11" s="34"/>
      <c r="E11" s="34"/>
    </row>
    <row r="12" spans="1:5" x14ac:dyDescent="0.2">
      <c r="A12" s="47" t="s">
        <v>103</v>
      </c>
      <c r="B12" s="37">
        <v>4</v>
      </c>
      <c r="C12" s="36">
        <v>2</v>
      </c>
      <c r="D12" s="35">
        <v>290000</v>
      </c>
      <c r="E12" s="48">
        <f>B12*C12*D12</f>
        <v>2320000</v>
      </c>
    </row>
    <row r="13" spans="1:5" x14ac:dyDescent="0.2">
      <c r="A13" s="47" t="s">
        <v>45</v>
      </c>
      <c r="B13" s="37">
        <v>1</v>
      </c>
      <c r="C13" s="36">
        <v>1</v>
      </c>
      <c r="D13" s="35">
        <v>27777</v>
      </c>
      <c r="E13" s="48">
        <f>B13*C13*D13</f>
        <v>27777</v>
      </c>
    </row>
    <row r="14" spans="1:5" x14ac:dyDescent="0.2">
      <c r="A14" s="49" t="s">
        <v>61</v>
      </c>
      <c r="B14" s="41">
        <v>100</v>
      </c>
      <c r="C14" s="42">
        <v>0</v>
      </c>
      <c r="D14" s="43">
        <v>500</v>
      </c>
      <c r="E14" s="50">
        <f>B14*C14*D14</f>
        <v>0</v>
      </c>
    </row>
    <row r="15" spans="1:5" x14ac:dyDescent="0.2">
      <c r="A15" s="46" t="s">
        <v>18</v>
      </c>
      <c r="B15" s="34"/>
      <c r="C15" s="34"/>
      <c r="D15" s="34"/>
      <c r="E15" s="34"/>
    </row>
    <row r="16" spans="1:5" x14ac:dyDescent="0.2">
      <c r="A16" s="51" t="s">
        <v>92</v>
      </c>
      <c r="B16" s="25">
        <v>30</v>
      </c>
      <c r="C16" s="26">
        <v>1</v>
      </c>
      <c r="D16" s="39">
        <v>99000</v>
      </c>
      <c r="E16" s="33">
        <f>B16*C16*D16</f>
        <v>2970000</v>
      </c>
    </row>
    <row r="17" spans="1:7" x14ac:dyDescent="0.2">
      <c r="A17" s="51" t="s">
        <v>95</v>
      </c>
      <c r="B17" s="25">
        <v>35</v>
      </c>
      <c r="C17" s="26">
        <v>1</v>
      </c>
      <c r="D17" s="39">
        <v>113500</v>
      </c>
      <c r="E17" s="33">
        <f>B17*C17*D17</f>
        <v>3972500</v>
      </c>
      <c r="G17" s="64"/>
    </row>
    <row r="18" spans="1:7" x14ac:dyDescent="0.2">
      <c r="A18" s="51" t="s">
        <v>93</v>
      </c>
      <c r="B18" s="25">
        <v>12</v>
      </c>
      <c r="C18" s="26">
        <v>1</v>
      </c>
      <c r="D18" s="39">
        <v>50000</v>
      </c>
      <c r="E18" s="33">
        <f>B18*C18*D18</f>
        <v>600000</v>
      </c>
    </row>
    <row r="19" spans="1:7" x14ac:dyDescent="0.2">
      <c r="A19" s="46" t="s">
        <v>21</v>
      </c>
      <c r="B19" s="34"/>
      <c r="C19" s="34"/>
      <c r="D19" s="34"/>
      <c r="E19" s="34"/>
    </row>
    <row r="20" spans="1:7" x14ac:dyDescent="0.2">
      <c r="A20" s="51" t="s">
        <v>75</v>
      </c>
      <c r="B20" s="25">
        <v>1</v>
      </c>
      <c r="C20" s="26">
        <v>2</v>
      </c>
      <c r="D20" s="39">
        <v>300000</v>
      </c>
      <c r="E20" s="33">
        <f>B20*C20*D20</f>
        <v>600000</v>
      </c>
    </row>
    <row r="21" spans="1:7" x14ac:dyDescent="0.2">
      <c r="A21" s="51" t="s">
        <v>101</v>
      </c>
      <c r="B21" s="25">
        <v>1</v>
      </c>
      <c r="C21" s="26">
        <v>1</v>
      </c>
      <c r="D21" s="39">
        <v>400000</v>
      </c>
      <c r="E21" s="33">
        <f>B21*C21*D21</f>
        <v>400000</v>
      </c>
    </row>
    <row r="22" spans="1:7" x14ac:dyDescent="0.2">
      <c r="A22" s="47" t="s">
        <v>102</v>
      </c>
      <c r="B22" s="37">
        <v>1</v>
      </c>
      <c r="C22" s="36">
        <v>1</v>
      </c>
      <c r="D22" s="35">
        <v>300000</v>
      </c>
      <c r="E22" s="48">
        <f>B22*C22*D22</f>
        <v>300000</v>
      </c>
    </row>
    <row r="23" spans="1:7" x14ac:dyDescent="0.2">
      <c r="A23" s="49" t="s">
        <v>22</v>
      </c>
      <c r="B23" s="41">
        <v>0</v>
      </c>
      <c r="C23" s="42">
        <v>2</v>
      </c>
      <c r="D23" s="43">
        <v>15000</v>
      </c>
      <c r="E23" s="50">
        <f>B23*C23*D23</f>
        <v>0</v>
      </c>
    </row>
    <row r="24" spans="1:7" x14ac:dyDescent="0.2">
      <c r="A24" s="46" t="s">
        <v>79</v>
      </c>
      <c r="B24" s="34"/>
      <c r="C24" s="34"/>
      <c r="D24" s="34"/>
      <c r="E24" s="34"/>
    </row>
    <row r="25" spans="1:7" x14ac:dyDescent="0.2">
      <c r="A25" s="51" t="s">
        <v>81</v>
      </c>
      <c r="B25" s="25">
        <v>1</v>
      </c>
      <c r="C25" s="26">
        <v>1</v>
      </c>
      <c r="D25" s="39">
        <v>0</v>
      </c>
      <c r="E25" s="57" t="s">
        <v>80</v>
      </c>
    </row>
    <row r="26" spans="1:7" x14ac:dyDescent="0.2">
      <c r="A26" s="47" t="s">
        <v>82</v>
      </c>
      <c r="B26" s="37">
        <v>10</v>
      </c>
      <c r="C26" s="36">
        <v>1</v>
      </c>
      <c r="D26" s="35">
        <v>15000</v>
      </c>
      <c r="E26" s="48">
        <f>B26*C26*D26</f>
        <v>150000</v>
      </c>
    </row>
    <row r="27" spans="1:7" x14ac:dyDescent="0.2">
      <c r="A27" s="51" t="s">
        <v>83</v>
      </c>
      <c r="B27" s="25">
        <v>100</v>
      </c>
      <c r="C27" s="26">
        <v>1</v>
      </c>
      <c r="D27" s="39">
        <v>3800</v>
      </c>
      <c r="E27" s="33">
        <f>B27*C27*D27</f>
        <v>380000</v>
      </c>
    </row>
    <row r="28" spans="1:7" x14ac:dyDescent="0.2">
      <c r="A28" s="51" t="s">
        <v>87</v>
      </c>
      <c r="B28" s="25">
        <v>100</v>
      </c>
      <c r="C28" s="26">
        <v>1</v>
      </c>
      <c r="D28" s="39">
        <v>1550</v>
      </c>
      <c r="E28" s="33">
        <f>B28*C28*D28</f>
        <v>155000</v>
      </c>
    </row>
    <row r="29" spans="1:7" x14ac:dyDescent="0.2">
      <c r="A29" s="46" t="s">
        <v>42</v>
      </c>
      <c r="B29" s="34"/>
      <c r="C29" s="34"/>
      <c r="D29" s="34"/>
      <c r="E29" s="34"/>
    </row>
    <row r="30" spans="1:7" x14ac:dyDescent="0.2">
      <c r="A30" s="52" t="s">
        <v>19</v>
      </c>
      <c r="B30" s="38"/>
      <c r="C30" s="38"/>
      <c r="D30" s="38"/>
      <c r="E30" s="38"/>
    </row>
    <row r="31" spans="1:7" x14ac:dyDescent="0.2">
      <c r="A31" s="53" t="s">
        <v>98</v>
      </c>
      <c r="B31" s="25">
        <v>100</v>
      </c>
      <c r="C31" s="26">
        <v>1</v>
      </c>
      <c r="D31" s="39">
        <v>3950</v>
      </c>
      <c r="E31" s="33">
        <f t="shared" ref="E31:E38" si="0">B31*C31*D31</f>
        <v>395000</v>
      </c>
    </row>
    <row r="32" spans="1:7" x14ac:dyDescent="0.2">
      <c r="A32" s="53" t="s">
        <v>29</v>
      </c>
      <c r="B32" s="25">
        <v>100</v>
      </c>
      <c r="C32" s="26">
        <v>1</v>
      </c>
      <c r="D32" s="39">
        <v>3950</v>
      </c>
      <c r="E32" s="33">
        <f t="shared" si="0"/>
        <v>395000</v>
      </c>
    </row>
    <row r="33" spans="1:5" x14ac:dyDescent="0.2">
      <c r="A33" s="53" t="s">
        <v>94</v>
      </c>
      <c r="B33" s="25">
        <v>100</v>
      </c>
      <c r="C33" s="26">
        <v>1</v>
      </c>
      <c r="D33" s="39">
        <v>15000</v>
      </c>
      <c r="E33" s="33">
        <f t="shared" si="0"/>
        <v>1500000</v>
      </c>
    </row>
    <row r="34" spans="1:5" x14ac:dyDescent="0.2">
      <c r="A34" s="53" t="s">
        <v>97</v>
      </c>
      <c r="B34" s="25">
        <v>100</v>
      </c>
      <c r="C34" s="26">
        <v>1</v>
      </c>
      <c r="D34" s="39">
        <v>1500</v>
      </c>
      <c r="E34" s="33">
        <f t="shared" ref="E34" si="1">B34*C34*D34</f>
        <v>150000</v>
      </c>
    </row>
    <row r="35" spans="1:5" x14ac:dyDescent="0.2">
      <c r="A35" s="53" t="s">
        <v>20</v>
      </c>
      <c r="B35" s="25">
        <v>100</v>
      </c>
      <c r="C35" s="26">
        <v>1</v>
      </c>
      <c r="D35" s="39">
        <v>3950</v>
      </c>
      <c r="E35" s="33">
        <f t="shared" si="0"/>
        <v>395000</v>
      </c>
    </row>
    <row r="36" spans="1:5" x14ac:dyDescent="0.2">
      <c r="A36" s="53" t="s">
        <v>96</v>
      </c>
      <c r="B36" s="25">
        <v>100</v>
      </c>
      <c r="C36" s="26">
        <v>1</v>
      </c>
      <c r="D36" s="39">
        <v>45000</v>
      </c>
      <c r="E36" s="33">
        <f t="shared" si="0"/>
        <v>4500000</v>
      </c>
    </row>
    <row r="37" spans="1:5" x14ac:dyDescent="0.2">
      <c r="A37" s="53" t="s">
        <v>97</v>
      </c>
      <c r="B37" s="25">
        <v>100</v>
      </c>
      <c r="C37" s="26">
        <v>1</v>
      </c>
      <c r="D37" s="39">
        <v>1500</v>
      </c>
      <c r="E37" s="33">
        <f t="shared" si="0"/>
        <v>150000</v>
      </c>
    </row>
    <row r="38" spans="1:5" x14ac:dyDescent="0.2">
      <c r="A38" s="54" t="s">
        <v>99</v>
      </c>
      <c r="B38" s="25">
        <v>100</v>
      </c>
      <c r="C38" s="36">
        <v>2</v>
      </c>
      <c r="D38" s="35">
        <v>3850</v>
      </c>
      <c r="E38" s="48">
        <f t="shared" si="0"/>
        <v>770000</v>
      </c>
    </row>
    <row r="39" spans="1:5" x14ac:dyDescent="0.2">
      <c r="A39" s="46" t="s">
        <v>36</v>
      </c>
      <c r="B39" s="34"/>
      <c r="C39" s="34"/>
      <c r="D39" s="34"/>
      <c r="E39" s="34"/>
    </row>
    <row r="40" spans="1:5" x14ac:dyDescent="0.2">
      <c r="A40" s="52" t="s">
        <v>19</v>
      </c>
      <c r="B40" s="38"/>
      <c r="C40" s="38"/>
      <c r="D40" s="38"/>
      <c r="E40" s="38"/>
    </row>
    <row r="41" spans="1:5" x14ac:dyDescent="0.2">
      <c r="A41" s="54" t="s">
        <v>35</v>
      </c>
      <c r="B41" s="37">
        <v>100</v>
      </c>
      <c r="C41" s="36">
        <v>1</v>
      </c>
      <c r="D41" s="35">
        <v>0</v>
      </c>
      <c r="E41" s="55" t="s">
        <v>34</v>
      </c>
    </row>
    <row r="42" spans="1:5" s="24" customFormat="1" x14ac:dyDescent="0.2">
      <c r="A42" s="53" t="s">
        <v>29</v>
      </c>
      <c r="B42" s="25">
        <v>100</v>
      </c>
      <c r="C42" s="26">
        <v>1</v>
      </c>
      <c r="D42" s="39">
        <v>3950</v>
      </c>
      <c r="E42" s="33">
        <f t="shared" ref="E42" si="2">B42*C42*D42</f>
        <v>395000</v>
      </c>
    </row>
    <row r="43" spans="1:5" s="24" customFormat="1" x14ac:dyDescent="0.2">
      <c r="A43" s="53" t="s">
        <v>94</v>
      </c>
      <c r="B43" s="25">
        <v>100</v>
      </c>
      <c r="C43" s="26">
        <v>1</v>
      </c>
      <c r="D43" s="39">
        <v>15000</v>
      </c>
      <c r="E43" s="33">
        <f t="shared" ref="E43:E44" si="3">B43*C43*D43</f>
        <v>1500000</v>
      </c>
    </row>
    <row r="44" spans="1:5" s="24" customFormat="1" x14ac:dyDescent="0.2">
      <c r="A44" s="53" t="s">
        <v>20</v>
      </c>
      <c r="B44" s="25">
        <v>100</v>
      </c>
      <c r="C44" s="26">
        <v>1</v>
      </c>
      <c r="D44" s="39">
        <v>3950</v>
      </c>
      <c r="E44" s="33">
        <f t="shared" si="3"/>
        <v>395000</v>
      </c>
    </row>
    <row r="45" spans="1:5" s="24" customFormat="1" x14ac:dyDescent="0.2">
      <c r="A45" s="54" t="s">
        <v>33</v>
      </c>
      <c r="B45" s="37">
        <v>100</v>
      </c>
      <c r="C45" s="36">
        <v>1</v>
      </c>
      <c r="D45" s="35">
        <v>2000</v>
      </c>
      <c r="E45" s="48">
        <f>B45*C45*D45</f>
        <v>200000</v>
      </c>
    </row>
    <row r="46" spans="1:5" s="24" customFormat="1" x14ac:dyDescent="0.2">
      <c r="A46" s="46" t="s">
        <v>48</v>
      </c>
      <c r="B46" s="34"/>
      <c r="C46" s="34"/>
      <c r="D46" s="34"/>
      <c r="E46" s="34"/>
    </row>
    <row r="47" spans="1:5" s="24" customFormat="1" x14ac:dyDescent="0.15">
      <c r="A47" s="47" t="s">
        <v>49</v>
      </c>
      <c r="B47" s="37">
        <v>100</v>
      </c>
      <c r="C47" s="36">
        <v>1</v>
      </c>
      <c r="D47" s="56">
        <v>15500</v>
      </c>
      <c r="E47" s="48">
        <f t="shared" ref="E47:E48" si="4">B47*C47*D47</f>
        <v>1550000</v>
      </c>
    </row>
    <row r="48" spans="1:5" s="24" customFormat="1" x14ac:dyDescent="0.15">
      <c r="A48" s="47" t="s">
        <v>50</v>
      </c>
      <c r="B48" s="37">
        <v>100</v>
      </c>
      <c r="C48" s="36">
        <v>0</v>
      </c>
      <c r="D48" s="56">
        <v>4500</v>
      </c>
      <c r="E48" s="48">
        <f t="shared" si="4"/>
        <v>0</v>
      </c>
    </row>
    <row r="49" spans="1:5" s="24" customFormat="1" x14ac:dyDescent="0.2">
      <c r="A49" s="46" t="s">
        <v>14</v>
      </c>
      <c r="B49" s="34"/>
      <c r="C49" s="34"/>
      <c r="D49" s="34"/>
      <c r="E49" s="34"/>
    </row>
    <row r="50" spans="1:5" x14ac:dyDescent="0.2">
      <c r="A50" s="51" t="s">
        <v>15</v>
      </c>
      <c r="B50" s="25">
        <v>2</v>
      </c>
      <c r="C50" s="26">
        <v>1</v>
      </c>
      <c r="D50" s="27">
        <v>350000</v>
      </c>
      <c r="E50" s="33">
        <f t="shared" ref="E50:E78" si="5">B50*C50*D50</f>
        <v>700000</v>
      </c>
    </row>
    <row r="51" spans="1:5" x14ac:dyDescent="0.2">
      <c r="A51" s="51" t="s">
        <v>100</v>
      </c>
      <c r="B51" s="25">
        <v>1</v>
      </c>
      <c r="C51" s="26">
        <v>1</v>
      </c>
      <c r="D51" s="27">
        <v>180000</v>
      </c>
      <c r="E51" s="33">
        <f t="shared" si="5"/>
        <v>180000</v>
      </c>
    </row>
    <row r="52" spans="1:5" x14ac:dyDescent="0.2">
      <c r="A52" s="51" t="s">
        <v>23</v>
      </c>
      <c r="B52" s="25">
        <v>2</v>
      </c>
      <c r="C52" s="26">
        <v>0</v>
      </c>
      <c r="D52" s="27">
        <v>350000</v>
      </c>
      <c r="E52" s="57" t="s">
        <v>54</v>
      </c>
    </row>
    <row r="53" spans="1:5" x14ac:dyDescent="0.2">
      <c r="A53" s="51" t="s">
        <v>68</v>
      </c>
      <c r="B53" s="25">
        <v>2</v>
      </c>
      <c r="C53" s="26">
        <v>10</v>
      </c>
      <c r="D53" s="33">
        <v>65000</v>
      </c>
      <c r="E53" s="33">
        <f t="shared" si="5"/>
        <v>1300000</v>
      </c>
    </row>
    <row r="54" spans="1:5" x14ac:dyDescent="0.2">
      <c r="A54" s="51" t="s">
        <v>56</v>
      </c>
      <c r="B54" s="25">
        <v>1</v>
      </c>
      <c r="C54" s="26">
        <v>2</v>
      </c>
      <c r="D54" s="33">
        <v>250000</v>
      </c>
      <c r="E54" s="33">
        <f t="shared" si="5"/>
        <v>500000</v>
      </c>
    </row>
    <row r="55" spans="1:5" x14ac:dyDescent="0.2">
      <c r="A55" s="51" t="s">
        <v>51</v>
      </c>
      <c r="B55" s="25">
        <v>1</v>
      </c>
      <c r="C55" s="26">
        <v>1</v>
      </c>
      <c r="D55" s="27">
        <v>88888</v>
      </c>
      <c r="E55" s="33">
        <f t="shared" si="5"/>
        <v>88888</v>
      </c>
    </row>
    <row r="56" spans="1:5" x14ac:dyDescent="0.2">
      <c r="A56" s="51" t="s">
        <v>69</v>
      </c>
      <c r="B56" s="25">
        <v>10</v>
      </c>
      <c r="C56" s="26">
        <v>1</v>
      </c>
      <c r="D56" s="27">
        <v>65000</v>
      </c>
      <c r="E56" s="33">
        <f t="shared" si="5"/>
        <v>650000</v>
      </c>
    </row>
    <row r="57" spans="1:5" x14ac:dyDescent="0.2">
      <c r="A57" s="51" t="s">
        <v>24</v>
      </c>
      <c r="B57" s="25">
        <v>2</v>
      </c>
      <c r="C57" s="26">
        <v>1</v>
      </c>
      <c r="D57" s="27">
        <v>550000</v>
      </c>
      <c r="E57" s="33">
        <f t="shared" si="5"/>
        <v>1100000</v>
      </c>
    </row>
    <row r="58" spans="1:5" x14ac:dyDescent="0.2">
      <c r="A58" s="51" t="s">
        <v>25</v>
      </c>
      <c r="B58" s="25">
        <v>1</v>
      </c>
      <c r="C58" s="26">
        <v>1</v>
      </c>
      <c r="D58" s="27">
        <v>320000</v>
      </c>
      <c r="E58" s="33">
        <f>B58*C58*D58</f>
        <v>320000</v>
      </c>
    </row>
    <row r="59" spans="1:5" s="6" customFormat="1" x14ac:dyDescent="0.2">
      <c r="A59" s="51" t="s">
        <v>26</v>
      </c>
      <c r="B59" s="25">
        <v>1</v>
      </c>
      <c r="C59" s="26">
        <v>1</v>
      </c>
      <c r="D59" s="27">
        <v>200000</v>
      </c>
      <c r="E59" s="33">
        <f t="shared" ref="E59:E65" si="6">B59*C59*D59</f>
        <v>200000</v>
      </c>
    </row>
    <row r="60" spans="1:5" s="6" customFormat="1" x14ac:dyDescent="0.2">
      <c r="A60" s="51" t="s">
        <v>57</v>
      </c>
      <c r="B60" s="25">
        <v>1</v>
      </c>
      <c r="C60" s="26">
        <v>2</v>
      </c>
      <c r="D60" s="33">
        <v>350000</v>
      </c>
      <c r="E60" s="33">
        <f t="shared" si="6"/>
        <v>700000</v>
      </c>
    </row>
    <row r="61" spans="1:5" s="6" customFormat="1" x14ac:dyDescent="0.2">
      <c r="A61" s="51" t="s">
        <v>70</v>
      </c>
      <c r="B61" s="25">
        <v>1</v>
      </c>
      <c r="C61" s="26">
        <v>1</v>
      </c>
      <c r="D61" s="33">
        <v>100000</v>
      </c>
      <c r="E61" s="33">
        <f t="shared" si="6"/>
        <v>100000</v>
      </c>
    </row>
    <row r="62" spans="1:5" s="6" customFormat="1" x14ac:dyDescent="0.2">
      <c r="A62" s="51" t="s">
        <v>31</v>
      </c>
      <c r="B62" s="25">
        <v>1</v>
      </c>
      <c r="C62" s="26">
        <v>1</v>
      </c>
      <c r="D62" s="27">
        <v>1150000</v>
      </c>
      <c r="E62" s="33">
        <f t="shared" si="6"/>
        <v>1150000</v>
      </c>
    </row>
    <row r="63" spans="1:5" s="6" customFormat="1" x14ac:dyDescent="0.2">
      <c r="A63" s="51" t="s">
        <v>32</v>
      </c>
      <c r="B63" s="25">
        <v>0</v>
      </c>
      <c r="C63" s="26">
        <v>1</v>
      </c>
      <c r="D63" s="27">
        <v>1500000</v>
      </c>
      <c r="E63" s="33">
        <f t="shared" si="6"/>
        <v>0</v>
      </c>
    </row>
    <row r="64" spans="1:5" s="6" customFormat="1" x14ac:dyDescent="0.2">
      <c r="A64" s="51" t="s">
        <v>77</v>
      </c>
      <c r="B64" s="25">
        <v>0</v>
      </c>
      <c r="C64" s="26">
        <v>1</v>
      </c>
      <c r="D64" s="27">
        <v>777777</v>
      </c>
      <c r="E64" s="33">
        <f t="shared" si="6"/>
        <v>0</v>
      </c>
    </row>
    <row r="65" spans="1:5" s="6" customFormat="1" x14ac:dyDescent="0.2">
      <c r="A65" s="51" t="s">
        <v>55</v>
      </c>
      <c r="B65" s="25">
        <v>1</v>
      </c>
      <c r="C65" s="26">
        <v>1</v>
      </c>
      <c r="D65" s="33">
        <v>900000</v>
      </c>
      <c r="E65" s="33">
        <f t="shared" si="6"/>
        <v>900000</v>
      </c>
    </row>
    <row r="66" spans="1:5" s="24" customFormat="1" x14ac:dyDescent="0.2">
      <c r="A66" s="46" t="s">
        <v>90</v>
      </c>
      <c r="B66" s="34"/>
      <c r="C66" s="34"/>
      <c r="D66" s="34"/>
      <c r="E66" s="34"/>
    </row>
    <row r="67" spans="1:5" s="6" customFormat="1" x14ac:dyDescent="0.2">
      <c r="A67" s="47" t="s">
        <v>30</v>
      </c>
      <c r="B67" s="37">
        <v>1</v>
      </c>
      <c r="C67" s="36">
        <v>1</v>
      </c>
      <c r="D67" s="56">
        <f>B67*27000*100</f>
        <v>2700000</v>
      </c>
      <c r="E67" s="48">
        <f t="shared" ref="E67:E69" si="7">B67*C67*D67</f>
        <v>2700000</v>
      </c>
    </row>
    <row r="68" spans="1:5" s="6" customFormat="1" x14ac:dyDescent="0.2">
      <c r="A68" s="47" t="s">
        <v>88</v>
      </c>
      <c r="B68" s="37">
        <v>1</v>
      </c>
      <c r="C68" s="36">
        <v>0</v>
      </c>
      <c r="D68" s="56">
        <f>B68*27000*100</f>
        <v>2700000</v>
      </c>
      <c r="E68" s="48">
        <f t="shared" si="7"/>
        <v>0</v>
      </c>
    </row>
    <row r="69" spans="1:5" s="6" customFormat="1" x14ac:dyDescent="0.2">
      <c r="A69" s="47" t="s">
        <v>52</v>
      </c>
      <c r="B69" s="37">
        <v>0</v>
      </c>
      <c r="C69" s="36">
        <v>1</v>
      </c>
      <c r="D69" s="56">
        <v>6000000</v>
      </c>
      <c r="E69" s="48">
        <f t="shared" si="7"/>
        <v>0</v>
      </c>
    </row>
    <row r="70" spans="1:5" s="24" customFormat="1" x14ac:dyDescent="0.2">
      <c r="A70" s="46" t="s">
        <v>85</v>
      </c>
      <c r="B70" s="34"/>
      <c r="C70" s="34"/>
      <c r="D70" s="34"/>
      <c r="E70" s="34"/>
    </row>
    <row r="71" spans="1:5" s="24" customFormat="1" x14ac:dyDescent="0.15">
      <c r="A71" s="47" t="s">
        <v>89</v>
      </c>
      <c r="B71" s="37">
        <v>1</v>
      </c>
      <c r="C71" s="36">
        <v>1</v>
      </c>
      <c r="D71" s="56">
        <v>400000</v>
      </c>
      <c r="E71" s="48">
        <f t="shared" ref="E71:E72" si="8">B71*C71*D71</f>
        <v>400000</v>
      </c>
    </row>
    <row r="72" spans="1:5" s="24" customFormat="1" ht="36" x14ac:dyDescent="0.15">
      <c r="A72" s="47" t="s">
        <v>86</v>
      </c>
      <c r="B72" s="37">
        <v>50</v>
      </c>
      <c r="C72" s="36">
        <v>1</v>
      </c>
      <c r="D72" s="56">
        <v>8000</v>
      </c>
      <c r="E72" s="48">
        <f t="shared" si="8"/>
        <v>400000</v>
      </c>
    </row>
    <row r="73" spans="1:5" s="24" customFormat="1" x14ac:dyDescent="0.2">
      <c r="A73" s="46" t="s">
        <v>84</v>
      </c>
      <c r="B73" s="34"/>
      <c r="C73" s="34"/>
      <c r="D73" s="34"/>
      <c r="E73" s="34"/>
    </row>
    <row r="74" spans="1:5" s="6" customFormat="1" x14ac:dyDescent="0.2">
      <c r="A74" s="51" t="s">
        <v>12</v>
      </c>
      <c r="B74" s="25">
        <v>1</v>
      </c>
      <c r="C74" s="26">
        <v>1</v>
      </c>
      <c r="D74" s="27">
        <v>555555</v>
      </c>
      <c r="E74" s="33">
        <f t="shared" si="5"/>
        <v>555555</v>
      </c>
    </row>
    <row r="75" spans="1:5" s="6" customFormat="1" x14ac:dyDescent="0.2">
      <c r="A75" s="51" t="s">
        <v>58</v>
      </c>
      <c r="B75" s="25">
        <v>1</v>
      </c>
      <c r="C75" s="26">
        <v>2</v>
      </c>
      <c r="D75" s="33">
        <v>188888</v>
      </c>
      <c r="E75" s="33">
        <f t="shared" si="5"/>
        <v>377776</v>
      </c>
    </row>
    <row r="76" spans="1:5" s="6" customFormat="1" x14ac:dyDescent="0.2">
      <c r="A76" s="51" t="s">
        <v>60</v>
      </c>
      <c r="B76" s="25">
        <v>2</v>
      </c>
      <c r="C76" s="26">
        <v>1</v>
      </c>
      <c r="D76" s="33">
        <v>88888</v>
      </c>
      <c r="E76" s="33">
        <f t="shared" si="5"/>
        <v>177776</v>
      </c>
    </row>
    <row r="77" spans="1:5" s="6" customFormat="1" x14ac:dyDescent="0.2">
      <c r="A77" s="51" t="s">
        <v>27</v>
      </c>
      <c r="B77" s="25">
        <v>1</v>
      </c>
      <c r="C77" s="26">
        <v>1</v>
      </c>
      <c r="D77" s="27">
        <v>850000</v>
      </c>
      <c r="E77" s="33">
        <f t="shared" si="5"/>
        <v>850000</v>
      </c>
    </row>
    <row r="78" spans="1:5" s="6" customFormat="1" x14ac:dyDescent="0.2">
      <c r="A78" s="51" t="s">
        <v>28</v>
      </c>
      <c r="B78" s="25">
        <v>12</v>
      </c>
      <c r="C78" s="26">
        <v>2</v>
      </c>
      <c r="D78" s="27">
        <v>35000</v>
      </c>
      <c r="E78" s="33">
        <f t="shared" si="5"/>
        <v>840000</v>
      </c>
    </row>
    <row r="79" spans="1:5" s="6" customFormat="1" ht="19" thickBot="1" x14ac:dyDescent="0.25">
      <c r="A79" s="28"/>
      <c r="B79" s="29"/>
      <c r="C79" s="30"/>
      <c r="D79" s="31"/>
      <c r="E79" s="32"/>
    </row>
    <row r="80" spans="1:5" s="6" customFormat="1" x14ac:dyDescent="0.2">
      <c r="A80" s="13"/>
      <c r="B80" s="9"/>
      <c r="C80" s="9"/>
      <c r="D80" s="17" t="s">
        <v>6</v>
      </c>
      <c r="E80" s="18">
        <f>SUM(E12:E78)</f>
        <v>38360272</v>
      </c>
    </row>
    <row r="81" spans="1:5" s="6" customFormat="1" x14ac:dyDescent="0.2">
      <c r="A81" s="3"/>
      <c r="B81" s="11"/>
      <c r="C81" s="11"/>
      <c r="D81" s="16" t="s">
        <v>8</v>
      </c>
      <c r="E81" s="15">
        <f>E80*15%</f>
        <v>5754040.7999999998</v>
      </c>
    </row>
    <row r="82" spans="1:5" s="6" customFormat="1" x14ac:dyDescent="0.2">
      <c r="A82" s="13"/>
      <c r="B82" s="11"/>
      <c r="C82" s="11"/>
      <c r="D82" s="16" t="s">
        <v>7</v>
      </c>
      <c r="E82" s="15">
        <f>E80+E81</f>
        <v>44114312.799999997</v>
      </c>
    </row>
    <row r="83" spans="1:5" s="6" customFormat="1" x14ac:dyDescent="0.2">
      <c r="A83" s="14"/>
      <c r="D83" s="58" t="s">
        <v>71</v>
      </c>
      <c r="E83" s="59">
        <v>1500000</v>
      </c>
    </row>
    <row r="84" spans="1:5" s="6" customFormat="1" ht="19" thickBot="1" x14ac:dyDescent="0.25">
      <c r="A84" s="13"/>
      <c r="C84" s="7"/>
      <c r="D84" s="60" t="s">
        <v>72</v>
      </c>
      <c r="E84" s="61">
        <f>E82+E83</f>
        <v>45614312.799999997</v>
      </c>
    </row>
    <row r="85" spans="1:5" s="6" customFormat="1" x14ac:dyDescent="0.2">
      <c r="A85" s="13"/>
      <c r="C85" s="7"/>
      <c r="D85" s="8"/>
      <c r="E85" s="10"/>
    </row>
    <row r="86" spans="1:5" s="6" customFormat="1" x14ac:dyDescent="0.2">
      <c r="C86" s="7"/>
    </row>
    <row r="87" spans="1:5" s="6" customFormat="1" x14ac:dyDescent="0.2">
      <c r="C87" s="7"/>
    </row>
    <row r="88" spans="1:5" s="6" customFormat="1" x14ac:dyDescent="0.2"/>
    <row r="89" spans="1:5" s="6" customFormat="1" x14ac:dyDescent="0.2">
      <c r="A89" s="3"/>
      <c r="B89" s="3"/>
      <c r="C89" s="3"/>
      <c r="D89" s="3"/>
      <c r="E89" s="3"/>
    </row>
    <row r="90" spans="1:5" s="6" customFormat="1" x14ac:dyDescent="0.2">
      <c r="A90" s="3"/>
      <c r="B90" s="3"/>
      <c r="C90" s="3"/>
      <c r="D90" s="3"/>
      <c r="E90" s="3"/>
    </row>
    <row r="91" spans="1:5" s="6" customFormat="1" x14ac:dyDescent="0.2">
      <c r="A91" s="3"/>
      <c r="B91" s="3"/>
      <c r="C91" s="3"/>
      <c r="D91" s="3"/>
      <c r="E91" s="3"/>
    </row>
    <row r="92" spans="1:5" s="6" customFormat="1" x14ac:dyDescent="0.2">
      <c r="A92" s="3"/>
      <c r="B92" s="3"/>
      <c r="C92" s="3"/>
      <c r="D92" s="3"/>
      <c r="E92" s="3"/>
    </row>
    <row r="93" spans="1:5" s="6" customFormat="1" x14ac:dyDescent="0.2">
      <c r="A93" s="3"/>
      <c r="B93" s="3"/>
      <c r="C93" s="3"/>
      <c r="D93" s="3"/>
      <c r="E93" s="3"/>
    </row>
    <row r="94" spans="1:5" s="6" customFormat="1" x14ac:dyDescent="0.2">
      <c r="A94" s="3"/>
      <c r="B94" s="3"/>
      <c r="C94" s="3"/>
      <c r="D94" s="3"/>
      <c r="E94" s="3"/>
    </row>
    <row r="95" spans="1:5" s="6" customFormat="1" x14ac:dyDescent="0.2">
      <c r="A95" s="3"/>
      <c r="B95" s="3"/>
      <c r="C95" s="3"/>
      <c r="D95" s="3"/>
      <c r="E95" s="3"/>
    </row>
    <row r="96" spans="1:5" s="6" customFormat="1" x14ac:dyDescent="0.2">
      <c r="A96" s="3"/>
      <c r="B96" s="3"/>
      <c r="C96" s="3"/>
      <c r="D96" s="3"/>
      <c r="E96" s="3"/>
    </row>
    <row r="97" spans="1:5" s="6" customFormat="1" x14ac:dyDescent="0.2">
      <c r="A97" s="3"/>
      <c r="B97" s="3"/>
      <c r="C97" s="3"/>
      <c r="D97" s="3"/>
      <c r="E97" s="3"/>
    </row>
    <row r="98" spans="1:5" s="6" customFormat="1" x14ac:dyDescent="0.2">
      <c r="A98" s="3"/>
      <c r="B98" s="3"/>
      <c r="C98" s="3"/>
      <c r="D98" s="3"/>
      <c r="E98" s="3"/>
    </row>
    <row r="99" spans="1:5" s="6" customFormat="1" x14ac:dyDescent="0.2">
      <c r="A99" s="3"/>
      <c r="B99" s="3"/>
      <c r="C99" s="3"/>
      <c r="D99" s="3"/>
      <c r="E99" s="3"/>
    </row>
    <row r="100" spans="1:5" s="6" customFormat="1" x14ac:dyDescent="0.2">
      <c r="A100" s="3"/>
      <c r="B100" s="3"/>
      <c r="C100" s="3"/>
      <c r="D100" s="3"/>
      <c r="E100" s="3"/>
    </row>
    <row r="101" spans="1:5" s="6" customFormat="1" x14ac:dyDescent="0.2">
      <c r="A101" s="3"/>
      <c r="B101" s="3"/>
      <c r="C101" s="3"/>
      <c r="D101" s="3"/>
      <c r="E101" s="3"/>
    </row>
    <row r="102" spans="1:5" s="6" customFormat="1" x14ac:dyDescent="0.2">
      <c r="A102" s="3"/>
      <c r="B102" s="3"/>
      <c r="C102" s="3"/>
      <c r="D102" s="3"/>
      <c r="E102" s="3"/>
    </row>
    <row r="103" spans="1:5" s="6" customFormat="1" x14ac:dyDescent="0.2">
      <c r="A103" s="3"/>
      <c r="B103" s="3"/>
      <c r="C103" s="3"/>
      <c r="D103" s="3"/>
      <c r="E103" s="3"/>
    </row>
    <row r="104" spans="1:5" s="6" customFormat="1" x14ac:dyDescent="0.2">
      <c r="A104" s="3"/>
      <c r="B104" s="3"/>
      <c r="C104" s="3"/>
      <c r="D104" s="3"/>
      <c r="E104" s="3"/>
    </row>
    <row r="115" spans="1:5" s="6" customFormat="1" x14ac:dyDescent="0.2">
      <c r="A115" s="3"/>
      <c r="B115" s="3"/>
      <c r="C115" s="3"/>
      <c r="D115" s="3"/>
      <c r="E115" s="3"/>
    </row>
    <row r="116" spans="1:5" s="6" customFormat="1" x14ac:dyDescent="0.2">
      <c r="A116" s="3"/>
      <c r="B116" s="3"/>
      <c r="C116" s="3"/>
      <c r="D116" s="3"/>
      <c r="E116" s="3"/>
    </row>
    <row r="117" spans="1:5" s="6" customFormat="1" x14ac:dyDescent="0.2">
      <c r="A117" s="3"/>
      <c r="B117" s="3"/>
      <c r="C117" s="3"/>
      <c r="D117" s="3"/>
      <c r="E117" s="3"/>
    </row>
    <row r="118" spans="1:5" s="6" customFormat="1" x14ac:dyDescent="0.2">
      <c r="A118" s="3"/>
      <c r="B118" s="3"/>
      <c r="C118" s="3"/>
      <c r="D118" s="3"/>
      <c r="E118" s="3"/>
    </row>
    <row r="119" spans="1:5" s="6" customFormat="1" x14ac:dyDescent="0.2">
      <c r="A119" s="3"/>
      <c r="B119" s="3"/>
      <c r="C119" s="3"/>
      <c r="D119" s="3"/>
      <c r="E119" s="3"/>
    </row>
    <row r="120" spans="1:5" s="6" customFormat="1" x14ac:dyDescent="0.2">
      <c r="A120" s="3"/>
      <c r="B120" s="3"/>
      <c r="C120" s="3"/>
      <c r="D120" s="3"/>
      <c r="E120" s="3"/>
    </row>
    <row r="121" spans="1:5" s="6" customFormat="1" x14ac:dyDescent="0.2">
      <c r="A121" s="3"/>
      <c r="B121" s="3"/>
      <c r="C121" s="3"/>
      <c r="D121" s="3"/>
      <c r="E121" s="3"/>
    </row>
  </sheetData>
  <mergeCells count="1">
    <mergeCell ref="A1:C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MONTICELLO</vt:lpstr>
      <vt:lpstr>CONFERENCE TOWN</vt:lpstr>
      <vt:lpstr>LODGE</vt:lpstr>
    </vt:vector>
  </TitlesOfParts>
  <Company>Prolam Y&amp;R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Computos</dc:creator>
  <cp:lastModifiedBy>Usuario de Microsoft Office</cp:lastModifiedBy>
  <cp:lastPrinted>2014-07-08T15:51:14Z</cp:lastPrinted>
  <dcterms:created xsi:type="dcterms:W3CDTF">2002-04-29T13:41:25Z</dcterms:created>
  <dcterms:modified xsi:type="dcterms:W3CDTF">2018-03-20T14:39:15Z</dcterms:modified>
</cp:coreProperties>
</file>