
<file path=[Content_Types].xml><?xml version="1.0" encoding="utf-8"?>
<Types xmlns="http://schemas.openxmlformats.org/package/2006/content-types">
  <Default Extension="xml" ContentType="application/xml"/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64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/Dropbox/eventos lodge/Cotizaciones 2018 Carmen/"/>
    </mc:Choice>
  </mc:AlternateContent>
  <bookViews>
    <workbookView xWindow="0" yWindow="460" windowWidth="25600" windowHeight="14500" tabRatio="500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4" i="1" l="1"/>
  <c r="F16" i="1"/>
  <c r="F13" i="1"/>
  <c r="F23" i="1"/>
  <c r="E23" i="1"/>
  <c r="F9" i="1"/>
  <c r="F10" i="1"/>
  <c r="F11" i="1"/>
  <c r="F12" i="1"/>
  <c r="F14" i="1"/>
  <c r="E15" i="1"/>
  <c r="F15" i="1"/>
  <c r="F19" i="1"/>
  <c r="F20" i="1"/>
  <c r="F21" i="1"/>
  <c r="F22" i="1"/>
  <c r="F30" i="1"/>
  <c r="F27" i="1"/>
  <c r="F28" i="1"/>
  <c r="F29" i="1"/>
  <c r="F71" i="1"/>
  <c r="F60" i="1"/>
  <c r="F26" i="1"/>
  <c r="F67" i="1"/>
  <c r="F66" i="1"/>
  <c r="F68" i="1"/>
  <c r="F73" i="1"/>
  <c r="F92" i="1"/>
  <c r="F88" i="1"/>
  <c r="F86" i="1"/>
  <c r="F87" i="1"/>
  <c r="F89" i="1"/>
  <c r="F90" i="1"/>
  <c r="F91" i="1"/>
  <c r="F93" i="1"/>
  <c r="F85" i="1"/>
  <c r="F82" i="1"/>
  <c r="F77" i="1"/>
  <c r="F84" i="1"/>
  <c r="F64" i="1"/>
  <c r="F69" i="1"/>
  <c r="F65" i="1"/>
  <c r="F80" i="1"/>
  <c r="F75" i="1"/>
  <c r="F76" i="1"/>
  <c r="F78" i="1"/>
  <c r="F79" i="1"/>
  <c r="F81" i="1"/>
  <c r="F83" i="1"/>
  <c r="F61" i="1"/>
  <c r="F62" i="1"/>
  <c r="F63" i="1"/>
  <c r="F70" i="1"/>
  <c r="F72" i="1"/>
  <c r="F74" i="1"/>
  <c r="F30" i="5"/>
  <c r="E30" i="5"/>
  <c r="D30" i="5"/>
  <c r="C30" i="5"/>
  <c r="B30" i="5"/>
  <c r="P29" i="5"/>
  <c r="O29" i="5"/>
  <c r="N29" i="5"/>
  <c r="K29" i="5"/>
  <c r="J29" i="5"/>
  <c r="I29" i="5"/>
  <c r="Z23" i="5"/>
  <c r="F31" i="1"/>
  <c r="F32" i="1"/>
</calcChain>
</file>

<file path=xl/sharedStrings.xml><?xml version="1.0" encoding="utf-8"?>
<sst xmlns="http://schemas.openxmlformats.org/spreadsheetml/2006/main" count="457" uniqueCount="267">
  <si>
    <t xml:space="preserve">Valor </t>
  </si>
  <si>
    <t>Total</t>
  </si>
  <si>
    <t xml:space="preserve"> </t>
  </si>
  <si>
    <t>Empresa:</t>
  </si>
  <si>
    <t>Nº Pasajeros</t>
  </si>
  <si>
    <t>Fono:</t>
  </si>
  <si>
    <t>Valor</t>
  </si>
  <si>
    <t>Nº Pax</t>
  </si>
  <si>
    <t>Detalle de servicios.</t>
  </si>
  <si>
    <t>Copa de vino servida a la mesa por un garzón, dentro de los que haya disponibles.</t>
  </si>
  <si>
    <t>Desayuno Buffet</t>
  </si>
  <si>
    <t>Descorche por persona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</si>
  <si>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</si>
  <si>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</si>
  <si>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</si>
  <si>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</si>
  <si>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</si>
  <si>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</si>
  <si>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</si>
  <si>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</si>
  <si>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</si>
  <si>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</si>
  <si>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</si>
  <si>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</si>
  <si>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</si>
  <si>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</si>
  <si>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</si>
  <si>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</si>
  <si>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</si>
  <si>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</si>
  <si>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</si>
  <si>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</si>
  <si>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</si>
  <si>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</si>
  <si>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</si>
  <si>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</si>
  <si>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</si>
  <si>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</si>
  <si>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</si>
  <si>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</si>
  <si>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</si>
  <si>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</si>
  <si>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</si>
  <si>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</si>
  <si>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</si>
  <si>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</si>
  <si>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</si>
  <si>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</si>
  <si>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</si>
  <si>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</si>
  <si>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</si>
  <si>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</si>
  <si>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</si>
  <si>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</si>
  <si>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</si>
  <si>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</si>
  <si>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</si>
  <si>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</si>
  <si>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</si>
  <si>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</si>
  <si>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</si>
  <si>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</si>
  <si>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</si>
  <si>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</si>
  <si>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</si>
  <si>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</si>
  <si>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</si>
  <si>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</si>
  <si>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</si>
  <si>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</si>
  <si>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</si>
  <si>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</si>
  <si>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</si>
  <si>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</si>
  <si>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</si>
  <si>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</si>
  <si>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</si>
  <si>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</si>
  <si>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</si>
  <si>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</si>
  <si>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</si>
  <si>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</si>
  <si>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</si>
  <si>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</si>
  <si>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</si>
  <si>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</si>
  <si>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</si>
  <si>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</si>
  <si>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</si>
  <si>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Nº Uds</t>
  </si>
  <si>
    <t xml:space="preserve">Total </t>
  </si>
  <si>
    <t>Bar abierto 2 horas</t>
  </si>
  <si>
    <t>Total paquete.</t>
  </si>
  <si>
    <t>Bar abierto 4 horas</t>
  </si>
  <si>
    <t>Bar abierto full, 6 horas</t>
  </si>
  <si>
    <t>Servicio en Salón. Valor por persona.</t>
  </si>
  <si>
    <t>Cordero al palo</t>
  </si>
  <si>
    <t>Cordero al palo cocinado 8 horas a la lena a muy lenta cocción, para 20 pasajeros.</t>
  </si>
  <si>
    <t xml:space="preserve">Aperitivo campestre Pierna de cerdo </t>
  </si>
  <si>
    <t>Tierna pierna de cerdo cocinada por 16 horas en Horno de barro, acompañana de guacamole y pan amasado.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</si>
  <si>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</si>
  <si>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</si>
  <si>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</si>
  <si>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</si>
  <si>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</si>
  <si>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</si>
  <si>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</si>
  <si>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</si>
  <si>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</si>
  <si>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</si>
  <si>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</si>
  <si>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</si>
  <si>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</si>
  <si>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</si>
  <si>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</si>
  <si>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Coffee Light</t>
  </si>
  <si>
    <t>Coffee Intermedio</t>
  </si>
  <si>
    <t>Coffee Full</t>
  </si>
  <si>
    <t>Bebidas, cervezas, espumante, vino, pisco Mistral, ron Pampero.</t>
  </si>
  <si>
    <t>Tabla para 4 personas</t>
  </si>
  <si>
    <t>Hora adicional de bar abierto</t>
  </si>
  <si>
    <t xml:space="preserve">Cena  Buffet </t>
  </si>
  <si>
    <t>Otros no incuidos.</t>
  </si>
  <si>
    <t>Uds</t>
  </si>
  <si>
    <t>Día 1</t>
  </si>
  <si>
    <t>Día 2</t>
  </si>
  <si>
    <t>Incluido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</si>
  <si>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</si>
  <si>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</si>
  <si>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</si>
  <si>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</si>
  <si>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</si>
  <si>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</si>
  <si>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</si>
  <si>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</si>
  <si>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</si>
  <si>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</si>
  <si>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</si>
  <si>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</si>
  <si>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</si>
  <si>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</si>
  <si>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</si>
  <si>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 xml:space="preserve">Salón Arcoiris 2, hasta 80 pasajeros </t>
  </si>
  <si>
    <t>Salon Fario 1, hasta 120 pasajeros</t>
  </si>
  <si>
    <t>Salon fario 2, hasta 120 pasajeros</t>
  </si>
  <si>
    <t>8 empanaditas de queso, 8 de pino, 8 bruzquetas,150 grs. de frutos secos, 150 grs. de queso, galletas de coctail y pasta para untar.</t>
  </si>
  <si>
    <t>Valor no incluye propinas.</t>
  </si>
  <si>
    <t>IVA</t>
  </si>
  <si>
    <t>Habitación doble hotel</t>
  </si>
  <si>
    <t>1.- Abonar 50% del total del evento a cuenta de Aventuras Andinas Limitada.</t>
  </si>
  <si>
    <t>3.- Balance último año contable.</t>
  </si>
  <si>
    <t>4.- 3 últimos IVA.</t>
  </si>
  <si>
    <t>5.- Escritura de constitución de la sociedad, donde se indique nombre y rut y dirección de los socios y representantes legales.</t>
  </si>
  <si>
    <t>Café, té, agua, jugo de pulpa, 2 facturitas ó 1 muffins y 2 tapaditos.</t>
  </si>
  <si>
    <t>Café, té, agua, jugo de pulpa, leche, 1 muffins, 2 facturitas, 2 tapaditos, 1 brocheta de fruta.</t>
  </si>
  <si>
    <t>Café, té, agua, jugo de pulpa, 1 muffins, 2 facturitas, 1 fruta y 1  tapadito.</t>
  </si>
  <si>
    <t>Tapaditos( solicitar con anticipación)</t>
  </si>
  <si>
    <t>Consome  250cc</t>
  </si>
  <si>
    <t xml:space="preserve">Taza de consome de pollo de 250 cc </t>
  </si>
  <si>
    <t>Hora</t>
  </si>
  <si>
    <t>Incluye Barman, hielo, cooler, copas y vasos, montaje de bar y derecho a traer bebidas y/o tragos, 4 horas.</t>
  </si>
  <si>
    <t>Pisco sour ó kir royal ó espumante</t>
  </si>
  <si>
    <t xml:space="preserve"> Guarnición de frutos secos, app 20gr</t>
  </si>
  <si>
    <t>Coctail Intermedio.</t>
  </si>
  <si>
    <t>Salón Chinook, hasta 400 pasajeros</t>
  </si>
  <si>
    <t>Salón Coho, hasta 180 pasajeros</t>
  </si>
  <si>
    <t>Salón Arcoiris 1 hasta 80 pasajeros.</t>
  </si>
  <si>
    <t>Salón laguna hasta 50 pasajeros</t>
  </si>
  <si>
    <t>Salón Fontinalis hasta 35 pasajeros</t>
  </si>
  <si>
    <t xml:space="preserve">Quincho,  hasta 100 pax </t>
  </si>
  <si>
    <t>Coctail Básico.</t>
  </si>
  <si>
    <t>Servicio en comedor exclusivo</t>
  </si>
  <si>
    <t>Cambio de hora Alimentacion</t>
  </si>
  <si>
    <t>13:00-15:00</t>
  </si>
  <si>
    <t>20:00- 21:00</t>
  </si>
  <si>
    <t>Pergola uso exclusivo 8 horas</t>
  </si>
  <si>
    <t>Coordinador de evento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</si>
  <si>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</si>
  <si>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</si>
  <si>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</si>
  <si>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</si>
  <si>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</si>
  <si>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</si>
  <si>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</si>
  <si>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</si>
  <si>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</si>
  <si>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</si>
  <si>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</si>
  <si>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</si>
  <si>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</si>
  <si>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</si>
  <si>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</si>
  <si>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</si>
  <si>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</si>
  <si>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</si>
  <si>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</si>
  <si>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</si>
  <si>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</si>
  <si>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</si>
  <si>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</si>
  <si>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</si>
  <si>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</si>
  <si>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</si>
  <si>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</si>
  <si>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</si>
  <si>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</si>
  <si>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</si>
  <si>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</si>
  <si>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</si>
  <si>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</si>
  <si>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Total  Evento</t>
  </si>
  <si>
    <t>12 horas, persona a cargo de recibir al grupo y coordinar cada una de las actividades.</t>
  </si>
  <si>
    <t>Gaseosa ó mineral ó  jugo de botella ó cerveza Cristal o Escudo.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</si>
  <si>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</si>
  <si>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</si>
  <si>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Bebidas y cervezas en vaso, un solo punto a definir entre piscina, bar, quincho o salón.</t>
  </si>
  <si>
    <t>Valor adicional por persona  / por comida</t>
  </si>
  <si>
    <t>Por hora extra garzones, bar, cocina, traslado de personal en otro horario, por + de 20 pasajeros</t>
  </si>
  <si>
    <t xml:space="preserve">Sandwich de pan amasado con pollo palta o pollo pimiento 2 unidades </t>
  </si>
  <si>
    <t>Bebida gaseosa  ó cerveza</t>
  </si>
  <si>
    <t>Mix de Frutos secos</t>
  </si>
  <si>
    <t>Coffee Básico</t>
  </si>
  <si>
    <t>Jugo de pulpa, agua, yogurt, 1 brocheta fruta, 1 barra de cereal</t>
  </si>
  <si>
    <t>Equipado con data, telón papelógrafo, aire acondicionado y calefacción, 8 h Día o 4 h Noche</t>
  </si>
  <si>
    <t>Copa de vino varietal</t>
  </si>
  <si>
    <t>1 agua mineral por persona, café, té, infusiones, 5 dulces por persona en pocillo, 3 galletas artesanales.</t>
  </si>
  <si>
    <t>Pérgola comedor principal o pérgola bar</t>
  </si>
  <si>
    <t>Total evento con IVA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</si>
  <si>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</si>
  <si>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</si>
  <si>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</si>
  <si>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</si>
  <si>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</si>
  <si>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Sugerencias del chef, 2 opciones de entrada, fondo y postre.</t>
  </si>
  <si>
    <t>Almuerzo( bajo 30 pasajeros)</t>
  </si>
  <si>
    <t>Cena( bajo 30 pasajeros)</t>
  </si>
  <si>
    <t>Cena Buffet Parrilla, bajo 30 pax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</si>
  <si>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</si>
  <si>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</si>
  <si>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</si>
  <si>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50% pagado contra factura el día del evento en el Lodge.</t>
    </r>
  </si>
  <si>
    <t>Crédito: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</si>
  <si>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Forma de pago del 50% restante.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</si>
  <si>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 xml:space="preserve">Solicitud de crédito aprobada. </t>
    </r>
  </si>
  <si>
    <t>En no pago del saldo en la fecha señalada, genera automáticamente un 15% de recargo sobre el saldo, por gastos de cobranza más en máximo interés convencional.</t>
  </si>
  <si>
    <r>
      <t>Para órdenes de Compra y pagos</t>
    </r>
    <r>
      <rPr>
        <sz val="11"/>
        <color rgb="FF000000"/>
        <rFont val="Calibri"/>
        <family val="2"/>
      </rPr>
      <t>.</t>
    </r>
  </si>
  <si>
    <t>Crédito 30 días, genera interés de 5% sobre el saldo adeudado, 60 días 10% sobre el saldo adeudado.</t>
  </si>
  <si>
    <t>Aventuras Andinas LTDA.</t>
  </si>
  <si>
    <r>
      <t xml:space="preserve">Copiar abonos o transferencias a </t>
    </r>
    <r>
      <rPr>
        <u/>
        <sz val="12"/>
        <color theme="10"/>
        <rFont val="Calibri (Cuerpo)"/>
      </rPr>
      <t>sf@sflodge.cl</t>
    </r>
    <r>
      <rPr>
        <sz val="12"/>
        <color theme="10"/>
        <rFont val="Calibri"/>
        <family val="2"/>
        <scheme val="minor"/>
      </rPr>
      <t xml:space="preserve"> y correo de la vendedora.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</si>
  <si>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</si>
  <si>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</si>
  <si>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Para Formalización y forma de pago.</t>
  </si>
  <si>
    <t>Para solicitar Crédito enviar a la Vendedora.</t>
  </si>
  <si>
    <t>Tragos(1 p/p entre) Pisco sour o espumante, vino,  bebida, cerveza, 1 empanaditas, 1 bruzquetas, quesos, frutos secos, galletas.</t>
  </si>
  <si>
    <t>Tragos(2 p/p entre)Vino tinto, Blanco, espumante, pisco sour, bebidas,  cerveza, 1 empanaditas de Pino, 1 queso, queso crema con aceitunas y nueces, 2  bruzquetas jamón serrano, bruzquetas de Salmón, brocheta mediterranea,  frutos secos o quesos.</t>
  </si>
  <si>
    <t>Salón Arcoiris, Opcional no incluido</t>
  </si>
  <si>
    <t>Coffee Básico, Opcional no incluido</t>
  </si>
  <si>
    <t>Diageo</t>
  </si>
  <si>
    <t>Daniel Espejo</t>
  </si>
  <si>
    <t>Carmen Rodriguez D.</t>
  </si>
  <si>
    <t>9 74961403</t>
  </si>
  <si>
    <t>9 42633516</t>
  </si>
  <si>
    <t>Circuito de Alianzas</t>
  </si>
  <si>
    <t>Team building circuito de alianzas</t>
  </si>
  <si>
    <t>Descorche valor por persona</t>
  </si>
  <si>
    <t>Armado de bar, hielo, personal para atención por 4 horas.</t>
  </si>
  <si>
    <t>Total paquete día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</si>
</sst>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6" formatCode="&quot;$&quot;#,##0;[Red]&quot;$&quot;\-#,##0"/>
    <numFmt numFmtId="164" formatCode="&quot;$&quot;#,##0"/>
    <numFmt numFmtId="165" formatCode="h:mm:ss;@"/>
  </numFmts>
  <fonts count="2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3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theme="10"/>
      <name val="Calibri"/>
      <family val="2"/>
      <scheme val="minor"/>
    </font>
    <font>
      <u/>
      <sz val="12"/>
      <color theme="10"/>
      <name val="Calibri (Cuerpo)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174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79">
    <xf numFmtId="0" fontId="0" fillId="0" borderId="0" xfId="0"/>
    <xf numFmtId="0" fontId="3" fillId="0" borderId="0" xfId="0" applyFont="1" applyAlignment="1">
      <alignment horizontal="right"/>
    </xf>
    <xf numFmtId="0" fontId="6" fillId="0" borderId="0" xfId="0" applyFont="1" applyBorder="1" applyAlignment="1">
      <alignment horizontal="right"/>
    </xf>
    <xf numFmtId="6" fontId="6" fillId="0" borderId="0" xfId="0" applyNumberFormat="1" applyFont="1" applyBorder="1" applyAlignment="1">
      <alignment horizontal="right"/>
    </xf>
    <xf numFmtId="6" fontId="6" fillId="0" borderId="6" xfId="0" applyNumberFormat="1" applyFont="1" applyBorder="1" applyAlignment="1">
      <alignment horizontal="right"/>
    </xf>
    <xf numFmtId="0" fontId="6" fillId="0" borderId="0" xfId="0" applyFont="1"/>
    <xf numFmtId="6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9" fillId="4" borderId="0" xfId="0" applyFont="1" applyFill="1" applyAlignment="1">
      <alignment vertical="center"/>
    </xf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5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11" fillId="0" borderId="0" xfId="0" applyFont="1"/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6" fillId="0" borderId="11" xfId="0" applyFont="1" applyBorder="1" applyAlignment="1">
      <alignment horizontal="right" vertical="center"/>
    </xf>
    <xf numFmtId="0" fontId="6" fillId="0" borderId="12" xfId="0" applyFont="1" applyBorder="1" applyAlignment="1">
      <alignment horizontal="center"/>
    </xf>
    <xf numFmtId="0" fontId="6" fillId="0" borderId="12" xfId="0" applyFont="1" applyBorder="1" applyAlignment="1">
      <alignment horizontal="right"/>
    </xf>
    <xf numFmtId="6" fontId="6" fillId="0" borderId="13" xfId="0" applyNumberFormat="1" applyFont="1" applyBorder="1" applyAlignment="1">
      <alignment horizontal="right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6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2" fillId="0" borderId="0" xfId="0" applyFont="1"/>
    <xf numFmtId="0" fontId="4" fillId="0" borderId="0" xfId="116"/>
    <xf numFmtId="0" fontId="13" fillId="0" borderId="0" xfId="0" applyFont="1" applyAlignment="1">
      <alignment vertical="center"/>
    </xf>
    <xf numFmtId="165" fontId="3" fillId="0" borderId="0" xfId="0" applyNumberFormat="1" applyFont="1" applyAlignment="1">
      <alignment horizontal="right"/>
    </xf>
    <xf numFmtId="165" fontId="0" fillId="0" borderId="0" xfId="0" applyNumberFormat="1"/>
    <xf numFmtId="165" fontId="6" fillId="0" borderId="0" xfId="0" applyNumberFormat="1" applyFont="1" applyBorder="1" applyAlignment="1">
      <alignment horizontal="right"/>
    </xf>
    <xf numFmtId="165" fontId="6" fillId="0" borderId="12" xfId="0" applyNumberFormat="1" applyFont="1" applyBorder="1" applyAlignment="1">
      <alignment horizontal="right" vertical="center"/>
    </xf>
    <xf numFmtId="165" fontId="9" fillId="4" borderId="0" xfId="0" applyNumberFormat="1" applyFont="1" applyFill="1" applyAlignment="1">
      <alignment vertical="center"/>
    </xf>
    <xf numFmtId="0" fontId="6" fillId="0" borderId="3" xfId="0" applyFont="1" applyBorder="1" applyAlignment="1">
      <alignment horizontal="right"/>
    </xf>
    <xf numFmtId="165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center"/>
    </xf>
    <xf numFmtId="6" fontId="6" fillId="0" borderId="4" xfId="0" applyNumberFormat="1" applyFont="1" applyBorder="1" applyAlignment="1">
      <alignment horizontal="right"/>
    </xf>
    <xf numFmtId="6" fontId="6" fillId="0" borderId="15" xfId="0" applyNumberFormat="1" applyFont="1" applyBorder="1" applyAlignment="1">
      <alignment horizontal="right"/>
    </xf>
    <xf numFmtId="20" fontId="16" fillId="0" borderId="0" xfId="0" applyNumberFormat="1" applyFont="1"/>
    <xf numFmtId="0" fontId="16" fillId="0" borderId="0" xfId="0" applyFont="1"/>
    <xf numFmtId="0" fontId="14" fillId="0" borderId="18" xfId="0" applyFont="1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14" fillId="0" borderId="20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4" fillId="0" borderId="19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6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5" fillId="9" borderId="1" xfId="0" applyFont="1" applyFill="1" applyBorder="1" applyAlignment="1">
      <alignment horizontal="left"/>
    </xf>
    <xf numFmtId="165" fontId="15" fillId="9" borderId="1" xfId="0" applyNumberFormat="1" applyFont="1" applyFill="1" applyBorder="1" applyAlignment="1">
      <alignment horizontal="left"/>
    </xf>
    <xf numFmtId="0" fontId="15" fillId="9" borderId="1" xfId="0" applyFont="1" applyFill="1" applyBorder="1" applyAlignment="1">
      <alignment horizontal="center"/>
    </xf>
    <xf numFmtId="6" fontId="15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165" fontId="6" fillId="9" borderId="1" xfId="0" applyNumberFormat="1" applyFont="1" applyFill="1" applyBorder="1" applyAlignment="1">
      <alignment horizontal="center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left" vertical="center"/>
    </xf>
    <xf numFmtId="165" fontId="6" fillId="9" borderId="1" xfId="0" applyNumberFormat="1" applyFont="1" applyFill="1" applyBorder="1" applyAlignment="1">
      <alignment horizontal="left" vertical="center"/>
    </xf>
    <xf numFmtId="6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 applyAlignment="1">
      <alignment vertical="center"/>
    </xf>
    <xf numFmtId="165" fontId="6" fillId="9" borderId="1" xfId="0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6" fillId="9" borderId="1" xfId="0" applyFont="1" applyFill="1" applyBorder="1"/>
    <xf numFmtId="165" fontId="6" fillId="9" borderId="1" xfId="0" applyNumberFormat="1" applyFont="1" applyFill="1" applyBorder="1"/>
    <xf numFmtId="0" fontId="0" fillId="3" borderId="0" xfId="0" applyFill="1"/>
    <xf numFmtId="165" fontId="0" fillId="3" borderId="0" xfId="0" applyNumberFormat="1" applyFill="1"/>
    <xf numFmtId="0" fontId="2" fillId="10" borderId="5" xfId="0" applyFont="1" applyFill="1" applyBorder="1" applyAlignment="1">
      <alignment horizontal="center"/>
    </xf>
    <xf numFmtId="165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7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5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6" fontId="1" fillId="10" borderId="1" xfId="0" applyNumberFormat="1" applyFont="1" applyFill="1" applyBorder="1" applyAlignment="1">
      <alignment horizontal="right"/>
    </xf>
    <xf numFmtId="0" fontId="15" fillId="9" borderId="1" xfId="0" applyFont="1" applyFill="1" applyBorder="1" applyAlignment="1">
      <alignment horizontal="left" vertical="center"/>
    </xf>
    <xf numFmtId="165" fontId="15" fillId="9" borderId="1" xfId="0" applyNumberFormat="1" applyFont="1" applyFill="1" applyBorder="1" applyAlignment="1">
      <alignment horizontal="left" vertical="center"/>
    </xf>
    <xf numFmtId="6" fontId="15" fillId="9" borderId="1" xfId="0" applyNumberFormat="1" applyFont="1" applyFill="1" applyBorder="1" applyAlignment="1">
      <alignment horizontal="right" vertical="center"/>
    </xf>
    <xf numFmtId="0" fontId="6" fillId="9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5" fontId="0" fillId="0" borderId="1" xfId="0" applyNumberFormat="1" applyFill="1" applyBorder="1"/>
    <xf numFmtId="6" fontId="6" fillId="0" borderId="1" xfId="0" applyNumberFormat="1" applyFont="1" applyFill="1" applyBorder="1" applyAlignment="1">
      <alignment horizontal="right"/>
    </xf>
    <xf numFmtId="165" fontId="0" fillId="0" borderId="0" xfId="0" applyNumberFormat="1" applyAlignment="1">
      <alignment horizontal="left"/>
    </xf>
    <xf numFmtId="165" fontId="1" fillId="0" borderId="0" xfId="0" applyNumberFormat="1" applyFont="1" applyFill="1" applyAlignment="1">
      <alignment horizontal="left"/>
    </xf>
    <xf numFmtId="0" fontId="6" fillId="11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horizontal="center" vertical="center" wrapText="1"/>
    </xf>
    <xf numFmtId="6" fontId="6" fillId="11" borderId="1" xfId="0" applyNumberFormat="1" applyFont="1" applyFill="1" applyBorder="1" applyAlignment="1">
      <alignment horizontal="right" wrapText="1"/>
    </xf>
    <xf numFmtId="0" fontId="6" fillId="11" borderId="1" xfId="0" applyFont="1" applyFill="1" applyBorder="1" applyAlignment="1">
      <alignment wrapText="1"/>
    </xf>
    <xf numFmtId="6" fontId="6" fillId="9" borderId="1" xfId="0" applyNumberFormat="1" applyFont="1" applyFill="1" applyBorder="1"/>
    <xf numFmtId="6" fontId="6" fillId="3" borderId="1" xfId="0" applyNumberFormat="1" applyFont="1" applyFill="1" applyBorder="1" applyAlignment="1">
      <alignment horizontal="right"/>
    </xf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0" fontId="19" fillId="0" borderId="0" xfId="0" applyFont="1" applyAlignment="1">
      <alignment horizontal="left" vertical="center" indent="4"/>
    </xf>
    <xf numFmtId="0" fontId="21" fillId="0" borderId="0" xfId="116" applyFont="1" applyAlignment="1">
      <alignment vertical="center"/>
    </xf>
    <xf numFmtId="0" fontId="2" fillId="10" borderId="1" xfId="0" applyFont="1" applyFill="1" applyBorder="1" applyAlignment="1">
      <alignment horizontal="center"/>
    </xf>
    <xf numFmtId="165" fontId="2" fillId="10" borderId="1" xfId="0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9" borderId="1" xfId="0" applyFont="1" applyFill="1" applyBorder="1" applyAlignment="1">
      <alignment horizontal="left" wrapText="1"/>
    </xf>
    <xf numFmtId="0" fontId="10" fillId="4" borderId="0" xfId="0" applyFont="1" applyFill="1" applyAlignment="1">
      <alignment horizont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4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left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10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4" xfId="0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4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4" xfId="0" applyFont="1" applyFill="1" applyBorder="1" applyAlignment="1">
      <alignment horizontal="left"/>
    </xf>
    <xf numFmtId="1" fontId="0" fillId="0" borderId="0" xfId="0" applyNumberFormat="1"/>
    <xf numFmtId="0" fontId="2" fillId="0" borderId="8" xfId="0" applyFont="1" applyBorder="1" applyAlignment="1">
      <alignment horizontal="right"/>
    </xf>
    <xf numFmtId="165" fontId="2" fillId="0" borderId="8" xfId="0" applyNumberFormat="1" applyFont="1" applyBorder="1" applyAlignment="1">
      <alignment horizontal="right"/>
    </xf>
    <xf numFmtId="0" fontId="2" fillId="0" borderId="8" xfId="0" applyFont="1" applyBorder="1" applyAlignment="1">
      <alignment horizontal="center"/>
    </xf>
    <xf numFmtId="0" fontId="2" fillId="0" borderId="0" xfId="0" applyFont="1" applyAlignment="1">
      <alignment horizontal="center"/>
    </xf>
    <xf numFmtId="6" fontId="2" fillId="0" borderId="0" xfId="0" applyNumberFormat="1" applyFont="1" applyAlignment="1">
      <alignment horizontal="right"/>
    </xf>
    <xf numFmtId="6" fontId="2" fillId="0" borderId="6" xfId="0" applyNumberFormat="1" applyFont="1" applyBorder="1" applyAlignment="1">
      <alignment horizontal="right"/>
    </xf>
    <xf numFmtId="0" fontId="2" fillId="9" borderId="0" xfId="0" applyFont="1" applyFill="1" applyBorder="1" applyAlignment="1">
      <alignment horizontal="right"/>
    </xf>
    <xf numFmtId="165" fontId="2" fillId="9" borderId="0" xfId="0" applyNumberFormat="1" applyFont="1" applyFill="1" applyBorder="1"/>
    <xf numFmtId="0" fontId="2" fillId="9" borderId="0" xfId="0" applyFont="1" applyFill="1" applyBorder="1" applyAlignment="1">
      <alignment horizontal="center"/>
    </xf>
    <xf numFmtId="6" fontId="2" fillId="9" borderId="0" xfId="0" applyNumberFormat="1" applyFont="1" applyFill="1" applyBorder="1"/>
    <xf numFmtId="6" fontId="2" fillId="9" borderId="0" xfId="0" applyNumberFormat="1" applyFont="1" applyFill="1" applyBorder="1" applyAlignment="1">
      <alignment horizontal="right"/>
    </xf>
  </cellXfs>
  <cellStyles count="174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xmlns="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f@sflodge.cl" TargetMode="External"/><Relationship Id="rId2" Type="http://schemas.openxmlformats.org/officeDocument/2006/relationships/printerSettings" Target="../printerSettings/printerSettings1.bin"/><Relationship Id="rId3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5"/>
  </sheetPr>
  <dimension ref="A1:G111"/>
  <sheetViews>
    <sheetView tabSelected="1" topLeftCell="A5" zoomScale="109" zoomScaleNormal="109" zoomScalePageLayoutView="109" workbookViewId="0">
      <selection activeCell="F25" sqref="F25"/>
    </sheetView>
  </sheetViews>
  <sheetFormatPr baseColWidth="10" defaultRowHeight="16" x14ac:dyDescent="0.2"/>
  <cols>
    <col min="1" max="1" width="33.1640625" customWidth="1"/>
    <col min="2" max="2" width="10.83203125" style="76" customWidth="1"/>
    <col min="3" max="3" width="7.6640625" customWidth="1"/>
    <col min="4" max="4" width="7.5" customWidth="1"/>
    <col min="5" max="5" width="10" customWidth="1"/>
    <col min="6" max="6" width="10.66406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 x14ac:dyDescent="0.3">
      <c r="A1" s="1" t="s">
        <v>2</v>
      </c>
      <c r="B1" s="75"/>
      <c r="C1" s="72" t="s">
        <v>231</v>
      </c>
    </row>
    <row r="2" spans="1:7" x14ac:dyDescent="0.2">
      <c r="G2" t="s">
        <v>189</v>
      </c>
    </row>
    <row r="3" spans="1:7" x14ac:dyDescent="0.2">
      <c r="A3" s="69" t="s">
        <v>137</v>
      </c>
      <c r="B3" s="127" t="s">
        <v>258</v>
      </c>
      <c r="E3" t="s">
        <v>3</v>
      </c>
      <c r="F3" s="33" t="s">
        <v>257</v>
      </c>
      <c r="G3" s="85" t="s">
        <v>190</v>
      </c>
    </row>
    <row r="4" spans="1:7" x14ac:dyDescent="0.2">
      <c r="A4" t="s">
        <v>138</v>
      </c>
      <c r="B4" s="127"/>
      <c r="C4" s="73"/>
      <c r="E4" t="s">
        <v>5</v>
      </c>
      <c r="F4" s="167" t="s">
        <v>261</v>
      </c>
      <c r="G4" s="86" t="s">
        <v>191</v>
      </c>
    </row>
    <row r="5" spans="1:7" x14ac:dyDescent="0.2">
      <c r="A5" t="s">
        <v>139</v>
      </c>
      <c r="B5" s="127"/>
      <c r="E5" t="s">
        <v>4</v>
      </c>
      <c r="F5" s="33">
        <v>22</v>
      </c>
      <c r="G5" s="86" t="s">
        <v>192</v>
      </c>
    </row>
    <row r="6" spans="1:7" x14ac:dyDescent="0.2">
      <c r="A6" s="71" t="s">
        <v>141</v>
      </c>
      <c r="B6" s="128" t="s">
        <v>259</v>
      </c>
      <c r="C6" s="70"/>
      <c r="D6" s="70"/>
      <c r="E6" s="70" t="s">
        <v>140</v>
      </c>
      <c r="F6" s="70" t="s">
        <v>260</v>
      </c>
      <c r="G6" s="86" t="s">
        <v>193</v>
      </c>
    </row>
    <row r="7" spans="1:7" ht="17" thickBot="1" x14ac:dyDescent="0.25">
      <c r="A7" s="70"/>
      <c r="B7" s="128"/>
      <c r="C7" s="70"/>
      <c r="D7" s="70"/>
      <c r="E7" s="70"/>
      <c r="F7" s="70"/>
      <c r="G7" s="86"/>
    </row>
    <row r="8" spans="1:7" ht="15.75" customHeight="1" x14ac:dyDescent="0.2">
      <c r="A8" s="112" t="s">
        <v>124</v>
      </c>
      <c r="B8" s="113" t="s">
        <v>159</v>
      </c>
      <c r="C8" s="114" t="s">
        <v>123</v>
      </c>
      <c r="D8" s="114" t="s">
        <v>7</v>
      </c>
      <c r="E8" s="114" t="s">
        <v>0</v>
      </c>
      <c r="F8" s="114" t="s">
        <v>1</v>
      </c>
      <c r="G8" s="115" t="s">
        <v>8</v>
      </c>
    </row>
    <row r="9" spans="1:7" x14ac:dyDescent="0.2">
      <c r="A9" s="102" t="s">
        <v>121</v>
      </c>
      <c r="B9" s="103" t="s">
        <v>174</v>
      </c>
      <c r="C9" s="94">
        <v>1</v>
      </c>
      <c r="D9" s="94">
        <v>22</v>
      </c>
      <c r="E9" s="104">
        <v>15000</v>
      </c>
      <c r="F9" s="93">
        <f t="shared" ref="F9:F15" si="0">D9*E9</f>
        <v>330000</v>
      </c>
      <c r="G9" s="92" t="s">
        <v>214</v>
      </c>
    </row>
    <row r="10" spans="1:7" x14ac:dyDescent="0.2">
      <c r="A10" s="102" t="s">
        <v>236</v>
      </c>
      <c r="B10" s="103" t="s">
        <v>173</v>
      </c>
      <c r="C10" s="94">
        <v>0</v>
      </c>
      <c r="D10" s="94">
        <v>0</v>
      </c>
      <c r="E10" s="93">
        <v>25000</v>
      </c>
      <c r="F10" s="93">
        <f t="shared" si="0"/>
        <v>0</v>
      </c>
      <c r="G10" s="92" t="s">
        <v>114</v>
      </c>
    </row>
    <row r="11" spans="1:7" x14ac:dyDescent="0.2">
      <c r="A11" s="129" t="s">
        <v>235</v>
      </c>
      <c r="B11" s="130" t="s">
        <v>2</v>
      </c>
      <c r="C11" s="94">
        <v>1</v>
      </c>
      <c r="D11" s="94">
        <v>22</v>
      </c>
      <c r="E11" s="131">
        <v>15000</v>
      </c>
      <c r="F11" s="93">
        <f t="shared" si="0"/>
        <v>330000</v>
      </c>
      <c r="G11" s="132" t="s">
        <v>233</v>
      </c>
    </row>
    <row r="12" spans="1:7" x14ac:dyDescent="0.2">
      <c r="A12" s="102" t="s">
        <v>219</v>
      </c>
      <c r="B12" s="103"/>
      <c r="C12" s="94">
        <v>1</v>
      </c>
      <c r="D12" s="94">
        <v>22</v>
      </c>
      <c r="E12" s="93">
        <v>1500</v>
      </c>
      <c r="F12" s="93">
        <f t="shared" si="0"/>
        <v>33000</v>
      </c>
      <c r="G12" s="92" t="s">
        <v>212</v>
      </c>
    </row>
    <row r="13" spans="1:7" x14ac:dyDescent="0.2">
      <c r="A13" s="102" t="s">
        <v>264</v>
      </c>
      <c r="B13" s="103"/>
      <c r="C13" s="94">
        <v>1</v>
      </c>
      <c r="D13" s="94">
        <v>22</v>
      </c>
      <c r="E13" s="93">
        <v>7000</v>
      </c>
      <c r="F13" s="93">
        <f t="shared" si="0"/>
        <v>154000</v>
      </c>
      <c r="G13" s="92" t="s">
        <v>265</v>
      </c>
    </row>
    <row r="14" spans="1:7" ht="16.5" customHeight="1" x14ac:dyDescent="0.2">
      <c r="A14" s="124" t="s">
        <v>228</v>
      </c>
      <c r="B14" s="125"/>
      <c r="C14" s="94">
        <v>0</v>
      </c>
      <c r="D14" s="94">
        <v>0</v>
      </c>
      <c r="E14" s="126">
        <v>99000</v>
      </c>
      <c r="F14" s="93">
        <f t="shared" si="0"/>
        <v>0</v>
      </c>
      <c r="G14" s="124" t="s">
        <v>229</v>
      </c>
    </row>
    <row r="15" spans="1:7" ht="16.5" customHeight="1" x14ac:dyDescent="0.2">
      <c r="A15" s="124" t="s">
        <v>148</v>
      </c>
      <c r="B15" s="125"/>
      <c r="C15" s="94">
        <v>1</v>
      </c>
      <c r="D15" s="94">
        <v>22</v>
      </c>
      <c r="E15" s="126">
        <f>E14+9500+5000</f>
        <v>113500</v>
      </c>
      <c r="F15" s="93">
        <f t="shared" si="0"/>
        <v>2497000</v>
      </c>
      <c r="G15" s="124" t="s">
        <v>230</v>
      </c>
    </row>
    <row r="16" spans="1:7" ht="16.5" customHeight="1" thickBot="1" x14ac:dyDescent="0.25">
      <c r="A16" s="168" t="s">
        <v>92</v>
      </c>
      <c r="B16" s="169"/>
      <c r="C16" s="170"/>
      <c r="D16" s="171"/>
      <c r="E16" s="172"/>
      <c r="F16" s="173">
        <f>SUM(F9:F15)</f>
        <v>3344000</v>
      </c>
      <c r="G16" s="32" t="s">
        <v>2</v>
      </c>
    </row>
    <row r="17" spans="1:7" ht="16.5" customHeight="1" x14ac:dyDescent="0.2">
      <c r="A17" s="112" t="s">
        <v>125</v>
      </c>
      <c r="B17" s="113"/>
      <c r="C17" s="114" t="s">
        <v>123</v>
      </c>
      <c r="D17" s="114" t="s">
        <v>7</v>
      </c>
      <c r="E17" s="114" t="s">
        <v>0</v>
      </c>
      <c r="F17" s="114" t="s">
        <v>1</v>
      </c>
      <c r="G17" s="115" t="s">
        <v>8</v>
      </c>
    </row>
    <row r="18" spans="1:7" x14ac:dyDescent="0.2">
      <c r="A18" s="108" t="s">
        <v>10</v>
      </c>
      <c r="B18" s="109"/>
      <c r="C18" s="94">
        <v>1</v>
      </c>
      <c r="D18" s="94">
        <v>22</v>
      </c>
      <c r="E18" s="133">
        <v>10500</v>
      </c>
      <c r="F18" s="93" t="s">
        <v>126</v>
      </c>
      <c r="G18" s="92" t="s">
        <v>213</v>
      </c>
    </row>
    <row r="19" spans="1:7" x14ac:dyDescent="0.2">
      <c r="A19" s="102" t="s">
        <v>255</v>
      </c>
      <c r="B19" s="103"/>
      <c r="C19" s="94">
        <v>1</v>
      </c>
      <c r="D19" s="94">
        <v>22</v>
      </c>
      <c r="E19" s="104">
        <v>180000</v>
      </c>
      <c r="F19" s="93">
        <f>C19*E19</f>
        <v>180000</v>
      </c>
      <c r="G19" s="92" t="s">
        <v>223</v>
      </c>
    </row>
    <row r="20" spans="1:7" x14ac:dyDescent="0.2">
      <c r="A20" s="105" t="s">
        <v>256</v>
      </c>
      <c r="B20" s="106"/>
      <c r="C20" s="94">
        <v>0</v>
      </c>
      <c r="D20" s="94">
        <v>0</v>
      </c>
      <c r="E20" s="104">
        <v>3850</v>
      </c>
      <c r="F20" s="134">
        <f>D20*E20</f>
        <v>0</v>
      </c>
      <c r="G20" s="102" t="s">
        <v>153</v>
      </c>
    </row>
    <row r="21" spans="1:7" s="15" customFormat="1" ht="16.5" customHeight="1" x14ac:dyDescent="0.2">
      <c r="A21" s="129" t="s">
        <v>234</v>
      </c>
      <c r="B21" s="130" t="s">
        <v>2</v>
      </c>
      <c r="C21" s="94">
        <v>1</v>
      </c>
      <c r="D21" s="94">
        <v>22</v>
      </c>
      <c r="E21" s="131">
        <v>15000</v>
      </c>
      <c r="F21" s="134">
        <f t="shared" ref="F21:F22" si="1">D21*E21</f>
        <v>330000</v>
      </c>
      <c r="G21" s="132" t="s">
        <v>233</v>
      </c>
    </row>
    <row r="22" spans="1:7" x14ac:dyDescent="0.2">
      <c r="A22" s="102" t="s">
        <v>219</v>
      </c>
      <c r="B22" s="103"/>
      <c r="C22" s="94">
        <v>1</v>
      </c>
      <c r="D22" s="94">
        <v>22</v>
      </c>
      <c r="E22" s="93">
        <v>1500</v>
      </c>
      <c r="F22" s="134">
        <f t="shared" si="1"/>
        <v>33000</v>
      </c>
      <c r="G22" s="92" t="s">
        <v>212</v>
      </c>
    </row>
    <row r="23" spans="1:7" x14ac:dyDescent="0.2">
      <c r="A23" s="102" t="s">
        <v>262</v>
      </c>
      <c r="B23" s="103"/>
      <c r="C23" s="94">
        <v>1</v>
      </c>
      <c r="D23" s="94">
        <v>22</v>
      </c>
      <c r="E23" s="93">
        <f>400000+6000*22</f>
        <v>532000</v>
      </c>
      <c r="F23" s="93">
        <f>400000+6000*22</f>
        <v>532000</v>
      </c>
      <c r="G23" s="92" t="s">
        <v>263</v>
      </c>
    </row>
    <row r="24" spans="1:7" x14ac:dyDescent="0.2">
      <c r="A24" s="174" t="s">
        <v>266</v>
      </c>
      <c r="B24" s="175"/>
      <c r="C24" s="176"/>
      <c r="D24" s="176"/>
      <c r="E24" s="177"/>
      <c r="F24" s="178">
        <f>SUM(F19:F23)</f>
        <v>1075000</v>
      </c>
      <c r="G24" s="123"/>
    </row>
    <row r="25" spans="1:7" x14ac:dyDescent="0.2">
      <c r="A25" s="116" t="s">
        <v>208</v>
      </c>
      <c r="B25" s="117" t="s">
        <v>232</v>
      </c>
      <c r="C25" s="118"/>
      <c r="D25" s="118"/>
      <c r="E25" s="119"/>
      <c r="F25" s="119" t="s">
        <v>2</v>
      </c>
      <c r="G25" s="116" t="s">
        <v>209</v>
      </c>
    </row>
    <row r="26" spans="1:7" x14ac:dyDescent="0.2">
      <c r="A26" s="95" t="s">
        <v>204</v>
      </c>
      <c r="B26" s="96" t="s">
        <v>2</v>
      </c>
      <c r="C26" s="97">
        <v>0</v>
      </c>
      <c r="D26" s="97">
        <v>0</v>
      </c>
      <c r="E26" s="98">
        <v>0</v>
      </c>
      <c r="F26" s="98">
        <f t="shared" ref="F26:F29" si="2">C26*D26*E26</f>
        <v>0</v>
      </c>
      <c r="G26" s="99" t="s">
        <v>206</v>
      </c>
    </row>
    <row r="27" spans="1:7" x14ac:dyDescent="0.2">
      <c r="A27" s="95" t="s">
        <v>200</v>
      </c>
      <c r="B27" s="96" t="s">
        <v>2</v>
      </c>
      <c r="C27" s="97">
        <v>0</v>
      </c>
      <c r="D27" s="97">
        <v>0</v>
      </c>
      <c r="E27" s="98">
        <v>0</v>
      </c>
      <c r="F27" s="98">
        <f t="shared" si="2"/>
        <v>0</v>
      </c>
      <c r="G27" s="99" t="s">
        <v>207</v>
      </c>
    </row>
    <row r="28" spans="1:7" ht="16.5" customHeight="1" x14ac:dyDescent="0.2">
      <c r="A28" s="95" t="s">
        <v>201</v>
      </c>
      <c r="B28" s="96" t="s">
        <v>2</v>
      </c>
      <c r="C28" s="97">
        <v>0</v>
      </c>
      <c r="D28" s="97">
        <v>0</v>
      </c>
      <c r="E28" s="98">
        <v>0</v>
      </c>
      <c r="F28" s="98">
        <f t="shared" si="2"/>
        <v>0</v>
      </c>
      <c r="G28" s="99" t="s">
        <v>205</v>
      </c>
    </row>
    <row r="29" spans="1:7" ht="17" thickBot="1" x14ac:dyDescent="0.25">
      <c r="A29" s="95" t="s">
        <v>202</v>
      </c>
      <c r="B29" s="96" t="s">
        <v>2</v>
      </c>
      <c r="C29" s="97">
        <v>0</v>
      </c>
      <c r="D29" s="97">
        <v>0</v>
      </c>
      <c r="E29" s="98">
        <v>0</v>
      </c>
      <c r="F29" s="98">
        <f t="shared" si="2"/>
        <v>0</v>
      </c>
      <c r="G29" s="95" t="s">
        <v>203</v>
      </c>
    </row>
    <row r="30" spans="1:7" ht="17" thickBot="1" x14ac:dyDescent="0.25">
      <c r="A30" s="35" t="s">
        <v>210</v>
      </c>
      <c r="B30" s="78"/>
      <c r="C30" s="36"/>
      <c r="D30" s="36"/>
      <c r="E30" s="37"/>
      <c r="F30" s="38">
        <f>F16+F24</f>
        <v>4419000</v>
      </c>
      <c r="G30" s="5" t="s">
        <v>146</v>
      </c>
    </row>
    <row r="31" spans="1:7" x14ac:dyDescent="0.2">
      <c r="A31" s="2" t="s">
        <v>147</v>
      </c>
      <c r="B31" s="77"/>
      <c r="C31" s="31"/>
      <c r="D31" s="23"/>
      <c r="E31" s="6"/>
      <c r="F31" s="4">
        <f>F30*1.19-F30</f>
        <v>839610</v>
      </c>
      <c r="G31" s="5"/>
    </row>
    <row r="32" spans="1:7" x14ac:dyDescent="0.2">
      <c r="A32" s="80" t="s">
        <v>227</v>
      </c>
      <c r="B32" s="81"/>
      <c r="C32" s="82"/>
      <c r="D32" s="82"/>
      <c r="E32" s="83"/>
      <c r="F32" s="84">
        <f>F30+F31</f>
        <v>5258610</v>
      </c>
      <c r="G32" s="5"/>
    </row>
    <row r="33" spans="1:7" x14ac:dyDescent="0.2">
      <c r="A33" s="2"/>
      <c r="B33" s="77"/>
      <c r="C33" s="31"/>
      <c r="D33" s="23"/>
      <c r="E33" s="6"/>
      <c r="F33" s="3"/>
      <c r="G33" s="5"/>
    </row>
    <row r="34" spans="1:7" ht="17" x14ac:dyDescent="0.2">
      <c r="A34" s="135" t="s">
        <v>177</v>
      </c>
      <c r="B34"/>
      <c r="E34" s="74"/>
      <c r="F34" s="74"/>
      <c r="G34" s="74"/>
    </row>
    <row r="35" spans="1:7" x14ac:dyDescent="0.2">
      <c r="A35" s="137" t="s">
        <v>249</v>
      </c>
      <c r="B35"/>
    </row>
    <row r="36" spans="1:7" x14ac:dyDescent="0.2">
      <c r="A36" s="137" t="s">
        <v>250</v>
      </c>
      <c r="B36"/>
    </row>
    <row r="38" spans="1:7" x14ac:dyDescent="0.2">
      <c r="A38" s="135" t="s">
        <v>251</v>
      </c>
      <c r="B38"/>
    </row>
    <row r="39" spans="1:7" x14ac:dyDescent="0.2">
      <c r="A39" s="135" t="s">
        <v>237</v>
      </c>
      <c r="B39"/>
      <c r="F39" s="135" t="s">
        <v>241</v>
      </c>
    </row>
    <row r="40" spans="1:7" x14ac:dyDescent="0.2">
      <c r="A40" s="137" t="s">
        <v>238</v>
      </c>
      <c r="B40"/>
      <c r="F40" s="137" t="s">
        <v>238</v>
      </c>
    </row>
    <row r="41" spans="1:7" x14ac:dyDescent="0.2">
      <c r="A41" s="137" t="s">
        <v>239</v>
      </c>
      <c r="B41"/>
      <c r="F41" s="137" t="s">
        <v>239</v>
      </c>
    </row>
    <row r="42" spans="1:7" x14ac:dyDescent="0.2">
      <c r="A42" s="137" t="s">
        <v>240</v>
      </c>
      <c r="B42"/>
      <c r="F42" s="137" t="s">
        <v>242</v>
      </c>
    </row>
    <row r="43" spans="1:7" x14ac:dyDescent="0.2">
      <c r="F43" s="137" t="s">
        <v>243</v>
      </c>
    </row>
    <row r="44" spans="1:7" x14ac:dyDescent="0.2">
      <c r="A44" s="135" t="s">
        <v>252</v>
      </c>
      <c r="B44"/>
    </row>
    <row r="45" spans="1:7" x14ac:dyDescent="0.2">
      <c r="A45" s="136" t="s">
        <v>149</v>
      </c>
      <c r="B45"/>
    </row>
    <row r="46" spans="1:7" x14ac:dyDescent="0.2">
      <c r="A46" s="136" t="s">
        <v>150</v>
      </c>
      <c r="B46"/>
    </row>
    <row r="47" spans="1:7" ht="17" x14ac:dyDescent="0.2">
      <c r="A47" s="136" t="s">
        <v>151</v>
      </c>
      <c r="B47"/>
      <c r="F47" s="74" t="s">
        <v>2</v>
      </c>
    </row>
    <row r="48" spans="1:7" ht="17" x14ac:dyDescent="0.2">
      <c r="A48" s="136" t="s">
        <v>152</v>
      </c>
      <c r="B48"/>
      <c r="F48" s="74" t="s">
        <v>2</v>
      </c>
    </row>
    <row r="49" spans="1:7" ht="17" x14ac:dyDescent="0.2">
      <c r="A49" s="136"/>
      <c r="B49"/>
      <c r="F49" s="74" t="s">
        <v>2</v>
      </c>
    </row>
    <row r="50" spans="1:7" ht="16" customHeight="1" x14ac:dyDescent="0.2">
      <c r="A50" s="136" t="s">
        <v>246</v>
      </c>
      <c r="B50"/>
    </row>
    <row r="51" spans="1:7" ht="16" customHeight="1" x14ac:dyDescent="0.2">
      <c r="A51" s="136" t="s">
        <v>244</v>
      </c>
      <c r="B51"/>
    </row>
    <row r="52" spans="1:7" ht="16" customHeight="1" x14ac:dyDescent="0.2">
      <c r="B52"/>
    </row>
    <row r="53" spans="1:7" ht="16" customHeight="1" x14ac:dyDescent="0.2">
      <c r="A53" s="135" t="s">
        <v>245</v>
      </c>
      <c r="B53"/>
      <c r="E53" s="136" t="s">
        <v>183</v>
      </c>
      <c r="F53" s="136" t="s">
        <v>184</v>
      </c>
    </row>
    <row r="54" spans="1:7" ht="16" customHeight="1" x14ac:dyDescent="0.2">
      <c r="A54" s="136" t="s">
        <v>178</v>
      </c>
      <c r="B54" s="136" t="s">
        <v>179</v>
      </c>
      <c r="E54" s="136" t="s">
        <v>185</v>
      </c>
      <c r="F54" s="136" t="s">
        <v>186</v>
      </c>
    </row>
    <row r="55" spans="1:7" ht="16" customHeight="1" x14ac:dyDescent="0.2">
      <c r="A55" s="136" t="s">
        <v>180</v>
      </c>
      <c r="B55" s="136" t="s">
        <v>181</v>
      </c>
      <c r="E55" s="136" t="s">
        <v>187</v>
      </c>
      <c r="F55" s="136" t="s">
        <v>188</v>
      </c>
    </row>
    <row r="56" spans="1:7" ht="16" customHeight="1" x14ac:dyDescent="0.2">
      <c r="A56" s="136" t="s">
        <v>182</v>
      </c>
      <c r="B56" s="136" t="s">
        <v>247</v>
      </c>
      <c r="E56" s="136" t="s">
        <v>5</v>
      </c>
      <c r="F56" s="136">
        <v>29539311</v>
      </c>
    </row>
    <row r="57" spans="1:7" ht="16" customHeight="1" x14ac:dyDescent="0.2">
      <c r="A57" s="138" t="s">
        <v>248</v>
      </c>
    </row>
    <row r="58" spans="1:7" ht="16" customHeight="1" x14ac:dyDescent="0.2">
      <c r="A58" s="74"/>
      <c r="B58"/>
    </row>
    <row r="59" spans="1:7" x14ac:dyDescent="0.2">
      <c r="A59" s="139" t="s">
        <v>122</v>
      </c>
      <c r="B59" s="140" t="s">
        <v>159</v>
      </c>
      <c r="C59" s="139" t="s">
        <v>89</v>
      </c>
      <c r="D59" s="139" t="s">
        <v>7</v>
      </c>
      <c r="E59" s="139" t="s">
        <v>6</v>
      </c>
      <c r="F59" s="139" t="s">
        <v>90</v>
      </c>
      <c r="G59" s="139" t="s">
        <v>8</v>
      </c>
    </row>
    <row r="60" spans="1:7" x14ac:dyDescent="0.2">
      <c r="A60" s="92" t="s">
        <v>176</v>
      </c>
      <c r="B60" s="100"/>
      <c r="C60" s="94">
        <v>0</v>
      </c>
      <c r="D60" s="94">
        <v>0</v>
      </c>
      <c r="E60" s="101">
        <v>200000</v>
      </c>
      <c r="F60" s="101">
        <f>C60*D60*E60</f>
        <v>0</v>
      </c>
      <c r="G60" s="92" t="s">
        <v>211</v>
      </c>
    </row>
    <row r="61" spans="1:7" x14ac:dyDescent="0.2">
      <c r="A61" s="102" t="s">
        <v>91</v>
      </c>
      <c r="B61" s="103"/>
      <c r="C61" s="94">
        <v>0</v>
      </c>
      <c r="D61" s="94">
        <v>0</v>
      </c>
      <c r="E61" s="93">
        <v>12000</v>
      </c>
      <c r="F61" s="93">
        <f t="shared" ref="F61:F74" si="3">C61*D61*E61</f>
        <v>0</v>
      </c>
      <c r="G61" s="92" t="s">
        <v>215</v>
      </c>
    </row>
    <row r="62" spans="1:7" x14ac:dyDescent="0.2">
      <c r="A62" s="102" t="s">
        <v>93</v>
      </c>
      <c r="B62" s="103"/>
      <c r="C62" s="94">
        <v>0</v>
      </c>
      <c r="D62" s="94">
        <v>0</v>
      </c>
      <c r="E62" s="93">
        <v>26000</v>
      </c>
      <c r="F62" s="93">
        <f t="shared" si="3"/>
        <v>0</v>
      </c>
      <c r="G62" s="92" t="s">
        <v>118</v>
      </c>
    </row>
    <row r="63" spans="1:7" x14ac:dyDescent="0.2">
      <c r="A63" s="102" t="s">
        <v>94</v>
      </c>
      <c r="B63" s="103"/>
      <c r="C63" s="94">
        <v>0</v>
      </c>
      <c r="D63" s="94">
        <v>0</v>
      </c>
      <c r="E63" s="93">
        <v>35000</v>
      </c>
      <c r="F63" s="93">
        <f t="shared" si="3"/>
        <v>0</v>
      </c>
      <c r="G63" s="92" t="s">
        <v>118</v>
      </c>
    </row>
    <row r="64" spans="1:7" x14ac:dyDescent="0.2">
      <c r="A64" s="102" t="s">
        <v>120</v>
      </c>
      <c r="B64" s="103"/>
      <c r="C64" s="94">
        <v>0</v>
      </c>
      <c r="D64" s="94">
        <v>0</v>
      </c>
      <c r="E64" s="93">
        <v>10000</v>
      </c>
      <c r="F64" s="93">
        <f t="shared" si="3"/>
        <v>0</v>
      </c>
      <c r="G64" s="92"/>
    </row>
    <row r="65" spans="1:7" x14ac:dyDescent="0.2">
      <c r="A65" s="102" t="s">
        <v>157</v>
      </c>
      <c r="B65" s="103"/>
      <c r="C65" s="94">
        <v>0</v>
      </c>
      <c r="D65" s="94">
        <v>0</v>
      </c>
      <c r="E65" s="93">
        <v>4500</v>
      </c>
      <c r="F65" s="93">
        <f t="shared" si="3"/>
        <v>0</v>
      </c>
      <c r="G65" s="92" t="s">
        <v>158</v>
      </c>
    </row>
    <row r="66" spans="1:7" x14ac:dyDescent="0.2">
      <c r="A66" s="102" t="s">
        <v>171</v>
      </c>
      <c r="B66" s="103"/>
      <c r="C66" s="94">
        <v>0</v>
      </c>
      <c r="D66" s="94">
        <v>0</v>
      </c>
      <c r="E66" s="93">
        <v>5000</v>
      </c>
      <c r="F66" s="93">
        <f t="shared" ref="F66:F67" si="4">C66*D66*E66</f>
        <v>0</v>
      </c>
      <c r="G66" s="92" t="s">
        <v>216</v>
      </c>
    </row>
    <row r="67" spans="1:7" x14ac:dyDescent="0.2">
      <c r="A67" s="102" t="s">
        <v>172</v>
      </c>
      <c r="B67" s="103"/>
      <c r="C67" s="94">
        <v>0</v>
      </c>
      <c r="D67" s="94">
        <v>0</v>
      </c>
      <c r="E67" s="93">
        <v>5000</v>
      </c>
      <c r="F67" s="93">
        <f t="shared" si="4"/>
        <v>0</v>
      </c>
      <c r="G67" s="92" t="s">
        <v>217</v>
      </c>
    </row>
    <row r="68" spans="1:7" x14ac:dyDescent="0.2">
      <c r="A68" s="102" t="s">
        <v>156</v>
      </c>
      <c r="B68" s="103"/>
      <c r="C68" s="94">
        <v>0</v>
      </c>
      <c r="D68" s="94">
        <v>0</v>
      </c>
      <c r="E68" s="93">
        <v>3000</v>
      </c>
      <c r="F68" s="93">
        <f t="shared" ref="F68" si="5">C68*D68*E68</f>
        <v>0</v>
      </c>
      <c r="G68" s="92" t="s">
        <v>218</v>
      </c>
    </row>
    <row r="69" spans="1:7" x14ac:dyDescent="0.2">
      <c r="A69" s="102" t="s">
        <v>119</v>
      </c>
      <c r="B69" s="103"/>
      <c r="C69" s="94">
        <v>0</v>
      </c>
      <c r="D69" s="94">
        <v>0</v>
      </c>
      <c r="E69" s="93">
        <v>16000</v>
      </c>
      <c r="F69" s="93">
        <f t="shared" si="3"/>
        <v>0</v>
      </c>
      <c r="G69" s="92" t="s">
        <v>145</v>
      </c>
    </row>
    <row r="70" spans="1:7" x14ac:dyDescent="0.2">
      <c r="A70" s="102" t="s">
        <v>11</v>
      </c>
      <c r="B70" s="103"/>
      <c r="C70" s="94">
        <v>0</v>
      </c>
      <c r="D70" s="94">
        <v>0</v>
      </c>
      <c r="E70" s="93">
        <v>7000</v>
      </c>
      <c r="F70" s="93">
        <f t="shared" si="3"/>
        <v>0</v>
      </c>
      <c r="G70" s="92" t="s">
        <v>160</v>
      </c>
    </row>
    <row r="71" spans="1:7" x14ac:dyDescent="0.2">
      <c r="A71" s="120" t="s">
        <v>219</v>
      </c>
      <c r="B71" s="121"/>
      <c r="C71" s="97">
        <v>0</v>
      </c>
      <c r="D71" s="97">
        <v>0</v>
      </c>
      <c r="E71" s="98">
        <v>1500</v>
      </c>
      <c r="F71" s="98">
        <f t="shared" si="3"/>
        <v>0</v>
      </c>
      <c r="G71" s="95" t="s">
        <v>212</v>
      </c>
    </row>
    <row r="72" spans="1:7" x14ac:dyDescent="0.2">
      <c r="A72" s="120" t="s">
        <v>161</v>
      </c>
      <c r="B72" s="121"/>
      <c r="C72" s="97">
        <v>0</v>
      </c>
      <c r="D72" s="97">
        <v>0</v>
      </c>
      <c r="E72" s="98">
        <v>3000</v>
      </c>
      <c r="F72" s="98">
        <f t="shared" si="3"/>
        <v>0</v>
      </c>
      <c r="G72" s="95"/>
    </row>
    <row r="73" spans="1:7" x14ac:dyDescent="0.2">
      <c r="A73" s="120" t="s">
        <v>220</v>
      </c>
      <c r="B73" s="121"/>
      <c r="C73" s="97">
        <v>0</v>
      </c>
      <c r="D73" s="97">
        <v>0</v>
      </c>
      <c r="E73" s="98">
        <v>1000</v>
      </c>
      <c r="F73" s="98">
        <f t="shared" ref="F73" si="6">C73*D73*E73</f>
        <v>0</v>
      </c>
      <c r="G73" s="95" t="s">
        <v>162</v>
      </c>
    </row>
    <row r="74" spans="1:7" x14ac:dyDescent="0.2">
      <c r="A74" s="120" t="s">
        <v>224</v>
      </c>
      <c r="B74" s="121"/>
      <c r="C74" s="97">
        <v>0</v>
      </c>
      <c r="D74" s="97">
        <v>0</v>
      </c>
      <c r="E74" s="98">
        <v>3000</v>
      </c>
      <c r="F74" s="98">
        <f t="shared" si="3"/>
        <v>0</v>
      </c>
      <c r="G74" s="95" t="s">
        <v>9</v>
      </c>
    </row>
    <row r="75" spans="1:7" x14ac:dyDescent="0.2">
      <c r="A75" s="120" t="s">
        <v>96</v>
      </c>
      <c r="B75" s="121"/>
      <c r="C75" s="97">
        <v>0</v>
      </c>
      <c r="D75" s="97">
        <v>0</v>
      </c>
      <c r="E75" s="122">
        <v>150000</v>
      </c>
      <c r="F75" s="98">
        <f t="shared" ref="F75:F82" si="7">C75*D75*E75</f>
        <v>0</v>
      </c>
      <c r="G75" s="95" t="s">
        <v>97</v>
      </c>
    </row>
    <row r="76" spans="1:7" x14ac:dyDescent="0.2">
      <c r="A76" s="102" t="s">
        <v>98</v>
      </c>
      <c r="B76" s="103"/>
      <c r="C76" s="94">
        <v>0</v>
      </c>
      <c r="D76" s="94">
        <v>0</v>
      </c>
      <c r="E76" s="104">
        <v>120000</v>
      </c>
      <c r="F76" s="93">
        <f t="shared" si="7"/>
        <v>0</v>
      </c>
      <c r="G76" s="92" t="s">
        <v>99</v>
      </c>
    </row>
    <row r="77" spans="1:7" x14ac:dyDescent="0.2">
      <c r="A77" s="105" t="s">
        <v>221</v>
      </c>
      <c r="B77" s="106"/>
      <c r="C77" s="94">
        <v>0</v>
      </c>
      <c r="D77" s="141">
        <v>0</v>
      </c>
      <c r="E77" s="104">
        <v>3850</v>
      </c>
      <c r="F77" s="134">
        <f>E77*D77*C77</f>
        <v>0</v>
      </c>
      <c r="G77" s="102" t="s">
        <v>153</v>
      </c>
    </row>
    <row r="78" spans="1:7" x14ac:dyDescent="0.2">
      <c r="A78" s="105" t="s">
        <v>115</v>
      </c>
      <c r="B78" s="106"/>
      <c r="C78" s="94">
        <v>0</v>
      </c>
      <c r="D78" s="94">
        <v>0</v>
      </c>
      <c r="E78" s="104">
        <v>4800</v>
      </c>
      <c r="F78" s="93">
        <f>C78*D78*E78</f>
        <v>0</v>
      </c>
      <c r="G78" s="102" t="s">
        <v>222</v>
      </c>
    </row>
    <row r="79" spans="1:7" ht="15" customHeight="1" x14ac:dyDescent="0.2">
      <c r="A79" s="105" t="s">
        <v>116</v>
      </c>
      <c r="B79" s="106"/>
      <c r="C79" s="94">
        <v>0</v>
      </c>
      <c r="D79" s="94">
        <v>0</v>
      </c>
      <c r="E79" s="104">
        <v>5500</v>
      </c>
      <c r="F79" s="93">
        <f>C79*D79*E79</f>
        <v>0</v>
      </c>
      <c r="G79" s="102" t="s">
        <v>155</v>
      </c>
    </row>
    <row r="80" spans="1:7" ht="15" customHeight="1" x14ac:dyDescent="0.2">
      <c r="A80" s="105" t="s">
        <v>117</v>
      </c>
      <c r="B80" s="106"/>
      <c r="C80" s="94">
        <v>0</v>
      </c>
      <c r="D80" s="94">
        <v>0</v>
      </c>
      <c r="E80" s="104">
        <v>7500</v>
      </c>
      <c r="F80" s="93">
        <f t="shared" si="7"/>
        <v>0</v>
      </c>
      <c r="G80" s="102" t="s">
        <v>154</v>
      </c>
    </row>
    <row r="81" spans="1:7" x14ac:dyDescent="0.2">
      <c r="A81" s="102" t="s">
        <v>170</v>
      </c>
      <c r="B81" s="103"/>
      <c r="C81" s="94">
        <v>0</v>
      </c>
      <c r="D81" s="94">
        <v>0</v>
      </c>
      <c r="E81" s="93">
        <v>8500</v>
      </c>
      <c r="F81" s="93">
        <f t="shared" si="7"/>
        <v>0</v>
      </c>
      <c r="G81" s="107" t="s">
        <v>253</v>
      </c>
    </row>
    <row r="82" spans="1:7" ht="32" x14ac:dyDescent="0.2">
      <c r="A82" s="102" t="s">
        <v>163</v>
      </c>
      <c r="B82" s="103"/>
      <c r="C82" s="94">
        <v>0</v>
      </c>
      <c r="D82" s="94">
        <v>0</v>
      </c>
      <c r="E82" s="93">
        <v>13500</v>
      </c>
      <c r="F82" s="93">
        <f t="shared" si="7"/>
        <v>0</v>
      </c>
      <c r="G82" s="142" t="s">
        <v>254</v>
      </c>
    </row>
    <row r="83" spans="1:7" x14ac:dyDescent="0.2">
      <c r="A83" s="102" t="s">
        <v>95</v>
      </c>
      <c r="B83" s="103"/>
      <c r="C83" s="94">
        <v>0</v>
      </c>
      <c r="D83" s="94">
        <v>0</v>
      </c>
      <c r="E83" s="93">
        <v>2500</v>
      </c>
      <c r="F83" s="93">
        <f>C83*D83*E83</f>
        <v>0</v>
      </c>
      <c r="G83" s="92" t="s">
        <v>225</v>
      </c>
    </row>
    <row r="84" spans="1:7" x14ac:dyDescent="0.2">
      <c r="A84" s="102" t="s">
        <v>164</v>
      </c>
      <c r="B84" s="103"/>
      <c r="C84" s="94">
        <v>0</v>
      </c>
      <c r="D84" s="94">
        <v>0</v>
      </c>
      <c r="E84" s="104">
        <v>300000</v>
      </c>
      <c r="F84" s="93">
        <f>C84*D84*E84</f>
        <v>0</v>
      </c>
      <c r="G84" s="92" t="s">
        <v>223</v>
      </c>
    </row>
    <row r="85" spans="1:7" x14ac:dyDescent="0.2">
      <c r="A85" s="102" t="s">
        <v>165</v>
      </c>
      <c r="B85" s="103"/>
      <c r="C85" s="94">
        <v>0</v>
      </c>
      <c r="D85" s="94">
        <v>0</v>
      </c>
      <c r="E85" s="104">
        <v>250000</v>
      </c>
      <c r="F85" s="93">
        <f>C85*D85*E85</f>
        <v>0</v>
      </c>
      <c r="G85" s="92" t="s">
        <v>223</v>
      </c>
    </row>
    <row r="86" spans="1:7" x14ac:dyDescent="0.2">
      <c r="A86" s="102" t="s">
        <v>143</v>
      </c>
      <c r="B86" s="103"/>
      <c r="C86" s="94">
        <v>0</v>
      </c>
      <c r="D86" s="94">
        <v>0</v>
      </c>
      <c r="E86" s="104">
        <v>210000</v>
      </c>
      <c r="F86" s="93">
        <f t="shared" ref="F86:F93" si="8">C86*D86*E86</f>
        <v>0</v>
      </c>
      <c r="G86" s="92" t="s">
        <v>223</v>
      </c>
    </row>
    <row r="87" spans="1:7" x14ac:dyDescent="0.2">
      <c r="A87" s="102" t="s">
        <v>144</v>
      </c>
      <c r="B87" s="103"/>
      <c r="C87" s="94">
        <v>0</v>
      </c>
      <c r="D87" s="94">
        <v>0</v>
      </c>
      <c r="E87" s="104">
        <v>210000</v>
      </c>
      <c r="F87" s="93">
        <f t="shared" si="8"/>
        <v>0</v>
      </c>
      <c r="G87" s="92" t="s">
        <v>223</v>
      </c>
    </row>
    <row r="88" spans="1:7" x14ac:dyDescent="0.2">
      <c r="A88" s="102" t="s">
        <v>166</v>
      </c>
      <c r="B88" s="103"/>
      <c r="C88" s="94">
        <v>0</v>
      </c>
      <c r="D88" s="94">
        <v>0</v>
      </c>
      <c r="E88" s="104">
        <v>180000</v>
      </c>
      <c r="F88" s="93">
        <f t="shared" si="8"/>
        <v>0</v>
      </c>
      <c r="G88" s="92" t="s">
        <v>223</v>
      </c>
    </row>
    <row r="89" spans="1:7" x14ac:dyDescent="0.2">
      <c r="A89" s="102" t="s">
        <v>142</v>
      </c>
      <c r="B89" s="103"/>
      <c r="C89" s="94">
        <v>0</v>
      </c>
      <c r="D89" s="94">
        <v>0</v>
      </c>
      <c r="E89" s="104">
        <v>180000</v>
      </c>
      <c r="F89" s="93">
        <f t="shared" si="8"/>
        <v>0</v>
      </c>
      <c r="G89" s="92" t="s">
        <v>223</v>
      </c>
    </row>
    <row r="90" spans="1:7" x14ac:dyDescent="0.2">
      <c r="A90" s="102" t="s">
        <v>168</v>
      </c>
      <c r="B90" s="103"/>
      <c r="C90" s="94">
        <v>0</v>
      </c>
      <c r="D90" s="94">
        <v>0</v>
      </c>
      <c r="E90" s="98">
        <v>120000</v>
      </c>
      <c r="F90" s="93">
        <f t="shared" si="8"/>
        <v>0</v>
      </c>
      <c r="G90" s="92" t="s">
        <v>223</v>
      </c>
    </row>
    <row r="91" spans="1:7" x14ac:dyDescent="0.2">
      <c r="A91" s="102" t="s">
        <v>167</v>
      </c>
      <c r="B91" s="103"/>
      <c r="C91" s="94">
        <v>0</v>
      </c>
      <c r="D91" s="94">
        <v>0</v>
      </c>
      <c r="E91" s="98">
        <v>90000</v>
      </c>
      <c r="F91" s="93">
        <f t="shared" si="8"/>
        <v>0</v>
      </c>
      <c r="G91" s="92" t="s">
        <v>223</v>
      </c>
    </row>
    <row r="92" spans="1:7" x14ac:dyDescent="0.2">
      <c r="A92" s="102" t="s">
        <v>175</v>
      </c>
      <c r="B92" s="103"/>
      <c r="C92" s="94">
        <v>0</v>
      </c>
      <c r="D92" s="94">
        <v>0</v>
      </c>
      <c r="E92" s="98">
        <v>100000</v>
      </c>
      <c r="F92" s="93">
        <f t="shared" si="8"/>
        <v>0</v>
      </c>
      <c r="G92" s="92" t="s">
        <v>226</v>
      </c>
    </row>
    <row r="93" spans="1:7" x14ac:dyDescent="0.2">
      <c r="A93" s="102" t="s">
        <v>169</v>
      </c>
      <c r="B93" s="103"/>
      <c r="C93" s="94">
        <v>0</v>
      </c>
      <c r="D93" s="94">
        <v>0</v>
      </c>
      <c r="E93" s="98">
        <v>300000</v>
      </c>
      <c r="F93" s="93">
        <f t="shared" si="8"/>
        <v>0</v>
      </c>
      <c r="G93" s="92" t="s">
        <v>223</v>
      </c>
    </row>
    <row r="94" spans="1:7" x14ac:dyDescent="0.2">
      <c r="A94" s="110"/>
      <c r="B94" s="111"/>
      <c r="C94" s="110"/>
      <c r="D94" s="110"/>
      <c r="E94" s="110"/>
      <c r="F94" s="110"/>
    </row>
    <row r="95" spans="1:7" x14ac:dyDescent="0.2">
      <c r="A95" s="110"/>
      <c r="B95" s="111"/>
      <c r="C95" s="110"/>
      <c r="D95" s="110"/>
      <c r="E95" s="110"/>
      <c r="F95" s="110"/>
    </row>
    <row r="111" spans="1:7" ht="17" x14ac:dyDescent="0.2">
      <c r="A111" s="22"/>
      <c r="B111" s="79"/>
      <c r="C111" s="5"/>
      <c r="D111" s="5"/>
      <c r="E111" s="5"/>
      <c r="F111" s="5"/>
      <c r="G111" s="5"/>
    </row>
  </sheetData>
  <phoneticPr fontId="7" type="noConversion"/>
  <hyperlinks>
    <hyperlink ref="A57" r:id="rId1"/>
  </hyperlinks>
  <pageMargins left="0.75000000000000011" right="0.75000000000000011" top="1" bottom="1" header="0.5" footer="0.5"/>
  <pageSetup paperSize="5" orientation="portrait" horizontalDpi="4294967292" verticalDpi="4294967292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 x14ac:dyDescent="0.2"/>
  <cols>
    <col min="1" max="2" width="11" style="69"/>
    <col min="6" max="8" width="11" style="69"/>
    <col min="9" max="9" width="31" customWidth="1"/>
  </cols>
  <sheetData>
    <row r="1" spans="1:14" x14ac:dyDescent="0.2">
      <c r="A1" s="153"/>
      <c r="B1" s="153"/>
      <c r="C1" s="153"/>
      <c r="D1" s="24"/>
      <c r="E1" s="24" t="s">
        <v>100</v>
      </c>
      <c r="F1" s="39"/>
      <c r="G1" s="39"/>
      <c r="H1" s="39"/>
      <c r="I1" s="24"/>
      <c r="J1" s="21"/>
      <c r="K1" s="21"/>
      <c r="L1" s="21"/>
      <c r="M1" s="21"/>
      <c r="N1" s="21"/>
    </row>
    <row r="2" spans="1:14" x14ac:dyDescent="0.2">
      <c r="A2" s="153"/>
      <c r="B2" s="153"/>
      <c r="C2" s="153"/>
      <c r="D2" s="24"/>
      <c r="E2" s="24"/>
      <c r="F2" s="39"/>
      <c r="G2" s="39"/>
      <c r="H2" s="39"/>
      <c r="I2" s="24"/>
      <c r="J2" s="21"/>
      <c r="K2" s="21"/>
      <c r="L2" s="21"/>
      <c r="M2" s="21"/>
      <c r="N2" s="21"/>
    </row>
    <row r="3" spans="1:14" x14ac:dyDescent="0.2">
      <c r="A3" s="153"/>
      <c r="B3" s="153"/>
      <c r="C3" s="153"/>
      <c r="D3" s="24"/>
      <c r="E3" s="24" t="s">
        <v>135</v>
      </c>
      <c r="F3" s="39"/>
      <c r="G3" s="39"/>
      <c r="H3" s="39"/>
      <c r="I3" s="24"/>
      <c r="J3" s="21"/>
      <c r="K3" s="21"/>
      <c r="L3" s="21"/>
      <c r="M3" s="21"/>
      <c r="N3" s="21"/>
    </row>
    <row r="4" spans="1:14" x14ac:dyDescent="0.2">
      <c r="A4" s="153"/>
      <c r="B4" s="153"/>
      <c r="C4" s="153"/>
      <c r="D4" s="40"/>
      <c r="E4" s="40" t="s">
        <v>136</v>
      </c>
      <c r="F4" s="41"/>
      <c r="G4" s="41"/>
      <c r="H4" s="41"/>
      <c r="I4" s="40"/>
      <c r="J4" s="21"/>
      <c r="K4" s="21"/>
      <c r="L4" s="21"/>
      <c r="M4" s="21"/>
      <c r="N4" s="21"/>
    </row>
    <row r="5" spans="1:14" x14ac:dyDescent="0.2">
      <c r="A5" s="34"/>
      <c r="B5" s="34"/>
      <c r="C5" s="34"/>
      <c r="D5" s="40"/>
      <c r="E5" s="40"/>
      <c r="F5" s="41"/>
      <c r="G5" s="41"/>
      <c r="H5" s="41"/>
      <c r="I5" s="40"/>
      <c r="J5" s="21"/>
      <c r="K5" s="21"/>
      <c r="L5" s="21"/>
      <c r="M5" s="21"/>
      <c r="N5" s="21"/>
    </row>
    <row r="6" spans="1:14" x14ac:dyDescent="0.2">
      <c r="A6" s="28" t="s">
        <v>101</v>
      </c>
      <c r="B6" s="29" t="s">
        <v>102</v>
      </c>
      <c r="C6" s="154" t="s">
        <v>129</v>
      </c>
      <c r="D6" s="155"/>
      <c r="E6" s="156"/>
      <c r="F6" s="29" t="s">
        <v>103</v>
      </c>
      <c r="G6" s="29" t="s">
        <v>104</v>
      </c>
      <c r="H6" s="29" t="s">
        <v>105</v>
      </c>
      <c r="I6" s="29" t="s">
        <v>106</v>
      </c>
      <c r="J6" s="21"/>
      <c r="K6" s="21"/>
      <c r="L6" s="21"/>
      <c r="M6" s="21"/>
      <c r="N6" s="21"/>
    </row>
    <row r="7" spans="1:14" x14ac:dyDescent="0.2">
      <c r="A7" s="49">
        <v>0.375</v>
      </c>
      <c r="B7" s="50">
        <v>0.45833333333333331</v>
      </c>
      <c r="C7" s="144" t="s">
        <v>130</v>
      </c>
      <c r="D7" s="145"/>
      <c r="E7" s="146"/>
      <c r="F7" s="51"/>
      <c r="G7" s="51"/>
      <c r="H7" s="51"/>
      <c r="I7" s="52" t="s">
        <v>131</v>
      </c>
      <c r="J7" s="21"/>
      <c r="K7" s="21"/>
      <c r="L7" s="21"/>
      <c r="M7" s="21"/>
      <c r="N7" s="21"/>
    </row>
    <row r="8" spans="1:14" x14ac:dyDescent="0.2">
      <c r="A8" s="49">
        <v>0.46875</v>
      </c>
      <c r="B8" s="50">
        <v>0.5625</v>
      </c>
      <c r="C8" s="144" t="s">
        <v>130</v>
      </c>
      <c r="D8" s="145"/>
      <c r="E8" s="146"/>
      <c r="F8" s="51"/>
      <c r="G8" s="51"/>
      <c r="H8" s="51"/>
      <c r="I8" s="52" t="s">
        <v>131</v>
      </c>
      <c r="J8" s="21"/>
      <c r="K8" s="21"/>
      <c r="L8" s="21"/>
      <c r="M8" s="21"/>
      <c r="N8" s="21"/>
    </row>
    <row r="9" spans="1:14" x14ac:dyDescent="0.2">
      <c r="A9" s="44">
        <v>0.5625</v>
      </c>
      <c r="B9" s="45">
        <v>0.60416666666666663</v>
      </c>
      <c r="C9" s="147" t="s">
        <v>109</v>
      </c>
      <c r="D9" s="148"/>
      <c r="E9" s="149"/>
      <c r="F9" s="46"/>
      <c r="G9" s="46">
        <v>60</v>
      </c>
      <c r="H9" s="47" t="s">
        <v>108</v>
      </c>
      <c r="I9" s="48"/>
      <c r="J9" s="21"/>
      <c r="K9" s="21"/>
      <c r="L9" s="21"/>
      <c r="M9" s="21"/>
      <c r="N9" s="21"/>
    </row>
    <row r="10" spans="1:14" x14ac:dyDescent="0.2">
      <c r="A10" s="49">
        <v>0.625</v>
      </c>
      <c r="B10" s="50">
        <v>0.70833333333333337</v>
      </c>
      <c r="C10" s="144" t="s">
        <v>130</v>
      </c>
      <c r="D10" s="145"/>
      <c r="E10" s="146"/>
      <c r="F10" s="51"/>
      <c r="G10" s="51"/>
      <c r="H10" s="51"/>
      <c r="I10" s="52" t="s">
        <v>131</v>
      </c>
      <c r="J10" s="21"/>
      <c r="K10" s="21"/>
      <c r="L10" s="21"/>
      <c r="M10" s="21"/>
      <c r="N10" s="21"/>
    </row>
    <row r="11" spans="1:14" x14ac:dyDescent="0.2">
      <c r="A11" s="49">
        <v>0.71875</v>
      </c>
      <c r="B11" s="50">
        <v>0.75</v>
      </c>
      <c r="C11" s="144" t="s">
        <v>130</v>
      </c>
      <c r="D11" s="145"/>
      <c r="E11" s="146"/>
      <c r="F11" s="51"/>
      <c r="G11" s="51"/>
      <c r="H11" s="51"/>
      <c r="I11" s="52" t="s">
        <v>131</v>
      </c>
      <c r="J11" s="21"/>
      <c r="K11" s="21"/>
      <c r="L11" s="21"/>
      <c r="M11" s="21"/>
      <c r="N11" s="21"/>
    </row>
    <row r="12" spans="1:14" x14ac:dyDescent="0.2">
      <c r="A12" s="25">
        <v>0.75</v>
      </c>
      <c r="B12" s="26">
        <v>0.79166666666666663</v>
      </c>
      <c r="C12" s="157" t="s">
        <v>110</v>
      </c>
      <c r="D12" s="158"/>
      <c r="E12" s="159"/>
      <c r="F12" s="43"/>
      <c r="G12" s="43"/>
      <c r="H12" s="42"/>
      <c r="I12" s="27" t="s">
        <v>127</v>
      </c>
      <c r="J12" s="21"/>
      <c r="K12" s="21"/>
      <c r="L12" s="21"/>
      <c r="M12" s="21"/>
      <c r="N12" s="21"/>
    </row>
    <row r="13" spans="1:14" ht="15" customHeight="1" x14ac:dyDescent="0.2">
      <c r="A13" s="55">
        <v>0.83333333333333337</v>
      </c>
      <c r="B13" s="56">
        <v>0.875</v>
      </c>
      <c r="C13" s="160" t="s">
        <v>128</v>
      </c>
      <c r="D13" s="161"/>
      <c r="E13" s="162"/>
      <c r="F13" s="57"/>
      <c r="G13" s="57">
        <v>60</v>
      </c>
      <c r="H13" s="47" t="s">
        <v>108</v>
      </c>
      <c r="I13" s="58"/>
      <c r="J13" s="21"/>
      <c r="K13" s="21"/>
      <c r="L13" s="21"/>
      <c r="M13" s="21"/>
      <c r="N13" s="21"/>
    </row>
    <row r="14" spans="1:14" x14ac:dyDescent="0.2">
      <c r="A14" s="61"/>
      <c r="B14" s="62"/>
      <c r="C14" s="62"/>
      <c r="D14" s="62"/>
      <c r="E14" s="62"/>
      <c r="F14" s="62"/>
      <c r="G14" s="62"/>
      <c r="H14" s="62"/>
      <c r="I14" s="63"/>
      <c r="J14" s="21"/>
      <c r="K14" s="21"/>
      <c r="L14" s="21"/>
      <c r="M14" s="21"/>
      <c r="N14" s="21"/>
    </row>
    <row r="15" spans="1:14" x14ac:dyDescent="0.2">
      <c r="A15" s="28" t="s">
        <v>101</v>
      </c>
      <c r="B15" s="29" t="s">
        <v>102</v>
      </c>
      <c r="C15" s="163" t="s">
        <v>132</v>
      </c>
      <c r="D15" s="155"/>
      <c r="E15" s="156"/>
      <c r="F15" s="29" t="s">
        <v>103</v>
      </c>
      <c r="G15" s="29" t="s">
        <v>104</v>
      </c>
      <c r="H15" s="29" t="s">
        <v>105</v>
      </c>
      <c r="I15" s="29" t="s">
        <v>106</v>
      </c>
      <c r="J15" s="21"/>
      <c r="K15" s="21"/>
      <c r="L15" s="21"/>
      <c r="M15" s="21"/>
      <c r="N15" s="21"/>
    </row>
    <row r="16" spans="1:14" x14ac:dyDescent="0.2">
      <c r="A16" s="44">
        <v>0.33333333333333331</v>
      </c>
      <c r="B16" s="45">
        <v>0.375</v>
      </c>
      <c r="C16" s="164" t="s">
        <v>107</v>
      </c>
      <c r="D16" s="165"/>
      <c r="E16" s="166"/>
      <c r="F16" s="59"/>
      <c r="G16" s="59">
        <v>60</v>
      </c>
      <c r="H16" s="59"/>
      <c r="I16" s="60"/>
      <c r="J16" s="21"/>
      <c r="K16" s="21"/>
      <c r="L16" s="21"/>
      <c r="M16" s="21"/>
      <c r="N16" s="21"/>
    </row>
    <row r="17" spans="1:14" x14ac:dyDescent="0.2">
      <c r="A17" s="49">
        <v>0.375</v>
      </c>
      <c r="B17" s="50">
        <v>0.45833333333333331</v>
      </c>
      <c r="C17" s="144" t="s">
        <v>130</v>
      </c>
      <c r="D17" s="145"/>
      <c r="E17" s="146"/>
      <c r="F17" s="51"/>
      <c r="G17" s="51"/>
      <c r="H17" s="51"/>
      <c r="I17" s="52" t="s">
        <v>131</v>
      </c>
      <c r="J17" s="21"/>
      <c r="K17" s="21"/>
      <c r="L17" s="21"/>
      <c r="M17" s="21"/>
      <c r="N17" s="21"/>
    </row>
    <row r="18" spans="1:14" x14ac:dyDescent="0.2">
      <c r="A18" s="49">
        <v>0.46875</v>
      </c>
      <c r="B18" s="50">
        <v>0.5625</v>
      </c>
      <c r="C18" s="144" t="s">
        <v>130</v>
      </c>
      <c r="D18" s="145"/>
      <c r="E18" s="146"/>
      <c r="F18" s="51"/>
      <c r="G18" s="51"/>
      <c r="H18" s="51"/>
      <c r="I18" s="52" t="s">
        <v>131</v>
      </c>
      <c r="J18" s="21"/>
      <c r="K18" s="21"/>
      <c r="L18" s="21"/>
      <c r="M18" s="21"/>
      <c r="N18" s="21"/>
    </row>
    <row r="19" spans="1:14" x14ac:dyDescent="0.2">
      <c r="A19" s="44">
        <v>0.5625</v>
      </c>
      <c r="B19" s="45">
        <v>0.60416666666666663</v>
      </c>
      <c r="C19" s="147" t="s">
        <v>109</v>
      </c>
      <c r="D19" s="148"/>
      <c r="E19" s="149"/>
      <c r="F19" s="46"/>
      <c r="G19" s="46">
        <v>60</v>
      </c>
      <c r="H19" s="47" t="s">
        <v>108</v>
      </c>
      <c r="I19" s="48"/>
      <c r="J19" s="21"/>
      <c r="K19" s="21"/>
      <c r="L19" s="21"/>
      <c r="M19" s="21"/>
      <c r="N19" s="21"/>
    </row>
    <row r="20" spans="1:14" x14ac:dyDescent="0.2">
      <c r="A20" s="49">
        <v>0.625</v>
      </c>
      <c r="B20" s="50">
        <v>0.70833333333333337</v>
      </c>
      <c r="C20" s="144" t="s">
        <v>130</v>
      </c>
      <c r="D20" s="145"/>
      <c r="E20" s="146"/>
      <c r="F20" s="51"/>
      <c r="G20" s="51"/>
      <c r="H20" s="51"/>
      <c r="I20" s="52" t="s">
        <v>131</v>
      </c>
      <c r="J20" s="21"/>
      <c r="K20" s="21"/>
      <c r="L20" s="21"/>
      <c r="M20" s="21"/>
      <c r="N20" s="21"/>
    </row>
    <row r="21" spans="1:14" x14ac:dyDescent="0.2">
      <c r="A21" s="49">
        <v>0.71875</v>
      </c>
      <c r="B21" s="50">
        <v>0.75</v>
      </c>
      <c r="C21" s="144" t="s">
        <v>130</v>
      </c>
      <c r="D21" s="145"/>
      <c r="E21" s="146"/>
      <c r="F21" s="51"/>
      <c r="G21" s="51"/>
      <c r="H21" s="51"/>
      <c r="I21" s="52" t="s">
        <v>131</v>
      </c>
      <c r="J21" s="21"/>
      <c r="K21" s="21"/>
      <c r="L21" s="21"/>
      <c r="M21" s="21"/>
      <c r="N21" s="21"/>
    </row>
    <row r="22" spans="1:14" x14ac:dyDescent="0.2">
      <c r="A22" s="25">
        <v>0.75</v>
      </c>
      <c r="B22" s="26">
        <v>0.79166666666666663</v>
      </c>
      <c r="C22" s="157" t="s">
        <v>110</v>
      </c>
      <c r="D22" s="158"/>
      <c r="E22" s="159"/>
      <c r="F22" s="43"/>
      <c r="G22" s="43"/>
      <c r="H22" s="42"/>
      <c r="I22" s="27" t="s">
        <v>127</v>
      </c>
      <c r="J22" s="21"/>
      <c r="K22" s="21"/>
      <c r="L22" s="21"/>
      <c r="M22" s="21"/>
      <c r="N22" s="21"/>
    </row>
    <row r="23" spans="1:14" ht="15" customHeight="1" x14ac:dyDescent="0.2">
      <c r="A23" s="55">
        <v>0.83333333333333337</v>
      </c>
      <c r="B23" s="56">
        <v>0.875</v>
      </c>
      <c r="C23" s="160" t="s">
        <v>128</v>
      </c>
      <c r="D23" s="161"/>
      <c r="E23" s="162"/>
      <c r="F23" s="57"/>
      <c r="G23" s="57">
        <v>60</v>
      </c>
      <c r="H23" s="47" t="s">
        <v>108</v>
      </c>
      <c r="I23" s="58"/>
      <c r="J23" s="21"/>
      <c r="K23" s="21"/>
      <c r="L23" s="21"/>
      <c r="M23" s="21"/>
      <c r="N23" s="21"/>
    </row>
    <row r="24" spans="1:14" s="54" customFormat="1" ht="15" customHeight="1" x14ac:dyDescent="0.2">
      <c r="A24" s="64"/>
      <c r="B24" s="64"/>
      <c r="C24" s="65"/>
      <c r="D24" s="65"/>
      <c r="E24" s="65"/>
      <c r="F24" s="66"/>
      <c r="G24" s="66"/>
      <c r="H24" s="67"/>
      <c r="I24" s="68"/>
      <c r="J24" s="53"/>
      <c r="K24" s="53"/>
      <c r="L24" s="53"/>
      <c r="M24" s="53"/>
      <c r="N24" s="53"/>
    </row>
    <row r="25" spans="1:14" x14ac:dyDescent="0.2">
      <c r="A25" s="28" t="s">
        <v>101</v>
      </c>
      <c r="B25" s="29" t="s">
        <v>102</v>
      </c>
      <c r="C25" s="163" t="s">
        <v>133</v>
      </c>
      <c r="D25" s="155"/>
      <c r="E25" s="156"/>
      <c r="F25" s="29" t="s">
        <v>103</v>
      </c>
      <c r="G25" s="29" t="s">
        <v>104</v>
      </c>
      <c r="H25" s="29" t="s">
        <v>105</v>
      </c>
      <c r="I25" s="29" t="s">
        <v>106</v>
      </c>
      <c r="J25" s="21"/>
      <c r="K25" s="21"/>
      <c r="L25" s="21"/>
      <c r="M25" s="21"/>
      <c r="N25" s="21"/>
    </row>
    <row r="26" spans="1:14" x14ac:dyDescent="0.2">
      <c r="A26" s="44">
        <v>0.33333333333333331</v>
      </c>
      <c r="B26" s="45">
        <v>0.375</v>
      </c>
      <c r="C26" s="164" t="s">
        <v>107</v>
      </c>
      <c r="D26" s="165"/>
      <c r="E26" s="166"/>
      <c r="F26" s="59"/>
      <c r="G26" s="59">
        <v>60</v>
      </c>
      <c r="H26" s="59"/>
      <c r="I26" s="60"/>
      <c r="J26" s="21"/>
      <c r="K26" s="21"/>
      <c r="L26" s="21"/>
      <c r="M26" s="21"/>
      <c r="N26" s="21"/>
    </row>
    <row r="27" spans="1:14" x14ac:dyDescent="0.2">
      <c r="A27" s="49">
        <v>0.375</v>
      </c>
      <c r="B27" s="50">
        <v>0.45833333333333331</v>
      </c>
      <c r="C27" s="144" t="s">
        <v>130</v>
      </c>
      <c r="D27" s="145"/>
      <c r="E27" s="146"/>
      <c r="F27" s="51"/>
      <c r="G27" s="51"/>
      <c r="H27" s="51"/>
      <c r="I27" s="52" t="s">
        <v>131</v>
      </c>
      <c r="J27" s="21"/>
      <c r="K27" s="21"/>
      <c r="L27" s="21"/>
      <c r="M27" s="21"/>
      <c r="N27" s="21"/>
    </row>
    <row r="28" spans="1:14" x14ac:dyDescent="0.2">
      <c r="A28" s="49">
        <v>0.46875</v>
      </c>
      <c r="B28" s="50">
        <v>0.5625</v>
      </c>
      <c r="C28" s="144" t="s">
        <v>130</v>
      </c>
      <c r="D28" s="145"/>
      <c r="E28" s="146"/>
      <c r="F28" s="51"/>
      <c r="G28" s="51"/>
      <c r="H28" s="51"/>
      <c r="I28" s="52" t="s">
        <v>131</v>
      </c>
      <c r="J28" s="21"/>
      <c r="K28" s="21"/>
      <c r="L28" s="21"/>
      <c r="M28" s="21"/>
      <c r="N28" s="21"/>
    </row>
    <row r="29" spans="1:14" x14ac:dyDescent="0.2">
      <c r="A29" s="44">
        <v>0.5625</v>
      </c>
      <c r="B29" s="45">
        <v>0.60416666666666663</v>
      </c>
      <c r="C29" s="147" t="s">
        <v>109</v>
      </c>
      <c r="D29" s="148"/>
      <c r="E29" s="149"/>
      <c r="F29" s="46"/>
      <c r="G29" s="46">
        <v>60</v>
      </c>
      <c r="H29" s="47" t="s">
        <v>108</v>
      </c>
      <c r="I29" s="48"/>
      <c r="J29" s="21"/>
      <c r="K29" s="21"/>
      <c r="L29" s="21"/>
      <c r="M29" s="21"/>
      <c r="N29" s="21"/>
    </row>
    <row r="30" spans="1:14" x14ac:dyDescent="0.2">
      <c r="A30" s="49">
        <v>0.625</v>
      </c>
      <c r="B30" s="50">
        <v>0.70833333333333337</v>
      </c>
      <c r="C30" s="144" t="s">
        <v>130</v>
      </c>
      <c r="D30" s="145"/>
      <c r="E30" s="146"/>
      <c r="F30" s="51"/>
      <c r="G30" s="51"/>
      <c r="H30" s="51"/>
      <c r="I30" s="52" t="s">
        <v>131</v>
      </c>
      <c r="J30" s="21"/>
      <c r="K30" s="21"/>
      <c r="L30" s="21"/>
      <c r="M30" s="21"/>
      <c r="N30" s="21"/>
    </row>
    <row r="31" spans="1:14" x14ac:dyDescent="0.2">
      <c r="A31" s="49">
        <v>0.71875</v>
      </c>
      <c r="B31" s="50">
        <v>0.75</v>
      </c>
      <c r="C31" s="144" t="s">
        <v>130</v>
      </c>
      <c r="D31" s="145"/>
      <c r="E31" s="146"/>
      <c r="F31" s="51"/>
      <c r="G31" s="51"/>
      <c r="H31" s="51"/>
      <c r="I31" s="52" t="s">
        <v>131</v>
      </c>
      <c r="J31" s="21"/>
      <c r="K31" s="21"/>
      <c r="L31" s="21"/>
      <c r="M31" s="21"/>
      <c r="N31" s="21"/>
    </row>
    <row r="32" spans="1:14" s="54" customFormat="1" ht="15" customHeight="1" x14ac:dyDescent="0.2">
      <c r="A32" s="150"/>
      <c r="B32" s="150"/>
      <c r="C32" s="150"/>
      <c r="D32" s="150"/>
      <c r="E32" s="150"/>
      <c r="F32" s="150"/>
      <c r="G32" s="150"/>
      <c r="H32" s="150"/>
      <c r="I32" s="150"/>
      <c r="J32" s="53"/>
      <c r="K32" s="53"/>
      <c r="L32" s="53"/>
      <c r="M32" s="53"/>
      <c r="N32" s="53"/>
    </row>
    <row r="33" spans="1:14" s="54" customFormat="1" ht="15" customHeight="1" x14ac:dyDescent="0.2">
      <c r="A33" s="151" t="s">
        <v>134</v>
      </c>
      <c r="B33" s="151"/>
      <c r="C33" s="151"/>
      <c r="D33" s="151"/>
      <c r="E33" s="151"/>
      <c r="F33" s="151"/>
      <c r="G33" s="151"/>
      <c r="H33" s="151"/>
      <c r="I33" s="151"/>
      <c r="J33" s="53"/>
      <c r="K33" s="53"/>
      <c r="L33" s="53"/>
      <c r="M33" s="53"/>
      <c r="N33" s="53"/>
    </row>
    <row r="34" spans="1:14" s="54" customFormat="1" ht="15" customHeight="1" x14ac:dyDescent="0.2">
      <c r="A34" s="150"/>
      <c r="B34" s="150"/>
      <c r="C34" s="150"/>
      <c r="D34" s="150"/>
      <c r="E34" s="150"/>
      <c r="F34" s="150"/>
      <c r="G34" s="150"/>
      <c r="H34" s="150"/>
      <c r="I34" s="150"/>
      <c r="J34" s="53"/>
      <c r="K34" s="53"/>
      <c r="L34" s="53"/>
      <c r="M34" s="53"/>
      <c r="N34" s="53"/>
    </row>
    <row r="35" spans="1:14" s="54" customFormat="1" ht="15" customHeight="1" x14ac:dyDescent="0.2">
      <c r="A35" s="150"/>
      <c r="B35" s="150"/>
      <c r="C35" s="150"/>
      <c r="D35" s="150"/>
      <c r="E35" s="150"/>
      <c r="F35" s="150"/>
      <c r="G35" s="150"/>
      <c r="H35" s="150"/>
      <c r="I35" s="150"/>
      <c r="J35" s="53"/>
      <c r="K35" s="53"/>
      <c r="L35" s="53"/>
      <c r="M35" s="53"/>
      <c r="N35" s="53"/>
    </row>
    <row r="36" spans="1:14" s="54" customFormat="1" ht="15" customHeight="1" x14ac:dyDescent="0.2">
      <c r="A36" s="150"/>
      <c r="B36" s="150"/>
      <c r="C36" s="150"/>
      <c r="D36" s="150"/>
      <c r="E36" s="150"/>
      <c r="F36" s="150"/>
      <c r="G36" s="150"/>
      <c r="H36" s="150"/>
      <c r="I36" s="150"/>
      <c r="J36" s="53"/>
      <c r="K36" s="53"/>
      <c r="L36" s="53"/>
      <c r="M36" s="53"/>
      <c r="N36" s="53"/>
    </row>
    <row r="37" spans="1:14" s="54" customFormat="1" ht="15" customHeight="1" x14ac:dyDescent="0.2">
      <c r="A37" s="150"/>
      <c r="B37" s="150"/>
      <c r="C37" s="150"/>
      <c r="D37" s="150"/>
      <c r="E37" s="150"/>
      <c r="F37" s="150"/>
      <c r="G37" s="150"/>
      <c r="H37" s="150"/>
      <c r="I37" s="150"/>
      <c r="J37" s="53"/>
      <c r="K37" s="53"/>
      <c r="L37" s="53"/>
      <c r="M37" s="53"/>
      <c r="N37" s="53"/>
    </row>
    <row r="38" spans="1:14" s="54" customFormat="1" ht="15" customHeight="1" x14ac:dyDescent="0.2">
      <c r="A38" s="150"/>
      <c r="B38" s="150"/>
      <c r="C38" s="150"/>
      <c r="D38" s="150"/>
      <c r="E38" s="150"/>
      <c r="F38" s="150"/>
      <c r="G38" s="150"/>
      <c r="H38" s="150"/>
      <c r="I38" s="150"/>
      <c r="J38" s="53"/>
      <c r="K38" s="53"/>
      <c r="L38" s="53"/>
      <c r="M38" s="53"/>
      <c r="N38" s="53"/>
    </row>
    <row r="39" spans="1:14" s="54" customFormat="1" ht="15" customHeight="1" x14ac:dyDescent="0.2">
      <c r="A39" s="150"/>
      <c r="B39" s="150"/>
      <c r="C39" s="150"/>
      <c r="D39" s="150"/>
      <c r="E39" s="150"/>
      <c r="F39" s="150"/>
      <c r="G39" s="150"/>
      <c r="H39" s="150"/>
      <c r="I39" s="150"/>
      <c r="J39" s="53"/>
      <c r="K39" s="53"/>
      <c r="L39" s="53"/>
      <c r="M39" s="53"/>
      <c r="N39" s="53"/>
    </row>
    <row r="40" spans="1:14" s="54" customFormat="1" ht="15" customHeight="1" x14ac:dyDescent="0.2">
      <c r="A40" s="64"/>
      <c r="B40" s="64"/>
      <c r="C40" s="65"/>
      <c r="D40" s="65"/>
      <c r="E40" s="65"/>
      <c r="F40" s="66"/>
      <c r="G40" s="66"/>
      <c r="H40" s="67"/>
      <c r="I40" s="68"/>
      <c r="J40" s="53"/>
      <c r="K40" s="53"/>
      <c r="L40" s="53"/>
      <c r="M40" s="53"/>
      <c r="N40" s="53"/>
    </row>
    <row r="41" spans="1:14" s="54" customFormat="1" ht="15" customHeight="1" x14ac:dyDescent="0.2">
      <c r="A41" s="64"/>
      <c r="B41" s="64"/>
      <c r="C41" s="65"/>
      <c r="D41" s="65"/>
      <c r="E41" s="65"/>
      <c r="F41" s="66"/>
      <c r="G41" s="66"/>
      <c r="H41" s="67"/>
      <c r="I41" s="68"/>
      <c r="J41" s="53"/>
      <c r="K41" s="53"/>
      <c r="L41" s="53"/>
      <c r="M41" s="53"/>
      <c r="N41" s="53"/>
    </row>
    <row r="42" spans="1:14" s="54" customFormat="1" ht="15" customHeight="1" x14ac:dyDescent="0.2">
      <c r="A42" s="64"/>
      <c r="B42" s="64"/>
      <c r="C42" s="65"/>
      <c r="D42" s="65"/>
      <c r="E42" s="65"/>
      <c r="F42" s="66"/>
      <c r="G42" s="66"/>
      <c r="H42" s="67"/>
      <c r="I42" s="68"/>
      <c r="J42" s="53"/>
      <c r="K42" s="53"/>
      <c r="L42" s="53"/>
      <c r="M42" s="53"/>
      <c r="N42" s="53"/>
    </row>
    <row r="43" spans="1:14" x14ac:dyDescent="0.2">
      <c r="A43" s="34"/>
      <c r="B43" s="34"/>
      <c r="C43" s="21"/>
      <c r="D43" s="34"/>
      <c r="E43" s="21"/>
      <c r="F43" s="34"/>
      <c r="G43" s="34"/>
      <c r="H43" s="34"/>
      <c r="I43" s="21"/>
      <c r="J43" s="21"/>
      <c r="K43" s="21"/>
      <c r="L43" s="21"/>
      <c r="M43" s="21"/>
      <c r="N43" s="21"/>
    </row>
    <row r="44" spans="1:14" ht="24" customHeight="1" x14ac:dyDescent="0.2">
      <c r="A44" s="152" t="s">
        <v>111</v>
      </c>
      <c r="B44" s="152"/>
      <c r="C44" s="152"/>
      <c r="D44" s="152"/>
      <c r="E44" s="152"/>
      <c r="F44" s="152"/>
      <c r="G44" s="152"/>
      <c r="H44" s="34"/>
      <c r="I44" s="30" t="s">
        <v>112</v>
      </c>
      <c r="J44" s="21"/>
      <c r="K44" s="21"/>
      <c r="L44" s="21"/>
      <c r="M44" s="21"/>
      <c r="N44" s="21"/>
    </row>
    <row r="45" spans="1:14" x14ac:dyDescent="0.2">
      <c r="A45" s="153"/>
      <c r="B45" s="153"/>
      <c r="C45" s="153"/>
      <c r="D45" s="153"/>
      <c r="E45" s="153"/>
      <c r="F45" s="153"/>
      <c r="G45" s="153"/>
      <c r="H45" s="34"/>
      <c r="I45" s="21"/>
      <c r="J45" s="21"/>
      <c r="K45" s="21"/>
      <c r="L45" s="21"/>
      <c r="M45" s="21"/>
      <c r="N45" s="21"/>
    </row>
    <row r="46" spans="1:14" x14ac:dyDescent="0.2">
      <c r="A46" s="143" t="s">
        <v>113</v>
      </c>
      <c r="B46" s="143"/>
      <c r="C46" s="143"/>
      <c r="D46" s="143"/>
      <c r="E46" s="143"/>
      <c r="F46" s="143"/>
      <c r="G46" s="143"/>
      <c r="H46" s="34"/>
      <c r="I46" s="21"/>
      <c r="J46" s="21"/>
      <c r="K46" s="21"/>
      <c r="L46" s="21"/>
      <c r="M46" s="21"/>
      <c r="N46" s="21"/>
    </row>
    <row r="47" spans="1:14" x14ac:dyDescent="0.2">
      <c r="A47" s="34"/>
      <c r="B47" s="34"/>
      <c r="C47" s="21"/>
      <c r="D47" s="21"/>
      <c r="E47" s="21"/>
      <c r="F47" s="34"/>
      <c r="G47" s="34"/>
      <c r="H47" s="34"/>
      <c r="I47" s="21"/>
      <c r="J47" s="21"/>
      <c r="K47" s="21"/>
      <c r="L47" s="21"/>
      <c r="M47" s="21"/>
      <c r="N47" s="21"/>
    </row>
    <row r="48" spans="1:14" x14ac:dyDescent="0.2">
      <c r="A48" s="34"/>
      <c r="B48" s="34"/>
      <c r="C48" s="21"/>
      <c r="D48" s="21"/>
      <c r="E48" s="21"/>
      <c r="F48" s="34"/>
      <c r="G48" s="34"/>
      <c r="H48" s="34"/>
      <c r="I48" s="21"/>
      <c r="J48" s="21"/>
      <c r="K48" s="21"/>
      <c r="L48" s="21"/>
      <c r="M48" s="21"/>
      <c r="N48" s="21"/>
    </row>
    <row r="49" spans="1:14" x14ac:dyDescent="0.2">
      <c r="A49" s="34"/>
      <c r="B49" s="34"/>
      <c r="C49" s="21"/>
      <c r="D49" s="21"/>
      <c r="E49" s="21"/>
      <c r="F49" s="34"/>
      <c r="G49" s="34"/>
      <c r="H49" s="34"/>
      <c r="I49" s="21"/>
      <c r="J49" s="21"/>
      <c r="K49" s="21"/>
      <c r="L49" s="21"/>
      <c r="M49" s="21"/>
      <c r="N49" s="21"/>
    </row>
    <row r="50" spans="1:14" x14ac:dyDescent="0.2">
      <c r="A50" s="34"/>
      <c r="B50" s="34"/>
      <c r="C50" s="21"/>
      <c r="D50" s="21"/>
      <c r="E50" s="21"/>
      <c r="F50" s="34"/>
      <c r="G50" s="34"/>
      <c r="H50" s="34"/>
      <c r="I50" s="21"/>
      <c r="J50" s="21"/>
      <c r="K50" s="21"/>
      <c r="L50" s="21"/>
      <c r="M50" s="21"/>
      <c r="N50" s="21"/>
    </row>
    <row r="51" spans="1:14" x14ac:dyDescent="0.2">
      <c r="A51" s="34"/>
      <c r="B51" s="34"/>
      <c r="C51" s="21"/>
      <c r="D51" s="21"/>
      <c r="E51" s="21"/>
      <c r="F51" s="34"/>
      <c r="G51" s="34"/>
      <c r="H51" s="34"/>
      <c r="I51" s="21"/>
      <c r="J51" s="21"/>
      <c r="K51" s="21"/>
      <c r="L51" s="21"/>
      <c r="M51" s="21"/>
      <c r="N51" s="21"/>
    </row>
    <row r="52" spans="1:14" x14ac:dyDescent="0.2">
      <c r="A52" s="34"/>
      <c r="B52" s="34"/>
      <c r="C52" s="21"/>
      <c r="D52" s="21"/>
      <c r="E52" s="21"/>
      <c r="F52" s="34"/>
      <c r="G52" s="34"/>
      <c r="H52" s="34"/>
      <c r="I52" s="21"/>
      <c r="J52" s="21"/>
      <c r="K52" s="21"/>
      <c r="L52" s="21"/>
      <c r="M52" s="21"/>
      <c r="N52" s="21"/>
    </row>
    <row r="53" spans="1:14" x14ac:dyDescent="0.2">
      <c r="A53" s="34"/>
      <c r="B53" s="34"/>
      <c r="C53" s="21"/>
      <c r="D53" s="21"/>
      <c r="E53" s="21"/>
      <c r="F53" s="34"/>
      <c r="G53" s="34"/>
      <c r="H53" s="34"/>
      <c r="I53" s="21"/>
      <c r="J53" s="21"/>
      <c r="K53" s="21"/>
      <c r="L53" s="21"/>
      <c r="M53" s="21"/>
      <c r="N53" s="21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 x14ac:dyDescent="0.2"/>
  <sheetData>
    <row r="1" spans="1:26" ht="115" customHeight="1" x14ac:dyDescent="0.25">
      <c r="E1" s="7" t="s">
        <v>12</v>
      </c>
      <c r="L1" s="18" t="s">
        <v>2</v>
      </c>
    </row>
    <row r="2" spans="1:26" x14ac:dyDescent="0.2">
      <c r="A2" t="s">
        <v>13</v>
      </c>
      <c r="J2" t="s">
        <v>14</v>
      </c>
      <c r="P2" t="s">
        <v>2</v>
      </c>
      <c r="U2" t="s">
        <v>15</v>
      </c>
    </row>
    <row r="3" spans="1:26" ht="58" x14ac:dyDescent="0.2">
      <c r="A3" s="8" t="s">
        <v>16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21</v>
      </c>
      <c r="H3" s="10" t="s">
        <v>22</v>
      </c>
      <c r="I3" s="9" t="s">
        <v>17</v>
      </c>
      <c r="J3" s="9" t="s">
        <v>18</v>
      </c>
      <c r="K3" s="9" t="s">
        <v>88</v>
      </c>
      <c r="L3" s="11"/>
      <c r="M3" s="10" t="s">
        <v>23</v>
      </c>
      <c r="N3" s="9" t="s">
        <v>17</v>
      </c>
      <c r="O3" s="9" t="s">
        <v>18</v>
      </c>
      <c r="P3" s="9" t="s">
        <v>19</v>
      </c>
      <c r="R3" s="12" t="s">
        <v>24</v>
      </c>
      <c r="S3" s="13" t="s">
        <v>25</v>
      </c>
      <c r="T3" s="13" t="s">
        <v>26</v>
      </c>
      <c r="U3" s="13" t="s">
        <v>27</v>
      </c>
      <c r="V3" s="13" t="s">
        <v>28</v>
      </c>
      <c r="W3" s="13" t="s">
        <v>29</v>
      </c>
      <c r="X3" s="13" t="s">
        <v>30</v>
      </c>
      <c r="Y3" s="13" t="s">
        <v>31</v>
      </c>
      <c r="Z3" s="14" t="s">
        <v>1</v>
      </c>
    </row>
    <row r="4" spans="1:26" x14ac:dyDescent="0.2">
      <c r="A4" s="8" t="s">
        <v>32</v>
      </c>
      <c r="B4" s="8">
        <v>1</v>
      </c>
      <c r="C4" s="8">
        <v>2</v>
      </c>
      <c r="D4" s="8">
        <v>2</v>
      </c>
      <c r="E4" s="8">
        <v>2</v>
      </c>
      <c r="F4" s="19">
        <v>2</v>
      </c>
      <c r="H4" s="8" t="s">
        <v>33</v>
      </c>
      <c r="I4" s="8">
        <v>1</v>
      </c>
      <c r="J4" s="8">
        <v>2</v>
      </c>
      <c r="K4" s="19">
        <v>4</v>
      </c>
      <c r="L4" s="15"/>
      <c r="M4" s="8" t="s">
        <v>33</v>
      </c>
      <c r="N4" s="8">
        <v>1</v>
      </c>
      <c r="O4" s="8">
        <v>2</v>
      </c>
      <c r="P4" s="19">
        <v>3</v>
      </c>
      <c r="R4" s="8">
        <v>41</v>
      </c>
      <c r="S4" s="8" t="s">
        <v>34</v>
      </c>
      <c r="T4" s="8" t="s">
        <v>34</v>
      </c>
      <c r="U4" s="8" t="s">
        <v>35</v>
      </c>
      <c r="V4" s="8" t="s">
        <v>35</v>
      </c>
      <c r="W4" s="8">
        <v>2</v>
      </c>
      <c r="X4" s="8">
        <v>1</v>
      </c>
      <c r="Y4" s="8">
        <v>1</v>
      </c>
      <c r="Z4" s="19">
        <v>12</v>
      </c>
    </row>
    <row r="5" spans="1:26" x14ac:dyDescent="0.2">
      <c r="A5" s="8" t="s">
        <v>36</v>
      </c>
      <c r="B5" s="8">
        <v>1</v>
      </c>
      <c r="C5" s="8">
        <v>2</v>
      </c>
      <c r="D5" s="8">
        <v>2</v>
      </c>
      <c r="E5" s="8">
        <v>2</v>
      </c>
      <c r="F5" s="19">
        <v>2</v>
      </c>
      <c r="H5" s="8" t="s">
        <v>37</v>
      </c>
      <c r="I5" s="8">
        <v>1</v>
      </c>
      <c r="J5" s="8">
        <v>2</v>
      </c>
      <c r="K5" s="19">
        <v>4</v>
      </c>
      <c r="L5" s="15"/>
      <c r="M5" s="8" t="s">
        <v>37</v>
      </c>
      <c r="N5" s="8">
        <v>1</v>
      </c>
      <c r="O5" s="8">
        <v>2</v>
      </c>
      <c r="P5" s="19">
        <v>3</v>
      </c>
      <c r="R5" s="8">
        <v>42</v>
      </c>
      <c r="S5" s="8" t="s">
        <v>34</v>
      </c>
      <c r="T5" s="8" t="s">
        <v>34</v>
      </c>
      <c r="U5" s="8" t="s">
        <v>35</v>
      </c>
      <c r="V5" s="8" t="s">
        <v>35</v>
      </c>
      <c r="W5" s="8">
        <v>2</v>
      </c>
      <c r="X5" s="8">
        <v>1</v>
      </c>
      <c r="Y5" s="8">
        <v>1</v>
      </c>
      <c r="Z5" s="19">
        <v>12</v>
      </c>
    </row>
    <row r="6" spans="1:26" x14ac:dyDescent="0.2">
      <c r="A6" s="8" t="s">
        <v>38</v>
      </c>
      <c r="B6" s="8">
        <v>1</v>
      </c>
      <c r="C6" s="8">
        <v>2</v>
      </c>
      <c r="D6" s="16">
        <v>2</v>
      </c>
      <c r="E6" s="8">
        <v>2</v>
      </c>
      <c r="F6" s="19">
        <v>2</v>
      </c>
      <c r="H6" s="8" t="s">
        <v>39</v>
      </c>
      <c r="I6" s="8">
        <v>1</v>
      </c>
      <c r="J6" s="8">
        <v>2</v>
      </c>
      <c r="K6" s="19">
        <v>4</v>
      </c>
      <c r="L6" s="15"/>
      <c r="M6" s="8" t="s">
        <v>39</v>
      </c>
      <c r="N6" s="8">
        <v>1</v>
      </c>
      <c r="O6" s="8">
        <v>2</v>
      </c>
      <c r="P6" s="19">
        <v>3</v>
      </c>
      <c r="R6" s="8">
        <v>43</v>
      </c>
      <c r="S6" s="8" t="s">
        <v>34</v>
      </c>
      <c r="T6" s="8" t="s">
        <v>34</v>
      </c>
      <c r="U6" s="8" t="s">
        <v>35</v>
      </c>
      <c r="V6" s="8" t="s">
        <v>35</v>
      </c>
      <c r="W6" s="8">
        <v>2</v>
      </c>
      <c r="X6" s="8">
        <v>1</v>
      </c>
      <c r="Y6" s="8">
        <v>1</v>
      </c>
      <c r="Z6" s="19">
        <v>12</v>
      </c>
    </row>
    <row r="7" spans="1:26" x14ac:dyDescent="0.2">
      <c r="A7" s="8" t="s">
        <v>40</v>
      </c>
      <c r="B7" s="8">
        <v>1</v>
      </c>
      <c r="C7" s="8">
        <v>2</v>
      </c>
      <c r="D7" s="8">
        <v>2</v>
      </c>
      <c r="E7" s="8">
        <v>2</v>
      </c>
      <c r="F7" s="19">
        <v>2</v>
      </c>
      <c r="H7" s="8" t="s">
        <v>41</v>
      </c>
      <c r="I7" s="8">
        <v>1</v>
      </c>
      <c r="J7" s="8">
        <v>2</v>
      </c>
      <c r="K7" s="19">
        <v>4</v>
      </c>
      <c r="L7" s="15"/>
      <c r="M7" s="8" t="s">
        <v>41</v>
      </c>
      <c r="N7" s="8">
        <v>1</v>
      </c>
      <c r="O7" s="8">
        <v>2</v>
      </c>
      <c r="P7" s="19">
        <v>3</v>
      </c>
      <c r="R7" s="8">
        <v>44</v>
      </c>
      <c r="S7" s="8" t="s">
        <v>34</v>
      </c>
      <c r="T7" s="8" t="s">
        <v>34</v>
      </c>
      <c r="U7" s="8" t="s">
        <v>35</v>
      </c>
      <c r="V7" s="8" t="s">
        <v>42</v>
      </c>
      <c r="W7" s="8">
        <v>2</v>
      </c>
      <c r="X7" s="8">
        <v>1</v>
      </c>
      <c r="Y7" s="8">
        <v>1</v>
      </c>
      <c r="Z7" s="19">
        <v>12</v>
      </c>
    </row>
    <row r="8" spans="1:26" x14ac:dyDescent="0.2">
      <c r="A8" s="8" t="s">
        <v>43</v>
      </c>
      <c r="B8" s="8">
        <v>2</v>
      </c>
      <c r="C8" s="8">
        <v>2</v>
      </c>
      <c r="D8" s="8">
        <v>3</v>
      </c>
      <c r="E8" s="8">
        <v>4</v>
      </c>
      <c r="F8" s="19">
        <v>5</v>
      </c>
      <c r="H8" s="8" t="s">
        <v>44</v>
      </c>
      <c r="I8" s="8">
        <v>1</v>
      </c>
      <c r="J8" s="8">
        <v>2</v>
      </c>
      <c r="K8" s="19" t="s">
        <v>2</v>
      </c>
      <c r="L8" s="15"/>
      <c r="M8" s="8" t="s">
        <v>44</v>
      </c>
      <c r="N8" s="8">
        <v>1</v>
      </c>
      <c r="O8" s="8">
        <v>2</v>
      </c>
      <c r="P8" s="19">
        <v>3</v>
      </c>
    </row>
    <row r="9" spans="1:26" x14ac:dyDescent="0.2">
      <c r="A9" s="8" t="s">
        <v>45</v>
      </c>
      <c r="B9" s="8">
        <v>2</v>
      </c>
      <c r="C9" s="8">
        <v>2</v>
      </c>
      <c r="D9" s="8">
        <v>3</v>
      </c>
      <c r="E9" s="8">
        <v>4</v>
      </c>
      <c r="F9" s="19">
        <v>5</v>
      </c>
      <c r="H9" s="8" t="s">
        <v>46</v>
      </c>
      <c r="I9" s="8">
        <v>1</v>
      </c>
      <c r="J9" s="8">
        <v>2</v>
      </c>
      <c r="K9" s="19" t="s">
        <v>2</v>
      </c>
      <c r="L9" s="15"/>
      <c r="M9" s="8" t="s">
        <v>46</v>
      </c>
      <c r="N9" s="8">
        <v>1</v>
      </c>
      <c r="O9" s="8">
        <v>2</v>
      </c>
      <c r="P9" s="19">
        <v>3</v>
      </c>
      <c r="R9" s="8">
        <v>31</v>
      </c>
      <c r="S9" s="8" t="s">
        <v>34</v>
      </c>
      <c r="T9" s="8" t="s">
        <v>47</v>
      </c>
      <c r="U9" s="8"/>
      <c r="V9" s="8"/>
      <c r="W9" s="8">
        <v>1</v>
      </c>
      <c r="X9" s="8">
        <v>1</v>
      </c>
      <c r="Y9" s="8">
        <v>1</v>
      </c>
      <c r="Z9" s="19">
        <v>4</v>
      </c>
    </row>
    <row r="10" spans="1:26" x14ac:dyDescent="0.2">
      <c r="A10" s="8" t="s">
        <v>48</v>
      </c>
      <c r="B10" s="8">
        <v>2</v>
      </c>
      <c r="C10" s="8">
        <v>2</v>
      </c>
      <c r="D10" s="8">
        <v>3</v>
      </c>
      <c r="E10" s="8">
        <v>4</v>
      </c>
      <c r="F10" s="19">
        <v>5</v>
      </c>
      <c r="H10" s="8" t="s">
        <v>49</v>
      </c>
      <c r="I10" s="8">
        <v>1</v>
      </c>
      <c r="J10" s="8">
        <v>2</v>
      </c>
      <c r="K10" s="19" t="s">
        <v>2</v>
      </c>
      <c r="L10" s="15"/>
      <c r="M10" s="8" t="s">
        <v>49</v>
      </c>
      <c r="N10" s="8">
        <v>1</v>
      </c>
      <c r="O10" s="8">
        <v>2</v>
      </c>
      <c r="P10" s="19">
        <v>3</v>
      </c>
      <c r="R10" s="8">
        <v>32</v>
      </c>
      <c r="S10" s="8" t="s">
        <v>34</v>
      </c>
      <c r="T10" s="8" t="s">
        <v>34</v>
      </c>
      <c r="U10" s="8" t="s">
        <v>35</v>
      </c>
      <c r="V10" s="8" t="s">
        <v>42</v>
      </c>
      <c r="W10" s="8">
        <v>1</v>
      </c>
      <c r="X10" s="8">
        <v>1</v>
      </c>
      <c r="Y10" s="8">
        <v>1</v>
      </c>
      <c r="Z10" s="19">
        <v>8</v>
      </c>
    </row>
    <row r="11" spans="1:26" x14ac:dyDescent="0.2">
      <c r="A11" s="8" t="s">
        <v>50</v>
      </c>
      <c r="B11" s="8">
        <v>2</v>
      </c>
      <c r="C11" s="8">
        <v>2</v>
      </c>
      <c r="D11" s="8">
        <v>3</v>
      </c>
      <c r="E11" s="8">
        <v>4</v>
      </c>
      <c r="F11" s="19">
        <v>5</v>
      </c>
      <c r="H11" s="8" t="s">
        <v>51</v>
      </c>
      <c r="I11" s="8">
        <v>1</v>
      </c>
      <c r="J11" s="8">
        <v>2</v>
      </c>
      <c r="K11" s="19" t="s">
        <v>2</v>
      </c>
      <c r="L11" s="15"/>
      <c r="M11" s="8" t="s">
        <v>51</v>
      </c>
      <c r="N11" s="8">
        <v>1</v>
      </c>
      <c r="O11" s="8">
        <v>2</v>
      </c>
      <c r="P11" s="19">
        <v>3</v>
      </c>
      <c r="R11" s="8">
        <v>33</v>
      </c>
      <c r="S11" s="8" t="s">
        <v>34</v>
      </c>
      <c r="T11" s="8" t="s">
        <v>34</v>
      </c>
      <c r="U11" s="8" t="s">
        <v>35</v>
      </c>
      <c r="V11" s="8" t="s">
        <v>42</v>
      </c>
      <c r="W11" s="8">
        <v>1</v>
      </c>
      <c r="X11" s="8">
        <v>1</v>
      </c>
      <c r="Y11" s="8">
        <v>1</v>
      </c>
      <c r="Z11" s="19">
        <v>8</v>
      </c>
    </row>
    <row r="12" spans="1:26" x14ac:dyDescent="0.2">
      <c r="A12" t="s">
        <v>52</v>
      </c>
      <c r="B12">
        <v>0</v>
      </c>
      <c r="C12">
        <v>2</v>
      </c>
      <c r="D12" t="s">
        <v>2</v>
      </c>
      <c r="H12" s="8" t="s">
        <v>53</v>
      </c>
      <c r="I12" s="8">
        <v>1</v>
      </c>
      <c r="J12" s="8">
        <v>2</v>
      </c>
      <c r="K12" s="19" t="s">
        <v>2</v>
      </c>
      <c r="L12" s="15"/>
      <c r="M12" s="8" t="s">
        <v>53</v>
      </c>
      <c r="N12" s="8">
        <v>1</v>
      </c>
      <c r="O12" s="8">
        <v>2</v>
      </c>
      <c r="P12" s="19">
        <v>3</v>
      </c>
      <c r="R12" s="8">
        <v>34</v>
      </c>
      <c r="S12" s="8" t="s">
        <v>34</v>
      </c>
      <c r="T12" s="8" t="s">
        <v>34</v>
      </c>
      <c r="U12" s="8" t="s">
        <v>35</v>
      </c>
      <c r="V12" s="8" t="s">
        <v>42</v>
      </c>
      <c r="W12" s="8">
        <v>1</v>
      </c>
      <c r="X12" s="8">
        <v>1</v>
      </c>
      <c r="Y12" s="8">
        <v>1</v>
      </c>
      <c r="Z12" s="19">
        <v>8</v>
      </c>
    </row>
    <row r="13" spans="1:26" x14ac:dyDescent="0.2">
      <c r="A13" s="8" t="s">
        <v>54</v>
      </c>
      <c r="B13" s="8">
        <v>1</v>
      </c>
      <c r="C13" s="8">
        <v>2</v>
      </c>
      <c r="D13" s="8">
        <v>2</v>
      </c>
      <c r="E13" s="8">
        <v>2</v>
      </c>
      <c r="F13" s="19">
        <v>2</v>
      </c>
      <c r="H13" s="8" t="s">
        <v>55</v>
      </c>
      <c r="I13" s="8">
        <v>1</v>
      </c>
      <c r="J13" s="8">
        <v>2</v>
      </c>
      <c r="K13" s="19">
        <v>3</v>
      </c>
      <c r="L13" s="15"/>
      <c r="M13" s="8" t="s">
        <v>55</v>
      </c>
      <c r="N13" s="8">
        <v>1</v>
      </c>
      <c r="O13" s="8">
        <v>2</v>
      </c>
      <c r="P13" s="19">
        <v>3</v>
      </c>
    </row>
    <row r="14" spans="1:26" x14ac:dyDescent="0.2">
      <c r="A14" s="8" t="s">
        <v>56</v>
      </c>
      <c r="B14" s="8">
        <v>1</v>
      </c>
      <c r="C14" s="8">
        <v>2</v>
      </c>
      <c r="D14" s="16">
        <v>2</v>
      </c>
      <c r="E14" s="16">
        <v>2</v>
      </c>
      <c r="F14" s="20">
        <v>2</v>
      </c>
      <c r="H14" s="8" t="s">
        <v>57</v>
      </c>
      <c r="I14" s="8">
        <v>1</v>
      </c>
      <c r="J14" s="8">
        <v>2</v>
      </c>
      <c r="K14" s="19">
        <v>3</v>
      </c>
      <c r="L14" s="15"/>
      <c r="M14" s="8" t="s">
        <v>57</v>
      </c>
      <c r="N14" s="8">
        <v>1</v>
      </c>
      <c r="O14" s="8">
        <v>2</v>
      </c>
      <c r="P14" s="19">
        <v>3</v>
      </c>
      <c r="R14" s="8">
        <v>21</v>
      </c>
      <c r="S14" s="8" t="s">
        <v>34</v>
      </c>
      <c r="T14" s="8" t="s">
        <v>47</v>
      </c>
      <c r="U14" s="8"/>
      <c r="V14" s="8"/>
      <c r="W14" s="8">
        <v>1</v>
      </c>
      <c r="X14" s="8">
        <v>1</v>
      </c>
      <c r="Y14" s="8">
        <v>1</v>
      </c>
      <c r="Z14" s="19">
        <v>4</v>
      </c>
    </row>
    <row r="15" spans="1:26" x14ac:dyDescent="0.2">
      <c r="A15" s="8" t="s">
        <v>58</v>
      </c>
      <c r="B15" s="8">
        <v>1</v>
      </c>
      <c r="C15" s="8">
        <v>2</v>
      </c>
      <c r="D15" s="8">
        <v>2</v>
      </c>
      <c r="E15" s="8">
        <v>2</v>
      </c>
      <c r="F15" s="19">
        <v>2</v>
      </c>
      <c r="H15" s="8" t="s">
        <v>59</v>
      </c>
      <c r="I15" s="8">
        <v>1</v>
      </c>
      <c r="J15" s="8">
        <v>2</v>
      </c>
      <c r="K15" s="19" t="s">
        <v>2</v>
      </c>
      <c r="L15" s="15"/>
      <c r="M15" s="8" t="s">
        <v>59</v>
      </c>
      <c r="N15" s="8">
        <v>1</v>
      </c>
      <c r="O15" s="8">
        <v>2</v>
      </c>
      <c r="P15" s="19">
        <v>3</v>
      </c>
      <c r="R15" s="8">
        <v>22</v>
      </c>
      <c r="S15" s="8" t="s">
        <v>34</v>
      </c>
      <c r="T15" s="8" t="s">
        <v>34</v>
      </c>
      <c r="U15" s="8" t="s">
        <v>35</v>
      </c>
      <c r="V15" s="8" t="s">
        <v>42</v>
      </c>
      <c r="W15" s="8">
        <v>1</v>
      </c>
      <c r="X15" s="8">
        <v>1</v>
      </c>
      <c r="Y15" s="8">
        <v>1</v>
      </c>
      <c r="Z15" s="19">
        <v>8</v>
      </c>
    </row>
    <row r="16" spans="1:26" x14ac:dyDescent="0.2">
      <c r="A16" s="8" t="s">
        <v>60</v>
      </c>
      <c r="B16" s="8">
        <v>1</v>
      </c>
      <c r="C16" s="8">
        <v>2</v>
      </c>
      <c r="D16" s="8">
        <v>2</v>
      </c>
      <c r="E16" s="8">
        <v>2</v>
      </c>
      <c r="F16" s="19">
        <v>2</v>
      </c>
      <c r="H16" t="s">
        <v>61</v>
      </c>
      <c r="I16" s="17" t="s">
        <v>2</v>
      </c>
      <c r="J16" t="s">
        <v>2</v>
      </c>
      <c r="K16" t="s">
        <v>2</v>
      </c>
      <c r="M16" t="s">
        <v>62</v>
      </c>
      <c r="N16" s="17"/>
      <c r="P16" t="s">
        <v>2</v>
      </c>
      <c r="R16" s="8">
        <v>23</v>
      </c>
      <c r="S16" s="8" t="s">
        <v>34</v>
      </c>
      <c r="T16" s="8" t="s">
        <v>34</v>
      </c>
      <c r="U16" s="8" t="s">
        <v>35</v>
      </c>
      <c r="V16" s="8" t="s">
        <v>42</v>
      </c>
      <c r="W16" s="8">
        <v>1</v>
      </c>
      <c r="X16" s="8">
        <v>1</v>
      </c>
      <c r="Y16" s="8">
        <v>1</v>
      </c>
      <c r="Z16" s="19">
        <v>8</v>
      </c>
    </row>
    <row r="17" spans="1:26" x14ac:dyDescent="0.2">
      <c r="A17" s="8" t="s">
        <v>63</v>
      </c>
      <c r="B17" s="8">
        <v>1</v>
      </c>
      <c r="C17" s="8">
        <v>2</v>
      </c>
      <c r="D17" s="8">
        <v>3</v>
      </c>
      <c r="E17" s="8">
        <v>4</v>
      </c>
      <c r="F17" s="19">
        <v>5</v>
      </c>
      <c r="H17" s="8" t="s">
        <v>64</v>
      </c>
      <c r="I17" s="8">
        <v>1</v>
      </c>
      <c r="J17" s="8">
        <v>2</v>
      </c>
      <c r="K17" s="19">
        <v>4</v>
      </c>
      <c r="L17" s="15"/>
      <c r="M17" s="8" t="s">
        <v>64</v>
      </c>
      <c r="N17" s="8">
        <v>1</v>
      </c>
      <c r="O17" s="8">
        <v>2</v>
      </c>
      <c r="P17" s="19">
        <v>3</v>
      </c>
      <c r="R17" s="8">
        <v>24</v>
      </c>
      <c r="S17" s="8" t="s">
        <v>34</v>
      </c>
      <c r="T17" s="8" t="s">
        <v>34</v>
      </c>
      <c r="U17" s="8" t="s">
        <v>35</v>
      </c>
      <c r="V17" s="8" t="s">
        <v>42</v>
      </c>
      <c r="W17" s="8">
        <v>1</v>
      </c>
      <c r="X17" s="8">
        <v>1</v>
      </c>
      <c r="Y17" s="8">
        <v>1</v>
      </c>
      <c r="Z17" s="19">
        <v>8</v>
      </c>
    </row>
    <row r="18" spans="1:26" x14ac:dyDescent="0.2">
      <c r="A18" s="8" t="s">
        <v>65</v>
      </c>
      <c r="B18" s="8">
        <v>1</v>
      </c>
      <c r="C18" s="8">
        <v>2</v>
      </c>
      <c r="D18" s="8">
        <v>3</v>
      </c>
      <c r="E18" s="8">
        <v>4</v>
      </c>
      <c r="F18" s="19">
        <v>5</v>
      </c>
      <c r="H18" s="8" t="s">
        <v>66</v>
      </c>
      <c r="I18" s="8">
        <v>1</v>
      </c>
      <c r="J18" s="8">
        <v>2</v>
      </c>
      <c r="K18" s="19">
        <v>4</v>
      </c>
      <c r="L18" s="15"/>
      <c r="M18" s="8" t="s">
        <v>66</v>
      </c>
      <c r="N18" s="8">
        <v>1</v>
      </c>
      <c r="O18" s="8">
        <v>2</v>
      </c>
      <c r="P18" s="19">
        <v>3</v>
      </c>
    </row>
    <row r="19" spans="1:26" x14ac:dyDescent="0.2">
      <c r="A19" s="8" t="s">
        <v>67</v>
      </c>
      <c r="B19" s="8">
        <v>1</v>
      </c>
      <c r="C19" s="8">
        <v>2</v>
      </c>
      <c r="D19" s="8">
        <v>3</v>
      </c>
      <c r="E19" s="8">
        <v>4</v>
      </c>
      <c r="F19" s="19">
        <v>5</v>
      </c>
      <c r="H19" s="8" t="s">
        <v>68</v>
      </c>
      <c r="I19" s="8">
        <v>1</v>
      </c>
      <c r="J19" s="8">
        <v>2</v>
      </c>
      <c r="K19" s="19">
        <v>4</v>
      </c>
      <c r="L19" s="15"/>
      <c r="M19" s="8" t="s">
        <v>68</v>
      </c>
      <c r="N19" s="8">
        <v>1</v>
      </c>
      <c r="O19" s="8">
        <v>2</v>
      </c>
      <c r="P19" s="19">
        <v>3</v>
      </c>
      <c r="R19" s="8">
        <v>11</v>
      </c>
      <c r="S19" s="8" t="s">
        <v>34</v>
      </c>
      <c r="T19" s="8" t="s">
        <v>47</v>
      </c>
      <c r="U19" s="8"/>
      <c r="V19" s="8"/>
      <c r="W19" s="8">
        <v>1</v>
      </c>
      <c r="X19" s="8">
        <v>1</v>
      </c>
      <c r="Y19" s="8">
        <v>1</v>
      </c>
      <c r="Z19" s="19">
        <v>4</v>
      </c>
    </row>
    <row r="20" spans="1:26" x14ac:dyDescent="0.2">
      <c r="A20" s="8" t="s">
        <v>69</v>
      </c>
      <c r="B20" s="8">
        <v>1</v>
      </c>
      <c r="C20" s="8">
        <v>2</v>
      </c>
      <c r="D20" s="8">
        <v>2</v>
      </c>
      <c r="E20" s="8">
        <v>2</v>
      </c>
      <c r="F20" s="19">
        <v>2</v>
      </c>
      <c r="H20" s="8" t="s">
        <v>70</v>
      </c>
      <c r="I20" s="8">
        <v>1</v>
      </c>
      <c r="J20" s="8">
        <v>2</v>
      </c>
      <c r="K20" s="19">
        <v>4</v>
      </c>
      <c r="L20" s="15"/>
      <c r="M20" s="8" t="s">
        <v>70</v>
      </c>
      <c r="N20" s="8">
        <v>1</v>
      </c>
      <c r="O20" s="8">
        <v>2</v>
      </c>
      <c r="P20" s="19">
        <v>3</v>
      </c>
      <c r="R20" s="8">
        <v>12</v>
      </c>
      <c r="S20" s="8" t="s">
        <v>34</v>
      </c>
      <c r="T20" s="8" t="s">
        <v>34</v>
      </c>
      <c r="U20" s="8" t="s">
        <v>35</v>
      </c>
      <c r="V20" s="8" t="s">
        <v>42</v>
      </c>
      <c r="W20" s="8">
        <v>1</v>
      </c>
      <c r="X20" s="8">
        <v>1</v>
      </c>
      <c r="Y20" s="8">
        <v>1</v>
      </c>
      <c r="Z20" s="19">
        <v>8</v>
      </c>
    </row>
    <row r="21" spans="1:26" x14ac:dyDescent="0.2">
      <c r="A21" t="s">
        <v>71</v>
      </c>
      <c r="B21" t="s">
        <v>2</v>
      </c>
      <c r="C21" t="s">
        <v>2</v>
      </c>
      <c r="D21" t="s">
        <v>2</v>
      </c>
      <c r="H21" s="8" t="s">
        <v>72</v>
      </c>
      <c r="I21" s="8">
        <v>1</v>
      </c>
      <c r="J21" s="8">
        <v>2</v>
      </c>
      <c r="K21" s="19" t="s">
        <v>2</v>
      </c>
      <c r="L21" s="15"/>
      <c r="M21" s="8" t="s">
        <v>72</v>
      </c>
      <c r="N21" s="8">
        <v>1</v>
      </c>
      <c r="O21" s="8">
        <v>2</v>
      </c>
      <c r="P21" s="19">
        <v>3</v>
      </c>
      <c r="R21" s="8">
        <v>13</v>
      </c>
      <c r="S21" s="8" t="s">
        <v>34</v>
      </c>
      <c r="T21" s="8" t="s">
        <v>34</v>
      </c>
      <c r="U21" s="8" t="s">
        <v>35</v>
      </c>
      <c r="V21" s="8" t="s">
        <v>42</v>
      </c>
      <c r="W21" s="8">
        <v>1</v>
      </c>
      <c r="X21" s="8">
        <v>1</v>
      </c>
      <c r="Y21" s="8">
        <v>1</v>
      </c>
      <c r="Z21" s="19">
        <v>8</v>
      </c>
    </row>
    <row r="22" spans="1:26" x14ac:dyDescent="0.2">
      <c r="A22" s="8" t="s">
        <v>73</v>
      </c>
      <c r="B22" s="8">
        <v>1</v>
      </c>
      <c r="C22" s="8">
        <v>2</v>
      </c>
      <c r="D22" s="8">
        <v>2</v>
      </c>
      <c r="E22" s="8">
        <v>2</v>
      </c>
      <c r="F22" s="19">
        <v>2</v>
      </c>
      <c r="H22" s="8" t="s">
        <v>74</v>
      </c>
      <c r="I22" s="8">
        <v>1</v>
      </c>
      <c r="J22" s="8">
        <v>2</v>
      </c>
      <c r="K22" s="19" t="s">
        <v>2</v>
      </c>
      <c r="L22" s="15"/>
      <c r="M22" s="8" t="s">
        <v>74</v>
      </c>
      <c r="N22" s="8">
        <v>1</v>
      </c>
      <c r="O22" s="8">
        <v>2</v>
      </c>
      <c r="P22" s="19">
        <v>3</v>
      </c>
      <c r="R22" s="8">
        <v>14</v>
      </c>
      <c r="S22" s="8" t="s">
        <v>34</v>
      </c>
      <c r="T22" s="8" t="s">
        <v>34</v>
      </c>
      <c r="U22" s="8" t="s">
        <v>35</v>
      </c>
      <c r="V22" s="8" t="s">
        <v>42</v>
      </c>
      <c r="W22" s="8">
        <v>1</v>
      </c>
      <c r="X22" s="8">
        <v>1</v>
      </c>
      <c r="Y22" s="8">
        <v>1</v>
      </c>
      <c r="Z22" s="19">
        <v>8</v>
      </c>
    </row>
    <row r="23" spans="1:26" x14ac:dyDescent="0.2">
      <c r="A23" s="8" t="s">
        <v>75</v>
      </c>
      <c r="B23" s="8">
        <v>1</v>
      </c>
      <c r="C23" s="8">
        <v>2</v>
      </c>
      <c r="D23" s="8">
        <v>2</v>
      </c>
      <c r="E23" s="8">
        <v>2</v>
      </c>
      <c r="F23" s="19">
        <v>2</v>
      </c>
      <c r="H23" s="8" t="s">
        <v>76</v>
      </c>
      <c r="I23" s="8">
        <v>1</v>
      </c>
      <c r="J23" s="8">
        <v>2</v>
      </c>
      <c r="K23" s="19" t="s">
        <v>2</v>
      </c>
      <c r="L23" s="15"/>
      <c r="M23" s="8" t="s">
        <v>76</v>
      </c>
      <c r="N23" s="8">
        <v>1</v>
      </c>
      <c r="O23" s="8">
        <v>2</v>
      </c>
      <c r="P23" s="19">
        <v>3</v>
      </c>
      <c r="Z23">
        <f>SUM(Z4:Z22)</f>
        <v>132</v>
      </c>
    </row>
    <row r="24" spans="1:26" x14ac:dyDescent="0.2">
      <c r="A24" s="8" t="s">
        <v>77</v>
      </c>
      <c r="B24" s="8">
        <v>1</v>
      </c>
      <c r="C24" s="8">
        <v>2</v>
      </c>
      <c r="D24" s="8">
        <v>2</v>
      </c>
      <c r="E24" s="8">
        <v>2</v>
      </c>
      <c r="F24" s="19">
        <v>2</v>
      </c>
      <c r="H24" s="8" t="s">
        <v>78</v>
      </c>
      <c r="I24" s="8">
        <v>1</v>
      </c>
      <c r="J24" s="8">
        <v>2</v>
      </c>
      <c r="K24" s="19" t="s">
        <v>2</v>
      </c>
      <c r="L24" s="15"/>
      <c r="M24" s="8" t="s">
        <v>78</v>
      </c>
      <c r="N24" s="8">
        <v>1</v>
      </c>
      <c r="O24" s="8">
        <v>2</v>
      </c>
      <c r="P24" s="19">
        <v>3</v>
      </c>
    </row>
    <row r="25" spans="1:26" x14ac:dyDescent="0.2">
      <c r="A25" s="8" t="s">
        <v>79</v>
      </c>
      <c r="B25" s="8">
        <v>1</v>
      </c>
      <c r="C25" s="8">
        <v>2</v>
      </c>
      <c r="D25" s="8">
        <v>2</v>
      </c>
      <c r="E25" s="8">
        <v>2</v>
      </c>
      <c r="F25" s="19">
        <v>2</v>
      </c>
      <c r="H25" s="8" t="s">
        <v>80</v>
      </c>
      <c r="I25" s="8">
        <v>1</v>
      </c>
      <c r="J25" s="8">
        <v>2</v>
      </c>
      <c r="K25" s="19" t="s">
        <v>2</v>
      </c>
      <c r="L25" s="15"/>
      <c r="M25" s="8" t="s">
        <v>80</v>
      </c>
      <c r="N25" s="8">
        <v>1</v>
      </c>
      <c r="O25" s="8">
        <v>2</v>
      </c>
      <c r="P25" s="19">
        <v>3</v>
      </c>
      <c r="T25" t="s">
        <v>2</v>
      </c>
    </row>
    <row r="26" spans="1:26" x14ac:dyDescent="0.2">
      <c r="A26" s="8" t="s">
        <v>81</v>
      </c>
      <c r="B26" s="8">
        <v>1</v>
      </c>
      <c r="C26" s="8">
        <v>2</v>
      </c>
      <c r="D26" s="8">
        <v>3</v>
      </c>
      <c r="E26" s="8">
        <v>4</v>
      </c>
      <c r="F26" s="19">
        <v>4</v>
      </c>
      <c r="H26" s="8" t="s">
        <v>82</v>
      </c>
      <c r="I26" s="8">
        <v>1</v>
      </c>
      <c r="J26" s="8">
        <v>2</v>
      </c>
      <c r="K26" s="19">
        <v>3</v>
      </c>
      <c r="L26" s="15"/>
      <c r="M26" s="8" t="s">
        <v>82</v>
      </c>
      <c r="N26" s="8">
        <v>1</v>
      </c>
      <c r="O26" s="8">
        <v>2</v>
      </c>
      <c r="P26" s="19">
        <v>3</v>
      </c>
    </row>
    <row r="27" spans="1:26" x14ac:dyDescent="0.2">
      <c r="A27" s="8" t="s">
        <v>83</v>
      </c>
      <c r="B27" s="8">
        <v>1</v>
      </c>
      <c r="C27" s="8">
        <v>2</v>
      </c>
      <c r="D27" s="8">
        <v>3</v>
      </c>
      <c r="E27" s="8">
        <v>4</v>
      </c>
      <c r="F27" s="19">
        <v>4</v>
      </c>
      <c r="H27" s="8" t="s">
        <v>84</v>
      </c>
      <c r="I27" s="8">
        <v>1</v>
      </c>
      <c r="J27" s="8">
        <v>2</v>
      </c>
      <c r="K27" s="19">
        <v>3</v>
      </c>
      <c r="L27" s="15"/>
      <c r="M27" s="8" t="s">
        <v>84</v>
      </c>
      <c r="N27" s="8">
        <v>1</v>
      </c>
      <c r="O27" s="8">
        <v>2</v>
      </c>
      <c r="P27" s="19">
        <v>3</v>
      </c>
    </row>
    <row r="28" spans="1:26" x14ac:dyDescent="0.2">
      <c r="A28" s="8" t="s">
        <v>85</v>
      </c>
      <c r="B28" s="8">
        <v>1</v>
      </c>
      <c r="C28" s="8">
        <v>2</v>
      </c>
      <c r="D28" s="8">
        <v>3</v>
      </c>
      <c r="E28" s="8">
        <v>4</v>
      </c>
      <c r="F28" s="19">
        <v>4</v>
      </c>
      <c r="H28" s="8" t="s">
        <v>86</v>
      </c>
      <c r="I28" s="8">
        <v>1</v>
      </c>
      <c r="J28" s="8">
        <v>2</v>
      </c>
      <c r="K28" s="19" t="s">
        <v>2</v>
      </c>
      <c r="L28" s="15"/>
      <c r="M28" s="8" t="s">
        <v>86</v>
      </c>
      <c r="N28" s="8">
        <v>1</v>
      </c>
      <c r="O28" s="8">
        <v>2</v>
      </c>
      <c r="P28" s="19">
        <v>3</v>
      </c>
    </row>
    <row r="29" spans="1:26" x14ac:dyDescent="0.2">
      <c r="A29" s="8" t="s">
        <v>87</v>
      </c>
      <c r="B29" s="8">
        <v>1</v>
      </c>
      <c r="C29" s="8">
        <v>2</v>
      </c>
      <c r="D29" s="8">
        <v>3</v>
      </c>
      <c r="E29" s="8">
        <v>4</v>
      </c>
      <c r="F29" s="19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 x14ac:dyDescent="0.2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 x14ac:dyDescent="0.2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A3" sqref="A3"/>
    </sheetView>
  </sheetViews>
  <sheetFormatPr baseColWidth="10" defaultRowHeight="16" x14ac:dyDescent="0.2"/>
  <cols>
    <col min="1" max="1" width="121.1640625" customWidth="1"/>
  </cols>
  <sheetData>
    <row r="1" spans="1:1" ht="17" thickBot="1" x14ac:dyDescent="0.25"/>
    <row r="2" spans="1:1" ht="17" x14ac:dyDescent="0.2">
      <c r="A2" s="87" t="s">
        <v>194</v>
      </c>
    </row>
    <row r="3" spans="1:1" ht="28" customHeight="1" thickBot="1" x14ac:dyDescent="0.25">
      <c r="A3" s="88" t="s">
        <v>195</v>
      </c>
    </row>
    <row r="4" spans="1:1" ht="17" x14ac:dyDescent="0.2">
      <c r="A4" s="89" t="s">
        <v>196</v>
      </c>
    </row>
    <row r="5" spans="1:1" ht="41" customHeight="1" x14ac:dyDescent="0.2">
      <c r="A5" s="90" t="s">
        <v>197</v>
      </c>
    </row>
    <row r="6" spans="1:1" ht="33" customHeight="1" thickBot="1" x14ac:dyDescent="0.25">
      <c r="A6" s="88" t="s">
        <v>199</v>
      </c>
    </row>
    <row r="7" spans="1:1" ht="29" customHeight="1" thickBot="1" x14ac:dyDescent="0.25">
      <c r="A7" s="91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Usuario de Microsoft Office</cp:lastModifiedBy>
  <dcterms:created xsi:type="dcterms:W3CDTF">2014-07-29T17:30:41Z</dcterms:created>
  <dcterms:modified xsi:type="dcterms:W3CDTF">2018-07-10T16:07:45Z</dcterms:modified>
</cp:coreProperties>
</file>