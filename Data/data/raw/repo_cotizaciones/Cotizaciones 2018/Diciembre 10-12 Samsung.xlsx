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Eventos cotizados/Cotizaciones 2018 Carmen/"/>
    </mc:Choice>
  </mc:AlternateContent>
  <bookViews>
    <workbookView xWindow="480" yWindow="480" windowWidth="25120" windowHeight="14040" tabRatio="500"/>
  </bookViews>
  <sheets>
    <sheet name="Con Alojamiento." sheetId="1" r:id="rId1"/>
    <sheet name=" Por el Día" sheetId="2" r:id="rId2"/>
    <sheet name="Itinerario para firmar" sheetId="9" r:id="rId3"/>
    <sheet name=" Alojamiento" sheetId="5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6" i="1" l="1"/>
  <c r="E38" i="1"/>
  <c r="E39" i="1"/>
  <c r="E41" i="1"/>
  <c r="E40" i="1"/>
  <c r="E9" i="1"/>
  <c r="E10" i="1"/>
  <c r="E11" i="1"/>
  <c r="E12" i="1"/>
  <c r="E13" i="1"/>
  <c r="E15" i="1"/>
  <c r="E18" i="1"/>
  <c r="E36" i="1"/>
  <c r="E37" i="1"/>
  <c r="E21" i="1"/>
  <c r="E22" i="1"/>
  <c r="E23" i="1"/>
  <c r="E24" i="1"/>
  <c r="E25" i="1"/>
  <c r="E26" i="1"/>
  <c r="E27" i="1"/>
  <c r="E28" i="1"/>
  <c r="E29" i="1"/>
  <c r="E31" i="1"/>
  <c r="E61" i="2"/>
  <c r="E68" i="1"/>
  <c r="E54" i="1"/>
  <c r="E56" i="1"/>
  <c r="E55" i="1"/>
  <c r="E49" i="1"/>
  <c r="E44" i="1"/>
  <c r="E45" i="1"/>
  <c r="E47" i="1"/>
  <c r="E48" i="1"/>
  <c r="E50" i="1"/>
  <c r="E51" i="1"/>
  <c r="E52" i="1"/>
  <c r="E53" i="1"/>
  <c r="E57" i="1"/>
  <c r="E58" i="1"/>
  <c r="E59" i="1"/>
  <c r="E60" i="1"/>
  <c r="E61" i="1"/>
  <c r="E69" i="1"/>
  <c r="E70" i="1"/>
  <c r="E62" i="1"/>
  <c r="E63" i="1"/>
  <c r="E64" i="1"/>
  <c r="E65" i="1"/>
  <c r="E66" i="1"/>
  <c r="E67" i="1"/>
  <c r="E9" i="2"/>
  <c r="D10" i="2"/>
  <c r="E10" i="2"/>
  <c r="E11" i="2"/>
  <c r="D12" i="2"/>
  <c r="E12" i="2"/>
  <c r="E13" i="2"/>
  <c r="E14" i="2"/>
  <c r="E16" i="2"/>
  <c r="E17" i="2"/>
  <c r="E18" i="2"/>
  <c r="E19" i="2"/>
  <c r="E20" i="2"/>
  <c r="E21" i="2"/>
  <c r="E22" i="2"/>
  <c r="E23" i="2"/>
  <c r="E34" i="2"/>
  <c r="E35" i="2"/>
  <c r="E36" i="2"/>
  <c r="E37" i="2"/>
  <c r="E39" i="2"/>
  <c r="E40" i="2"/>
  <c r="E41" i="2"/>
  <c r="E42" i="2"/>
  <c r="E43" i="2"/>
  <c r="E44" i="2"/>
  <c r="E45" i="2"/>
  <c r="E46" i="2"/>
  <c r="E47" i="2"/>
  <c r="E49" i="2"/>
  <c r="E50" i="2"/>
  <c r="E51" i="2"/>
  <c r="E52" i="2"/>
  <c r="E53" i="2"/>
  <c r="E55" i="2"/>
  <c r="E56" i="2"/>
  <c r="E57" i="2"/>
  <c r="E58" i="2"/>
  <c r="E59" i="2"/>
  <c r="E60" i="2"/>
  <c r="E62" i="2"/>
  <c r="E63" i="2"/>
  <c r="F30" i="5"/>
  <c r="E30" i="5"/>
  <c r="D30" i="5"/>
  <c r="C30" i="5"/>
  <c r="B30" i="5"/>
  <c r="P29" i="5"/>
  <c r="O29" i="5"/>
  <c r="N29" i="5"/>
  <c r="K29" i="5"/>
  <c r="J29" i="5"/>
  <c r="I29" i="5"/>
  <c r="Z23" i="5"/>
  <c r="E64" i="2"/>
  <c r="E65" i="2"/>
</calcChain>
</file>

<file path=xl/sharedStrings.xml><?xml version="1.0" encoding="utf-8"?>
<sst xmlns="http://schemas.openxmlformats.org/spreadsheetml/2006/main" count="616" uniqueCount="330">
  <si>
    <t xml:space="preserve">Valor </t>
  </si>
  <si>
    <t>Total</t>
  </si>
  <si>
    <t>Almuerzos Buffet +  bar libre de café y aguas</t>
  </si>
  <si>
    <t>Cena  Buffet +  bar libre de café y aguas</t>
  </si>
  <si>
    <t>Copa de vino reserva</t>
  </si>
  <si>
    <t xml:space="preserve">Hora adicional de salón en la noche </t>
  </si>
  <si>
    <t xml:space="preserve"> </t>
  </si>
  <si>
    <t xml:space="preserve">Cotización de Servicios </t>
  </si>
  <si>
    <t>IVA</t>
  </si>
  <si>
    <t>Total Evento</t>
  </si>
  <si>
    <t>Empresa:</t>
  </si>
  <si>
    <t>Nº Pasajeros</t>
  </si>
  <si>
    <t>Fono:</t>
  </si>
  <si>
    <t>Nº pax</t>
  </si>
  <si>
    <t>Total Item</t>
  </si>
  <si>
    <t>Comidas y bebidas</t>
  </si>
  <si>
    <t>Valor</t>
  </si>
  <si>
    <t>Total Comidas y Bebidas</t>
  </si>
  <si>
    <t>Salones, amplificación.</t>
  </si>
  <si>
    <t>Nº Pax</t>
  </si>
  <si>
    <t>Nº Unidades</t>
  </si>
  <si>
    <t>Total Salones, amplificación</t>
  </si>
  <si>
    <t xml:space="preserve">Quincho, capacidad hasta 200 pax </t>
  </si>
  <si>
    <t>Uso de circuitos de pesca con mosca</t>
  </si>
  <si>
    <t>Team Building</t>
  </si>
  <si>
    <t>Actividades de entretención y Team Building</t>
  </si>
  <si>
    <t xml:space="preserve">Actividades nocturnas </t>
  </si>
  <si>
    <t>Quincho, para fiesta, 4 horas</t>
  </si>
  <si>
    <t>Dj 4 horas en la noche</t>
  </si>
  <si>
    <t>Karaoke 4 horas en la noche</t>
  </si>
  <si>
    <t>DJ y Karaoke 4 horas en la noche</t>
  </si>
  <si>
    <t>Total Actividades de entretención y team Building</t>
  </si>
  <si>
    <t>Total Actividades nocturnas</t>
  </si>
  <si>
    <t>Total neto Evento</t>
  </si>
  <si>
    <t>Uso de piscina temperada y exterior</t>
  </si>
  <si>
    <t>Detalle de servicios.</t>
  </si>
  <si>
    <t>3 variedades de carnes, 8 variedades de ensaladas,dressinf, entradas, buffet de postres</t>
  </si>
  <si>
    <t>Este servicio es para los salones de conferencias es por 8 horas y hay un garzón a cargo.</t>
  </si>
  <si>
    <t>Copa de vino servida a la mesa por un garzón, dentro de los que haya disponibles.</t>
  </si>
  <si>
    <t>Actividades guiadas de uso libre, disponibles entre las 10:00 y las 14:00 y de 15 a 18:00.</t>
  </si>
  <si>
    <t>15 lagunas, borde de estero y meandros, no incluye el uso de equipos, solo permitido pesca con devolución, trucha fario y arcoiris</t>
  </si>
  <si>
    <t>Piscina temperada  a 35º, 144 m2, disponible de 10:00 y 14:00 y 15:00 a 20:00, piscina exterior e  aguas minerales.</t>
  </si>
  <si>
    <t>Persona que brinda este servicio.</t>
  </si>
  <si>
    <t>Aperitivo pisco sour, vaina, espumante</t>
  </si>
  <si>
    <t>Pisco Sour preparados en el minuto, se sirve acompañado de guarnición de frutos secos.</t>
  </si>
  <si>
    <t>Desayuno Buffet</t>
  </si>
  <si>
    <t>Descorche por persona</t>
  </si>
  <si>
    <t>Uso de cabalgatas 1/2 hora, canopy, kayak con asistencia de guias.</t>
  </si>
  <si>
    <t>Giro:</t>
  </si>
  <si>
    <t xml:space="preserve">Datos de Facturación: </t>
  </si>
  <si>
    <t>Nombre:</t>
  </si>
  <si>
    <t>Dirección:</t>
  </si>
  <si>
    <t>Programa Standard.</t>
  </si>
  <si>
    <t>Programa cabalgata.</t>
  </si>
  <si>
    <t>Total Programas paquete con todo incluido</t>
  </si>
  <si>
    <t>Piscinas, canopy, kayak, cabalgatas + desayuno buffet + almuerzo buffet +bebida + once+ masaje de relajación de 30 minutos+ sauna</t>
  </si>
  <si>
    <t>Programa de Spa.</t>
  </si>
  <si>
    <t>Programa de Pesca.</t>
  </si>
  <si>
    <t>Incluye piscinas, canopy, kayak, cabalgatas, acceso a pesca con mosca,  + desayuno buffet + almuerzo buffet +bebida + vino+ once.</t>
  </si>
  <si>
    <t>Incluye piscinas, canopy, kayak, cabalgatas de 2 a 3 horas  + desayuno buffet + almuerzo buffet +bebida + vino+ once.</t>
  </si>
  <si>
    <t>Amplificación  básica en salón, 8 horas</t>
  </si>
  <si>
    <t>Amplificación Full con operador, 8 horas</t>
  </si>
  <si>
    <t>Programas por el día para EMPRESAS</t>
  </si>
  <si>
    <t>Bar libre de café, te, mineral, galletas y dulces p/p en salón</t>
  </si>
  <si>
    <t>Descorche por botella</t>
  </si>
  <si>
    <t>Incluye Barman, hielo, cooler, copas y vasos, montaje de bar y derecho a traer bebidas y/o tragos.</t>
  </si>
  <si>
    <t>Bebidas, gaseosas y cervezas</t>
  </si>
  <si>
    <t>Incluye  persona a cargo de la amplificación por 8 horas y equipos de amplificación</t>
  </si>
  <si>
    <t xml:space="preserve">Capacidad total con hoteles nuevos </t>
  </si>
  <si>
    <t>Hoteles</t>
  </si>
  <si>
    <t>Disponible a diciembre 2014</t>
  </si>
  <si>
    <t>Disponible a enero 2015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</si>
  <si>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</si>
  <si>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</si>
  <si>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</si>
  <si>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</si>
  <si>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</si>
  <si>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</si>
  <si>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</si>
  <si>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</si>
  <si>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</si>
  <si>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</si>
  <si>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</si>
  <si>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</si>
  <si>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</si>
  <si>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</si>
  <si>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</si>
  <si>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</si>
  <si>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</si>
  <si>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</si>
  <si>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</si>
  <si>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</si>
  <si>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</si>
  <si>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</si>
  <si>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</si>
  <si>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</si>
  <si>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</si>
  <si>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</si>
  <si>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</si>
  <si>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</si>
  <si>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</si>
  <si>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</si>
  <si>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</si>
  <si>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</si>
  <si>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</si>
  <si>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</si>
  <si>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</si>
  <si>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</si>
  <si>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</si>
  <si>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</si>
  <si>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</si>
  <si>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</si>
  <si>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</si>
  <si>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</si>
  <si>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</si>
  <si>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</si>
  <si>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</si>
  <si>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</si>
  <si>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</si>
  <si>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</si>
  <si>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</si>
  <si>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</si>
  <si>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</si>
  <si>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</si>
  <si>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</si>
  <si>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</si>
  <si>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</si>
  <si>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</si>
  <si>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</si>
  <si>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</si>
  <si>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</si>
  <si>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</si>
  <si>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</si>
  <si>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</si>
  <si>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</si>
  <si>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</si>
  <si>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</si>
  <si>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</si>
  <si>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</si>
  <si>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</si>
  <si>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</si>
  <si>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</si>
  <si>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</si>
  <si>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</si>
  <si>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</si>
  <si>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 xml:space="preserve">Programa Full </t>
  </si>
  <si>
    <t>cuadruples y triples</t>
  </si>
  <si>
    <t>Salón de forma irregular, equipado con cocina, baño privado, alejado app 500 metros a orilla de laguna</t>
  </si>
  <si>
    <t>Detalle de la actividad a realizar.</t>
  </si>
  <si>
    <t>Salón de 30 metros de diámetro en medio del jardín, cuantas con luz natural y bella vista.</t>
  </si>
  <si>
    <t>Salón Chinook, hasta 400 pax en auditorio, 8 horas</t>
  </si>
  <si>
    <t>Salón Fario hasta 60 pax en auditorio, 8 horas</t>
  </si>
  <si>
    <t>Salón Fontinalis hasta 25 pax en auditorio, 8 horas</t>
  </si>
  <si>
    <t>(Se agradece llenar todos los datos)</t>
  </si>
  <si>
    <t>Forma de pago.</t>
  </si>
  <si>
    <t>Plazo de pago de factura:</t>
  </si>
  <si>
    <t>Nombre responsable de pago:</t>
  </si>
  <si>
    <t>Telefono responsable del pago:</t>
  </si>
  <si>
    <t>Datos de San Francisco Lodge para Ordenes de compra y pagos.</t>
  </si>
  <si>
    <t>Razón social</t>
  </si>
  <si>
    <t>Aventuras Andinas limitada</t>
  </si>
  <si>
    <t>Rut</t>
  </si>
  <si>
    <t>76.666.800-3</t>
  </si>
  <si>
    <t xml:space="preserve">Dirección </t>
  </si>
  <si>
    <t>Camino a la canabina s/n, San Esteban, Los Andes</t>
  </si>
  <si>
    <t>Giro</t>
  </si>
  <si>
    <t>Turismo</t>
  </si>
  <si>
    <t>Datos de Cuenta Corriente para abonos y pagos</t>
  </si>
  <si>
    <t>Banco</t>
  </si>
  <si>
    <t>Santander</t>
  </si>
  <si>
    <t>Cuenta nº</t>
  </si>
  <si>
    <t>620024-9</t>
  </si>
  <si>
    <t>Correo de contacto</t>
  </si>
  <si>
    <t>cobranzas@sflodge.cl</t>
  </si>
  <si>
    <t>Persona a cargo de recepción</t>
  </si>
  <si>
    <t>Teléfono</t>
  </si>
  <si>
    <t xml:space="preserve">                                                    Nombre:    </t>
  </si>
  <si>
    <t xml:space="preserve">                                                    Correo        </t>
  </si>
  <si>
    <t xml:space="preserve">                                                    Fecha: </t>
  </si>
  <si>
    <t>Pasajeros:</t>
  </si>
  <si>
    <t xml:space="preserve">                                                    Atiende:      </t>
  </si>
  <si>
    <t>Uds.</t>
  </si>
  <si>
    <t>Confirmar asistentes con 72 horas, luego se paga por lo reservado, anulación del evento con menos de 20 días, implica perdida del abono.</t>
  </si>
  <si>
    <t>Recargo de 5% por pago a  60 días, 10% por pago a  90, 15% por pago a  120.</t>
  </si>
  <si>
    <t>(Se agradece llegar todos los datos)</t>
  </si>
  <si>
    <t xml:space="preserve"> 1 aperitivo, 1 bebidas, 1 cerveza, 2 empanaditas, 2 bruzquetas,  frutos secos o quesos.</t>
  </si>
  <si>
    <t>Bar abierto 2 horas</t>
  </si>
  <si>
    <t>Bebidas, cervezas, en vaso, un solo punto a definir entre, piscina, bar, quincho o salón.</t>
  </si>
  <si>
    <t xml:space="preserve">Ticket para trago </t>
  </si>
  <si>
    <t>Pisco Sour, espumante, copa de vino, roncola, piscola</t>
  </si>
  <si>
    <t>Total paquete.</t>
  </si>
  <si>
    <t>Bar abierto 4 horas</t>
  </si>
  <si>
    <t>Bar abierto full, 6 horas</t>
  </si>
  <si>
    <t>Jugo, agua, yogurt, fruta, 1 barra de cereal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</si>
  <si>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</si>
  <si>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</si>
  <si>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</si>
  <si>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</si>
  <si>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</si>
  <si>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</si>
  <si>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Empresa: XXXX</t>
  </si>
  <si>
    <t>Nº Personas: YYYY</t>
  </si>
  <si>
    <t>Inicio</t>
  </si>
  <si>
    <t xml:space="preserve">Fin </t>
  </si>
  <si>
    <r>
      <t xml:space="preserve">Día del mes </t>
    </r>
    <r>
      <rPr>
        <b/>
        <i/>
        <sz val="12"/>
        <color rgb="FF000000"/>
        <rFont val="Calibri"/>
        <family val="2"/>
        <scheme val="minor"/>
      </rPr>
      <t xml:space="preserve">(Ej. martes 14 de Abril)   </t>
    </r>
  </si>
  <si>
    <t>Responsable</t>
  </si>
  <si>
    <t>Nº Personas</t>
  </si>
  <si>
    <t>Lugar/Salón</t>
  </si>
  <si>
    <t xml:space="preserve">Comentarios </t>
  </si>
  <si>
    <t>Check in</t>
  </si>
  <si>
    <t>Lodge</t>
  </si>
  <si>
    <t>xxxx</t>
  </si>
  <si>
    <t>Desayuno</t>
  </si>
  <si>
    <t>xxx</t>
  </si>
  <si>
    <t>Comedor</t>
  </si>
  <si>
    <t>Coffe(indicar si es básico, intermedio o full)</t>
  </si>
  <si>
    <t>Fario</t>
  </si>
  <si>
    <t>indicar lo que incluye el coffe</t>
  </si>
  <si>
    <t>OJO: CUALQUIER TIPO DE COMIDAS VA EN COLOR SALMÓN</t>
  </si>
  <si>
    <t>Almuerzo</t>
  </si>
  <si>
    <t>Reunión</t>
  </si>
  <si>
    <t>Empresa o lodge</t>
  </si>
  <si>
    <t>exteriores</t>
  </si>
  <si>
    <t>detar tipo de team buildin</t>
  </si>
  <si>
    <t>CENA</t>
  </si>
  <si>
    <t>Detalles cena</t>
  </si>
  <si>
    <t>Fiesta</t>
  </si>
  <si>
    <t>Quincho</t>
  </si>
  <si>
    <t xml:space="preserve">DJ, luces, karaoke, bar abierto </t>
  </si>
  <si>
    <r>
      <t>Día del mes</t>
    </r>
    <r>
      <rPr>
        <b/>
        <i/>
        <sz val="12"/>
        <color rgb="FF000000"/>
        <rFont val="Calibri"/>
        <family val="2"/>
        <scheme val="minor"/>
      </rPr>
      <t xml:space="preserve"> (Ej.miércoles 15 de Abril)  </t>
    </r>
    <r>
      <rPr>
        <b/>
        <sz val="12"/>
        <color rgb="FF000000"/>
        <rFont val="Calibri"/>
        <family val="2"/>
        <scheme val="minor"/>
      </rPr>
      <t xml:space="preserve"> </t>
    </r>
  </si>
  <si>
    <t>Check out habitaciones</t>
  </si>
  <si>
    <t>Empresa</t>
  </si>
  <si>
    <t>Aperitivo</t>
  </si>
  <si>
    <t>Actividades libres</t>
  </si>
  <si>
    <t>OBSERVACIONES</t>
  </si>
  <si>
    <t>Este itinerario ha sido presentado por</t>
  </si>
  <si>
    <t>Este itinerario ha sido aprobado por</t>
  </si>
  <si>
    <t>Nombre Vendedor:</t>
  </si>
  <si>
    <t>Rut:</t>
  </si>
  <si>
    <t>Cargo en la empresa o productora:</t>
  </si>
  <si>
    <t>Fecha de aprobación</t>
  </si>
  <si>
    <t>dd/mm/aa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</si>
  <si>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</si>
  <si>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</si>
  <si>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</si>
  <si>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Aventuras Andinas Limitada</t>
  </si>
  <si>
    <t>Camino a La canabina s/n, San Esteban, Los Andes</t>
  </si>
  <si>
    <t>Datos de San Francisco Lodge para Ordenes de Compra y pagos.</t>
  </si>
  <si>
    <t>Salón  Chinook, para fiesta, 4 horas</t>
  </si>
  <si>
    <t>Salón de 25 por 25 metros app, equipado con data, telón papelógrafo, aire acondicionado y calefacción</t>
  </si>
  <si>
    <t>Salón de 14 por 9 metros app, equipado con data, telón papelógrafo, aire acondicionado y calefacción</t>
  </si>
  <si>
    <t>Salón de 7 por 8 metros app, equipado con data, telón papelógrafo, aire acondicionado y calefacción</t>
  </si>
  <si>
    <t>Salón de 6 por 6 metros app, equipado con data, telón papelógrafo, aire acondicionado y calefacción</t>
  </si>
  <si>
    <t>Salón de 25 por 25 metros app, equipado con data, telón papelógrafo, para ser usado en fiestas o celebraciones</t>
  </si>
  <si>
    <t>Hora adicional de uso de salones, esto incluye personal</t>
  </si>
  <si>
    <t>Parrilla pollo, vacuno, cerdo, chorizo, prietas, acompañamientos, salad bar,  postres, líquidos en autoservicio</t>
  </si>
  <si>
    <t>Variados platos de carnes y acompañamientos, salad bar,  postres, líquidos en autoservicio</t>
  </si>
  <si>
    <t>Café, té, leche, yogurt, jamón, queso, huevos, palta, mermeladas, mantequilla, panes, minipastelitos, cereales</t>
  </si>
  <si>
    <t>Café, té, agua, jugo, 1 muffins  y 1 tapadito.</t>
  </si>
  <si>
    <t>Coffee Básico</t>
  </si>
  <si>
    <t>Coffee Light</t>
  </si>
  <si>
    <t>Coffee Intermedio</t>
  </si>
  <si>
    <t>Café, té, agua, jugo, 2 muffins, 2 facturitas y 1  tapadito.</t>
  </si>
  <si>
    <t>Café, té, agua, jugo, leche, 2 muffins, 2 facturitas, 2 tapaditos, 1 brocheta de fruta.</t>
  </si>
  <si>
    <t>Coffee Full</t>
  </si>
  <si>
    <t>Cocktail tipo.</t>
  </si>
  <si>
    <t>1 agua mineral por persona, café, té, infusiones,  5 dulces por persona en pocillo.</t>
  </si>
  <si>
    <t>Bebidas, cervezas, espumante, vino, pisco Mistral, ron Pampero.</t>
  </si>
  <si>
    <t>gaseosas, minerales, jugos de botella, cervezas Cristal o Escudo.</t>
  </si>
  <si>
    <t>Días</t>
  </si>
  <si>
    <t>Pérgola, capacidad hasta 25 pasajeros</t>
  </si>
  <si>
    <t>Cocktail tipo</t>
  </si>
  <si>
    <t>Salón Chinook, para fiesta, 4 horas</t>
  </si>
  <si>
    <t>Hora adicional de uso de Salones, esto incluye personal</t>
  </si>
  <si>
    <t>Salón de 25 por 25 metros app, equipado con data, telón papelógrafo, para ser usado en fiestas o celebraciones privadas</t>
  </si>
  <si>
    <t>gaseosas, minerales, jugos de botella, cervezas Cristal o Escudo</t>
  </si>
  <si>
    <t>Café, té, agua, jugo, leche, 4 facturitas y 2 tapaditos,  fruta.</t>
  </si>
  <si>
    <t>Incluye por persona, 1 aperitivo 1 bebidas + cerveza+ 2 empanadas + 2 bruzquetas+ guarnición de frutos secos o quesos.</t>
  </si>
  <si>
    <t>Café, té, agua, jugo, 4 facturitas y 2 tapaditos.</t>
  </si>
  <si>
    <t>Café, té, agua 2 facturitas y 1 tapadito.</t>
  </si>
  <si>
    <t>Parrilla pollo, vacuno, cerdo, chorizo, prietas, 8 variedades de ensaladas, dressinf, entradas, buffet de postres</t>
  </si>
  <si>
    <t>Niños entre 3 y 12 años tienen un descuento de 25% a los valores señalado.</t>
  </si>
  <si>
    <t>Piscinas, canopy, kayak, cabalgatas + desayuno buffet + almuerzo buffet +bebida + vino +once+ autoservicio de Jugos.</t>
  </si>
  <si>
    <t>Piscinas, canopy, kayak, cabalgatas + snack de bienvenida + almuerzo buffet +bebida +  once+ autoservicio de Jugos.</t>
  </si>
  <si>
    <t>1 noche de alojamiento, 1 desayuno.</t>
  </si>
  <si>
    <t>Formalización del Evento: Con orden de compra y abono del 50%, saldo hasta 30 días sin recargo, depositado en cuenta corriente de Aventuras Andinas.</t>
  </si>
  <si>
    <t>María Correa</t>
  </si>
  <si>
    <t>Consome con tapaditos</t>
  </si>
  <si>
    <t>Tabla para 4 personas</t>
  </si>
  <si>
    <t>Taza de consome de pollo de 250 cc con sandwich de pan amasado con pollo palta o pollo pimiento.</t>
  </si>
  <si>
    <t>8 empanaditas de queso, 8 de pino, 150 grs. de frutos secos, 150 grs. de queso, galletas de coctail y pasta para untar.</t>
  </si>
  <si>
    <t>Salón arcoiris-bar,  hasta 200 pax en auditorio, 8 horas</t>
  </si>
  <si>
    <t>Hora adicional de bar abierto</t>
  </si>
  <si>
    <t xml:space="preserve">Hora adicional de DJ o KAraoke en la noche </t>
  </si>
  <si>
    <t>Carmen Rodríguez D.</t>
  </si>
  <si>
    <t xml:space="preserve">Cena  Buffet </t>
  </si>
  <si>
    <t>Incluido</t>
  </si>
  <si>
    <t>Uds</t>
  </si>
  <si>
    <t>Habitación doble hotel valor por Persona</t>
  </si>
  <si>
    <t xml:space="preserve"> Cabalgatas, canopy, kayak, con guias Piscina temperada y exterior en horarios libres.</t>
  </si>
  <si>
    <t>Salón para 4 horas para cena, y actividades nocturnas.</t>
  </si>
  <si>
    <t>Almuerzos  Parrilla</t>
  </si>
  <si>
    <t>Salón exclusivo para cena de gala en la noche</t>
  </si>
  <si>
    <t>Uso de actividades libres y piscina</t>
  </si>
  <si>
    <t>Fogata en la tarde noche</t>
  </si>
  <si>
    <t>Servicios adicionales no Incluidos.</t>
  </si>
  <si>
    <t>Correo:</t>
  </si>
  <si>
    <t>Snack de hidratación, valor por persona</t>
  </si>
  <si>
    <t>Fruta, barrita de cereales, 1agua mineral por persona.</t>
  </si>
  <si>
    <t xml:space="preserve">                                                       Cotización de Servicios </t>
  </si>
  <si>
    <t xml:space="preserve">                                                           Nombre: </t>
  </si>
  <si>
    <t xml:space="preserve"> Incluir Mashmellous.</t>
  </si>
  <si>
    <t xml:space="preserve">Quincho para actividades  </t>
  </si>
  <si>
    <t xml:space="preserve">Amplificación, microfono, data </t>
  </si>
  <si>
    <t>Incluye montaje de equipos por persona a cargo de la amplificación y equipos de amplificación, agregar si se necesita.</t>
  </si>
  <si>
    <t>Cena Gourmet, incluye maridaje</t>
  </si>
  <si>
    <t>Tengo que enviar opciones de (entrada, fondo y postre)</t>
  </si>
  <si>
    <t>Samsung</t>
  </si>
  <si>
    <t>e.inostroza@samsung.com</t>
  </si>
  <si>
    <t>Día  1</t>
  </si>
  <si>
    <t xml:space="preserve">Día  2 </t>
  </si>
  <si>
    <t xml:space="preserve">Total </t>
  </si>
  <si>
    <t>9 74961403</t>
  </si>
  <si>
    <t xml:space="preserve"> Elias Inostroza</t>
  </si>
  <si>
    <t xml:space="preserve">Fecha           </t>
  </si>
  <si>
    <t xml:space="preserve">Atiende       </t>
  </si>
  <si>
    <t xml:space="preserve">Fono             </t>
  </si>
  <si>
    <t xml:space="preserve"> (56-9) 7388 4828</t>
  </si>
  <si>
    <t>Total Programa con IVA</t>
  </si>
  <si>
    <t>Día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</si>
</sst>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&quot;$&quot;\-#,##0"/>
    <numFmt numFmtId="164" formatCode="&quot;$&quot;#,##0"/>
  </numFmts>
  <fonts count="2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3"/>
      <color rgb="FF7F7F7F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b/>
      <sz val="13"/>
      <color rgb="FF7F7F7F"/>
      <name val="Calibri"/>
      <family val="2"/>
    </font>
    <font>
      <b/>
      <i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charset val="136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B7DEE8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3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0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87">
    <xf numFmtId="0" fontId="0" fillId="0" borderId="0" xfId="0"/>
    <xf numFmtId="0" fontId="0" fillId="4" borderId="1" xfId="0" applyFont="1" applyFill="1" applyBorder="1" applyAlignment="1">
      <alignment horizontal="right"/>
    </xf>
    <xf numFmtId="6" fontId="0" fillId="4" borderId="1" xfId="0" applyNumberFormat="1" applyFont="1" applyFill="1" applyBorder="1" applyAlignment="1">
      <alignment horizontal="right"/>
    </xf>
    <xf numFmtId="6" fontId="0" fillId="4" borderId="1" xfId="0" applyNumberFormat="1" applyFont="1" applyFill="1" applyBorder="1" applyAlignment="1">
      <alignment horizontal="right" vertical="center"/>
    </xf>
    <xf numFmtId="6" fontId="0" fillId="0" borderId="8" xfId="0" applyNumberFormat="1" applyFont="1" applyBorder="1" applyAlignment="1">
      <alignment horizontal="right"/>
    </xf>
    <xf numFmtId="0" fontId="1" fillId="3" borderId="9" xfId="0" applyFont="1" applyFill="1" applyBorder="1"/>
    <xf numFmtId="0" fontId="0" fillId="4" borderId="11" xfId="0" applyFont="1" applyFill="1" applyBorder="1" applyAlignment="1">
      <alignment horizontal="left" vertical="center"/>
    </xf>
    <xf numFmtId="0" fontId="0" fillId="0" borderId="17" xfId="0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6" fontId="0" fillId="0" borderId="0" xfId="0" applyNumberFormat="1" applyFont="1" applyBorder="1" applyAlignment="1">
      <alignment horizontal="right"/>
    </xf>
    <xf numFmtId="0" fontId="0" fillId="4" borderId="14" xfId="0" applyFont="1" applyFill="1" applyBorder="1" applyAlignment="1">
      <alignment horizontal="right"/>
    </xf>
    <xf numFmtId="6" fontId="0" fillId="4" borderId="14" xfId="0" applyNumberFormat="1" applyFont="1" applyFill="1" applyBorder="1" applyAlignment="1">
      <alignment horizontal="right"/>
    </xf>
    <xf numFmtId="0" fontId="0" fillId="4" borderId="1" xfId="0" applyFill="1" applyBorder="1"/>
    <xf numFmtId="6" fontId="0" fillId="4" borderId="1" xfId="0" applyNumberFormat="1" applyFill="1" applyBorder="1"/>
    <xf numFmtId="0" fontId="6" fillId="0" borderId="16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6" fontId="6" fillId="0" borderId="18" xfId="0" applyNumberFormat="1" applyFont="1" applyBorder="1" applyAlignment="1">
      <alignment horizontal="right"/>
    </xf>
    <xf numFmtId="0" fontId="6" fillId="0" borderId="17" xfId="0" applyFont="1" applyBorder="1" applyAlignment="1">
      <alignment horizontal="right"/>
    </xf>
    <xf numFmtId="0" fontId="6" fillId="5" borderId="1" xfId="0" applyFont="1" applyFill="1" applyBorder="1" applyAlignment="1">
      <alignment horizontal="right"/>
    </xf>
    <xf numFmtId="6" fontId="6" fillId="5" borderId="1" xfId="0" applyNumberFormat="1" applyFont="1" applyFill="1" applyBorder="1" applyAlignment="1">
      <alignment horizontal="right"/>
    </xf>
    <xf numFmtId="0" fontId="6" fillId="5" borderId="13" xfId="0" applyFont="1" applyFill="1" applyBorder="1" applyAlignment="1">
      <alignment horizontal="left"/>
    </xf>
    <xf numFmtId="0" fontId="6" fillId="5" borderId="14" xfId="0" applyFont="1" applyFill="1" applyBorder="1" applyAlignment="1">
      <alignment horizontal="right"/>
    </xf>
    <xf numFmtId="6" fontId="6" fillId="5" borderId="14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right"/>
    </xf>
    <xf numFmtId="6" fontId="6" fillId="6" borderId="1" xfId="0" applyNumberFormat="1" applyFont="1" applyFill="1" applyBorder="1" applyAlignment="1">
      <alignment horizontal="right"/>
    </xf>
    <xf numFmtId="0" fontId="0" fillId="4" borderId="11" xfId="0" applyFont="1" applyFill="1" applyBorder="1" applyAlignment="1">
      <alignment horizontal="left"/>
    </xf>
    <xf numFmtId="0" fontId="0" fillId="4" borderId="13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left"/>
    </xf>
    <xf numFmtId="0" fontId="0" fillId="4" borderId="11" xfId="0" applyFill="1" applyBorder="1"/>
    <xf numFmtId="0" fontId="0" fillId="4" borderId="13" xfId="0" applyFill="1" applyBorder="1"/>
    <xf numFmtId="0" fontId="0" fillId="4" borderId="14" xfId="0" applyFill="1" applyBorder="1"/>
    <xf numFmtId="6" fontId="6" fillId="6" borderId="14" xfId="0" applyNumberFormat="1" applyFont="1" applyFill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8" xfId="0" applyNumberFormat="1" applyFont="1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 applyAlignment="1">
      <alignment horizontal="right"/>
    </xf>
    <xf numFmtId="6" fontId="0" fillId="0" borderId="6" xfId="0" applyNumberFormat="1" applyBorder="1" applyAlignment="1">
      <alignment horizontal="right"/>
    </xf>
    <xf numFmtId="0" fontId="0" fillId="0" borderId="19" xfId="0" applyFont="1" applyFill="1" applyBorder="1" applyAlignment="1">
      <alignment horizontal="right" vertical="center"/>
    </xf>
    <xf numFmtId="0" fontId="0" fillId="4" borderId="12" xfId="0" applyFill="1" applyBorder="1"/>
    <xf numFmtId="0" fontId="0" fillId="4" borderId="15" xfId="0" applyFill="1" applyBorder="1"/>
    <xf numFmtId="0" fontId="2" fillId="7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left"/>
    </xf>
    <xf numFmtId="0" fontId="8" fillId="0" borderId="0" xfId="0" applyFont="1" applyAlignment="1">
      <alignment vertical="center"/>
    </xf>
    <xf numFmtId="6" fontId="0" fillId="4" borderId="3" xfId="0" applyNumberFormat="1" applyFill="1" applyBorder="1"/>
    <xf numFmtId="6" fontId="6" fillId="5" borderId="3" xfId="0" applyNumberFormat="1" applyFont="1" applyFill="1" applyBorder="1" applyAlignment="1">
      <alignment horizontal="right"/>
    </xf>
    <xf numFmtId="6" fontId="6" fillId="5" borderId="23" xfId="0" applyNumberFormat="1" applyFont="1" applyFill="1" applyBorder="1" applyAlignment="1">
      <alignment horizontal="right"/>
    </xf>
    <xf numFmtId="0" fontId="2" fillId="7" borderId="9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right"/>
    </xf>
    <xf numFmtId="6" fontId="9" fillId="4" borderId="1" xfId="0" applyNumberFormat="1" applyFont="1" applyFill="1" applyBorder="1" applyAlignment="1">
      <alignment horizontal="right" vertical="center"/>
    </xf>
    <xf numFmtId="0" fontId="2" fillId="8" borderId="5" xfId="0" applyFont="1" applyFill="1" applyBorder="1" applyAlignment="1">
      <alignment horizontal="center"/>
    </xf>
    <xf numFmtId="0" fontId="2" fillId="8" borderId="26" xfId="0" applyFont="1" applyFill="1" applyBorder="1"/>
    <xf numFmtId="0" fontId="2" fillId="2" borderId="6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right"/>
    </xf>
    <xf numFmtId="6" fontId="6" fillId="5" borderId="2" xfId="0" applyNumberFormat="1" applyFont="1" applyFill="1" applyBorder="1" applyAlignment="1">
      <alignment horizontal="right" vertical="center"/>
    </xf>
    <xf numFmtId="0" fontId="6" fillId="5" borderId="28" xfId="0" applyFont="1" applyFill="1" applyBorder="1"/>
    <xf numFmtId="6" fontId="6" fillId="5" borderId="2" xfId="0" applyNumberFormat="1" applyFont="1" applyFill="1" applyBorder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6" fontId="6" fillId="0" borderId="0" xfId="0" applyNumberFormat="1" applyFont="1" applyAlignment="1">
      <alignment horizontal="right"/>
    </xf>
    <xf numFmtId="6" fontId="9" fillId="4" borderId="1" xfId="0" applyNumberFormat="1" applyFont="1" applyFill="1" applyBorder="1"/>
    <xf numFmtId="0" fontId="2" fillId="8" borderId="6" xfId="0" applyFont="1" applyFill="1" applyBorder="1" applyAlignment="1">
      <alignment horizontal="center"/>
    </xf>
    <xf numFmtId="0" fontId="6" fillId="5" borderId="27" xfId="0" applyFont="1" applyFill="1" applyBorder="1"/>
    <xf numFmtId="0" fontId="6" fillId="5" borderId="27" xfId="0" applyFont="1" applyFill="1" applyBorder="1" applyAlignment="1">
      <alignment vertical="center"/>
    </xf>
    <xf numFmtId="0" fontId="6" fillId="5" borderId="28" xfId="0" applyFont="1" applyFill="1" applyBorder="1" applyAlignment="1">
      <alignment vertical="center"/>
    </xf>
    <xf numFmtId="0" fontId="6" fillId="5" borderId="7" xfId="0" applyFont="1" applyFill="1" applyBorder="1" applyAlignment="1">
      <alignment horizontal="left" vertical="center"/>
    </xf>
    <xf numFmtId="0" fontId="6" fillId="5" borderId="30" xfId="0" applyFont="1" applyFill="1" applyBorder="1" applyAlignment="1">
      <alignment horizontal="right"/>
    </xf>
    <xf numFmtId="6" fontId="6" fillId="5" borderId="30" xfId="0" applyNumberFormat="1" applyFont="1" applyFill="1" applyBorder="1" applyAlignment="1">
      <alignment horizontal="right"/>
    </xf>
    <xf numFmtId="0" fontId="6" fillId="5" borderId="29" xfId="0" applyFont="1" applyFill="1" applyBorder="1"/>
    <xf numFmtId="0" fontId="10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17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9" borderId="1" xfId="0" applyFill="1" applyBorder="1" applyAlignment="1">
      <alignment textRotation="45" wrapText="1"/>
    </xf>
    <xf numFmtId="0" fontId="0" fillId="9" borderId="1" xfId="0" applyFill="1" applyBorder="1" applyAlignment="1">
      <alignment textRotation="45"/>
    </xf>
    <xf numFmtId="0" fontId="0" fillId="9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3" borderId="1" xfId="0" applyFill="1" applyBorder="1"/>
    <xf numFmtId="0" fontId="0" fillId="3" borderId="1" xfId="0" quotePrefix="1" applyFill="1" applyBorder="1"/>
    <xf numFmtId="0" fontId="0" fillId="0" borderId="31" xfId="0" applyFont="1" applyFill="1" applyBorder="1" applyAlignment="1">
      <alignment horizontal="right" vertical="center"/>
    </xf>
    <xf numFmtId="0" fontId="0" fillId="0" borderId="32" xfId="0" applyBorder="1"/>
    <xf numFmtId="0" fontId="0" fillId="0" borderId="33" xfId="0" applyBorder="1"/>
    <xf numFmtId="6" fontId="0" fillId="0" borderId="34" xfId="0" applyNumberFormat="1" applyBorder="1"/>
    <xf numFmtId="0" fontId="1" fillId="3" borderId="35" xfId="0" applyFont="1" applyFill="1" applyBorder="1" applyAlignment="1">
      <alignment horizontal="left" vertical="center"/>
    </xf>
    <xf numFmtId="0" fontId="1" fillId="3" borderId="36" xfId="0" applyFont="1" applyFill="1" applyBorder="1"/>
    <xf numFmtId="0" fontId="1" fillId="3" borderId="37" xfId="0" applyFont="1" applyFill="1" applyBorder="1"/>
    <xf numFmtId="6" fontId="1" fillId="3" borderId="38" xfId="0" applyNumberFormat="1" applyFont="1" applyFill="1" applyBorder="1"/>
    <xf numFmtId="0" fontId="11" fillId="10" borderId="39" xfId="0" applyFont="1" applyFill="1" applyBorder="1" applyAlignment="1">
      <alignment vertical="center"/>
    </xf>
    <xf numFmtId="0" fontId="12" fillId="10" borderId="27" xfId="0" applyFont="1" applyFill="1" applyBorder="1" applyAlignment="1">
      <alignment vertical="center"/>
    </xf>
    <xf numFmtId="0" fontId="6" fillId="10" borderId="18" xfId="0" applyFont="1" applyFill="1" applyBorder="1"/>
    <xf numFmtId="0" fontId="6" fillId="10" borderId="28" xfId="0" applyFont="1" applyFill="1" applyBorder="1"/>
    <xf numFmtId="0" fontId="12" fillId="10" borderId="41" xfId="0" applyFont="1" applyFill="1" applyBorder="1" applyAlignment="1">
      <alignment vertical="center"/>
    </xf>
    <xf numFmtId="0" fontId="6" fillId="10" borderId="0" xfId="0" applyFont="1" applyFill="1"/>
    <xf numFmtId="0" fontId="6" fillId="10" borderId="42" xfId="0" applyFont="1" applyFill="1" applyBorder="1"/>
    <xf numFmtId="0" fontId="12" fillId="10" borderId="31" xfId="0" applyFont="1" applyFill="1" applyBorder="1" applyAlignment="1">
      <alignment vertical="center"/>
    </xf>
    <xf numFmtId="0" fontId="6" fillId="10" borderId="33" xfId="0" applyFont="1" applyFill="1" applyBorder="1"/>
    <xf numFmtId="0" fontId="6" fillId="10" borderId="34" xfId="0" applyFont="1" applyFill="1" applyBorder="1"/>
    <xf numFmtId="0" fontId="12" fillId="10" borderId="13" xfId="0" applyFont="1" applyFill="1" applyBorder="1" applyAlignment="1">
      <alignment vertical="center"/>
    </xf>
    <xf numFmtId="0" fontId="6" fillId="10" borderId="24" xfId="0" applyFont="1" applyFill="1" applyBorder="1"/>
    <xf numFmtId="0" fontId="6" fillId="10" borderId="25" xfId="0" applyFont="1" applyFill="1" applyBorder="1"/>
    <xf numFmtId="0" fontId="11" fillId="11" borderId="0" xfId="0" applyFont="1" applyFill="1" applyAlignment="1">
      <alignment vertical="center"/>
    </xf>
    <xf numFmtId="0" fontId="6" fillId="11" borderId="0" xfId="0" applyFont="1" applyFill="1"/>
    <xf numFmtId="0" fontId="11" fillId="10" borderId="5" xfId="0" applyFont="1" applyFill="1" applyBorder="1" applyAlignment="1">
      <alignment vertical="center"/>
    </xf>
    <xf numFmtId="0" fontId="6" fillId="10" borderId="21" xfId="0" applyFont="1" applyFill="1" applyBorder="1"/>
    <xf numFmtId="0" fontId="6" fillId="10" borderId="6" xfId="0" applyFont="1" applyFill="1" applyBorder="1"/>
    <xf numFmtId="0" fontId="6" fillId="10" borderId="3" xfId="0" applyFont="1" applyFill="1" applyBorder="1"/>
    <xf numFmtId="0" fontId="6" fillId="10" borderId="4" xfId="0" applyFont="1" applyFill="1" applyBorder="1"/>
    <xf numFmtId="0" fontId="6" fillId="10" borderId="22" xfId="0" applyFont="1" applyFill="1" applyBorder="1"/>
    <xf numFmtId="0" fontId="12" fillId="10" borderId="7" xfId="0" applyFont="1" applyFill="1" applyBorder="1" applyAlignment="1">
      <alignment vertical="center"/>
    </xf>
    <xf numFmtId="0" fontId="12" fillId="11" borderId="0" xfId="0" applyFont="1" applyFill="1" applyAlignment="1">
      <alignment vertical="center"/>
    </xf>
    <xf numFmtId="0" fontId="11" fillId="10" borderId="43" xfId="0" applyFont="1" applyFill="1" applyBorder="1" applyAlignment="1">
      <alignment vertical="center"/>
    </xf>
    <xf numFmtId="0" fontId="6" fillId="10" borderId="44" xfId="0" applyFont="1" applyFill="1" applyBorder="1"/>
    <xf numFmtId="0" fontId="6" fillId="10" borderId="45" xfId="0" applyFont="1" applyFill="1" applyBorder="1"/>
    <xf numFmtId="0" fontId="12" fillId="10" borderId="11" xfId="0" applyFont="1" applyFill="1" applyBorder="1" applyAlignment="1">
      <alignment vertical="center"/>
    </xf>
    <xf numFmtId="0" fontId="13" fillId="0" borderId="0" xfId="0" applyFont="1" applyAlignment="1">
      <alignment horizontal="right"/>
    </xf>
    <xf numFmtId="0" fontId="1" fillId="3" borderId="9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justify" vertical="center"/>
    </xf>
    <xf numFmtId="0" fontId="6" fillId="5" borderId="7" xfId="0" applyFont="1" applyFill="1" applyBorder="1" applyAlignment="1">
      <alignment horizontal="justify" vertical="center"/>
    </xf>
    <xf numFmtId="6" fontId="6" fillId="5" borderId="30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4" fillId="12" borderId="39" xfId="0" applyFont="1" applyFill="1" applyBorder="1" applyAlignment="1">
      <alignment vertical="center"/>
    </xf>
    <xf numFmtId="0" fontId="15" fillId="12" borderId="27" xfId="0" applyFont="1" applyFill="1" applyBorder="1" applyAlignment="1">
      <alignment vertical="center"/>
    </xf>
    <xf numFmtId="0" fontId="0" fillId="12" borderId="16" xfId="0" applyFill="1" applyBorder="1"/>
    <xf numFmtId="0" fontId="0" fillId="12" borderId="18" xfId="0" applyFill="1" applyBorder="1"/>
    <xf numFmtId="0" fontId="0" fillId="12" borderId="28" xfId="0" applyFill="1" applyBorder="1"/>
    <xf numFmtId="0" fontId="15" fillId="12" borderId="11" xfId="0" applyFont="1" applyFill="1" applyBorder="1" applyAlignment="1">
      <alignment vertical="center"/>
    </xf>
    <xf numFmtId="0" fontId="0" fillId="12" borderId="3" xfId="0" applyFill="1" applyBorder="1"/>
    <xf numFmtId="0" fontId="0" fillId="12" borderId="4" xfId="0" applyFill="1" applyBorder="1"/>
    <xf numFmtId="0" fontId="0" fillId="12" borderId="22" xfId="0" applyFill="1" applyBorder="1"/>
    <xf numFmtId="0" fontId="15" fillId="12" borderId="31" xfId="0" applyFont="1" applyFill="1" applyBorder="1" applyAlignment="1">
      <alignment vertical="center"/>
    </xf>
    <xf numFmtId="0" fontId="0" fillId="12" borderId="32" xfId="0" applyFill="1" applyBorder="1"/>
    <xf numFmtId="0" fontId="0" fillId="12" borderId="33" xfId="0" applyFill="1" applyBorder="1"/>
    <xf numFmtId="0" fontId="0" fillId="12" borderId="34" xfId="0" applyFill="1" applyBorder="1"/>
    <xf numFmtId="0" fontId="15" fillId="12" borderId="13" xfId="0" applyFont="1" applyFill="1" applyBorder="1" applyAlignment="1">
      <alignment vertical="center"/>
    </xf>
    <xf numFmtId="0" fontId="0" fillId="12" borderId="23" xfId="0" applyFill="1" applyBorder="1"/>
    <xf numFmtId="0" fontId="0" fillId="12" borderId="24" xfId="0" applyFill="1" applyBorder="1"/>
    <xf numFmtId="0" fontId="0" fillId="12" borderId="25" xfId="0" applyFill="1" applyBorder="1"/>
    <xf numFmtId="0" fontId="14" fillId="9" borderId="0" xfId="0" applyFont="1" applyFill="1" applyAlignment="1">
      <alignment vertical="center"/>
    </xf>
    <xf numFmtId="0" fontId="0" fillId="9" borderId="0" xfId="0" applyFill="1"/>
    <xf numFmtId="0" fontId="14" fillId="12" borderId="5" xfId="0" applyFont="1" applyFill="1" applyBorder="1" applyAlignment="1">
      <alignment vertical="center"/>
    </xf>
    <xf numFmtId="0" fontId="0" fillId="12" borderId="21" xfId="0" applyFill="1" applyBorder="1"/>
    <xf numFmtId="0" fontId="0" fillId="12" borderId="6" xfId="0" applyFill="1" applyBorder="1"/>
    <xf numFmtId="0" fontId="0" fillId="12" borderId="0" xfId="0" applyFill="1" applyBorder="1"/>
    <xf numFmtId="0" fontId="0" fillId="12" borderId="42" xfId="0" applyFill="1" applyBorder="1"/>
    <xf numFmtId="0" fontId="15" fillId="9" borderId="0" xfId="0" applyFont="1" applyFill="1" applyBorder="1" applyAlignment="1">
      <alignment vertical="center"/>
    </xf>
    <xf numFmtId="0" fontId="14" fillId="12" borderId="43" xfId="0" applyFont="1" applyFill="1" applyBorder="1" applyAlignment="1">
      <alignment vertical="center"/>
    </xf>
    <xf numFmtId="0" fontId="0" fillId="12" borderId="44" xfId="0" applyFill="1" applyBorder="1"/>
    <xf numFmtId="0" fontId="0" fillId="12" borderId="45" xfId="0" applyFill="1" applyBorder="1"/>
    <xf numFmtId="0" fontId="4" fillId="12" borderId="3" xfId="87" applyFill="1" applyBorder="1"/>
    <xf numFmtId="0" fontId="6" fillId="5" borderId="2" xfId="0" applyFont="1" applyFill="1" applyBorder="1" applyAlignment="1">
      <alignment horizontal="center"/>
    </xf>
    <xf numFmtId="6" fontId="0" fillId="0" borderId="0" xfId="0" applyNumberFormat="1"/>
    <xf numFmtId="0" fontId="6" fillId="5" borderId="30" xfId="0" applyFont="1" applyFill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1" xfId="0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18" xfId="0" applyFont="1" applyBorder="1" applyAlignment="1">
      <alignment horizontal="center"/>
    </xf>
    <xf numFmtId="0" fontId="6" fillId="0" borderId="18" xfId="0" applyFont="1" applyBorder="1"/>
    <xf numFmtId="6" fontId="6" fillId="0" borderId="28" xfId="0" applyNumberFormat="1" applyFont="1" applyBorder="1"/>
    <xf numFmtId="0" fontId="0" fillId="0" borderId="0" xfId="0" applyNumberFormat="1"/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5" borderId="2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5" borderId="22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11" borderId="0" xfId="0" applyFont="1" applyFill="1" applyAlignment="1">
      <alignment horizontal="center"/>
    </xf>
    <xf numFmtId="0" fontId="2" fillId="11" borderId="0" xfId="0" applyFont="1" applyFill="1" applyAlignment="1">
      <alignment vertical="center"/>
    </xf>
    <xf numFmtId="0" fontId="2" fillId="11" borderId="18" xfId="0" applyFont="1" applyFill="1" applyBorder="1" applyAlignment="1">
      <alignment vertical="center"/>
    </xf>
    <xf numFmtId="0" fontId="2" fillId="13" borderId="48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20" fontId="6" fillId="11" borderId="16" xfId="0" applyNumberFormat="1" applyFont="1" applyFill="1" applyBorder="1" applyAlignment="1">
      <alignment horizontal="center"/>
    </xf>
    <xf numFmtId="20" fontId="6" fillId="11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/>
    <xf numFmtId="0" fontId="6" fillId="11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top"/>
    </xf>
    <xf numFmtId="20" fontId="6" fillId="10" borderId="16" xfId="0" applyNumberFormat="1" applyFont="1" applyFill="1" applyBorder="1" applyAlignment="1">
      <alignment horizontal="center"/>
    </xf>
    <xf numFmtId="20" fontId="6" fillId="10" borderId="2" xfId="0" applyNumberFormat="1" applyFont="1" applyFill="1" applyBorder="1" applyAlignment="1">
      <alignment horizontal="center"/>
    </xf>
    <xf numFmtId="0" fontId="6" fillId="10" borderId="2" xfId="0" applyFont="1" applyFill="1" applyBorder="1" applyAlignment="1">
      <alignment horizontal="left"/>
    </xf>
    <xf numFmtId="0" fontId="6" fillId="10" borderId="2" xfId="0" applyFont="1" applyFill="1" applyBorder="1"/>
    <xf numFmtId="0" fontId="6" fillId="10" borderId="2" xfId="0" applyFont="1" applyFill="1" applyBorder="1" applyAlignment="1">
      <alignment wrapText="1"/>
    </xf>
    <xf numFmtId="0" fontId="2" fillId="14" borderId="0" xfId="0" applyFont="1" applyFill="1"/>
    <xf numFmtId="0" fontId="6" fillId="0" borderId="2" xfId="0" applyFont="1" applyBorder="1" applyAlignment="1">
      <alignment horizontal="left" shrinkToFi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20" fontId="6" fillId="10" borderId="16" xfId="0" applyNumberFormat="1" applyFont="1" applyFill="1" applyBorder="1" applyAlignment="1">
      <alignment horizontal="center" vertical="center"/>
    </xf>
    <xf numFmtId="20" fontId="6" fillId="10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wrapText="1" shrinkToFit="1"/>
    </xf>
    <xf numFmtId="0" fontId="6" fillId="10" borderId="2" xfId="0" applyFont="1" applyFill="1" applyBorder="1" applyAlignment="1">
      <alignment vertical="center" wrapText="1"/>
    </xf>
    <xf numFmtId="0" fontId="6" fillId="10" borderId="2" xfId="0" applyFont="1" applyFill="1" applyBorder="1" applyAlignment="1">
      <alignment horizontal="left" vertical="center" wrapText="1"/>
    </xf>
    <xf numFmtId="20" fontId="6" fillId="11" borderId="16" xfId="0" applyNumberFormat="1" applyFont="1" applyFill="1" applyBorder="1" applyAlignment="1">
      <alignment horizontal="center" vertical="center"/>
    </xf>
    <xf numFmtId="20" fontId="6" fillId="11" borderId="2" xfId="0" applyNumberFormat="1" applyFont="1" applyFill="1" applyBorder="1" applyAlignment="1">
      <alignment horizontal="center" vertical="center"/>
    </xf>
    <xf numFmtId="0" fontId="6" fillId="11" borderId="18" xfId="0" applyFont="1" applyFill="1" applyBorder="1" applyAlignment="1">
      <alignment horizontal="left" wrapText="1" shrinkToFit="1"/>
    </xf>
    <xf numFmtId="0" fontId="6" fillId="11" borderId="2" xfId="0" applyFont="1" applyFill="1" applyBorder="1" applyAlignment="1">
      <alignment horizontal="left" wrapText="1" shrinkToFit="1"/>
    </xf>
    <xf numFmtId="0" fontId="6" fillId="11" borderId="2" xfId="0" applyFont="1" applyFill="1" applyBorder="1" applyAlignment="1">
      <alignment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wrapText="1" shrinkToFit="1"/>
    </xf>
    <xf numFmtId="0" fontId="6" fillId="10" borderId="2" xfId="0" applyFont="1" applyFill="1" applyBorder="1" applyAlignment="1">
      <alignment vertical="center"/>
    </xf>
    <xf numFmtId="20" fontId="6" fillId="11" borderId="2" xfId="0" applyNumberFormat="1" applyFont="1" applyFill="1" applyBorder="1"/>
    <xf numFmtId="0" fontId="6" fillId="11" borderId="0" xfId="0" applyFont="1" applyFill="1" applyAlignment="1">
      <alignment horizontal="left"/>
    </xf>
    <xf numFmtId="0" fontId="6" fillId="11" borderId="2" xfId="0" applyFont="1" applyFill="1" applyBorder="1" applyAlignment="1">
      <alignment horizontal="left"/>
    </xf>
    <xf numFmtId="0" fontId="6" fillId="11" borderId="2" xfId="0" applyFont="1" applyFill="1" applyBorder="1"/>
    <xf numFmtId="0" fontId="6" fillId="11" borderId="2" xfId="0" applyFont="1" applyFill="1" applyBorder="1" applyAlignment="1">
      <alignment wrapText="1"/>
    </xf>
    <xf numFmtId="0" fontId="2" fillId="13" borderId="1" xfId="0" applyFont="1" applyFill="1" applyBorder="1" applyAlignment="1">
      <alignment horizontal="center"/>
    </xf>
    <xf numFmtId="0" fontId="2" fillId="13" borderId="50" xfId="0" applyFont="1" applyFill="1" applyBorder="1" applyAlignment="1">
      <alignment horizontal="center"/>
    </xf>
    <xf numFmtId="20" fontId="6" fillId="10" borderId="16" xfId="0" applyNumberFormat="1" applyFont="1" applyFill="1" applyBorder="1"/>
    <xf numFmtId="20" fontId="6" fillId="10" borderId="2" xfId="0" applyNumberFormat="1" applyFont="1" applyFill="1" applyBorder="1"/>
    <xf numFmtId="20" fontId="6" fillId="11" borderId="16" xfId="0" applyNumberFormat="1" applyFont="1" applyFill="1" applyBorder="1"/>
    <xf numFmtId="0" fontId="6" fillId="0" borderId="2" xfId="0" applyFont="1" applyBorder="1" applyAlignment="1">
      <alignment wrapText="1"/>
    </xf>
    <xf numFmtId="0" fontId="19" fillId="11" borderId="0" xfId="0" applyFont="1" applyFill="1"/>
    <xf numFmtId="0" fontId="20" fillId="11" borderId="0" xfId="0" applyFont="1" applyFill="1"/>
    <xf numFmtId="0" fontId="21" fillId="11" borderId="0" xfId="0" applyFont="1" applyFill="1" applyAlignment="1">
      <alignment horizontal="center"/>
    </xf>
    <xf numFmtId="0" fontId="20" fillId="11" borderId="0" xfId="0" applyFont="1" applyFill="1" applyAlignment="1">
      <alignment horizontal="left"/>
    </xf>
    <xf numFmtId="0" fontId="20" fillId="11" borderId="0" xfId="0" applyFont="1" applyFill="1" applyAlignment="1">
      <alignment horizontal="left" vertical="top"/>
    </xf>
    <xf numFmtId="0" fontId="21" fillId="11" borderId="0" xfId="0" applyFont="1" applyFill="1"/>
    <xf numFmtId="0" fontId="6" fillId="11" borderId="33" xfId="0" applyFont="1" applyFill="1" applyBorder="1"/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5" borderId="2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5" borderId="22" xfId="0" applyFont="1" applyFill="1" applyBorder="1" applyAlignment="1">
      <alignment horizontal="left"/>
    </xf>
    <xf numFmtId="0" fontId="6" fillId="10" borderId="46" xfId="0" applyFont="1" applyFill="1" applyBorder="1"/>
    <xf numFmtId="0" fontId="6" fillId="10" borderId="29" xfId="0" applyFont="1" applyFill="1" applyBorder="1"/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5" borderId="1" xfId="0" applyFont="1" applyFill="1" applyBorder="1"/>
    <xf numFmtId="164" fontId="6" fillId="5" borderId="3" xfId="0" applyNumberFormat="1" applyFont="1" applyFill="1" applyBorder="1" applyAlignment="1">
      <alignment horizontal="right"/>
    </xf>
    <xf numFmtId="0" fontId="6" fillId="5" borderId="50" xfId="0" applyFont="1" applyFill="1" applyBorder="1" applyAlignment="1">
      <alignment horizontal="left"/>
    </xf>
    <xf numFmtId="0" fontId="6" fillId="5" borderId="55" xfId="0" applyFont="1" applyFill="1" applyBorder="1" applyAlignment="1">
      <alignment horizontal="left"/>
    </xf>
    <xf numFmtId="0" fontId="6" fillId="5" borderId="18" xfId="0" applyFont="1" applyFill="1" applyBorder="1" applyAlignment="1">
      <alignment horizontal="left"/>
    </xf>
    <xf numFmtId="0" fontId="6" fillId="5" borderId="28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0" borderId="17" xfId="0" applyFont="1" applyBorder="1" applyAlignment="1">
      <alignment horizontal="center"/>
    </xf>
    <xf numFmtId="0" fontId="6" fillId="5" borderId="16" xfId="0" applyFont="1" applyFill="1" applyBorder="1" applyAlignment="1">
      <alignment horizontal="left"/>
    </xf>
    <xf numFmtId="0" fontId="0" fillId="3" borderId="37" xfId="0" applyFill="1" applyBorder="1"/>
    <xf numFmtId="0" fontId="0" fillId="3" borderId="38" xfId="0" applyFill="1" applyBorder="1"/>
    <xf numFmtId="6" fontId="6" fillId="5" borderId="1" xfId="0" applyNumberFormat="1" applyFont="1" applyFill="1" applyBorder="1"/>
    <xf numFmtId="164" fontId="6" fillId="5" borderId="1" xfId="0" applyNumberFormat="1" applyFont="1" applyFill="1" applyBorder="1" applyAlignment="1">
      <alignment horizontal="right"/>
    </xf>
    <xf numFmtId="0" fontId="3" fillId="0" borderId="0" xfId="0" applyFont="1" applyAlignment="1"/>
    <xf numFmtId="0" fontId="0" fillId="0" borderId="0" xfId="0" applyAlignment="1"/>
    <xf numFmtId="0" fontId="6" fillId="0" borderId="17" xfId="0" applyFont="1" applyBorder="1" applyAlignment="1"/>
    <xf numFmtId="0" fontId="6" fillId="5" borderId="1" xfId="0" applyFont="1" applyFill="1" applyBorder="1" applyAlignment="1"/>
    <xf numFmtId="0" fontId="0" fillId="3" borderId="56" xfId="0" applyFill="1" applyBorder="1" applyAlignment="1"/>
    <xf numFmtId="0" fontId="6" fillId="5" borderId="1" xfId="0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6" fontId="6" fillId="0" borderId="0" xfId="0" applyNumberFormat="1" applyFont="1"/>
    <xf numFmtId="0" fontId="22" fillId="5" borderId="27" xfId="0" applyFont="1" applyFill="1" applyBorder="1" applyAlignment="1">
      <alignment vertical="center"/>
    </xf>
    <xf numFmtId="0" fontId="22" fillId="5" borderId="2" xfId="0" applyFont="1" applyFill="1" applyBorder="1" applyAlignment="1">
      <alignment horizontal="center"/>
    </xf>
    <xf numFmtId="6" fontId="22" fillId="5" borderId="2" xfId="0" applyNumberFormat="1" applyFont="1" applyFill="1" applyBorder="1" applyAlignment="1">
      <alignment horizontal="right" vertical="center"/>
    </xf>
    <xf numFmtId="6" fontId="22" fillId="5" borderId="2" xfId="0" applyNumberFormat="1" applyFont="1" applyFill="1" applyBorder="1" applyAlignment="1">
      <alignment horizontal="right"/>
    </xf>
    <xf numFmtId="0" fontId="22" fillId="5" borderId="3" xfId="0" applyFont="1" applyFill="1" applyBorder="1" applyAlignment="1">
      <alignment horizontal="left" vertical="center"/>
    </xf>
    <xf numFmtId="0" fontId="22" fillId="5" borderId="4" xfId="0" applyFont="1" applyFill="1" applyBorder="1" applyAlignment="1">
      <alignment horizontal="left" vertical="center"/>
    </xf>
    <xf numFmtId="0" fontId="22" fillId="5" borderId="22" xfId="0" applyFont="1" applyFill="1" applyBorder="1" applyAlignment="1">
      <alignment horizontal="left" vertical="center"/>
    </xf>
    <xf numFmtId="0" fontId="22" fillId="0" borderId="0" xfId="0" applyFont="1"/>
    <xf numFmtId="0" fontId="0" fillId="0" borderId="0" xfId="0" applyAlignment="1">
      <alignment horizontal="right"/>
    </xf>
    <xf numFmtId="0" fontId="6" fillId="0" borderId="19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1" fillId="15" borderId="0" xfId="0" applyFont="1" applyFill="1" applyBorder="1" applyAlignment="1"/>
    <xf numFmtId="0" fontId="1" fillId="15" borderId="0" xfId="0" applyFont="1" applyFill="1" applyBorder="1" applyAlignment="1">
      <alignment horizontal="center"/>
    </xf>
    <xf numFmtId="0" fontId="1" fillId="15" borderId="0" xfId="0" applyFont="1" applyFill="1" applyAlignment="1">
      <alignment horizontal="center"/>
    </xf>
    <xf numFmtId="6" fontId="1" fillId="15" borderId="0" xfId="0" applyNumberFormat="1" applyFont="1" applyFill="1" applyAlignment="1">
      <alignment horizontal="right"/>
    </xf>
    <xf numFmtId="6" fontId="1" fillId="15" borderId="0" xfId="0" applyNumberFormat="1" applyFont="1" applyFill="1" applyBorder="1" applyAlignment="1">
      <alignment horizontal="right"/>
    </xf>
    <xf numFmtId="0" fontId="2" fillId="16" borderId="5" xfId="0" applyFont="1" applyFill="1" applyBorder="1" applyAlignment="1">
      <alignment horizontal="center"/>
    </xf>
    <xf numFmtId="0" fontId="2" fillId="16" borderId="26" xfId="0" applyFont="1" applyFill="1" applyBorder="1" applyAlignment="1">
      <alignment horizontal="center"/>
    </xf>
    <xf numFmtId="0" fontId="6" fillId="17" borderId="27" xfId="0" applyFont="1" applyFill="1" applyBorder="1" applyAlignment="1"/>
    <xf numFmtId="0" fontId="6" fillId="17" borderId="2" xfId="0" applyFont="1" applyFill="1" applyBorder="1" applyAlignment="1">
      <alignment horizontal="center"/>
    </xf>
    <xf numFmtId="6" fontId="6" fillId="17" borderId="2" xfId="0" applyNumberFormat="1" applyFont="1" applyFill="1" applyBorder="1"/>
    <xf numFmtId="6" fontId="6" fillId="17" borderId="2" xfId="0" applyNumberFormat="1" applyFont="1" applyFill="1" applyBorder="1" applyAlignment="1">
      <alignment horizontal="right"/>
    </xf>
    <xf numFmtId="0" fontId="6" fillId="17" borderId="27" xfId="0" applyFont="1" applyFill="1" applyBorder="1" applyAlignment="1">
      <alignment vertical="center"/>
    </xf>
    <xf numFmtId="6" fontId="6" fillId="17" borderId="2" xfId="0" applyNumberFormat="1" applyFont="1" applyFill="1" applyBorder="1" applyAlignment="1">
      <alignment horizontal="right" vertical="center"/>
    </xf>
    <xf numFmtId="0" fontId="6" fillId="17" borderId="3" xfId="0" applyFont="1" applyFill="1" applyBorder="1" applyAlignment="1">
      <alignment horizontal="left"/>
    </xf>
    <xf numFmtId="0" fontId="6" fillId="17" borderId="4" xfId="0" applyFont="1" applyFill="1" applyBorder="1" applyAlignment="1">
      <alignment horizontal="left"/>
    </xf>
    <xf numFmtId="0" fontId="6" fillId="17" borderId="55" xfId="0" applyFont="1" applyFill="1" applyBorder="1" applyAlignment="1">
      <alignment horizontal="left"/>
    </xf>
    <xf numFmtId="0" fontId="0" fillId="18" borderId="1" xfId="0" applyFill="1" applyBorder="1" applyAlignment="1"/>
    <xf numFmtId="0" fontId="0" fillId="18" borderId="1" xfId="0" applyFill="1" applyBorder="1" applyAlignment="1">
      <alignment horizontal="center"/>
    </xf>
    <xf numFmtId="6" fontId="0" fillId="18" borderId="1" xfId="0" applyNumberFormat="1" applyFill="1" applyBorder="1"/>
    <xf numFmtId="6" fontId="6" fillId="17" borderId="1" xfId="0" applyNumberFormat="1" applyFont="1" applyFill="1" applyBorder="1" applyAlignment="1">
      <alignment horizontal="right"/>
    </xf>
    <xf numFmtId="0" fontId="0" fillId="18" borderId="3" xfId="0" applyFill="1" applyBorder="1"/>
    <xf numFmtId="0" fontId="0" fillId="18" borderId="4" xfId="0" applyFill="1" applyBorder="1"/>
    <xf numFmtId="0" fontId="0" fillId="18" borderId="50" xfId="0" applyFill="1" applyBorder="1"/>
    <xf numFmtId="0" fontId="6" fillId="17" borderId="11" xfId="0" applyFont="1" applyFill="1" applyBorder="1" applyAlignment="1">
      <alignment vertical="center"/>
    </xf>
    <xf numFmtId="0" fontId="6" fillId="17" borderId="1" xfId="0" applyFont="1" applyFill="1" applyBorder="1" applyAlignment="1">
      <alignment horizontal="center"/>
    </xf>
    <xf numFmtId="6" fontId="6" fillId="17" borderId="1" xfId="0" applyNumberFormat="1" applyFont="1" applyFill="1" applyBorder="1" applyAlignment="1">
      <alignment horizontal="right" vertical="center"/>
    </xf>
    <xf numFmtId="0" fontId="6" fillId="17" borderId="11" xfId="0" applyFont="1" applyFill="1" applyBorder="1" applyAlignment="1"/>
    <xf numFmtId="0" fontId="6" fillId="17" borderId="32" xfId="0" applyFont="1" applyFill="1" applyBorder="1" applyAlignment="1">
      <alignment horizontal="left"/>
    </xf>
    <xf numFmtId="0" fontId="6" fillId="17" borderId="33" xfId="0" applyFont="1" applyFill="1" applyBorder="1" applyAlignment="1">
      <alignment horizontal="left"/>
    </xf>
    <xf numFmtId="0" fontId="6" fillId="17" borderId="34" xfId="0" applyFont="1" applyFill="1" applyBorder="1" applyAlignment="1">
      <alignment horizontal="left"/>
    </xf>
    <xf numFmtId="0" fontId="0" fillId="18" borderId="32" xfId="0" applyFill="1" applyBorder="1"/>
    <xf numFmtId="0" fontId="0" fillId="18" borderId="33" xfId="0" applyFill="1" applyBorder="1"/>
    <xf numFmtId="0" fontId="0" fillId="18" borderId="57" xfId="0" applyFill="1" applyBorder="1"/>
    <xf numFmtId="0" fontId="6" fillId="17" borderId="1" xfId="0" applyFont="1" applyFill="1" applyBorder="1" applyAlignment="1"/>
    <xf numFmtId="0" fontId="6" fillId="17" borderId="22" xfId="0" applyFont="1" applyFill="1" applyBorder="1" applyAlignment="1">
      <alignment horizontal="left"/>
    </xf>
    <xf numFmtId="0" fontId="6" fillId="17" borderId="7" xfId="0" applyFont="1" applyFill="1" applyBorder="1" applyAlignment="1"/>
    <xf numFmtId="0" fontId="6" fillId="17" borderId="30" xfId="0" applyFont="1" applyFill="1" applyBorder="1" applyAlignment="1">
      <alignment horizontal="center"/>
    </xf>
    <xf numFmtId="6" fontId="6" fillId="17" borderId="30" xfId="0" applyNumberFormat="1" applyFont="1" applyFill="1" applyBorder="1" applyAlignment="1">
      <alignment horizontal="right"/>
    </xf>
    <xf numFmtId="0" fontId="6" fillId="10" borderId="21" xfId="0" applyFont="1" applyFill="1" applyBorder="1" applyAlignment="1">
      <alignment horizontal="center"/>
    </xf>
    <xf numFmtId="0" fontId="6" fillId="10" borderId="40" xfId="0" applyFont="1" applyFill="1" applyBorder="1" applyAlignment="1">
      <alignment horizontal="center"/>
    </xf>
    <xf numFmtId="0" fontId="2" fillId="16" borderId="20" xfId="0" applyFont="1" applyFill="1" applyBorder="1" applyAlignment="1">
      <alignment horizontal="center"/>
    </xf>
    <xf numFmtId="0" fontId="2" fillId="16" borderId="21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left"/>
    </xf>
    <xf numFmtId="0" fontId="6" fillId="17" borderId="4" xfId="0" applyFont="1" applyFill="1" applyBorder="1" applyAlignment="1">
      <alignment horizontal="left"/>
    </xf>
    <xf numFmtId="0" fontId="6" fillId="17" borderId="22" xfId="0" applyFont="1" applyFill="1" applyBorder="1" applyAlignment="1">
      <alignment horizontal="left"/>
    </xf>
    <xf numFmtId="0" fontId="6" fillId="17" borderId="55" xfId="0" applyFont="1" applyFill="1" applyBorder="1" applyAlignment="1">
      <alignment horizontal="left"/>
    </xf>
    <xf numFmtId="0" fontId="22" fillId="5" borderId="3" xfId="0" applyFont="1" applyFill="1" applyBorder="1" applyAlignment="1">
      <alignment horizontal="left"/>
    </xf>
    <xf numFmtId="0" fontId="22" fillId="5" borderId="4" xfId="0" applyFont="1" applyFill="1" applyBorder="1" applyAlignment="1">
      <alignment horizontal="left"/>
    </xf>
    <xf numFmtId="0" fontId="22" fillId="5" borderId="55" xfId="0" applyFont="1" applyFill="1" applyBorder="1" applyAlignment="1">
      <alignment horizontal="left"/>
    </xf>
    <xf numFmtId="0" fontId="6" fillId="17" borderId="3" xfId="0" applyFont="1" applyFill="1" applyBorder="1" applyAlignment="1">
      <alignment horizontal="left" vertical="center"/>
    </xf>
    <xf numFmtId="0" fontId="6" fillId="17" borderId="4" xfId="0" applyFont="1" applyFill="1" applyBorder="1" applyAlignment="1">
      <alignment horizontal="left" vertical="center"/>
    </xf>
    <xf numFmtId="0" fontId="6" fillId="17" borderId="2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wrapText="1"/>
    </xf>
    <xf numFmtId="0" fontId="6" fillId="5" borderId="4" xfId="0" applyFont="1" applyFill="1" applyBorder="1" applyAlignment="1">
      <alignment horizontal="left" wrapText="1"/>
    </xf>
    <xf numFmtId="0" fontId="6" fillId="5" borderId="22" xfId="0" applyFont="1" applyFill="1" applyBorder="1" applyAlignment="1">
      <alignment horizontal="left" wrapText="1"/>
    </xf>
    <xf numFmtId="0" fontId="6" fillId="5" borderId="1" xfId="0" applyFont="1" applyFill="1" applyBorder="1" applyAlignment="1">
      <alignment horizontal="left"/>
    </xf>
    <xf numFmtId="0" fontId="6" fillId="17" borderId="48" xfId="0" applyFont="1" applyFill="1" applyBorder="1" applyAlignment="1">
      <alignment horizontal="left"/>
    </xf>
    <xf numFmtId="0" fontId="6" fillId="17" borderId="32" xfId="0" applyFont="1" applyFill="1" applyBorder="1" applyAlignment="1">
      <alignment horizontal="left"/>
    </xf>
    <xf numFmtId="0" fontId="6" fillId="17" borderId="33" xfId="0" applyFont="1" applyFill="1" applyBorder="1" applyAlignment="1">
      <alignment horizontal="left"/>
    </xf>
    <xf numFmtId="0" fontId="6" fillId="17" borderId="34" xfId="0" applyFont="1" applyFill="1" applyBorder="1" applyAlignment="1">
      <alignment horizontal="left"/>
    </xf>
    <xf numFmtId="0" fontId="2" fillId="16" borderId="40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5" borderId="22" xfId="0" applyFont="1" applyFill="1" applyBorder="1" applyAlignment="1">
      <alignment horizontal="left"/>
    </xf>
    <xf numFmtId="0" fontId="6" fillId="5" borderId="23" xfId="0" applyFont="1" applyFill="1" applyBorder="1" applyAlignment="1">
      <alignment horizontal="left"/>
    </xf>
    <xf numFmtId="0" fontId="6" fillId="5" borderId="24" xfId="0" applyFont="1" applyFill="1" applyBorder="1" applyAlignment="1">
      <alignment horizontal="left"/>
    </xf>
    <xf numFmtId="0" fontId="6" fillId="5" borderId="25" xfId="0" applyFont="1" applyFill="1" applyBorder="1" applyAlignment="1">
      <alignment horizontal="left"/>
    </xf>
    <xf numFmtId="0" fontId="6" fillId="17" borderId="23" xfId="0" applyFont="1" applyFill="1" applyBorder="1" applyAlignment="1">
      <alignment horizontal="left"/>
    </xf>
    <xf numFmtId="0" fontId="6" fillId="17" borderId="24" xfId="0" applyFont="1" applyFill="1" applyBorder="1" applyAlignment="1">
      <alignment horizontal="left"/>
    </xf>
    <xf numFmtId="0" fontId="6" fillId="17" borderId="25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 wrapText="1"/>
    </xf>
    <xf numFmtId="0" fontId="0" fillId="12" borderId="21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6" fillId="5" borderId="55" xfId="0" applyFont="1" applyFill="1" applyBorder="1" applyAlignment="1">
      <alignment horizontal="left"/>
    </xf>
    <xf numFmtId="0" fontId="20" fillId="11" borderId="0" xfId="0" applyFont="1" applyFill="1" applyAlignment="1">
      <alignment horizontal="left"/>
    </xf>
    <xf numFmtId="0" fontId="20" fillId="11" borderId="0" xfId="0" applyFont="1" applyFill="1" applyAlignment="1">
      <alignment horizontal="center"/>
    </xf>
    <xf numFmtId="0" fontId="21" fillId="11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center"/>
    </xf>
    <xf numFmtId="0" fontId="21" fillId="11" borderId="0" xfId="0" applyFont="1" applyFill="1" applyAlignment="1">
      <alignment horizontal="center"/>
    </xf>
    <xf numFmtId="20" fontId="18" fillId="11" borderId="4" xfId="0" applyNumberFormat="1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13" borderId="49" xfId="0" applyFont="1" applyFill="1" applyBorder="1" applyAlignment="1">
      <alignment horizontal="center"/>
    </xf>
    <xf numFmtId="0" fontId="6" fillId="10" borderId="3" xfId="0" applyFont="1" applyFill="1" applyBorder="1" applyAlignment="1">
      <alignment horizontal="left"/>
    </xf>
    <xf numFmtId="0" fontId="6" fillId="10" borderId="4" xfId="0" applyFont="1" applyFill="1" applyBorder="1" applyAlignment="1">
      <alignment horizontal="left"/>
    </xf>
    <xf numFmtId="0" fontId="6" fillId="10" borderId="49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49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11" borderId="3" xfId="0" applyFont="1" applyFill="1" applyBorder="1" applyAlignment="1">
      <alignment horizontal="left"/>
    </xf>
    <xf numFmtId="0" fontId="6" fillId="11" borderId="4" xfId="0" applyFont="1" applyFill="1" applyBorder="1" applyAlignment="1">
      <alignment horizontal="left"/>
    </xf>
    <xf numFmtId="0" fontId="6" fillId="11" borderId="49" xfId="0" applyFont="1" applyFill="1" applyBorder="1" applyAlignment="1">
      <alignment horizontal="left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49" xfId="0" applyFont="1" applyBorder="1" applyAlignment="1">
      <alignment horizontal="left" vertical="top"/>
    </xf>
    <xf numFmtId="0" fontId="6" fillId="0" borderId="3" xfId="0" applyFont="1" applyBorder="1" applyAlignment="1">
      <alignment horizontal="left" wrapText="1" shrinkToFit="1"/>
    </xf>
    <xf numFmtId="0" fontId="6" fillId="0" borderId="4" xfId="0" applyFont="1" applyBorder="1" applyAlignment="1">
      <alignment horizontal="left" wrapText="1" shrinkToFit="1"/>
    </xf>
    <xf numFmtId="0" fontId="6" fillId="0" borderId="49" xfId="0" applyFont="1" applyBorder="1" applyAlignment="1">
      <alignment horizontal="left" wrapText="1" shrinkToFit="1"/>
    </xf>
    <xf numFmtId="0" fontId="6" fillId="10" borderId="3" xfId="0" applyFont="1" applyFill="1" applyBorder="1" applyAlignment="1">
      <alignment horizontal="left" wrapText="1" shrinkToFit="1"/>
    </xf>
    <xf numFmtId="0" fontId="6" fillId="10" borderId="4" xfId="0" applyFont="1" applyFill="1" applyBorder="1" applyAlignment="1">
      <alignment horizontal="left" wrapText="1" shrinkToFit="1"/>
    </xf>
    <xf numFmtId="0" fontId="6" fillId="10" borderId="49" xfId="0" applyFont="1" applyFill="1" applyBorder="1" applyAlignment="1">
      <alignment horizontal="left" wrapText="1" shrinkToFit="1"/>
    </xf>
    <xf numFmtId="0" fontId="6" fillId="10" borderId="3" xfId="0" applyFont="1" applyFill="1" applyBorder="1" applyAlignment="1">
      <alignment horizontal="left" wrapText="1"/>
    </xf>
    <xf numFmtId="0" fontId="6" fillId="10" borderId="4" xfId="0" applyFont="1" applyFill="1" applyBorder="1" applyAlignment="1">
      <alignment horizontal="left" wrapText="1"/>
    </xf>
    <xf numFmtId="0" fontId="6" fillId="10" borderId="49" xfId="0" applyFont="1" applyFill="1" applyBorder="1" applyAlignment="1">
      <alignment horizontal="left" wrapText="1"/>
    </xf>
  </cellXfs>
  <cellStyles count="107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1869440</xdr:colOff>
      <xdr:row>7</xdr:row>
      <xdr:rowOff>129464</xdr:rowOff>
    </xdr:to>
    <xdr:pic>
      <xdr:nvPicPr>
        <xdr:cNvPr id="3" name="Imagen 2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9440" cy="15315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58420</xdr:rowOff>
    </xdr:from>
    <xdr:to>
      <xdr:col>0</xdr:col>
      <xdr:colOff>1869440</xdr:colOff>
      <xdr:row>8</xdr:row>
      <xdr:rowOff>5004</xdr:rowOff>
    </xdr:to>
    <xdr:pic>
      <xdr:nvPicPr>
        <xdr:cNvPr id="4" name="Imagen 3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420"/>
          <a:ext cx="1869440" cy="15137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obranzas@sflodge.c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J93"/>
  <sheetViews>
    <sheetView tabSelected="1" topLeftCell="A13" workbookViewId="0">
      <selection activeCell="E17" sqref="E17"/>
    </sheetView>
  </sheetViews>
  <sheetFormatPr baseColWidth="10" defaultRowHeight="16" x14ac:dyDescent="0.2"/>
  <cols>
    <col min="1" max="1" width="37.1640625" style="252" customWidth="1"/>
    <col min="2" max="3" width="9.83203125" customWidth="1"/>
    <col min="4" max="4" width="11.5" customWidth="1"/>
    <col min="5" max="5" width="13.1640625" customWidth="1"/>
    <col min="6" max="6" width="16.5" customWidth="1"/>
    <col min="7" max="7" width="19.1640625" customWidth="1"/>
    <col min="8" max="8" width="10.5" customWidth="1"/>
    <col min="9" max="9" width="55.1640625" customWidth="1"/>
    <col min="10" max="10" width="74.83203125" customWidth="1"/>
    <col min="12" max="12" width="11.33203125" bestFit="1" customWidth="1"/>
    <col min="13" max="13" width="99.83203125" customWidth="1"/>
  </cols>
  <sheetData>
    <row r="1" spans="1:10" ht="64" customHeight="1" x14ac:dyDescent="0.25">
      <c r="A1" s="251" t="s">
        <v>309</v>
      </c>
    </row>
    <row r="2" spans="1:10" x14ac:dyDescent="0.2">
      <c r="I2" s="147"/>
      <c r="J2" t="s">
        <v>6</v>
      </c>
    </row>
    <row r="3" spans="1:10" x14ac:dyDescent="0.2">
      <c r="A3" s="252" t="s">
        <v>310</v>
      </c>
      <c r="B3" t="s">
        <v>323</v>
      </c>
      <c r="D3" t="s">
        <v>10</v>
      </c>
      <c r="E3" t="s">
        <v>317</v>
      </c>
      <c r="F3" t="s">
        <v>6</v>
      </c>
      <c r="G3" t="s">
        <v>6</v>
      </c>
      <c r="H3" s="159" t="s">
        <v>6</v>
      </c>
      <c r="I3" s="147"/>
      <c r="J3" t="s">
        <v>6</v>
      </c>
    </row>
    <row r="4" spans="1:10" x14ac:dyDescent="0.2">
      <c r="A4" s="267" t="s">
        <v>326</v>
      </c>
      <c r="B4" t="s">
        <v>327</v>
      </c>
      <c r="D4" t="s">
        <v>306</v>
      </c>
      <c r="E4" t="s">
        <v>318</v>
      </c>
      <c r="H4" s="159" t="s">
        <v>6</v>
      </c>
    </row>
    <row r="5" spans="1:10" x14ac:dyDescent="0.2">
      <c r="A5" s="267" t="s">
        <v>324</v>
      </c>
      <c r="B5" t="s">
        <v>6</v>
      </c>
      <c r="D5" t="s">
        <v>11</v>
      </c>
      <c r="E5">
        <v>30</v>
      </c>
      <c r="F5" t="s">
        <v>6</v>
      </c>
      <c r="G5" t="s">
        <v>6</v>
      </c>
      <c r="H5" s="169" t="s">
        <v>6</v>
      </c>
    </row>
    <row r="6" spans="1:10" x14ac:dyDescent="0.2">
      <c r="A6" s="267" t="s">
        <v>325</v>
      </c>
      <c r="B6" t="s">
        <v>294</v>
      </c>
      <c r="D6" t="s">
        <v>12</v>
      </c>
      <c r="E6" t="s">
        <v>322</v>
      </c>
    </row>
    <row r="7" spans="1:10" ht="17" thickBot="1" x14ac:dyDescent="0.25"/>
    <row r="8" spans="1:10" ht="15.75" customHeight="1" x14ac:dyDescent="0.2">
      <c r="A8" s="275" t="s">
        <v>319</v>
      </c>
      <c r="B8" s="276" t="s">
        <v>297</v>
      </c>
      <c r="C8" s="276" t="s">
        <v>19</v>
      </c>
      <c r="D8" s="276" t="s">
        <v>0</v>
      </c>
      <c r="E8" s="276" t="s">
        <v>1</v>
      </c>
      <c r="F8" s="310" t="s">
        <v>35</v>
      </c>
      <c r="G8" s="311"/>
      <c r="H8" s="311"/>
      <c r="I8" s="312"/>
    </row>
    <row r="9" spans="1:10" x14ac:dyDescent="0.2">
      <c r="A9" s="281" t="s">
        <v>301</v>
      </c>
      <c r="B9" s="278">
        <v>1</v>
      </c>
      <c r="C9" s="278">
        <v>30</v>
      </c>
      <c r="D9" s="282">
        <v>15000</v>
      </c>
      <c r="E9" s="280">
        <f>B9*C9*D9</f>
        <v>450000</v>
      </c>
      <c r="F9" s="313" t="s">
        <v>255</v>
      </c>
      <c r="G9" s="314"/>
      <c r="H9" s="314"/>
      <c r="I9" s="315"/>
    </row>
    <row r="10" spans="1:10" x14ac:dyDescent="0.2">
      <c r="A10" s="281" t="s">
        <v>259</v>
      </c>
      <c r="B10" s="278">
        <v>1</v>
      </c>
      <c r="C10" s="278">
        <v>30</v>
      </c>
      <c r="D10" s="282">
        <v>3850</v>
      </c>
      <c r="E10" s="280">
        <f>B10*C10*D10</f>
        <v>115500</v>
      </c>
      <c r="F10" s="320" t="s">
        <v>258</v>
      </c>
      <c r="G10" s="321"/>
      <c r="H10" s="321"/>
      <c r="I10" s="322"/>
    </row>
    <row r="11" spans="1:10" x14ac:dyDescent="0.2">
      <c r="A11" s="281" t="s">
        <v>151</v>
      </c>
      <c r="B11" s="278">
        <v>1</v>
      </c>
      <c r="C11" s="278">
        <v>1</v>
      </c>
      <c r="D11" s="280">
        <v>180000</v>
      </c>
      <c r="E11" s="280">
        <f>D11</f>
        <v>180000</v>
      </c>
      <c r="F11" s="313" t="s">
        <v>251</v>
      </c>
      <c r="G11" s="314"/>
      <c r="H11" s="314"/>
      <c r="I11" s="315"/>
    </row>
    <row r="12" spans="1:10" x14ac:dyDescent="0.2">
      <c r="A12" s="281" t="s">
        <v>66</v>
      </c>
      <c r="B12" s="278">
        <v>2</v>
      </c>
      <c r="C12" s="278">
        <v>30</v>
      </c>
      <c r="D12" s="280">
        <v>1513</v>
      </c>
      <c r="E12" s="280">
        <f>B12*C12*D12</f>
        <v>90780</v>
      </c>
      <c r="F12" s="313" t="s">
        <v>268</v>
      </c>
      <c r="G12" s="314"/>
      <c r="H12" s="314"/>
      <c r="I12" s="315"/>
    </row>
    <row r="13" spans="1:10" x14ac:dyDescent="0.2">
      <c r="A13" s="281" t="s">
        <v>295</v>
      </c>
      <c r="B13" s="278">
        <v>1</v>
      </c>
      <c r="C13" s="278">
        <v>30</v>
      </c>
      <c r="D13" s="282">
        <v>15000</v>
      </c>
      <c r="E13" s="280">
        <f>B13*C13*D13</f>
        <v>450000</v>
      </c>
      <c r="F13" s="313" t="s">
        <v>256</v>
      </c>
      <c r="G13" s="314"/>
      <c r="H13" s="314"/>
      <c r="I13" s="315"/>
    </row>
    <row r="14" spans="1:10" x14ac:dyDescent="0.2">
      <c r="A14" s="281" t="s">
        <v>315</v>
      </c>
      <c r="B14" s="278"/>
      <c r="C14" s="278"/>
      <c r="D14" s="282">
        <v>45000</v>
      </c>
      <c r="E14" s="280">
        <v>0</v>
      </c>
      <c r="F14" s="283" t="s">
        <v>316</v>
      </c>
      <c r="G14" s="284"/>
      <c r="H14" s="284"/>
      <c r="I14" s="304"/>
    </row>
    <row r="15" spans="1:10" x14ac:dyDescent="0.2">
      <c r="A15" s="281" t="s">
        <v>302</v>
      </c>
      <c r="B15" s="278">
        <v>1</v>
      </c>
      <c r="C15" s="278">
        <v>1</v>
      </c>
      <c r="D15" s="282">
        <v>200000</v>
      </c>
      <c r="E15" s="280">
        <f>D15</f>
        <v>200000</v>
      </c>
      <c r="F15" s="283" t="s">
        <v>300</v>
      </c>
      <c r="G15" s="284"/>
      <c r="H15" s="284"/>
      <c r="I15" s="304"/>
    </row>
    <row r="16" spans="1:10" x14ac:dyDescent="0.2">
      <c r="A16" s="277" t="s">
        <v>298</v>
      </c>
      <c r="B16" s="278">
        <v>1</v>
      </c>
      <c r="C16" s="278">
        <v>30</v>
      </c>
      <c r="D16" s="280">
        <v>53000</v>
      </c>
      <c r="E16" s="280">
        <f>B16*C16*D16</f>
        <v>1590000</v>
      </c>
      <c r="F16" s="313" t="s">
        <v>284</v>
      </c>
      <c r="G16" s="314"/>
      <c r="H16" s="314"/>
      <c r="I16" s="315"/>
    </row>
    <row r="17" spans="1:10" ht="16.5" customHeight="1" thickBot="1" x14ac:dyDescent="0.25">
      <c r="A17" s="305" t="s">
        <v>303</v>
      </c>
      <c r="B17" s="306">
        <v>0</v>
      </c>
      <c r="C17" s="306">
        <v>0</v>
      </c>
      <c r="D17" s="307">
        <v>15000</v>
      </c>
      <c r="E17" s="307" t="s">
        <v>296</v>
      </c>
      <c r="F17" s="341" t="s">
        <v>299</v>
      </c>
      <c r="G17" s="342"/>
      <c r="H17" s="342"/>
      <c r="I17" s="343"/>
    </row>
    <row r="18" spans="1:10" ht="16.5" customHeight="1" thickBot="1" x14ac:dyDescent="0.25">
      <c r="A18" s="253" t="s">
        <v>190</v>
      </c>
      <c r="B18" s="161"/>
      <c r="C18" s="162"/>
      <c r="D18" s="62"/>
      <c r="E18" s="34">
        <f>SUM(E9:E17)</f>
        <v>3076280</v>
      </c>
      <c r="F18" s="60"/>
      <c r="G18" s="60"/>
      <c r="H18" s="60"/>
      <c r="I18" s="60"/>
    </row>
    <row r="19" spans="1:10" ht="16.5" customHeight="1" x14ac:dyDescent="0.2">
      <c r="A19" s="275" t="s">
        <v>320</v>
      </c>
      <c r="B19" s="276" t="s">
        <v>297</v>
      </c>
      <c r="C19" s="276" t="s">
        <v>19</v>
      </c>
      <c r="D19" s="276" t="s">
        <v>0</v>
      </c>
      <c r="E19" s="276" t="s">
        <v>1</v>
      </c>
      <c r="F19" s="310" t="s">
        <v>35</v>
      </c>
      <c r="G19" s="311"/>
      <c r="H19" s="311"/>
      <c r="I19" s="312"/>
      <c r="J19" s="60"/>
    </row>
    <row r="20" spans="1:10" ht="16.5" customHeight="1" x14ac:dyDescent="0.2">
      <c r="A20" s="277" t="s">
        <v>45</v>
      </c>
      <c r="B20" s="278">
        <v>1</v>
      </c>
      <c r="C20" s="278">
        <v>1</v>
      </c>
      <c r="D20" s="279">
        <v>10500</v>
      </c>
      <c r="E20" s="280" t="s">
        <v>296</v>
      </c>
      <c r="F20" s="313" t="s">
        <v>257</v>
      </c>
      <c r="G20" s="314"/>
      <c r="H20" s="314"/>
      <c r="I20" s="315"/>
      <c r="J20" s="60"/>
    </row>
    <row r="21" spans="1:10" ht="16.5" customHeight="1" x14ac:dyDescent="0.2">
      <c r="A21" s="293" t="s">
        <v>301</v>
      </c>
      <c r="B21" s="294">
        <v>1</v>
      </c>
      <c r="C21" s="294">
        <v>30</v>
      </c>
      <c r="D21" s="295">
        <v>15000</v>
      </c>
      <c r="E21" s="289">
        <f>B21*C21*D21</f>
        <v>450000</v>
      </c>
      <c r="F21" s="313" t="s">
        <v>255</v>
      </c>
      <c r="G21" s="314"/>
      <c r="H21" s="314"/>
      <c r="I21" s="315"/>
      <c r="J21" s="60"/>
    </row>
    <row r="22" spans="1:10" ht="16.5" customHeight="1" x14ac:dyDescent="0.2">
      <c r="A22" s="293" t="s">
        <v>259</v>
      </c>
      <c r="B22" s="294">
        <v>2</v>
      </c>
      <c r="C22" s="294">
        <v>30</v>
      </c>
      <c r="D22" s="295">
        <v>3850</v>
      </c>
      <c r="E22" s="289">
        <f t="shared" ref="E22:E29" si="0">B22*C22*D22</f>
        <v>231000</v>
      </c>
      <c r="F22" s="320" t="s">
        <v>258</v>
      </c>
      <c r="G22" s="321"/>
      <c r="H22" s="321"/>
      <c r="I22" s="322"/>
      <c r="J22" s="60"/>
    </row>
    <row r="23" spans="1:10" ht="16.5" customHeight="1" x14ac:dyDescent="0.2">
      <c r="A23" s="293" t="s">
        <v>151</v>
      </c>
      <c r="B23" s="294">
        <v>1</v>
      </c>
      <c r="C23" s="294">
        <v>1</v>
      </c>
      <c r="D23" s="289">
        <v>180000</v>
      </c>
      <c r="E23" s="289">
        <f t="shared" si="0"/>
        <v>180000</v>
      </c>
      <c r="F23" s="313" t="s">
        <v>251</v>
      </c>
      <c r="G23" s="314"/>
      <c r="H23" s="314"/>
      <c r="I23" s="315"/>
      <c r="J23" s="60"/>
    </row>
    <row r="24" spans="1:10" ht="16.5" customHeight="1" x14ac:dyDescent="0.2">
      <c r="A24" s="293" t="s">
        <v>66</v>
      </c>
      <c r="B24" s="294">
        <v>2</v>
      </c>
      <c r="C24" s="294">
        <v>30</v>
      </c>
      <c r="D24" s="289">
        <v>1513</v>
      </c>
      <c r="E24" s="289">
        <f t="shared" si="0"/>
        <v>90780</v>
      </c>
      <c r="F24" s="313" t="s">
        <v>268</v>
      </c>
      <c r="G24" s="314"/>
      <c r="H24" s="314"/>
      <c r="I24" s="315"/>
      <c r="J24" s="60"/>
    </row>
    <row r="25" spans="1:10" ht="14" customHeight="1" x14ac:dyDescent="0.2">
      <c r="A25" s="293" t="s">
        <v>295</v>
      </c>
      <c r="B25" s="294">
        <v>1</v>
      </c>
      <c r="C25" s="294">
        <v>30</v>
      </c>
      <c r="D25" s="295">
        <v>15000</v>
      </c>
      <c r="E25" s="289">
        <f t="shared" si="0"/>
        <v>450000</v>
      </c>
      <c r="F25" s="313" t="s">
        <v>256</v>
      </c>
      <c r="G25" s="314"/>
      <c r="H25" s="314"/>
      <c r="I25" s="315"/>
      <c r="J25" s="60"/>
    </row>
    <row r="26" spans="1:10" ht="16.5" customHeight="1" x14ac:dyDescent="0.2">
      <c r="A26" s="296" t="s">
        <v>298</v>
      </c>
      <c r="B26" s="294">
        <v>1</v>
      </c>
      <c r="C26" s="294">
        <v>30</v>
      </c>
      <c r="D26" s="289">
        <v>53000</v>
      </c>
      <c r="E26" s="289">
        <f t="shared" si="0"/>
        <v>1590000</v>
      </c>
      <c r="F26" s="313" t="s">
        <v>284</v>
      </c>
      <c r="G26" s="314"/>
      <c r="H26" s="314"/>
      <c r="I26" s="315"/>
      <c r="J26" s="60"/>
    </row>
    <row r="27" spans="1:10" ht="16.5" customHeight="1" x14ac:dyDescent="0.2">
      <c r="A27" s="296" t="s">
        <v>304</v>
      </c>
      <c r="B27" s="294">
        <v>1</v>
      </c>
      <c r="C27" s="294">
        <v>1</v>
      </c>
      <c r="D27" s="289">
        <v>80000</v>
      </c>
      <c r="E27" s="289">
        <f t="shared" si="0"/>
        <v>80000</v>
      </c>
      <c r="F27" s="297" t="s">
        <v>311</v>
      </c>
      <c r="G27" s="298"/>
      <c r="H27" s="298"/>
      <c r="I27" s="299"/>
      <c r="J27" s="60"/>
    </row>
    <row r="28" spans="1:10" ht="16.5" customHeight="1" x14ac:dyDescent="0.2">
      <c r="A28" s="293" t="s">
        <v>66</v>
      </c>
      <c r="B28" s="294">
        <v>2</v>
      </c>
      <c r="C28" s="294">
        <v>30</v>
      </c>
      <c r="D28" s="289">
        <v>1513</v>
      </c>
      <c r="E28" s="289">
        <f t="shared" si="0"/>
        <v>90780</v>
      </c>
      <c r="F28" s="331" t="s">
        <v>268</v>
      </c>
      <c r="G28" s="332"/>
      <c r="H28" s="332"/>
      <c r="I28" s="333"/>
      <c r="J28" s="60"/>
    </row>
    <row r="29" spans="1:10" x14ac:dyDescent="0.2">
      <c r="A29" s="281" t="s">
        <v>188</v>
      </c>
      <c r="B29" s="294">
        <v>2</v>
      </c>
      <c r="C29" s="294">
        <v>30</v>
      </c>
      <c r="D29" s="289">
        <v>3850</v>
      </c>
      <c r="E29" s="289">
        <f t="shared" si="0"/>
        <v>231000</v>
      </c>
      <c r="F29" s="300"/>
      <c r="G29" s="301"/>
      <c r="H29" s="301"/>
      <c r="I29" s="302"/>
    </row>
    <row r="30" spans="1:10" ht="16.5" customHeight="1" x14ac:dyDescent="0.2">
      <c r="A30" s="303" t="s">
        <v>303</v>
      </c>
      <c r="B30" s="294">
        <v>0</v>
      </c>
      <c r="C30" s="294">
        <v>0</v>
      </c>
      <c r="D30" s="289">
        <v>15000</v>
      </c>
      <c r="E30" s="289" t="s">
        <v>296</v>
      </c>
      <c r="F30" s="330" t="s">
        <v>299</v>
      </c>
      <c r="G30" s="330"/>
      <c r="H30" s="330"/>
      <c r="I30" s="330"/>
      <c r="J30" s="60"/>
    </row>
    <row r="31" spans="1:10" ht="16.5" customHeight="1" thickBot="1" x14ac:dyDescent="0.25">
      <c r="A31" s="253" t="s">
        <v>190</v>
      </c>
      <c r="B31" s="245"/>
      <c r="C31" s="162"/>
      <c r="D31" s="62"/>
      <c r="E31" s="34">
        <f>SUM(E21:E30)</f>
        <v>3393560</v>
      </c>
      <c r="F31" s="60"/>
      <c r="G31" s="60"/>
      <c r="H31" s="60"/>
      <c r="I31" s="60"/>
      <c r="J31" s="60"/>
    </row>
    <row r="32" spans="1:10" ht="16.5" customHeight="1" x14ac:dyDescent="0.2">
      <c r="A32" s="275" t="s">
        <v>329</v>
      </c>
      <c r="B32" s="276" t="s">
        <v>297</v>
      </c>
      <c r="C32" s="276" t="s">
        <v>19</v>
      </c>
      <c r="D32" s="276" t="s">
        <v>0</v>
      </c>
      <c r="E32" s="276" t="s">
        <v>1</v>
      </c>
      <c r="F32" s="310" t="s">
        <v>35</v>
      </c>
      <c r="G32" s="311"/>
      <c r="H32" s="311"/>
      <c r="I32" s="334"/>
      <c r="J32" s="60"/>
    </row>
    <row r="33" spans="1:10" ht="16.5" customHeight="1" x14ac:dyDescent="0.2">
      <c r="A33" s="277" t="s">
        <v>45</v>
      </c>
      <c r="B33" s="278">
        <v>1</v>
      </c>
      <c r="C33" s="278">
        <v>1</v>
      </c>
      <c r="D33" s="279">
        <v>10500</v>
      </c>
      <c r="E33" s="280" t="s">
        <v>296</v>
      </c>
      <c r="F33" s="313" t="s">
        <v>257</v>
      </c>
      <c r="G33" s="314"/>
      <c r="H33" s="314"/>
      <c r="I33" s="315"/>
      <c r="J33" s="60"/>
    </row>
    <row r="34" spans="1:10" ht="15.75" customHeight="1" x14ac:dyDescent="0.2">
      <c r="A34" s="281" t="s">
        <v>312</v>
      </c>
      <c r="B34" s="278">
        <v>1</v>
      </c>
      <c r="C34" s="278">
        <v>1</v>
      </c>
      <c r="D34" s="282">
        <v>300000</v>
      </c>
      <c r="E34" s="280">
        <v>300000</v>
      </c>
      <c r="F34" s="283"/>
      <c r="G34" s="284"/>
      <c r="H34" s="284"/>
      <c r="I34" s="285"/>
      <c r="J34" s="60"/>
    </row>
    <row r="35" spans="1:10" ht="15.75" customHeight="1" x14ac:dyDescent="0.2">
      <c r="A35" s="281" t="s">
        <v>301</v>
      </c>
      <c r="B35" s="278">
        <v>1</v>
      </c>
      <c r="C35" s="278">
        <v>30</v>
      </c>
      <c r="D35" s="282">
        <v>15000</v>
      </c>
      <c r="E35" s="280">
        <v>480000</v>
      </c>
      <c r="F35" s="313" t="s">
        <v>255</v>
      </c>
      <c r="G35" s="314"/>
      <c r="H35" s="314"/>
      <c r="I35" s="316"/>
      <c r="J35" s="60"/>
    </row>
    <row r="36" spans="1:10" x14ac:dyDescent="0.2">
      <c r="A36" s="286" t="s">
        <v>307</v>
      </c>
      <c r="B36" s="287">
        <v>1</v>
      </c>
      <c r="C36" s="287">
        <v>30</v>
      </c>
      <c r="D36" s="288">
        <v>2500</v>
      </c>
      <c r="E36" s="289">
        <f>B36*C36*D36</f>
        <v>75000</v>
      </c>
      <c r="F36" s="290" t="s">
        <v>308</v>
      </c>
      <c r="G36" s="291"/>
      <c r="H36" s="291"/>
      <c r="I36" s="292"/>
    </row>
    <row r="37" spans="1:10" x14ac:dyDescent="0.2">
      <c r="A37" s="281" t="s">
        <v>66</v>
      </c>
      <c r="B37" s="278">
        <v>2</v>
      </c>
      <c r="C37" s="278">
        <v>30</v>
      </c>
      <c r="D37" s="280">
        <v>1513</v>
      </c>
      <c r="E37" s="289">
        <f>B37*C37*D37</f>
        <v>90780</v>
      </c>
      <c r="F37" s="313" t="s">
        <v>268</v>
      </c>
      <c r="G37" s="314"/>
      <c r="H37" s="314"/>
      <c r="I37" s="316"/>
      <c r="J37" s="60"/>
    </row>
    <row r="38" spans="1:10" ht="16" customHeight="1" thickBot="1" x14ac:dyDescent="0.25">
      <c r="A38" s="253" t="s">
        <v>190</v>
      </c>
      <c r="B38" s="245"/>
      <c r="C38" s="162"/>
      <c r="D38" s="62"/>
      <c r="E38" s="34">
        <f>SUM(E33:E37)</f>
        <v>945780</v>
      </c>
      <c r="F38" s="60"/>
      <c r="G38" s="60"/>
      <c r="H38" s="60"/>
      <c r="I38" s="60"/>
      <c r="J38" s="60"/>
    </row>
    <row r="39" spans="1:10" x14ac:dyDescent="0.2">
      <c r="A39" s="268" t="s">
        <v>321</v>
      </c>
      <c r="B39" s="163"/>
      <c r="C39" s="163"/>
      <c r="D39" s="164"/>
      <c r="E39" s="165">
        <f>E18+E31+E38</f>
        <v>7415620</v>
      </c>
      <c r="F39" s="258" t="s">
        <v>6</v>
      </c>
      <c r="G39" s="60"/>
      <c r="H39" s="60"/>
      <c r="I39" s="60"/>
    </row>
    <row r="40" spans="1:10" x14ac:dyDescent="0.2">
      <c r="A40" s="269" t="s">
        <v>8</v>
      </c>
      <c r="B40" s="166"/>
      <c r="C40" s="166"/>
      <c r="D40" s="167"/>
      <c r="E40" s="168">
        <f>E41-E39</f>
        <v>1408967.7999999989</v>
      </c>
      <c r="F40" s="60"/>
      <c r="G40" s="60"/>
      <c r="H40" s="60"/>
      <c r="I40" s="60"/>
    </row>
    <row r="41" spans="1:10" ht="16" customHeight="1" x14ac:dyDescent="0.2">
      <c r="A41" s="270" t="s">
        <v>328</v>
      </c>
      <c r="B41" s="271"/>
      <c r="C41" s="272"/>
      <c r="D41" s="273"/>
      <c r="E41" s="274">
        <f>E39*1.19</f>
        <v>8824587.7999999989</v>
      </c>
      <c r="F41" s="60"/>
      <c r="G41" s="60"/>
      <c r="H41" s="60"/>
      <c r="I41" s="60"/>
      <c r="J41" s="60"/>
    </row>
    <row r="42" spans="1:10" ht="17" thickBot="1" x14ac:dyDescent="0.25"/>
    <row r="43" spans="1:10" ht="17" thickBot="1" x14ac:dyDescent="0.25">
      <c r="A43" s="255" t="s">
        <v>305</v>
      </c>
      <c r="B43" s="247"/>
      <c r="C43" s="247"/>
      <c r="D43" s="247"/>
      <c r="E43" s="247"/>
      <c r="F43" s="247"/>
      <c r="G43" s="247"/>
      <c r="H43" s="247"/>
      <c r="I43" s="248"/>
    </row>
    <row r="44" spans="1:10" x14ac:dyDescent="0.2">
      <c r="A44" s="66" t="s">
        <v>195</v>
      </c>
      <c r="B44" s="158">
        <v>0</v>
      </c>
      <c r="C44" s="158">
        <v>0</v>
      </c>
      <c r="D44" s="57">
        <v>150000</v>
      </c>
      <c r="E44" s="59">
        <f t="shared" ref="E44:E61" si="1">B44*C44*D44</f>
        <v>0</v>
      </c>
      <c r="F44" s="246" t="s">
        <v>196</v>
      </c>
      <c r="G44" s="242"/>
      <c r="H44" s="242"/>
      <c r="I44" s="243"/>
    </row>
    <row r="45" spans="1:10" x14ac:dyDescent="0.2">
      <c r="A45" s="66" t="s">
        <v>197</v>
      </c>
      <c r="B45" s="158">
        <v>0</v>
      </c>
      <c r="C45" s="158">
        <v>0</v>
      </c>
      <c r="D45" s="57">
        <v>100000</v>
      </c>
      <c r="E45" s="59">
        <f t="shared" si="1"/>
        <v>0</v>
      </c>
      <c r="F45" s="173" t="s">
        <v>198</v>
      </c>
      <c r="G45" s="174"/>
      <c r="H45" s="174"/>
      <c r="I45" s="175"/>
    </row>
    <row r="46" spans="1:10" x14ac:dyDescent="0.2">
      <c r="A46" s="259" t="s">
        <v>313</v>
      </c>
      <c r="B46" s="260">
        <v>1</v>
      </c>
      <c r="C46" s="260">
        <v>35</v>
      </c>
      <c r="D46" s="261">
        <v>80000</v>
      </c>
      <c r="E46" s="262">
        <v>0</v>
      </c>
      <c r="F46" s="317" t="s">
        <v>314</v>
      </c>
      <c r="G46" s="318"/>
      <c r="H46" s="318"/>
      <c r="I46" s="319"/>
      <c r="J46" s="60"/>
    </row>
    <row r="47" spans="1:10" s="266" customFormat="1" x14ac:dyDescent="0.2">
      <c r="A47" s="259" t="s">
        <v>260</v>
      </c>
      <c r="B47" s="260">
        <v>0</v>
      </c>
      <c r="C47" s="260">
        <v>0</v>
      </c>
      <c r="D47" s="261">
        <v>4500</v>
      </c>
      <c r="E47" s="262">
        <f>B47*C47*D47</f>
        <v>0</v>
      </c>
      <c r="F47" s="263" t="s">
        <v>193</v>
      </c>
      <c r="G47" s="264"/>
      <c r="H47" s="264"/>
      <c r="I47" s="265"/>
    </row>
    <row r="48" spans="1:10" x14ac:dyDescent="0.2">
      <c r="A48" s="66" t="s">
        <v>261</v>
      </c>
      <c r="B48" s="158">
        <v>0</v>
      </c>
      <c r="C48" s="158">
        <v>0</v>
      </c>
      <c r="D48" s="57">
        <v>5500</v>
      </c>
      <c r="E48" s="59">
        <f>B48*C48*D48</f>
        <v>0</v>
      </c>
      <c r="F48" s="323" t="s">
        <v>262</v>
      </c>
      <c r="G48" s="324"/>
      <c r="H48" s="324"/>
      <c r="I48" s="325"/>
    </row>
    <row r="49" spans="1:9" x14ac:dyDescent="0.2">
      <c r="A49" s="66" t="s">
        <v>264</v>
      </c>
      <c r="B49" s="158">
        <v>0</v>
      </c>
      <c r="C49" s="158">
        <v>0</v>
      </c>
      <c r="D49" s="57">
        <v>8000</v>
      </c>
      <c r="E49" s="59">
        <f t="shared" si="1"/>
        <v>0</v>
      </c>
      <c r="F49" s="323" t="s">
        <v>263</v>
      </c>
      <c r="G49" s="324"/>
      <c r="H49" s="324"/>
      <c r="I49" s="325"/>
    </row>
    <row r="50" spans="1:9" ht="15" customHeight="1" x14ac:dyDescent="0.2">
      <c r="A50" s="66" t="s">
        <v>265</v>
      </c>
      <c r="B50" s="158">
        <v>0</v>
      </c>
      <c r="C50" s="158">
        <v>0</v>
      </c>
      <c r="D50" s="59">
        <v>8500</v>
      </c>
      <c r="E50" s="59">
        <f t="shared" si="1"/>
        <v>0</v>
      </c>
      <c r="F50" s="326" t="s">
        <v>185</v>
      </c>
      <c r="G50" s="327"/>
      <c r="H50" s="327"/>
      <c r="I50" s="328"/>
    </row>
    <row r="51" spans="1:9" x14ac:dyDescent="0.2">
      <c r="A51" s="66" t="s">
        <v>194</v>
      </c>
      <c r="B51" s="158">
        <v>0</v>
      </c>
      <c r="C51" s="158">
        <v>0</v>
      </c>
      <c r="D51" s="59">
        <v>2500</v>
      </c>
      <c r="E51" s="59">
        <f>B51*C51*D51</f>
        <v>0</v>
      </c>
      <c r="F51" s="170" t="s">
        <v>266</v>
      </c>
      <c r="G51" s="171"/>
      <c r="H51" s="171"/>
      <c r="I51" s="172"/>
    </row>
    <row r="52" spans="1:9" x14ac:dyDescent="0.2">
      <c r="A52" s="66" t="s">
        <v>191</v>
      </c>
      <c r="B52" s="158">
        <v>0</v>
      </c>
      <c r="C52" s="158">
        <v>0</v>
      </c>
      <c r="D52" s="59">
        <v>26000</v>
      </c>
      <c r="E52" s="59">
        <f t="shared" si="1"/>
        <v>0</v>
      </c>
      <c r="F52" s="335" t="s">
        <v>267</v>
      </c>
      <c r="G52" s="336"/>
      <c r="H52" s="336"/>
      <c r="I52" s="337"/>
    </row>
    <row r="53" spans="1:9" x14ac:dyDescent="0.2">
      <c r="A53" s="66" t="s">
        <v>192</v>
      </c>
      <c r="B53" s="158">
        <v>0</v>
      </c>
      <c r="C53" s="158">
        <v>0</v>
      </c>
      <c r="D53" s="59">
        <v>35000</v>
      </c>
      <c r="E53" s="59">
        <f t="shared" si="1"/>
        <v>0</v>
      </c>
      <c r="F53" s="335" t="s">
        <v>267</v>
      </c>
      <c r="G53" s="336"/>
      <c r="H53" s="336"/>
      <c r="I53" s="337"/>
    </row>
    <row r="54" spans="1:9" x14ac:dyDescent="0.2">
      <c r="A54" s="66" t="s">
        <v>292</v>
      </c>
      <c r="B54" s="158">
        <v>0</v>
      </c>
      <c r="C54" s="158">
        <v>0</v>
      </c>
      <c r="D54" s="59">
        <v>10000</v>
      </c>
      <c r="E54" s="59">
        <f t="shared" si="1"/>
        <v>0</v>
      </c>
      <c r="F54" s="231"/>
      <c r="G54" s="232"/>
      <c r="H54" s="232"/>
      <c r="I54" s="233"/>
    </row>
    <row r="55" spans="1:9" x14ac:dyDescent="0.2">
      <c r="A55" s="66" t="s">
        <v>287</v>
      </c>
      <c r="B55" s="158">
        <v>0</v>
      </c>
      <c r="C55" s="158">
        <v>0</v>
      </c>
      <c r="D55" s="59">
        <v>5500</v>
      </c>
      <c r="E55" s="59">
        <f t="shared" si="1"/>
        <v>0</v>
      </c>
      <c r="F55" s="228" t="s">
        <v>289</v>
      </c>
      <c r="G55" s="229"/>
      <c r="H55" s="229"/>
      <c r="I55" s="230"/>
    </row>
    <row r="56" spans="1:9" x14ac:dyDescent="0.2">
      <c r="A56" s="66" t="s">
        <v>288</v>
      </c>
      <c r="B56" s="158">
        <v>0</v>
      </c>
      <c r="C56" s="158">
        <v>0</v>
      </c>
      <c r="D56" s="59">
        <v>14000</v>
      </c>
      <c r="E56" s="59">
        <f t="shared" si="1"/>
        <v>0</v>
      </c>
      <c r="F56" s="228" t="s">
        <v>290</v>
      </c>
      <c r="G56" s="229"/>
      <c r="H56" s="229"/>
      <c r="I56" s="230"/>
    </row>
    <row r="57" spans="1:9" x14ac:dyDescent="0.2">
      <c r="A57" s="66" t="s">
        <v>46</v>
      </c>
      <c r="B57" s="158">
        <v>0</v>
      </c>
      <c r="C57" s="158">
        <v>0</v>
      </c>
      <c r="D57" s="59">
        <v>7000</v>
      </c>
      <c r="E57" s="59">
        <f t="shared" si="1"/>
        <v>0</v>
      </c>
      <c r="F57" s="335" t="s">
        <v>65</v>
      </c>
      <c r="G57" s="336"/>
      <c r="H57" s="336"/>
      <c r="I57" s="337"/>
    </row>
    <row r="58" spans="1:9" x14ac:dyDescent="0.2">
      <c r="A58" s="66" t="s">
        <v>64</v>
      </c>
      <c r="B58" s="158">
        <v>0</v>
      </c>
      <c r="C58" s="158">
        <v>0</v>
      </c>
      <c r="D58" s="59">
        <v>20000</v>
      </c>
      <c r="E58" s="59">
        <f t="shared" si="1"/>
        <v>0</v>
      </c>
      <c r="F58" s="335" t="s">
        <v>65</v>
      </c>
      <c r="G58" s="336"/>
      <c r="H58" s="336"/>
      <c r="I58" s="337"/>
    </row>
    <row r="59" spans="1:9" x14ac:dyDescent="0.2">
      <c r="A59" s="66" t="s">
        <v>188</v>
      </c>
      <c r="B59" s="158">
        <v>0</v>
      </c>
      <c r="C59" s="158">
        <v>0</v>
      </c>
      <c r="D59" s="59">
        <v>3800</v>
      </c>
      <c r="E59" s="59">
        <f t="shared" si="1"/>
        <v>0</v>
      </c>
      <c r="F59" s="335" t="s">
        <v>189</v>
      </c>
      <c r="G59" s="336"/>
      <c r="H59" s="336"/>
      <c r="I59" s="337"/>
    </row>
    <row r="60" spans="1:9" x14ac:dyDescent="0.2">
      <c r="A60" s="66" t="s">
        <v>43</v>
      </c>
      <c r="B60" s="158">
        <v>0</v>
      </c>
      <c r="C60" s="158">
        <v>0</v>
      </c>
      <c r="D60" s="59">
        <v>3000</v>
      </c>
      <c r="E60" s="59">
        <f t="shared" si="1"/>
        <v>0</v>
      </c>
      <c r="F60" s="335" t="s">
        <v>44</v>
      </c>
      <c r="G60" s="336"/>
      <c r="H60" s="336"/>
      <c r="I60" s="337"/>
    </row>
    <row r="61" spans="1:9" x14ac:dyDescent="0.2">
      <c r="A61" s="256" t="s">
        <v>4</v>
      </c>
      <c r="B61" s="176">
        <v>0</v>
      </c>
      <c r="C61" s="176">
        <v>0</v>
      </c>
      <c r="D61" s="19">
        <v>3000</v>
      </c>
      <c r="E61" s="19">
        <f t="shared" si="1"/>
        <v>0</v>
      </c>
      <c r="F61" s="329" t="s">
        <v>38</v>
      </c>
      <c r="G61" s="329"/>
      <c r="H61" s="329"/>
      <c r="I61" s="329"/>
    </row>
    <row r="62" spans="1:9" ht="15" customHeight="1" x14ac:dyDescent="0.2">
      <c r="A62" s="256" t="s">
        <v>248</v>
      </c>
      <c r="B62" s="176">
        <v>0</v>
      </c>
      <c r="C62" s="176">
        <v>0</v>
      </c>
      <c r="D62" s="249">
        <v>250000</v>
      </c>
      <c r="E62" s="250">
        <f>B62*C62*D62</f>
        <v>0</v>
      </c>
      <c r="F62" s="344" t="s">
        <v>253</v>
      </c>
      <c r="G62" s="344"/>
      <c r="H62" s="344"/>
      <c r="I62" s="344"/>
    </row>
    <row r="63" spans="1:9" x14ac:dyDescent="0.2">
      <c r="A63" s="256" t="s">
        <v>27</v>
      </c>
      <c r="B63" s="176">
        <v>0</v>
      </c>
      <c r="C63" s="176">
        <v>0</v>
      </c>
      <c r="D63" s="19">
        <v>250000</v>
      </c>
      <c r="E63" s="250">
        <f t="shared" ref="E63:E68" si="2">B63*C63*D63</f>
        <v>0</v>
      </c>
      <c r="F63" s="329" t="s">
        <v>147</v>
      </c>
      <c r="G63" s="329"/>
      <c r="H63" s="329"/>
      <c r="I63" s="329"/>
    </row>
    <row r="64" spans="1:9" x14ac:dyDescent="0.2">
      <c r="A64" s="256" t="s">
        <v>5</v>
      </c>
      <c r="B64" s="176">
        <v>0</v>
      </c>
      <c r="C64" s="176">
        <v>0</v>
      </c>
      <c r="D64" s="19">
        <v>50000</v>
      </c>
      <c r="E64" s="250">
        <f t="shared" si="2"/>
        <v>0</v>
      </c>
      <c r="F64" s="329" t="s">
        <v>254</v>
      </c>
      <c r="G64" s="329"/>
      <c r="H64" s="329"/>
      <c r="I64" s="329"/>
    </row>
    <row r="65" spans="1:9" x14ac:dyDescent="0.2">
      <c r="A65" s="254" t="s">
        <v>28</v>
      </c>
      <c r="B65" s="176">
        <v>0</v>
      </c>
      <c r="C65" s="176">
        <v>0</v>
      </c>
      <c r="D65" s="19">
        <v>150000</v>
      </c>
      <c r="E65" s="250">
        <f t="shared" si="2"/>
        <v>0</v>
      </c>
      <c r="F65" s="329" t="s">
        <v>42</v>
      </c>
      <c r="G65" s="329"/>
      <c r="H65" s="329"/>
      <c r="I65" s="329"/>
    </row>
    <row r="66" spans="1:9" x14ac:dyDescent="0.2">
      <c r="A66" s="254" t="s">
        <v>29</v>
      </c>
      <c r="B66" s="176">
        <v>0</v>
      </c>
      <c r="C66" s="176">
        <v>0</v>
      </c>
      <c r="D66" s="19">
        <v>150000</v>
      </c>
      <c r="E66" s="250">
        <f t="shared" si="2"/>
        <v>0</v>
      </c>
      <c r="F66" s="329" t="s">
        <v>42</v>
      </c>
      <c r="G66" s="329"/>
      <c r="H66" s="329"/>
      <c r="I66" s="329"/>
    </row>
    <row r="67" spans="1:9" ht="15" customHeight="1" x14ac:dyDescent="0.2">
      <c r="A67" s="254" t="s">
        <v>30</v>
      </c>
      <c r="B67" s="176">
        <v>0</v>
      </c>
      <c r="C67" s="176">
        <v>0</v>
      </c>
      <c r="D67" s="19">
        <v>230000</v>
      </c>
      <c r="E67" s="250">
        <f t="shared" si="2"/>
        <v>0</v>
      </c>
      <c r="F67" s="329" t="s">
        <v>42</v>
      </c>
      <c r="G67" s="329"/>
      <c r="H67" s="329"/>
      <c r="I67" s="329"/>
    </row>
    <row r="68" spans="1:9" ht="15" customHeight="1" x14ac:dyDescent="0.2">
      <c r="A68" s="254" t="s">
        <v>293</v>
      </c>
      <c r="B68" s="176">
        <v>0</v>
      </c>
      <c r="C68" s="176">
        <v>0</v>
      </c>
      <c r="D68" s="19">
        <v>50000</v>
      </c>
      <c r="E68" s="250">
        <f t="shared" si="2"/>
        <v>0</v>
      </c>
      <c r="F68" s="244"/>
      <c r="G68" s="244"/>
      <c r="H68" s="244"/>
      <c r="I68" s="244"/>
    </row>
    <row r="69" spans="1:9" x14ac:dyDescent="0.2">
      <c r="A69" s="256" t="s">
        <v>270</v>
      </c>
      <c r="B69" s="176">
        <v>0</v>
      </c>
      <c r="C69" s="176">
        <v>0</v>
      </c>
      <c r="D69" s="19">
        <v>50000</v>
      </c>
      <c r="E69" s="19">
        <f t="shared" ref="E69:E70" si="3">B69*C69*D69</f>
        <v>0</v>
      </c>
      <c r="F69" s="329" t="s">
        <v>149</v>
      </c>
      <c r="G69" s="329"/>
      <c r="H69" s="329"/>
      <c r="I69" s="329"/>
    </row>
    <row r="70" spans="1:9" ht="17" thickBot="1" x14ac:dyDescent="0.25">
      <c r="A70" s="257" t="s">
        <v>61</v>
      </c>
      <c r="B70" s="160">
        <v>0</v>
      </c>
      <c r="C70" s="160">
        <v>0</v>
      </c>
      <c r="D70" s="125">
        <v>150000</v>
      </c>
      <c r="E70" s="70">
        <f t="shared" si="3"/>
        <v>0</v>
      </c>
      <c r="F70" s="338" t="s">
        <v>67</v>
      </c>
      <c r="G70" s="339"/>
      <c r="H70" s="339"/>
      <c r="I70" s="340"/>
    </row>
    <row r="74" spans="1:9" ht="17" thickBot="1" x14ac:dyDescent="0.25"/>
    <row r="75" spans="1:9" ht="17" x14ac:dyDescent="0.2">
      <c r="A75" s="94" t="s">
        <v>49</v>
      </c>
      <c r="B75" s="308" t="s">
        <v>153</v>
      </c>
      <c r="C75" s="308"/>
      <c r="D75" s="308"/>
      <c r="E75" s="308"/>
      <c r="F75" s="309"/>
    </row>
    <row r="76" spans="1:9" ht="17" x14ac:dyDescent="0.2">
      <c r="A76" s="95" t="s">
        <v>50</v>
      </c>
      <c r="B76" s="96"/>
      <c r="C76" s="96"/>
      <c r="D76" s="96"/>
      <c r="E76" s="96"/>
      <c r="F76" s="97"/>
    </row>
    <row r="77" spans="1:9" ht="17" x14ac:dyDescent="0.2">
      <c r="A77" s="95" t="s">
        <v>51</v>
      </c>
      <c r="B77" s="96"/>
      <c r="C77" s="96"/>
      <c r="D77" s="96"/>
      <c r="E77" s="96"/>
      <c r="F77" s="97"/>
    </row>
    <row r="78" spans="1:9" ht="17" x14ac:dyDescent="0.2">
      <c r="A78" s="95" t="s">
        <v>48</v>
      </c>
      <c r="B78" s="96"/>
      <c r="C78" s="96"/>
      <c r="D78" s="96"/>
      <c r="E78" s="96"/>
      <c r="F78" s="97"/>
    </row>
    <row r="79" spans="1:9" ht="17" x14ac:dyDescent="0.2">
      <c r="A79" s="95" t="s">
        <v>154</v>
      </c>
      <c r="B79" s="96"/>
      <c r="C79" s="96"/>
      <c r="D79" s="96"/>
      <c r="E79" s="96"/>
      <c r="F79" s="97"/>
      <c r="I79" s="43" t="s">
        <v>6</v>
      </c>
    </row>
    <row r="80" spans="1:9" ht="17" x14ac:dyDescent="0.2">
      <c r="A80" s="98" t="s">
        <v>155</v>
      </c>
      <c r="B80" s="99"/>
      <c r="C80" s="99"/>
      <c r="D80" s="99"/>
      <c r="E80" s="99"/>
      <c r="F80" s="100"/>
    </row>
    <row r="81" spans="1:6" ht="17" x14ac:dyDescent="0.2">
      <c r="A81" s="101" t="s">
        <v>156</v>
      </c>
      <c r="B81" s="102"/>
      <c r="C81" s="102"/>
      <c r="D81" s="102"/>
      <c r="E81" s="102"/>
      <c r="F81" s="103"/>
    </row>
    <row r="82" spans="1:6" ht="18" thickBot="1" x14ac:dyDescent="0.25">
      <c r="A82" s="104" t="s">
        <v>157</v>
      </c>
      <c r="B82" s="105"/>
      <c r="C82" s="105"/>
      <c r="D82" s="105"/>
      <c r="E82" s="105"/>
      <c r="F82" s="106"/>
    </row>
    <row r="83" spans="1:6" ht="18" thickBot="1" x14ac:dyDescent="0.25">
      <c r="A83" s="107"/>
      <c r="B83" s="108"/>
      <c r="C83" s="108"/>
      <c r="D83" s="108"/>
      <c r="E83" s="108"/>
      <c r="F83" s="108"/>
    </row>
    <row r="84" spans="1:6" ht="17" x14ac:dyDescent="0.2">
      <c r="A84" s="109" t="s">
        <v>247</v>
      </c>
      <c r="B84" s="110"/>
      <c r="C84" s="110"/>
      <c r="D84" s="110"/>
      <c r="E84" s="110"/>
      <c r="F84" s="111"/>
    </row>
    <row r="85" spans="1:6" ht="17" x14ac:dyDescent="0.2">
      <c r="A85" s="95" t="s">
        <v>159</v>
      </c>
      <c r="B85" s="99" t="s">
        <v>245</v>
      </c>
      <c r="C85" s="99"/>
      <c r="D85" s="99"/>
      <c r="E85" s="99"/>
      <c r="F85" s="100"/>
    </row>
    <row r="86" spans="1:6" ht="17" x14ac:dyDescent="0.2">
      <c r="A86" s="95" t="s">
        <v>161</v>
      </c>
      <c r="B86" s="112" t="s">
        <v>162</v>
      </c>
      <c r="C86" s="113"/>
      <c r="D86" s="113"/>
      <c r="E86" s="113"/>
      <c r="F86" s="114"/>
    </row>
    <row r="87" spans="1:6" ht="17" x14ac:dyDescent="0.2">
      <c r="A87" s="95" t="s">
        <v>163</v>
      </c>
      <c r="B87" s="99" t="s">
        <v>246</v>
      </c>
      <c r="C87" s="99"/>
      <c r="D87" s="99"/>
      <c r="E87" s="99"/>
      <c r="F87" s="100"/>
    </row>
    <row r="88" spans="1:6" ht="18" thickBot="1" x14ac:dyDescent="0.25">
      <c r="A88" s="115" t="s">
        <v>165</v>
      </c>
      <c r="B88" s="105" t="s">
        <v>166</v>
      </c>
      <c r="C88" s="105"/>
      <c r="D88" s="105"/>
      <c r="E88" s="105"/>
      <c r="F88" s="106"/>
    </row>
    <row r="89" spans="1:6" ht="18" thickBot="1" x14ac:dyDescent="0.25">
      <c r="A89" s="116"/>
      <c r="B89" s="108"/>
      <c r="C89" s="108"/>
      <c r="D89" s="108"/>
      <c r="E89" s="108"/>
      <c r="F89" s="108"/>
    </row>
    <row r="90" spans="1:6" ht="17" x14ac:dyDescent="0.2">
      <c r="A90" s="117" t="s">
        <v>167</v>
      </c>
      <c r="B90" s="118"/>
      <c r="C90" s="118"/>
      <c r="D90" s="118"/>
      <c r="E90" s="118"/>
      <c r="F90" s="119"/>
    </row>
    <row r="91" spans="1:6" ht="17" x14ac:dyDescent="0.2">
      <c r="A91" s="120" t="s">
        <v>168</v>
      </c>
      <c r="B91" s="113" t="s">
        <v>169</v>
      </c>
      <c r="C91" s="113"/>
      <c r="D91" s="113"/>
      <c r="E91" s="113"/>
      <c r="F91" s="114"/>
    </row>
    <row r="92" spans="1:6" ht="18" thickBot="1" x14ac:dyDescent="0.25">
      <c r="A92" s="115" t="s">
        <v>170</v>
      </c>
      <c r="B92" s="234" t="s">
        <v>171</v>
      </c>
      <c r="C92" s="234"/>
      <c r="D92" s="234"/>
      <c r="E92" s="234"/>
      <c r="F92" s="235"/>
    </row>
    <row r="93" spans="1:6" ht="17" x14ac:dyDescent="0.2">
      <c r="A93" s="116"/>
      <c r="B93" s="60"/>
      <c r="C93" s="60"/>
      <c r="D93" s="60"/>
      <c r="E93" s="60"/>
      <c r="F93" s="60"/>
    </row>
  </sheetData>
  <mergeCells count="42">
    <mergeCell ref="F70:I70"/>
    <mergeCell ref="F67:I67"/>
    <mergeCell ref="F17:I17"/>
    <mergeCell ref="F62:I62"/>
    <mergeCell ref="F63:I63"/>
    <mergeCell ref="F64:I64"/>
    <mergeCell ref="F65:I65"/>
    <mergeCell ref="F66:I66"/>
    <mergeCell ref="F59:I59"/>
    <mergeCell ref="F60:I60"/>
    <mergeCell ref="F61:I61"/>
    <mergeCell ref="F53:I53"/>
    <mergeCell ref="F57:I57"/>
    <mergeCell ref="F58:I58"/>
    <mergeCell ref="F11:I11"/>
    <mergeCell ref="F69:I69"/>
    <mergeCell ref="F12:I12"/>
    <mergeCell ref="F26:I26"/>
    <mergeCell ref="F30:I30"/>
    <mergeCell ref="F28:I28"/>
    <mergeCell ref="F32:I32"/>
    <mergeCell ref="F52:I52"/>
    <mergeCell ref="F22:I22"/>
    <mergeCell ref="F23:I23"/>
    <mergeCell ref="F24:I24"/>
    <mergeCell ref="F25:I25"/>
    <mergeCell ref="B75:F75"/>
    <mergeCell ref="F8:I8"/>
    <mergeCell ref="F9:I9"/>
    <mergeCell ref="F13:I13"/>
    <mergeCell ref="F33:I33"/>
    <mergeCell ref="F35:I35"/>
    <mergeCell ref="F16:I16"/>
    <mergeCell ref="F46:I46"/>
    <mergeCell ref="F37:I37"/>
    <mergeCell ref="F20:I20"/>
    <mergeCell ref="F10:I10"/>
    <mergeCell ref="F48:I48"/>
    <mergeCell ref="F49:I49"/>
    <mergeCell ref="F50:I50"/>
    <mergeCell ref="F19:I19"/>
    <mergeCell ref="F21:I21"/>
  </mergeCells>
  <phoneticPr fontId="7" type="noConversion"/>
  <pageMargins left="0.75000000000000011" right="0.75000000000000011" top="1" bottom="1" header="0.5" footer="0.5"/>
  <pageSetup paperSize="5" orientation="portrait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6" tint="0.39997558519241921"/>
  </sheetPr>
  <dimension ref="A1:J90"/>
  <sheetViews>
    <sheetView topLeftCell="A60" workbookViewId="0">
      <selection activeCell="F64" sqref="F64"/>
    </sheetView>
  </sheetViews>
  <sheetFormatPr baseColWidth="10" defaultRowHeight="16" x14ac:dyDescent="0.2"/>
  <cols>
    <col min="1" max="1" width="51.83203125" customWidth="1"/>
    <col min="3" max="3" width="11.6640625" bestFit="1" customWidth="1"/>
    <col min="6" max="6" width="111.83203125" customWidth="1"/>
    <col min="7" max="7" width="77" customWidth="1"/>
  </cols>
  <sheetData>
    <row r="1" spans="1:6" ht="19" x14ac:dyDescent="0.25">
      <c r="A1" s="121" t="s">
        <v>7</v>
      </c>
    </row>
    <row r="3" spans="1:6" x14ac:dyDescent="0.2">
      <c r="A3" t="s">
        <v>176</v>
      </c>
      <c r="C3" t="s">
        <v>10</v>
      </c>
      <c r="D3" t="s">
        <v>6</v>
      </c>
    </row>
    <row r="4" spans="1:6" x14ac:dyDescent="0.2">
      <c r="A4" t="s">
        <v>177</v>
      </c>
      <c r="C4" t="s">
        <v>12</v>
      </c>
      <c r="D4" t="s">
        <v>6</v>
      </c>
    </row>
    <row r="5" spans="1:6" x14ac:dyDescent="0.2">
      <c r="A5" t="s">
        <v>178</v>
      </c>
      <c r="C5" t="s">
        <v>179</v>
      </c>
      <c r="D5" t="s">
        <v>6</v>
      </c>
    </row>
    <row r="6" spans="1:6" x14ac:dyDescent="0.2">
      <c r="A6" t="s">
        <v>180</v>
      </c>
      <c r="C6" t="s">
        <v>12</v>
      </c>
    </row>
    <row r="7" spans="1:6" ht="17" thickBot="1" x14ac:dyDescent="0.25"/>
    <row r="8" spans="1:6" x14ac:dyDescent="0.2">
      <c r="A8" s="48" t="s">
        <v>62</v>
      </c>
      <c r="B8" s="47" t="s">
        <v>269</v>
      </c>
      <c r="C8" s="47" t="s">
        <v>13</v>
      </c>
      <c r="D8" s="47" t="s">
        <v>0</v>
      </c>
      <c r="E8" s="47" t="s">
        <v>1</v>
      </c>
      <c r="F8" s="41" t="s">
        <v>35</v>
      </c>
    </row>
    <row r="9" spans="1:6" x14ac:dyDescent="0.2">
      <c r="A9" s="25" t="s">
        <v>52</v>
      </c>
      <c r="B9" s="1">
        <v>0</v>
      </c>
      <c r="C9" s="1">
        <v>0</v>
      </c>
      <c r="D9" s="2">
        <v>32500</v>
      </c>
      <c r="E9" s="2">
        <f>C9*D9</f>
        <v>0</v>
      </c>
      <c r="F9" s="39" t="s">
        <v>283</v>
      </c>
    </row>
    <row r="10" spans="1:6" x14ac:dyDescent="0.2">
      <c r="A10" s="25" t="s">
        <v>145</v>
      </c>
      <c r="B10" s="1">
        <v>0</v>
      </c>
      <c r="C10" s="1">
        <v>0</v>
      </c>
      <c r="D10" s="2">
        <f>35000</f>
        <v>35000</v>
      </c>
      <c r="E10" s="2">
        <f>C10*D10</f>
        <v>0</v>
      </c>
      <c r="F10" s="39" t="s">
        <v>282</v>
      </c>
    </row>
    <row r="11" spans="1:6" x14ac:dyDescent="0.2">
      <c r="A11" s="25" t="s">
        <v>56</v>
      </c>
      <c r="B11" s="1">
        <v>0</v>
      </c>
      <c r="C11" s="1">
        <v>0</v>
      </c>
      <c r="D11" s="2">
        <v>55000</v>
      </c>
      <c r="E11" s="2">
        <f>C11*D11</f>
        <v>0</v>
      </c>
      <c r="F11" s="39" t="s">
        <v>55</v>
      </c>
    </row>
    <row r="12" spans="1:6" x14ac:dyDescent="0.2">
      <c r="A12" s="25" t="s">
        <v>57</v>
      </c>
      <c r="B12" s="1">
        <v>0</v>
      </c>
      <c r="C12" s="1">
        <v>0</v>
      </c>
      <c r="D12" s="2">
        <f>30000+45000</f>
        <v>75000</v>
      </c>
      <c r="E12" s="2">
        <f>C12*D12</f>
        <v>0</v>
      </c>
      <c r="F12" s="39" t="s">
        <v>58</v>
      </c>
    </row>
    <row r="13" spans="1:6" ht="17" thickBot="1" x14ac:dyDescent="0.25">
      <c r="A13" s="26" t="s">
        <v>53</v>
      </c>
      <c r="B13" s="10">
        <v>0</v>
      </c>
      <c r="C13" s="10">
        <v>0</v>
      </c>
      <c r="D13" s="11">
        <v>75000</v>
      </c>
      <c r="E13" s="11">
        <f>C13*D13</f>
        <v>0</v>
      </c>
      <c r="F13" s="40" t="s">
        <v>59</v>
      </c>
    </row>
    <row r="14" spans="1:6" ht="17" thickBot="1" x14ac:dyDescent="0.25">
      <c r="A14" s="7" t="s">
        <v>54</v>
      </c>
      <c r="B14" s="7"/>
      <c r="C14" s="8"/>
      <c r="D14" s="9" t="s">
        <v>6</v>
      </c>
      <c r="E14" s="9">
        <f>SUM(E9:E13)</f>
        <v>0</v>
      </c>
      <c r="F14" s="4" t="s">
        <v>281</v>
      </c>
    </row>
    <row r="15" spans="1:6" x14ac:dyDescent="0.2">
      <c r="A15" s="52" t="s">
        <v>15</v>
      </c>
      <c r="B15" s="122" t="s">
        <v>181</v>
      </c>
      <c r="C15" s="5" t="s">
        <v>19</v>
      </c>
      <c r="D15" s="5" t="s">
        <v>16</v>
      </c>
      <c r="E15" s="5" t="s">
        <v>1</v>
      </c>
      <c r="F15" s="64" t="s">
        <v>35</v>
      </c>
    </row>
    <row r="16" spans="1:6" x14ac:dyDescent="0.2">
      <c r="A16" s="55" t="s">
        <v>2</v>
      </c>
      <c r="B16" s="1">
        <v>0</v>
      </c>
      <c r="C16" s="1">
        <v>0</v>
      </c>
      <c r="D16" s="3">
        <v>15000</v>
      </c>
      <c r="E16" s="2">
        <f>B16*C16*D16</f>
        <v>0</v>
      </c>
      <c r="F16" s="58" t="s">
        <v>280</v>
      </c>
    </row>
    <row r="17" spans="1:10" x14ac:dyDescent="0.2">
      <c r="A17" s="55" t="s">
        <v>3</v>
      </c>
      <c r="B17" s="1">
        <v>0</v>
      </c>
      <c r="C17" s="1">
        <v>0</v>
      </c>
      <c r="D17" s="3">
        <v>15000</v>
      </c>
      <c r="E17" s="2">
        <f t="shared" ref="E17:E36" si="0">B17*C17*D17</f>
        <v>0</v>
      </c>
      <c r="F17" s="58" t="s">
        <v>36</v>
      </c>
    </row>
    <row r="18" spans="1:10" x14ac:dyDescent="0.2">
      <c r="A18" s="65" t="s">
        <v>45</v>
      </c>
      <c r="B18" s="50">
        <v>0</v>
      </c>
      <c r="C18" s="50">
        <v>0</v>
      </c>
      <c r="D18" s="63">
        <v>8500</v>
      </c>
      <c r="E18" s="2">
        <f t="shared" si="0"/>
        <v>0</v>
      </c>
      <c r="F18" s="58" t="s">
        <v>257</v>
      </c>
    </row>
    <row r="19" spans="1:10" x14ac:dyDescent="0.2">
      <c r="A19" s="66" t="s">
        <v>259</v>
      </c>
      <c r="B19" s="50">
        <v>0</v>
      </c>
      <c r="C19" s="50">
        <v>0</v>
      </c>
      <c r="D19" s="51">
        <v>3500</v>
      </c>
      <c r="E19" s="2">
        <f t="shared" si="0"/>
        <v>0</v>
      </c>
      <c r="F19" s="67" t="s">
        <v>279</v>
      </c>
    </row>
    <row r="20" spans="1:10" x14ac:dyDescent="0.2">
      <c r="A20" s="66" t="s">
        <v>261</v>
      </c>
      <c r="B20" s="50">
        <v>0</v>
      </c>
      <c r="C20" s="50">
        <v>0</v>
      </c>
      <c r="D20" s="51">
        <v>5500</v>
      </c>
      <c r="E20" s="2">
        <f t="shared" si="0"/>
        <v>0</v>
      </c>
      <c r="F20" s="67" t="s">
        <v>278</v>
      </c>
    </row>
    <row r="21" spans="1:10" x14ac:dyDescent="0.2">
      <c r="A21" s="66" t="s">
        <v>264</v>
      </c>
      <c r="B21" s="50">
        <v>0</v>
      </c>
      <c r="C21" s="50">
        <v>0</v>
      </c>
      <c r="D21" s="51">
        <v>8000</v>
      </c>
      <c r="E21" s="2">
        <f t="shared" si="0"/>
        <v>0</v>
      </c>
      <c r="F21" s="67" t="s">
        <v>276</v>
      </c>
    </row>
    <row r="22" spans="1:10" x14ac:dyDescent="0.2">
      <c r="A22" s="55" t="s">
        <v>271</v>
      </c>
      <c r="B22" s="1">
        <v>0</v>
      </c>
      <c r="C22" s="1">
        <v>0</v>
      </c>
      <c r="D22" s="2">
        <v>8500</v>
      </c>
      <c r="E22" s="2">
        <f t="shared" si="0"/>
        <v>0</v>
      </c>
      <c r="F22" s="58" t="s">
        <v>277</v>
      </c>
    </row>
    <row r="23" spans="1:10" x14ac:dyDescent="0.2">
      <c r="A23" s="55" t="s">
        <v>63</v>
      </c>
      <c r="B23" s="1">
        <v>0</v>
      </c>
      <c r="C23" s="1">
        <v>0</v>
      </c>
      <c r="D23" s="2">
        <v>5000</v>
      </c>
      <c r="E23" s="2">
        <f t="shared" si="0"/>
        <v>0</v>
      </c>
      <c r="F23" s="58" t="s">
        <v>37</v>
      </c>
    </row>
    <row r="24" spans="1:10" x14ac:dyDescent="0.2">
      <c r="A24" s="55" t="s">
        <v>194</v>
      </c>
      <c r="B24" s="56">
        <v>0</v>
      </c>
      <c r="C24" s="56">
        <v>0</v>
      </c>
      <c r="D24" s="59">
        <v>2500</v>
      </c>
      <c r="E24" s="59">
        <v>0</v>
      </c>
      <c r="F24" s="236" t="s">
        <v>266</v>
      </c>
      <c r="G24" s="237"/>
      <c r="H24" s="237"/>
      <c r="I24" s="241"/>
      <c r="J24" s="60"/>
    </row>
    <row r="25" spans="1:10" x14ac:dyDescent="0.2">
      <c r="A25" s="55" t="s">
        <v>186</v>
      </c>
      <c r="B25" s="56">
        <v>0</v>
      </c>
      <c r="C25" s="56">
        <v>0</v>
      </c>
      <c r="D25" s="59">
        <v>12000</v>
      </c>
      <c r="E25" s="59">
        <v>0</v>
      </c>
      <c r="F25" s="335" t="s">
        <v>187</v>
      </c>
      <c r="G25" s="336"/>
      <c r="H25" s="336"/>
      <c r="I25" s="347"/>
      <c r="J25" s="60"/>
    </row>
    <row r="26" spans="1:10" x14ac:dyDescent="0.2">
      <c r="A26" s="55" t="s">
        <v>191</v>
      </c>
      <c r="B26" s="56">
        <v>0</v>
      </c>
      <c r="C26" s="56">
        <v>0</v>
      </c>
      <c r="D26" s="59">
        <v>26000</v>
      </c>
      <c r="E26" s="59">
        <v>0</v>
      </c>
      <c r="F26" s="335" t="s">
        <v>267</v>
      </c>
      <c r="G26" s="336"/>
      <c r="H26" s="336"/>
      <c r="I26" s="347"/>
      <c r="J26" s="60"/>
    </row>
    <row r="27" spans="1:10" x14ac:dyDescent="0.2">
      <c r="A27" s="55" t="s">
        <v>192</v>
      </c>
      <c r="B27" s="56">
        <v>0</v>
      </c>
      <c r="C27" s="56">
        <v>0</v>
      </c>
      <c r="D27" s="59">
        <v>35000</v>
      </c>
      <c r="E27" s="59">
        <v>0</v>
      </c>
      <c r="F27" s="335" t="s">
        <v>267</v>
      </c>
      <c r="G27" s="336"/>
      <c r="H27" s="336"/>
      <c r="I27" s="347"/>
      <c r="J27" s="60"/>
    </row>
    <row r="28" spans="1:10" x14ac:dyDescent="0.2">
      <c r="A28" s="55" t="s">
        <v>292</v>
      </c>
      <c r="B28" s="56">
        <v>0</v>
      </c>
      <c r="C28" s="56">
        <v>0</v>
      </c>
      <c r="D28" s="59">
        <v>10000</v>
      </c>
      <c r="E28" s="59">
        <v>0</v>
      </c>
      <c r="F28" s="242"/>
      <c r="G28" s="242"/>
      <c r="H28" s="242"/>
      <c r="I28" s="243"/>
      <c r="J28" s="60"/>
    </row>
    <row r="29" spans="1:10" x14ac:dyDescent="0.2">
      <c r="A29" s="55" t="s">
        <v>287</v>
      </c>
      <c r="B29" s="56">
        <v>0</v>
      </c>
      <c r="C29" s="56">
        <v>0</v>
      </c>
      <c r="D29" s="59">
        <v>5500</v>
      </c>
      <c r="E29" s="59">
        <v>0</v>
      </c>
      <c r="F29" s="236" t="s">
        <v>289</v>
      </c>
      <c r="G29" s="237"/>
      <c r="H29" s="237"/>
      <c r="I29" s="241"/>
      <c r="J29" s="60"/>
    </row>
    <row r="30" spans="1:10" x14ac:dyDescent="0.2">
      <c r="A30" s="55" t="s">
        <v>288</v>
      </c>
      <c r="B30" s="56">
        <v>0</v>
      </c>
      <c r="C30" s="56">
        <v>0</v>
      </c>
      <c r="D30" s="59">
        <v>14000</v>
      </c>
      <c r="E30" s="59">
        <v>0</v>
      </c>
      <c r="F30" s="236" t="s">
        <v>290</v>
      </c>
      <c r="G30" s="237"/>
      <c r="H30" s="237"/>
      <c r="I30" s="241"/>
      <c r="J30" s="60"/>
    </row>
    <row r="31" spans="1:10" x14ac:dyDescent="0.2">
      <c r="A31" s="55" t="s">
        <v>46</v>
      </c>
      <c r="B31" s="56">
        <v>0</v>
      </c>
      <c r="C31" s="56">
        <v>0</v>
      </c>
      <c r="D31" s="59">
        <v>7000</v>
      </c>
      <c r="E31" s="59">
        <v>0</v>
      </c>
      <c r="F31" s="335" t="s">
        <v>65</v>
      </c>
      <c r="G31" s="336"/>
      <c r="H31" s="336"/>
      <c r="I31" s="347"/>
      <c r="J31" s="60"/>
    </row>
    <row r="32" spans="1:10" x14ac:dyDescent="0.2">
      <c r="A32" s="55" t="s">
        <v>64</v>
      </c>
      <c r="B32" s="56">
        <v>0</v>
      </c>
      <c r="C32" s="56">
        <v>0</v>
      </c>
      <c r="D32" s="59">
        <v>20000</v>
      </c>
      <c r="E32" s="59">
        <v>0</v>
      </c>
      <c r="F32" s="335" t="s">
        <v>65</v>
      </c>
      <c r="G32" s="336"/>
      <c r="H32" s="336"/>
      <c r="I32" s="347"/>
      <c r="J32" s="60"/>
    </row>
    <row r="33" spans="1:10" x14ac:dyDescent="0.2">
      <c r="A33" s="55" t="s">
        <v>188</v>
      </c>
      <c r="B33" s="56">
        <v>0</v>
      </c>
      <c r="C33" s="56">
        <v>0</v>
      </c>
      <c r="D33" s="59">
        <v>3800</v>
      </c>
      <c r="E33" s="59">
        <v>0</v>
      </c>
      <c r="F33" s="335" t="s">
        <v>189</v>
      </c>
      <c r="G33" s="336"/>
      <c r="H33" s="336"/>
      <c r="I33" s="347"/>
      <c r="J33" s="60"/>
    </row>
    <row r="34" spans="1:10" x14ac:dyDescent="0.2">
      <c r="A34" s="55" t="s">
        <v>66</v>
      </c>
      <c r="B34" s="1">
        <v>0</v>
      </c>
      <c r="C34" s="1">
        <v>0</v>
      </c>
      <c r="D34" s="2">
        <v>1500</v>
      </c>
      <c r="E34" s="2">
        <f t="shared" si="0"/>
        <v>0</v>
      </c>
      <c r="F34" s="58" t="s">
        <v>275</v>
      </c>
    </row>
    <row r="35" spans="1:10" x14ac:dyDescent="0.2">
      <c r="A35" s="55" t="s">
        <v>43</v>
      </c>
      <c r="B35" s="1">
        <v>0</v>
      </c>
      <c r="C35" s="1">
        <v>0</v>
      </c>
      <c r="D35" s="2">
        <v>2500</v>
      </c>
      <c r="E35" s="2">
        <f t="shared" si="0"/>
        <v>0</v>
      </c>
      <c r="F35" s="58" t="s">
        <v>44</v>
      </c>
    </row>
    <row r="36" spans="1:10" ht="17" thickBot="1" x14ac:dyDescent="0.25">
      <c r="A36" s="68" t="s">
        <v>4</v>
      </c>
      <c r="B36" s="10">
        <v>0</v>
      </c>
      <c r="C36" s="10">
        <v>0</v>
      </c>
      <c r="D36" s="11">
        <v>2500</v>
      </c>
      <c r="E36" s="11">
        <f t="shared" si="0"/>
        <v>0</v>
      </c>
      <c r="F36" s="71" t="s">
        <v>38</v>
      </c>
    </row>
    <row r="37" spans="1:10" ht="17" thickBot="1" x14ac:dyDescent="0.25">
      <c r="A37" s="7" t="s">
        <v>17</v>
      </c>
      <c r="B37" s="7"/>
      <c r="C37" s="8"/>
      <c r="D37" s="9" t="s">
        <v>6</v>
      </c>
      <c r="E37" s="9">
        <f>SUM(E16:E36)</f>
        <v>0</v>
      </c>
    </row>
    <row r="38" spans="1:10" x14ac:dyDescent="0.2">
      <c r="A38" s="52" t="s">
        <v>18</v>
      </c>
      <c r="B38" s="53" t="s">
        <v>20</v>
      </c>
      <c r="C38" s="53" t="s">
        <v>6</v>
      </c>
      <c r="D38" s="53" t="s">
        <v>16</v>
      </c>
      <c r="E38" s="53" t="s">
        <v>14</v>
      </c>
      <c r="F38" s="54" t="s">
        <v>35</v>
      </c>
    </row>
    <row r="39" spans="1:10" x14ac:dyDescent="0.2">
      <c r="A39" s="55" t="s">
        <v>150</v>
      </c>
      <c r="B39" s="56">
        <v>0</v>
      </c>
      <c r="C39" s="56">
        <v>0</v>
      </c>
      <c r="D39" s="57">
        <v>250000</v>
      </c>
      <c r="E39" s="59">
        <f>D39*C39*B39</f>
        <v>0</v>
      </c>
      <c r="F39" s="58" t="s">
        <v>249</v>
      </c>
    </row>
    <row r="40" spans="1:10" x14ac:dyDescent="0.2">
      <c r="A40" s="55" t="s">
        <v>291</v>
      </c>
      <c r="B40" s="56">
        <v>0</v>
      </c>
      <c r="C40" s="56">
        <v>0</v>
      </c>
      <c r="D40" s="57">
        <v>250000</v>
      </c>
      <c r="E40" s="59">
        <f t="shared" ref="E40:E46" si="1">D40*C40*B40</f>
        <v>0</v>
      </c>
      <c r="F40" s="58" t="s">
        <v>250</v>
      </c>
    </row>
    <row r="41" spans="1:10" x14ac:dyDescent="0.2">
      <c r="A41" s="55" t="s">
        <v>151</v>
      </c>
      <c r="B41" s="56">
        <v>0</v>
      </c>
      <c r="C41" s="56">
        <v>0</v>
      </c>
      <c r="D41" s="59">
        <v>90000</v>
      </c>
      <c r="E41" s="59">
        <f t="shared" si="1"/>
        <v>0</v>
      </c>
      <c r="F41" s="58" t="s">
        <v>251</v>
      </c>
    </row>
    <row r="42" spans="1:10" x14ac:dyDescent="0.2">
      <c r="A42" s="55" t="s">
        <v>152</v>
      </c>
      <c r="B42" s="56">
        <v>0</v>
      </c>
      <c r="C42" s="56">
        <v>0</v>
      </c>
      <c r="D42" s="59">
        <v>80000</v>
      </c>
      <c r="E42" s="59">
        <f t="shared" si="1"/>
        <v>0</v>
      </c>
      <c r="F42" s="58" t="s">
        <v>252</v>
      </c>
    </row>
    <row r="43" spans="1:10" x14ac:dyDescent="0.2">
      <c r="A43" s="55" t="s">
        <v>22</v>
      </c>
      <c r="B43" s="56">
        <v>0</v>
      </c>
      <c r="C43" s="56">
        <v>0</v>
      </c>
      <c r="D43" s="59">
        <v>250000</v>
      </c>
      <c r="E43" s="59">
        <f t="shared" si="1"/>
        <v>0</v>
      </c>
      <c r="F43" s="58" t="s">
        <v>147</v>
      </c>
    </row>
    <row r="44" spans="1:10" x14ac:dyDescent="0.2">
      <c r="A44" s="55" t="s">
        <v>270</v>
      </c>
      <c r="B44" s="56">
        <v>0</v>
      </c>
      <c r="C44" s="56">
        <v>0</v>
      </c>
      <c r="D44" s="59">
        <v>50000</v>
      </c>
      <c r="E44" s="59">
        <f t="shared" si="1"/>
        <v>0</v>
      </c>
      <c r="F44" s="58" t="s">
        <v>149</v>
      </c>
    </row>
    <row r="45" spans="1:10" x14ac:dyDescent="0.2">
      <c r="A45" s="123" t="s">
        <v>60</v>
      </c>
      <c r="B45" s="56">
        <v>0</v>
      </c>
      <c r="C45" s="56">
        <v>0</v>
      </c>
      <c r="D45" s="57">
        <v>30000</v>
      </c>
      <c r="E45" s="59">
        <f t="shared" si="1"/>
        <v>0</v>
      </c>
      <c r="F45" s="58"/>
    </row>
    <row r="46" spans="1:10" ht="17" thickBot="1" x14ac:dyDescent="0.25">
      <c r="A46" s="124" t="s">
        <v>61</v>
      </c>
      <c r="B46" s="69">
        <v>0</v>
      </c>
      <c r="C46" s="69">
        <v>0</v>
      </c>
      <c r="D46" s="125">
        <v>150000</v>
      </c>
      <c r="E46" s="70">
        <f t="shared" si="1"/>
        <v>0</v>
      </c>
      <c r="F46" s="71"/>
    </row>
    <row r="47" spans="1:10" ht="17" thickBot="1" x14ac:dyDescent="0.25">
      <c r="A47" s="17" t="s">
        <v>21</v>
      </c>
      <c r="B47" s="17"/>
      <c r="C47" s="61"/>
      <c r="D47" s="62"/>
      <c r="E47" s="33">
        <f>SUM(E39:E46)</f>
        <v>0</v>
      </c>
      <c r="F47" s="60"/>
    </row>
    <row r="48" spans="1:10" x14ac:dyDescent="0.2">
      <c r="A48" s="48" t="s">
        <v>25</v>
      </c>
      <c r="B48" s="47" t="s">
        <v>6</v>
      </c>
      <c r="C48" s="47" t="s">
        <v>13</v>
      </c>
      <c r="D48" s="47" t="s">
        <v>0</v>
      </c>
      <c r="E48" s="49" t="s">
        <v>1</v>
      </c>
      <c r="F48" s="41" t="s">
        <v>35</v>
      </c>
    </row>
    <row r="49" spans="1:9" x14ac:dyDescent="0.2">
      <c r="A49" s="42" t="s">
        <v>34</v>
      </c>
      <c r="B49" s="18" t="s">
        <v>6</v>
      </c>
      <c r="C49" s="18">
        <v>0</v>
      </c>
      <c r="D49" s="19">
        <v>0</v>
      </c>
      <c r="E49" s="45">
        <f>C49*D49</f>
        <v>0</v>
      </c>
      <c r="F49" s="39" t="s">
        <v>41</v>
      </c>
    </row>
    <row r="50" spans="1:9" x14ac:dyDescent="0.2">
      <c r="A50" s="42" t="s">
        <v>47</v>
      </c>
      <c r="B50" s="18" t="s">
        <v>6</v>
      </c>
      <c r="C50" s="18">
        <v>0</v>
      </c>
      <c r="D50" s="19">
        <v>0</v>
      </c>
      <c r="E50" s="45">
        <f t="shared" ref="E50:E51" si="2">C50*D50</f>
        <v>0</v>
      </c>
      <c r="F50" s="39" t="s">
        <v>39</v>
      </c>
    </row>
    <row r="51" spans="1:9" x14ac:dyDescent="0.2">
      <c r="A51" s="42" t="s">
        <v>23</v>
      </c>
      <c r="B51" s="18" t="s">
        <v>6</v>
      </c>
      <c r="C51" s="18">
        <v>0</v>
      </c>
      <c r="D51" s="19">
        <v>0</v>
      </c>
      <c r="E51" s="45">
        <f t="shared" si="2"/>
        <v>0</v>
      </c>
      <c r="F51" s="39" t="s">
        <v>40</v>
      </c>
    </row>
    <row r="52" spans="1:9" ht="17" thickBot="1" x14ac:dyDescent="0.25">
      <c r="A52" s="20" t="s">
        <v>24</v>
      </c>
      <c r="B52" s="21" t="s">
        <v>6</v>
      </c>
      <c r="C52" s="21">
        <v>0</v>
      </c>
      <c r="D52" s="22">
        <v>0</v>
      </c>
      <c r="E52" s="46">
        <f>D52+C52*8000</f>
        <v>0</v>
      </c>
      <c r="F52" s="40" t="s">
        <v>148</v>
      </c>
    </row>
    <row r="53" spans="1:9" ht="17" thickBot="1" x14ac:dyDescent="0.25">
      <c r="A53" s="14" t="s">
        <v>31</v>
      </c>
      <c r="B53" s="14"/>
      <c r="C53" s="15"/>
      <c r="D53" s="16"/>
      <c r="E53" s="33">
        <f>SUM(E49:E52)</f>
        <v>0</v>
      </c>
    </row>
    <row r="54" spans="1:9" x14ac:dyDescent="0.2">
      <c r="A54" s="48" t="s">
        <v>26</v>
      </c>
      <c r="B54" s="47" t="s">
        <v>6</v>
      </c>
      <c r="C54" s="47" t="s">
        <v>13</v>
      </c>
      <c r="D54" s="47" t="s">
        <v>0</v>
      </c>
      <c r="E54" s="49" t="s">
        <v>1</v>
      </c>
      <c r="F54" s="41" t="s">
        <v>35</v>
      </c>
    </row>
    <row r="55" spans="1:9" x14ac:dyDescent="0.2">
      <c r="A55" s="6" t="s">
        <v>272</v>
      </c>
      <c r="B55" s="12" t="s">
        <v>6</v>
      </c>
      <c r="C55" s="12">
        <v>0</v>
      </c>
      <c r="D55" s="13">
        <v>250000</v>
      </c>
      <c r="E55" s="44">
        <f>C55*D55</f>
        <v>0</v>
      </c>
      <c r="F55" s="39" t="s">
        <v>274</v>
      </c>
    </row>
    <row r="56" spans="1:9" x14ac:dyDescent="0.2">
      <c r="A56" s="6" t="s">
        <v>27</v>
      </c>
      <c r="B56" s="23" t="s">
        <v>6</v>
      </c>
      <c r="C56" s="12">
        <v>0</v>
      </c>
      <c r="D56" s="24">
        <v>250000</v>
      </c>
      <c r="E56" s="44">
        <f t="shared" ref="E56:E59" si="3">C56*D56</f>
        <v>0</v>
      </c>
      <c r="F56" s="39" t="s">
        <v>147</v>
      </c>
    </row>
    <row r="57" spans="1:9" x14ac:dyDescent="0.2">
      <c r="A57" s="6" t="s">
        <v>5</v>
      </c>
      <c r="B57" s="1"/>
      <c r="C57" s="12">
        <v>0</v>
      </c>
      <c r="D57" s="2">
        <v>50000</v>
      </c>
      <c r="E57" s="44">
        <f t="shared" si="3"/>
        <v>0</v>
      </c>
      <c r="F57" s="39" t="s">
        <v>273</v>
      </c>
    </row>
    <row r="58" spans="1:9" x14ac:dyDescent="0.2">
      <c r="A58" s="27" t="s">
        <v>28</v>
      </c>
      <c r="B58" s="23"/>
      <c r="C58" s="12">
        <v>0</v>
      </c>
      <c r="D58" s="24">
        <v>150000</v>
      </c>
      <c r="E58" s="44">
        <f t="shared" si="3"/>
        <v>0</v>
      </c>
      <c r="F58" s="39" t="s">
        <v>42</v>
      </c>
    </row>
    <row r="59" spans="1:9" x14ac:dyDescent="0.2">
      <c r="A59" s="28" t="s">
        <v>29</v>
      </c>
      <c r="B59" s="12"/>
      <c r="C59" s="12">
        <v>0</v>
      </c>
      <c r="D59" s="24">
        <v>150000</v>
      </c>
      <c r="E59" s="44">
        <f t="shared" si="3"/>
        <v>0</v>
      </c>
      <c r="F59" s="39" t="s">
        <v>42</v>
      </c>
    </row>
    <row r="60" spans="1:9" ht="17" thickBot="1" x14ac:dyDescent="0.25">
      <c r="A60" s="29" t="s">
        <v>30</v>
      </c>
      <c r="B60" s="30"/>
      <c r="C60" s="30">
        <v>0</v>
      </c>
      <c r="D60" s="31">
        <v>230000</v>
      </c>
      <c r="E60" s="31">
        <f>C60*D60</f>
        <v>0</v>
      </c>
      <c r="F60" s="40" t="s">
        <v>42</v>
      </c>
    </row>
    <row r="61" spans="1:9" x14ac:dyDescent="0.2">
      <c r="A61" s="238" t="s">
        <v>293</v>
      </c>
      <c r="B61" s="176">
        <v>0</v>
      </c>
      <c r="C61" s="176">
        <v>0</v>
      </c>
      <c r="D61" s="19">
        <v>50000</v>
      </c>
      <c r="E61" s="239">
        <f t="shared" ref="E61" si="4">B61*C61*D61</f>
        <v>0</v>
      </c>
      <c r="F61" s="236"/>
      <c r="G61" s="237"/>
      <c r="H61" s="237"/>
      <c r="I61" s="240"/>
    </row>
    <row r="62" spans="1:9" ht="17" thickBot="1" x14ac:dyDescent="0.25">
      <c r="A62" s="17" t="s">
        <v>32</v>
      </c>
      <c r="B62" s="17"/>
      <c r="C62" s="32"/>
      <c r="D62" s="33"/>
      <c r="E62" s="33">
        <f>SUM(E55:E60)</f>
        <v>0</v>
      </c>
    </row>
    <row r="63" spans="1:9" x14ac:dyDescent="0.2">
      <c r="A63" s="38" t="s">
        <v>33</v>
      </c>
      <c r="B63" s="35"/>
      <c r="C63" s="36"/>
      <c r="D63" s="36"/>
      <c r="E63" s="37">
        <f>E14+E37+E47+E53+E62</f>
        <v>0</v>
      </c>
    </row>
    <row r="64" spans="1:9" ht="17" thickBot="1" x14ac:dyDescent="0.25">
      <c r="A64" s="86" t="s">
        <v>8</v>
      </c>
      <c r="B64" s="87"/>
      <c r="C64" s="88"/>
      <c r="D64" s="88"/>
      <c r="E64" s="89">
        <f>E63*1.19-E63</f>
        <v>0</v>
      </c>
    </row>
    <row r="65" spans="1:7" ht="17" thickBot="1" x14ac:dyDescent="0.25">
      <c r="A65" s="90" t="s">
        <v>9</v>
      </c>
      <c r="B65" s="91"/>
      <c r="C65" s="92"/>
      <c r="D65" s="92"/>
      <c r="E65" s="93">
        <f>SUM(E63:E64)</f>
        <v>0</v>
      </c>
    </row>
    <row r="66" spans="1:7" ht="17" x14ac:dyDescent="0.2">
      <c r="A66" s="126" t="s">
        <v>285</v>
      </c>
    </row>
    <row r="67" spans="1:7" ht="17" x14ac:dyDescent="0.2">
      <c r="A67" s="127" t="s">
        <v>182</v>
      </c>
    </row>
    <row r="68" spans="1:7" ht="17" x14ac:dyDescent="0.2">
      <c r="A68" s="127" t="s">
        <v>183</v>
      </c>
    </row>
    <row r="69" spans="1:7" ht="18" thickBot="1" x14ac:dyDescent="0.25">
      <c r="A69" s="128"/>
      <c r="E69" t="s">
        <v>6</v>
      </c>
      <c r="F69" t="s">
        <v>6</v>
      </c>
    </row>
    <row r="70" spans="1:7" ht="17" x14ac:dyDescent="0.2">
      <c r="A70" s="129" t="s">
        <v>49</v>
      </c>
      <c r="B70" s="345" t="s">
        <v>184</v>
      </c>
      <c r="C70" s="345"/>
      <c r="D70" s="345"/>
      <c r="E70" s="345"/>
      <c r="F70" s="346"/>
    </row>
    <row r="71" spans="1:7" ht="17" x14ac:dyDescent="0.2">
      <c r="A71" s="130" t="s">
        <v>50</v>
      </c>
      <c r="B71" s="131"/>
      <c r="C71" s="132"/>
      <c r="D71" s="132"/>
      <c r="E71" s="132"/>
      <c r="F71" s="133"/>
    </row>
    <row r="72" spans="1:7" ht="17" x14ac:dyDescent="0.2">
      <c r="A72" s="134" t="s">
        <v>51</v>
      </c>
      <c r="B72" s="135"/>
      <c r="C72" s="136"/>
      <c r="D72" s="136"/>
      <c r="E72" s="136"/>
      <c r="F72" s="137"/>
    </row>
    <row r="73" spans="1:7" ht="17" x14ac:dyDescent="0.2">
      <c r="A73" s="134" t="s">
        <v>48</v>
      </c>
      <c r="B73" s="135"/>
      <c r="C73" s="136"/>
      <c r="D73" s="136"/>
      <c r="E73" s="136"/>
      <c r="F73" s="137"/>
      <c r="G73" s="43" t="s">
        <v>6</v>
      </c>
    </row>
    <row r="74" spans="1:7" ht="17" x14ac:dyDescent="0.2">
      <c r="A74" s="134" t="s">
        <v>154</v>
      </c>
      <c r="B74" s="135"/>
      <c r="C74" s="136"/>
      <c r="D74" s="136"/>
      <c r="E74" s="136"/>
      <c r="F74" s="137"/>
    </row>
    <row r="75" spans="1:7" ht="17" x14ac:dyDescent="0.2">
      <c r="A75" s="138" t="s">
        <v>155</v>
      </c>
      <c r="B75" s="139"/>
      <c r="C75" s="140"/>
      <c r="D75" s="140"/>
      <c r="E75" s="140"/>
      <c r="F75" s="141"/>
    </row>
    <row r="76" spans="1:7" ht="17" x14ac:dyDescent="0.2">
      <c r="A76" s="138" t="s">
        <v>156</v>
      </c>
      <c r="B76" s="139"/>
      <c r="C76" s="140"/>
      <c r="D76" s="140"/>
      <c r="E76" s="140"/>
      <c r="F76" s="141"/>
    </row>
    <row r="77" spans="1:7" ht="18" thickBot="1" x14ac:dyDescent="0.25">
      <c r="A77" s="142" t="s">
        <v>157</v>
      </c>
      <c r="B77" s="143"/>
      <c r="C77" s="144"/>
      <c r="D77" s="144"/>
      <c r="E77" s="144"/>
      <c r="F77" s="145"/>
    </row>
    <row r="78" spans="1:7" ht="18" thickBot="1" x14ac:dyDescent="0.25">
      <c r="A78" s="146"/>
      <c r="B78" s="147"/>
      <c r="C78" s="147"/>
      <c r="D78" s="147"/>
      <c r="E78" s="147"/>
      <c r="F78" s="147"/>
    </row>
    <row r="79" spans="1:7" ht="17" x14ac:dyDescent="0.2">
      <c r="A79" s="148" t="s">
        <v>158</v>
      </c>
      <c r="B79" s="149"/>
      <c r="C79" s="149"/>
      <c r="D79" s="149"/>
      <c r="E79" s="149"/>
      <c r="F79" s="150"/>
    </row>
    <row r="80" spans="1:7" ht="17" x14ac:dyDescent="0.2">
      <c r="A80" s="134" t="s">
        <v>159</v>
      </c>
      <c r="B80" s="151" t="s">
        <v>160</v>
      </c>
      <c r="C80" s="151"/>
      <c r="D80" s="151"/>
      <c r="E80" s="151"/>
      <c r="F80" s="152"/>
    </row>
    <row r="81" spans="1:6" ht="17" x14ac:dyDescent="0.2">
      <c r="A81" s="134" t="s">
        <v>161</v>
      </c>
      <c r="B81" s="135" t="s">
        <v>162</v>
      </c>
      <c r="C81" s="136"/>
      <c r="D81" s="136"/>
      <c r="E81" s="136"/>
      <c r="F81" s="137"/>
    </row>
    <row r="82" spans="1:6" ht="17" x14ac:dyDescent="0.2">
      <c r="A82" s="134" t="s">
        <v>163</v>
      </c>
      <c r="B82" s="151" t="s">
        <v>164</v>
      </c>
      <c r="C82" s="151"/>
      <c r="D82" s="151"/>
      <c r="E82" s="151"/>
      <c r="F82" s="152"/>
    </row>
    <row r="83" spans="1:6" ht="18" thickBot="1" x14ac:dyDescent="0.25">
      <c r="A83" s="142" t="s">
        <v>165</v>
      </c>
      <c r="B83" s="143" t="s">
        <v>166</v>
      </c>
      <c r="C83" s="144"/>
      <c r="D83" s="144"/>
      <c r="E83" s="144"/>
      <c r="F83" s="145"/>
    </row>
    <row r="84" spans="1:6" ht="18" thickBot="1" x14ac:dyDescent="0.25">
      <c r="A84" s="153"/>
      <c r="B84" s="147"/>
      <c r="C84" s="147"/>
      <c r="D84" s="147"/>
      <c r="E84" s="147"/>
      <c r="F84" s="147"/>
    </row>
    <row r="85" spans="1:6" ht="17" x14ac:dyDescent="0.2">
      <c r="A85" s="154" t="s">
        <v>167</v>
      </c>
      <c r="B85" s="155"/>
      <c r="C85" s="155"/>
      <c r="D85" s="155"/>
      <c r="E85" s="155"/>
      <c r="F85" s="156"/>
    </row>
    <row r="86" spans="1:6" ht="17" x14ac:dyDescent="0.2">
      <c r="A86" s="134" t="s">
        <v>168</v>
      </c>
      <c r="B86" s="135" t="s">
        <v>169</v>
      </c>
      <c r="C86" s="136"/>
      <c r="D86" s="136"/>
      <c r="E86" s="136"/>
      <c r="F86" s="137"/>
    </row>
    <row r="87" spans="1:6" ht="17" x14ac:dyDescent="0.2">
      <c r="A87" s="134" t="s">
        <v>170</v>
      </c>
      <c r="B87" s="151" t="s">
        <v>171</v>
      </c>
      <c r="C87" s="151"/>
      <c r="D87" s="151"/>
      <c r="E87" s="151"/>
      <c r="F87" s="152"/>
    </row>
    <row r="88" spans="1:6" ht="17" x14ac:dyDescent="0.2">
      <c r="A88" s="134" t="s">
        <v>172</v>
      </c>
      <c r="B88" s="157" t="s">
        <v>173</v>
      </c>
      <c r="C88" s="136"/>
      <c r="D88" s="136"/>
      <c r="E88" s="136"/>
      <c r="F88" s="137"/>
    </row>
    <row r="89" spans="1:6" ht="17" x14ac:dyDescent="0.2">
      <c r="A89" s="134" t="s">
        <v>174</v>
      </c>
      <c r="B89" s="151" t="s">
        <v>286</v>
      </c>
      <c r="C89" s="151"/>
      <c r="D89" s="151"/>
      <c r="E89" s="151"/>
      <c r="F89" s="152"/>
    </row>
    <row r="90" spans="1:6" ht="18" thickBot="1" x14ac:dyDescent="0.25">
      <c r="A90" s="142" t="s">
        <v>175</v>
      </c>
      <c r="B90" s="143">
        <v>95347772</v>
      </c>
      <c r="C90" s="144"/>
      <c r="D90" s="144"/>
      <c r="E90" s="144"/>
      <c r="F90" s="145"/>
    </row>
  </sheetData>
  <mergeCells count="7">
    <mergeCell ref="B70:F70"/>
    <mergeCell ref="F25:I25"/>
    <mergeCell ref="F26:I26"/>
    <mergeCell ref="F27:I27"/>
    <mergeCell ref="F31:I31"/>
    <mergeCell ref="F32:I32"/>
    <mergeCell ref="F33:I33"/>
  </mergeCells>
  <hyperlinks>
    <hyperlink ref="B88" r:id="rId1"/>
  </hyperlinks>
  <pageMargins left="0.75" right="0.75" top="1" bottom="1" header="0.5" footer="0.5"/>
  <pageSetup orientation="portrait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0"/>
  <sheetViews>
    <sheetView topLeftCell="A19" workbookViewId="0">
      <selection activeCell="A11" sqref="A11"/>
    </sheetView>
  </sheetViews>
  <sheetFormatPr baseColWidth="10" defaultRowHeight="16" x14ac:dyDescent="0.2"/>
  <cols>
    <col min="9" max="9" width="31" customWidth="1"/>
  </cols>
  <sheetData>
    <row r="1" spans="1:14" x14ac:dyDescent="0.2">
      <c r="A1" s="351"/>
      <c r="B1" s="351"/>
      <c r="C1" s="351"/>
      <c r="D1" s="178"/>
      <c r="E1" s="178" t="s">
        <v>199</v>
      </c>
      <c r="F1" s="178"/>
      <c r="G1" s="178"/>
      <c r="H1" s="178"/>
      <c r="I1" s="178"/>
      <c r="J1" s="108"/>
      <c r="K1" s="108"/>
      <c r="L1" s="108"/>
      <c r="M1" s="108"/>
      <c r="N1" s="108"/>
    </row>
    <row r="2" spans="1:14" x14ac:dyDescent="0.2">
      <c r="A2" s="351"/>
      <c r="B2" s="351"/>
      <c r="C2" s="351"/>
      <c r="D2" s="178"/>
      <c r="E2" s="178"/>
      <c r="F2" s="178"/>
      <c r="G2" s="178"/>
      <c r="H2" s="178"/>
      <c r="I2" s="178"/>
      <c r="J2" s="108"/>
      <c r="K2" s="108"/>
      <c r="L2" s="108"/>
      <c r="M2" s="108"/>
      <c r="N2" s="108"/>
    </row>
    <row r="3" spans="1:14" x14ac:dyDescent="0.2">
      <c r="A3" s="351"/>
      <c r="B3" s="351"/>
      <c r="C3" s="351"/>
      <c r="D3" s="178"/>
      <c r="E3" s="178" t="s">
        <v>200</v>
      </c>
      <c r="F3" s="178"/>
      <c r="G3" s="178"/>
      <c r="H3" s="178"/>
      <c r="I3" s="178"/>
      <c r="J3" s="108"/>
      <c r="K3" s="108"/>
      <c r="L3" s="108"/>
      <c r="M3" s="108"/>
      <c r="N3" s="108"/>
    </row>
    <row r="4" spans="1:14" x14ac:dyDescent="0.2">
      <c r="A4" s="351"/>
      <c r="B4" s="351"/>
      <c r="C4" s="351"/>
      <c r="D4" s="179"/>
      <c r="E4" s="179" t="s">
        <v>201</v>
      </c>
      <c r="F4" s="179"/>
      <c r="G4" s="179"/>
      <c r="H4" s="179"/>
      <c r="I4" s="179"/>
      <c r="J4" s="108"/>
      <c r="K4" s="108"/>
      <c r="L4" s="108"/>
      <c r="M4" s="108"/>
      <c r="N4" s="108"/>
    </row>
    <row r="5" spans="1:14" x14ac:dyDescent="0.2">
      <c r="A5" s="180" t="s">
        <v>202</v>
      </c>
      <c r="B5" s="181" t="s">
        <v>203</v>
      </c>
      <c r="C5" s="354" t="s">
        <v>204</v>
      </c>
      <c r="D5" s="355"/>
      <c r="E5" s="356"/>
      <c r="F5" s="181" t="s">
        <v>205</v>
      </c>
      <c r="G5" s="181" t="s">
        <v>206</v>
      </c>
      <c r="H5" s="181" t="s">
        <v>207</v>
      </c>
      <c r="I5" s="181" t="s">
        <v>208</v>
      </c>
      <c r="J5" s="108"/>
      <c r="K5" s="108"/>
      <c r="L5" s="108"/>
      <c r="M5" s="108"/>
      <c r="N5" s="108"/>
    </row>
    <row r="6" spans="1:14" x14ac:dyDescent="0.2">
      <c r="A6" s="182">
        <v>0.41666666666666669</v>
      </c>
      <c r="B6" s="183"/>
      <c r="C6" s="360" t="s">
        <v>209</v>
      </c>
      <c r="D6" s="361"/>
      <c r="E6" s="362"/>
      <c r="F6" s="184" t="s">
        <v>210</v>
      </c>
      <c r="G6" s="184" t="s">
        <v>211</v>
      </c>
      <c r="H6" s="185"/>
      <c r="I6" s="185"/>
      <c r="J6" s="108"/>
      <c r="K6" s="108"/>
      <c r="L6" s="108"/>
      <c r="M6" s="108"/>
      <c r="N6" s="108"/>
    </row>
    <row r="7" spans="1:14" x14ac:dyDescent="0.2">
      <c r="A7" s="182"/>
      <c r="B7" s="186"/>
      <c r="C7" s="375"/>
      <c r="D7" s="376"/>
      <c r="E7" s="377"/>
      <c r="F7" s="187"/>
      <c r="G7" s="187"/>
      <c r="H7" s="185"/>
      <c r="I7" s="185"/>
      <c r="J7" s="108"/>
      <c r="K7" s="108"/>
      <c r="L7" s="108"/>
      <c r="M7" s="108"/>
      <c r="N7" s="108"/>
    </row>
    <row r="8" spans="1:14" x14ac:dyDescent="0.2">
      <c r="A8" s="188">
        <v>0.4375</v>
      </c>
      <c r="B8" s="189"/>
      <c r="C8" s="357" t="s">
        <v>212</v>
      </c>
      <c r="D8" s="358"/>
      <c r="E8" s="359"/>
      <c r="F8" s="190" t="s">
        <v>210</v>
      </c>
      <c r="G8" s="190" t="s">
        <v>213</v>
      </c>
      <c r="H8" s="191" t="s">
        <v>214</v>
      </c>
      <c r="I8" s="192"/>
      <c r="J8" s="108"/>
      <c r="K8" s="108"/>
      <c r="L8" s="108"/>
      <c r="M8" s="108"/>
      <c r="N8" s="108"/>
    </row>
    <row r="9" spans="1:14" x14ac:dyDescent="0.2">
      <c r="A9" s="188"/>
      <c r="B9" s="189"/>
      <c r="C9" s="357" t="s">
        <v>215</v>
      </c>
      <c r="D9" s="358"/>
      <c r="E9" s="359"/>
      <c r="F9" s="190" t="s">
        <v>210</v>
      </c>
      <c r="G9" s="190" t="s">
        <v>213</v>
      </c>
      <c r="H9" s="191" t="s">
        <v>216</v>
      </c>
      <c r="I9" s="192" t="s">
        <v>217</v>
      </c>
      <c r="J9" s="193" t="s">
        <v>218</v>
      </c>
      <c r="K9" s="193"/>
      <c r="L9" s="193"/>
      <c r="M9" s="193"/>
      <c r="N9" s="193"/>
    </row>
    <row r="10" spans="1:14" x14ac:dyDescent="0.2">
      <c r="A10" s="182"/>
      <c r="B10" s="183"/>
      <c r="C10" s="360"/>
      <c r="D10" s="361"/>
      <c r="E10" s="362"/>
      <c r="F10" s="184"/>
      <c r="G10" s="184"/>
      <c r="H10" s="185"/>
      <c r="I10" s="185"/>
      <c r="J10" s="108"/>
      <c r="K10" s="108"/>
      <c r="L10" s="108"/>
      <c r="M10" s="108"/>
      <c r="N10" s="108"/>
    </row>
    <row r="11" spans="1:14" x14ac:dyDescent="0.2">
      <c r="A11" s="182"/>
      <c r="B11" s="183"/>
      <c r="C11" s="378"/>
      <c r="D11" s="379"/>
      <c r="E11" s="380"/>
      <c r="F11" s="194"/>
      <c r="G11" s="194"/>
      <c r="H11" s="195"/>
      <c r="I11" s="196"/>
      <c r="J11" s="108"/>
      <c r="K11" s="108"/>
      <c r="L11" s="108"/>
      <c r="M11" s="108"/>
      <c r="N11" s="108"/>
    </row>
    <row r="12" spans="1:14" ht="15" customHeight="1" x14ac:dyDescent="0.2">
      <c r="A12" s="197"/>
      <c r="B12" s="198"/>
      <c r="C12" s="381" t="s">
        <v>219</v>
      </c>
      <c r="D12" s="382"/>
      <c r="E12" s="383"/>
      <c r="F12" s="199"/>
      <c r="G12" s="199"/>
      <c r="H12" s="200" t="s">
        <v>214</v>
      </c>
      <c r="I12" s="201"/>
      <c r="J12" s="108"/>
      <c r="K12" s="108"/>
      <c r="L12" s="108"/>
      <c r="M12" s="108"/>
      <c r="N12" s="108"/>
    </row>
    <row r="13" spans="1:14" x14ac:dyDescent="0.2">
      <c r="A13" s="202"/>
      <c r="B13" s="203"/>
      <c r="C13" s="204" t="s">
        <v>220</v>
      </c>
      <c r="D13" s="204"/>
      <c r="E13" s="205"/>
      <c r="F13" s="205" t="s">
        <v>210</v>
      </c>
      <c r="G13" s="205"/>
      <c r="H13" s="206"/>
      <c r="I13" s="207"/>
      <c r="J13" s="108"/>
      <c r="K13" s="108"/>
      <c r="L13" s="108"/>
      <c r="M13" s="108"/>
      <c r="N13" s="108"/>
    </row>
    <row r="14" spans="1:14" ht="32" x14ac:dyDescent="0.2">
      <c r="A14" s="182">
        <v>0.70833333333333337</v>
      </c>
      <c r="B14" s="183">
        <v>0.79166666666666663</v>
      </c>
      <c r="C14" s="378" t="s">
        <v>24</v>
      </c>
      <c r="D14" s="379"/>
      <c r="E14" s="380"/>
      <c r="F14" s="208" t="s">
        <v>221</v>
      </c>
      <c r="G14" s="208" t="s">
        <v>213</v>
      </c>
      <c r="H14" s="195" t="s">
        <v>222</v>
      </c>
      <c r="I14" s="196" t="s">
        <v>223</v>
      </c>
      <c r="J14" s="108"/>
      <c r="K14" s="108"/>
      <c r="L14" s="108"/>
      <c r="M14" s="108"/>
      <c r="N14" s="108"/>
    </row>
    <row r="15" spans="1:14" x14ac:dyDescent="0.2">
      <c r="A15" s="197"/>
      <c r="B15" s="198"/>
      <c r="C15" s="384" t="s">
        <v>224</v>
      </c>
      <c r="D15" s="385"/>
      <c r="E15" s="386"/>
      <c r="F15" s="190" t="s">
        <v>210</v>
      </c>
      <c r="G15" s="190"/>
      <c r="H15" s="209" t="s">
        <v>214</v>
      </c>
      <c r="I15" s="201" t="s">
        <v>225</v>
      </c>
      <c r="J15" s="108"/>
      <c r="K15" s="108"/>
      <c r="L15" s="108"/>
      <c r="M15" s="108"/>
      <c r="N15" s="108"/>
    </row>
    <row r="16" spans="1:14" x14ac:dyDescent="0.2">
      <c r="A16" s="202">
        <v>0.91666666666666663</v>
      </c>
      <c r="B16" s="210">
        <v>8.3333333333333329E-2</v>
      </c>
      <c r="C16" s="372" t="s">
        <v>226</v>
      </c>
      <c r="D16" s="373"/>
      <c r="E16" s="374"/>
      <c r="F16" s="212" t="s">
        <v>210</v>
      </c>
      <c r="G16" s="212" t="s">
        <v>213</v>
      </c>
      <c r="H16" s="213" t="s">
        <v>227</v>
      </c>
      <c r="I16" s="214" t="s">
        <v>228</v>
      </c>
      <c r="J16" s="108"/>
      <c r="K16" s="108"/>
      <c r="L16" s="108"/>
      <c r="M16" s="108"/>
      <c r="N16" s="108"/>
    </row>
    <row r="17" spans="1:14" x14ac:dyDescent="0.2">
      <c r="A17" s="353"/>
      <c r="B17" s="353"/>
      <c r="C17" s="353"/>
      <c r="D17" s="353"/>
      <c r="E17" s="353"/>
      <c r="F17" s="353"/>
      <c r="G17" s="353"/>
      <c r="H17" s="353"/>
      <c r="I17" s="353"/>
      <c r="J17" s="108"/>
      <c r="K17" s="108"/>
      <c r="L17" s="108"/>
      <c r="M17" s="108"/>
      <c r="N17" s="108"/>
    </row>
    <row r="18" spans="1:14" x14ac:dyDescent="0.2">
      <c r="A18" s="215" t="s">
        <v>202</v>
      </c>
      <c r="B18" s="216" t="s">
        <v>203</v>
      </c>
      <c r="C18" s="354" t="s">
        <v>229</v>
      </c>
      <c r="D18" s="355"/>
      <c r="E18" s="356"/>
      <c r="F18" s="216" t="s">
        <v>205</v>
      </c>
      <c r="G18" s="216" t="s">
        <v>206</v>
      </c>
      <c r="H18" s="216" t="s">
        <v>207</v>
      </c>
      <c r="I18" s="216" t="s">
        <v>208</v>
      </c>
      <c r="J18" s="108"/>
      <c r="K18" s="108"/>
      <c r="L18" s="108"/>
      <c r="M18" s="108"/>
      <c r="N18" s="108"/>
    </row>
    <row r="19" spans="1:14" x14ac:dyDescent="0.2">
      <c r="A19" s="217"/>
      <c r="B19" s="218"/>
      <c r="C19" s="357" t="s">
        <v>212</v>
      </c>
      <c r="D19" s="358"/>
      <c r="E19" s="359"/>
      <c r="F19" s="190"/>
      <c r="G19" s="190"/>
      <c r="H19" s="191"/>
      <c r="I19" s="191"/>
      <c r="J19" s="108"/>
      <c r="K19" s="108"/>
      <c r="L19" s="108"/>
      <c r="M19" s="108"/>
      <c r="N19" s="108"/>
    </row>
    <row r="20" spans="1:14" x14ac:dyDescent="0.2">
      <c r="A20" s="219">
        <v>0.5</v>
      </c>
      <c r="B20" s="210">
        <v>0.52083333333333337</v>
      </c>
      <c r="C20" s="360" t="s">
        <v>230</v>
      </c>
      <c r="D20" s="361"/>
      <c r="E20" s="362"/>
      <c r="F20" s="184" t="s">
        <v>231</v>
      </c>
      <c r="G20" s="184"/>
      <c r="H20" s="185"/>
      <c r="I20" s="220"/>
      <c r="J20" s="108"/>
      <c r="K20" s="108"/>
      <c r="L20" s="108"/>
      <c r="M20" s="108"/>
      <c r="N20" s="108"/>
    </row>
    <row r="21" spans="1:14" x14ac:dyDescent="0.2">
      <c r="A21" s="217"/>
      <c r="B21" s="218"/>
      <c r="C21" s="357" t="s">
        <v>232</v>
      </c>
      <c r="D21" s="358"/>
      <c r="E21" s="359"/>
      <c r="F21" s="190" t="s">
        <v>210</v>
      </c>
      <c r="G21" s="190" t="s">
        <v>213</v>
      </c>
      <c r="H21" s="191" t="s">
        <v>216</v>
      </c>
      <c r="I21" s="192"/>
      <c r="J21" s="108"/>
      <c r="K21" s="108"/>
      <c r="L21" s="108"/>
      <c r="M21" s="108"/>
      <c r="N21" s="108"/>
    </row>
    <row r="22" spans="1:14" x14ac:dyDescent="0.2">
      <c r="A22" s="217"/>
      <c r="B22" s="218"/>
      <c r="C22" s="357" t="s">
        <v>219</v>
      </c>
      <c r="D22" s="358"/>
      <c r="E22" s="359"/>
      <c r="F22" s="190" t="s">
        <v>210</v>
      </c>
      <c r="G22" s="190"/>
      <c r="H22" s="191" t="s">
        <v>214</v>
      </c>
      <c r="I22" s="192"/>
      <c r="J22" s="108"/>
      <c r="K22" s="108"/>
      <c r="L22" s="108"/>
      <c r="M22" s="108"/>
      <c r="N22" s="108"/>
    </row>
    <row r="23" spans="1:14" x14ac:dyDescent="0.2">
      <c r="A23" s="219">
        <v>0.70833333333333337</v>
      </c>
      <c r="B23" s="210"/>
      <c r="C23" s="360" t="s">
        <v>233</v>
      </c>
      <c r="D23" s="361"/>
      <c r="E23" s="362"/>
      <c r="F23" s="184" t="s">
        <v>210</v>
      </c>
      <c r="G23" s="184"/>
      <c r="H23" s="185"/>
      <c r="I23" s="185"/>
      <c r="J23" s="108"/>
      <c r="K23" s="108"/>
      <c r="L23" s="108"/>
      <c r="M23" s="108"/>
      <c r="N23" s="108"/>
    </row>
    <row r="24" spans="1:14" x14ac:dyDescent="0.2">
      <c r="A24" s="219"/>
      <c r="B24" s="210"/>
      <c r="C24" s="360"/>
      <c r="D24" s="361"/>
      <c r="E24" s="362"/>
      <c r="F24" s="184"/>
      <c r="G24" s="184"/>
      <c r="H24" s="185"/>
      <c r="I24" s="185"/>
      <c r="J24" s="108"/>
      <c r="K24" s="108"/>
      <c r="L24" s="108"/>
      <c r="M24" s="108"/>
      <c r="N24" s="108"/>
    </row>
    <row r="25" spans="1:14" x14ac:dyDescent="0.2">
      <c r="A25" s="219"/>
      <c r="B25" s="213"/>
      <c r="C25" s="360"/>
      <c r="D25" s="361"/>
      <c r="E25" s="362"/>
      <c r="F25" s="184"/>
      <c r="G25" s="184"/>
      <c r="H25" s="185"/>
      <c r="I25" s="220"/>
      <c r="J25" s="108"/>
      <c r="K25" s="108"/>
      <c r="L25" s="108"/>
      <c r="M25" s="108"/>
      <c r="N25" s="108"/>
    </row>
    <row r="26" spans="1:14" x14ac:dyDescent="0.2">
      <c r="A26" s="354" t="s">
        <v>234</v>
      </c>
      <c r="B26" s="355"/>
      <c r="C26" s="355"/>
      <c r="D26" s="355"/>
      <c r="E26" s="355"/>
      <c r="F26" s="355"/>
      <c r="G26" s="355"/>
      <c r="H26" s="355"/>
      <c r="I26" s="356"/>
      <c r="J26" s="108"/>
      <c r="K26" s="108"/>
      <c r="L26" s="108"/>
      <c r="M26" s="108"/>
      <c r="N26" s="108"/>
    </row>
    <row r="27" spans="1:14" x14ac:dyDescent="0.2">
      <c r="A27" s="363"/>
      <c r="B27" s="364"/>
      <c r="C27" s="364"/>
      <c r="D27" s="364"/>
      <c r="E27" s="364"/>
      <c r="F27" s="364"/>
      <c r="G27" s="364"/>
      <c r="H27" s="364"/>
      <c r="I27" s="365"/>
      <c r="J27" s="108"/>
      <c r="K27" s="108"/>
      <c r="L27" s="108"/>
      <c r="M27" s="108"/>
      <c r="N27" s="108"/>
    </row>
    <row r="28" spans="1:14" x14ac:dyDescent="0.2">
      <c r="A28" s="366"/>
      <c r="B28" s="367"/>
      <c r="C28" s="367"/>
      <c r="D28" s="367"/>
      <c r="E28" s="367"/>
      <c r="F28" s="367"/>
      <c r="G28" s="367"/>
      <c r="H28" s="367"/>
      <c r="I28" s="368"/>
      <c r="J28" s="108"/>
      <c r="K28" s="108"/>
      <c r="L28" s="108"/>
      <c r="M28" s="108"/>
      <c r="N28" s="108"/>
    </row>
    <row r="29" spans="1:14" x14ac:dyDescent="0.2">
      <c r="A29" s="366"/>
      <c r="B29" s="367"/>
      <c r="C29" s="367"/>
      <c r="D29" s="367"/>
      <c r="E29" s="367"/>
      <c r="F29" s="367"/>
      <c r="G29" s="367"/>
      <c r="H29" s="367"/>
      <c r="I29" s="368"/>
      <c r="J29" s="108"/>
      <c r="K29" s="108"/>
      <c r="L29" s="108"/>
      <c r="M29" s="108"/>
      <c r="N29" s="108"/>
    </row>
    <row r="30" spans="1:14" x14ac:dyDescent="0.2">
      <c r="A30" s="366"/>
      <c r="B30" s="367"/>
      <c r="C30" s="367"/>
      <c r="D30" s="367"/>
      <c r="E30" s="367"/>
      <c r="F30" s="367"/>
      <c r="G30" s="367"/>
      <c r="H30" s="367"/>
      <c r="I30" s="368"/>
      <c r="J30" s="108"/>
      <c r="K30" s="108"/>
      <c r="L30" s="108"/>
      <c r="M30" s="108"/>
      <c r="N30" s="108"/>
    </row>
    <row r="31" spans="1:14" x14ac:dyDescent="0.2">
      <c r="A31" s="369"/>
      <c r="B31" s="370"/>
      <c r="C31" s="370"/>
      <c r="D31" s="370"/>
      <c r="E31" s="370"/>
      <c r="F31" s="370"/>
      <c r="G31" s="370"/>
      <c r="H31" s="370"/>
      <c r="I31" s="371"/>
      <c r="J31" s="108"/>
      <c r="K31" s="108"/>
      <c r="L31" s="108"/>
      <c r="M31" s="108"/>
      <c r="N31" s="108"/>
    </row>
    <row r="32" spans="1:14" x14ac:dyDescent="0.2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</row>
    <row r="33" spans="1:14" x14ac:dyDescent="0.2">
      <c r="A33" s="221" t="s">
        <v>235</v>
      </c>
      <c r="B33" s="221"/>
      <c r="C33" s="221"/>
      <c r="D33" s="221"/>
      <c r="E33" s="221"/>
      <c r="F33" s="221" t="s">
        <v>236</v>
      </c>
      <c r="G33" s="221"/>
      <c r="H33" s="221"/>
      <c r="I33" s="108"/>
      <c r="J33" s="108"/>
      <c r="K33" s="108"/>
      <c r="L33" s="108"/>
      <c r="M33" s="108"/>
      <c r="N33" s="108"/>
    </row>
    <row r="34" spans="1:14" x14ac:dyDescent="0.2">
      <c r="A34" s="222" t="s">
        <v>237</v>
      </c>
      <c r="B34" s="222"/>
      <c r="C34" s="108"/>
      <c r="D34" s="177"/>
      <c r="E34" s="108"/>
      <c r="F34" s="222" t="s">
        <v>50</v>
      </c>
      <c r="G34" s="223"/>
      <c r="H34" s="223"/>
      <c r="I34" s="108"/>
      <c r="J34" s="108"/>
      <c r="K34" s="108"/>
      <c r="L34" s="108"/>
      <c r="M34" s="108"/>
      <c r="N34" s="108"/>
    </row>
    <row r="35" spans="1:14" x14ac:dyDescent="0.2">
      <c r="A35" s="222" t="s">
        <v>238</v>
      </c>
      <c r="B35" s="222"/>
      <c r="C35" s="222"/>
      <c r="D35" s="108"/>
      <c r="E35" s="108"/>
      <c r="F35" s="224" t="s">
        <v>239</v>
      </c>
      <c r="G35" s="225"/>
      <c r="H35" s="108"/>
      <c r="I35" s="108"/>
      <c r="J35" s="108"/>
      <c r="K35" s="108"/>
      <c r="L35" s="108"/>
      <c r="M35" s="108"/>
      <c r="N35" s="108"/>
    </row>
    <row r="36" spans="1:14" x14ac:dyDescent="0.2">
      <c r="A36" s="108"/>
      <c r="B36" s="222"/>
      <c r="C36" s="222"/>
      <c r="D36" s="108"/>
      <c r="E36" s="108"/>
      <c r="F36" s="348" t="s">
        <v>240</v>
      </c>
      <c r="G36" s="348"/>
      <c r="H36" s="226" t="s">
        <v>241</v>
      </c>
      <c r="I36" s="108"/>
      <c r="J36" s="108"/>
      <c r="K36" s="108"/>
      <c r="L36" s="108"/>
      <c r="M36" s="108"/>
      <c r="N36" s="108"/>
    </row>
    <row r="37" spans="1:14" x14ac:dyDescent="0.2">
      <c r="A37" s="348"/>
      <c r="B37" s="348"/>
      <c r="C37" s="348"/>
      <c r="D37" s="108"/>
      <c r="E37" s="108"/>
      <c r="F37" s="222" t="s">
        <v>161</v>
      </c>
      <c r="G37" s="349"/>
      <c r="H37" s="349"/>
      <c r="I37" s="108"/>
      <c r="J37" s="108"/>
      <c r="K37" s="108"/>
      <c r="L37" s="108"/>
      <c r="M37" s="108"/>
      <c r="N37" s="108"/>
    </row>
    <row r="38" spans="1:14" x14ac:dyDescent="0.2">
      <c r="A38" s="211"/>
      <c r="B38" s="177"/>
      <c r="C38" s="108"/>
      <c r="D38" s="177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1:14" x14ac:dyDescent="0.2">
      <c r="A39" s="211"/>
      <c r="B39" s="177"/>
      <c r="C39" s="108"/>
      <c r="D39" s="177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1:14" x14ac:dyDescent="0.2">
      <c r="A40" s="211"/>
      <c r="B40" s="177"/>
      <c r="C40" s="108"/>
      <c r="D40" s="177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  <row r="41" spans="1:14" ht="24" customHeight="1" x14ac:dyDescent="0.2">
      <c r="A41" s="350" t="s">
        <v>242</v>
      </c>
      <c r="B41" s="350"/>
      <c r="C41" s="350"/>
      <c r="D41" s="350"/>
      <c r="E41" s="350"/>
      <c r="F41" s="350"/>
      <c r="G41" s="350"/>
      <c r="H41" s="108"/>
      <c r="I41" s="227" t="s">
        <v>243</v>
      </c>
      <c r="J41" s="108"/>
      <c r="K41" s="108"/>
      <c r="L41" s="108"/>
      <c r="M41" s="108"/>
      <c r="N41" s="108"/>
    </row>
    <row r="42" spans="1:14" x14ac:dyDescent="0.2">
      <c r="A42" s="351"/>
      <c r="B42" s="351"/>
      <c r="C42" s="351"/>
      <c r="D42" s="351"/>
      <c r="E42" s="351"/>
      <c r="F42" s="351"/>
      <c r="G42" s="351"/>
      <c r="H42" s="108"/>
      <c r="I42" s="108"/>
      <c r="J42" s="108"/>
      <c r="K42" s="108"/>
      <c r="L42" s="108"/>
      <c r="M42" s="108"/>
      <c r="N42" s="108"/>
    </row>
    <row r="43" spans="1:14" x14ac:dyDescent="0.2">
      <c r="A43" s="352" t="s">
        <v>244</v>
      </c>
      <c r="B43" s="352"/>
      <c r="C43" s="352"/>
      <c r="D43" s="352"/>
      <c r="E43" s="352"/>
      <c r="F43" s="352"/>
      <c r="G43" s="352"/>
      <c r="H43" s="108"/>
      <c r="I43" s="108"/>
      <c r="J43" s="108"/>
      <c r="K43" s="108"/>
      <c r="L43" s="108"/>
      <c r="M43" s="108"/>
      <c r="N43" s="108"/>
    </row>
    <row r="44" spans="1:14" x14ac:dyDescent="0.2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</row>
    <row r="45" spans="1:14" x14ac:dyDescent="0.2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</row>
    <row r="46" spans="1:14" x14ac:dyDescent="0.2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</row>
    <row r="47" spans="1:14" x14ac:dyDescent="0.2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</row>
    <row r="48" spans="1:14" x14ac:dyDescent="0.2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</row>
    <row r="49" spans="1:14" x14ac:dyDescent="0.2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</row>
    <row r="50" spans="1:14" x14ac:dyDescent="0.2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</row>
  </sheetData>
  <mergeCells count="29">
    <mergeCell ref="C16:E16"/>
    <mergeCell ref="A1:C4"/>
    <mergeCell ref="C5:E5"/>
    <mergeCell ref="C6:E6"/>
    <mergeCell ref="C7:E7"/>
    <mergeCell ref="C8:E8"/>
    <mergeCell ref="C9:E9"/>
    <mergeCell ref="C10:E10"/>
    <mergeCell ref="C11:E11"/>
    <mergeCell ref="C12:E12"/>
    <mergeCell ref="C14:E14"/>
    <mergeCell ref="C15:E15"/>
    <mergeCell ref="F36:G36"/>
    <mergeCell ref="A17:I17"/>
    <mergeCell ref="C18:E18"/>
    <mergeCell ref="C19:E19"/>
    <mergeCell ref="C20:E20"/>
    <mergeCell ref="C21:E21"/>
    <mergeCell ref="C22:E22"/>
    <mergeCell ref="C23:E23"/>
    <mergeCell ref="C24:E24"/>
    <mergeCell ref="C25:E25"/>
    <mergeCell ref="A26:I26"/>
    <mergeCell ref="A27:I31"/>
    <mergeCell ref="A37:C37"/>
    <mergeCell ref="G37:H37"/>
    <mergeCell ref="A41:G41"/>
    <mergeCell ref="A42:G42"/>
    <mergeCell ref="A43:G4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A22" workbookViewId="0">
      <selection activeCell="F1" sqref="F1"/>
    </sheetView>
  </sheetViews>
  <sheetFormatPr baseColWidth="10" defaultRowHeight="16" x14ac:dyDescent="0.2"/>
  <sheetData>
    <row r="1" spans="1:26" ht="115" customHeight="1" x14ac:dyDescent="0.25">
      <c r="E1" s="72" t="s">
        <v>68</v>
      </c>
      <c r="L1" s="83" t="s">
        <v>6</v>
      </c>
    </row>
    <row r="2" spans="1:26" x14ac:dyDescent="0.2">
      <c r="A2" t="s">
        <v>69</v>
      </c>
      <c r="J2" t="s">
        <v>70</v>
      </c>
      <c r="P2" t="s">
        <v>71</v>
      </c>
      <c r="U2" t="s">
        <v>72</v>
      </c>
    </row>
    <row r="3" spans="1:26" ht="58" x14ac:dyDescent="0.2">
      <c r="A3" s="73" t="s">
        <v>73</v>
      </c>
      <c r="B3" s="74" t="s">
        <v>74</v>
      </c>
      <c r="C3" s="74" t="s">
        <v>75</v>
      </c>
      <c r="D3" s="74" t="s">
        <v>76</v>
      </c>
      <c r="E3" s="74" t="s">
        <v>77</v>
      </c>
      <c r="F3" s="74" t="s">
        <v>78</v>
      </c>
      <c r="H3" s="75" t="s">
        <v>79</v>
      </c>
      <c r="I3" s="74" t="s">
        <v>74</v>
      </c>
      <c r="J3" s="74" t="s">
        <v>75</v>
      </c>
      <c r="K3" s="74" t="s">
        <v>146</v>
      </c>
      <c r="L3" s="76"/>
      <c r="M3" s="75" t="s">
        <v>80</v>
      </c>
      <c r="N3" s="74" t="s">
        <v>74</v>
      </c>
      <c r="O3" s="74" t="s">
        <v>75</v>
      </c>
      <c r="P3" s="74" t="s">
        <v>76</v>
      </c>
      <c r="R3" s="77" t="s">
        <v>81</v>
      </c>
      <c r="S3" s="78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8" t="s">
        <v>88</v>
      </c>
      <c r="Z3" s="79" t="s">
        <v>1</v>
      </c>
    </row>
    <row r="4" spans="1:26" x14ac:dyDescent="0.2">
      <c r="A4" s="73" t="s">
        <v>89</v>
      </c>
      <c r="B4" s="73">
        <v>1</v>
      </c>
      <c r="C4" s="73">
        <v>2</v>
      </c>
      <c r="D4" s="73">
        <v>2</v>
      </c>
      <c r="E4" s="73">
        <v>2</v>
      </c>
      <c r="F4" s="84">
        <v>2</v>
      </c>
      <c r="H4" s="73" t="s">
        <v>90</v>
      </c>
      <c r="I4" s="73">
        <v>1</v>
      </c>
      <c r="J4" s="73">
        <v>2</v>
      </c>
      <c r="K4" s="84">
        <v>4</v>
      </c>
      <c r="L4" s="80"/>
      <c r="M4" s="73" t="s">
        <v>90</v>
      </c>
      <c r="N4" s="73">
        <v>1</v>
      </c>
      <c r="O4" s="73">
        <v>2</v>
      </c>
      <c r="P4" s="84">
        <v>3</v>
      </c>
      <c r="R4" s="73">
        <v>41</v>
      </c>
      <c r="S4" s="73" t="s">
        <v>91</v>
      </c>
      <c r="T4" s="73" t="s">
        <v>91</v>
      </c>
      <c r="U4" s="73" t="s">
        <v>92</v>
      </c>
      <c r="V4" s="73" t="s">
        <v>92</v>
      </c>
      <c r="W4" s="73">
        <v>2</v>
      </c>
      <c r="X4" s="73">
        <v>1</v>
      </c>
      <c r="Y4" s="73">
        <v>1</v>
      </c>
      <c r="Z4" s="84">
        <v>12</v>
      </c>
    </row>
    <row r="5" spans="1:26" x14ac:dyDescent="0.2">
      <c r="A5" s="73" t="s">
        <v>93</v>
      </c>
      <c r="B5" s="73">
        <v>1</v>
      </c>
      <c r="C5" s="73">
        <v>2</v>
      </c>
      <c r="D5" s="73">
        <v>2</v>
      </c>
      <c r="E5" s="73">
        <v>2</v>
      </c>
      <c r="F5" s="84">
        <v>2</v>
      </c>
      <c r="H5" s="73" t="s">
        <v>94</v>
      </c>
      <c r="I5" s="73">
        <v>1</v>
      </c>
      <c r="J5" s="73">
        <v>2</v>
      </c>
      <c r="K5" s="84">
        <v>4</v>
      </c>
      <c r="L5" s="80"/>
      <c r="M5" s="73" t="s">
        <v>94</v>
      </c>
      <c r="N5" s="73">
        <v>1</v>
      </c>
      <c r="O5" s="73">
        <v>2</v>
      </c>
      <c r="P5" s="84">
        <v>3</v>
      </c>
      <c r="R5" s="73">
        <v>42</v>
      </c>
      <c r="S5" s="73" t="s">
        <v>91</v>
      </c>
      <c r="T5" s="73" t="s">
        <v>91</v>
      </c>
      <c r="U5" s="73" t="s">
        <v>92</v>
      </c>
      <c r="V5" s="73" t="s">
        <v>92</v>
      </c>
      <c r="W5" s="73">
        <v>2</v>
      </c>
      <c r="X5" s="73">
        <v>1</v>
      </c>
      <c r="Y5" s="73">
        <v>1</v>
      </c>
      <c r="Z5" s="84">
        <v>12</v>
      </c>
    </row>
    <row r="6" spans="1:26" x14ac:dyDescent="0.2">
      <c r="A6" s="73" t="s">
        <v>95</v>
      </c>
      <c r="B6" s="73">
        <v>1</v>
      </c>
      <c r="C6" s="73">
        <v>2</v>
      </c>
      <c r="D6" s="81">
        <v>2</v>
      </c>
      <c r="E6" s="73">
        <v>2</v>
      </c>
      <c r="F6" s="84">
        <v>2</v>
      </c>
      <c r="H6" s="73" t="s">
        <v>96</v>
      </c>
      <c r="I6" s="73">
        <v>1</v>
      </c>
      <c r="J6" s="73">
        <v>2</v>
      </c>
      <c r="K6" s="84">
        <v>4</v>
      </c>
      <c r="L6" s="80"/>
      <c r="M6" s="73" t="s">
        <v>96</v>
      </c>
      <c r="N6" s="73">
        <v>1</v>
      </c>
      <c r="O6" s="73">
        <v>2</v>
      </c>
      <c r="P6" s="84">
        <v>3</v>
      </c>
      <c r="R6" s="73">
        <v>43</v>
      </c>
      <c r="S6" s="73" t="s">
        <v>91</v>
      </c>
      <c r="T6" s="73" t="s">
        <v>91</v>
      </c>
      <c r="U6" s="73" t="s">
        <v>92</v>
      </c>
      <c r="V6" s="73" t="s">
        <v>92</v>
      </c>
      <c r="W6" s="73">
        <v>2</v>
      </c>
      <c r="X6" s="73">
        <v>1</v>
      </c>
      <c r="Y6" s="73">
        <v>1</v>
      </c>
      <c r="Z6" s="84">
        <v>12</v>
      </c>
    </row>
    <row r="7" spans="1:26" x14ac:dyDescent="0.2">
      <c r="A7" s="73" t="s">
        <v>97</v>
      </c>
      <c r="B7" s="73">
        <v>1</v>
      </c>
      <c r="C7" s="73">
        <v>2</v>
      </c>
      <c r="D7" s="73">
        <v>2</v>
      </c>
      <c r="E7" s="73">
        <v>2</v>
      </c>
      <c r="F7" s="84">
        <v>2</v>
      </c>
      <c r="H7" s="73" t="s">
        <v>98</v>
      </c>
      <c r="I7" s="73">
        <v>1</v>
      </c>
      <c r="J7" s="73">
        <v>2</v>
      </c>
      <c r="K7" s="84">
        <v>4</v>
      </c>
      <c r="L7" s="80"/>
      <c r="M7" s="73" t="s">
        <v>98</v>
      </c>
      <c r="N7" s="73">
        <v>1</v>
      </c>
      <c r="O7" s="73">
        <v>2</v>
      </c>
      <c r="P7" s="84">
        <v>3</v>
      </c>
      <c r="R7" s="73">
        <v>44</v>
      </c>
      <c r="S7" s="73" t="s">
        <v>91</v>
      </c>
      <c r="T7" s="73" t="s">
        <v>91</v>
      </c>
      <c r="U7" s="73" t="s">
        <v>92</v>
      </c>
      <c r="V7" s="73" t="s">
        <v>99</v>
      </c>
      <c r="W7" s="73">
        <v>2</v>
      </c>
      <c r="X7" s="73">
        <v>1</v>
      </c>
      <c r="Y7" s="73">
        <v>1</v>
      </c>
      <c r="Z7" s="84">
        <v>12</v>
      </c>
    </row>
    <row r="8" spans="1:26" x14ac:dyDescent="0.2">
      <c r="A8" s="73" t="s">
        <v>100</v>
      </c>
      <c r="B8" s="73">
        <v>2</v>
      </c>
      <c r="C8" s="73">
        <v>2</v>
      </c>
      <c r="D8" s="73">
        <v>3</v>
      </c>
      <c r="E8" s="73">
        <v>4</v>
      </c>
      <c r="F8" s="84">
        <v>5</v>
      </c>
      <c r="H8" s="73" t="s">
        <v>101</v>
      </c>
      <c r="I8" s="73">
        <v>1</v>
      </c>
      <c r="J8" s="73">
        <v>2</v>
      </c>
      <c r="K8" s="84" t="s">
        <v>6</v>
      </c>
      <c r="L8" s="80"/>
      <c r="M8" s="73" t="s">
        <v>101</v>
      </c>
      <c r="N8" s="73">
        <v>1</v>
      </c>
      <c r="O8" s="73">
        <v>2</v>
      </c>
      <c r="P8" s="84">
        <v>3</v>
      </c>
    </row>
    <row r="9" spans="1:26" x14ac:dyDescent="0.2">
      <c r="A9" s="73" t="s">
        <v>102</v>
      </c>
      <c r="B9" s="73">
        <v>2</v>
      </c>
      <c r="C9" s="73">
        <v>2</v>
      </c>
      <c r="D9" s="73">
        <v>3</v>
      </c>
      <c r="E9" s="73">
        <v>4</v>
      </c>
      <c r="F9" s="84">
        <v>5</v>
      </c>
      <c r="H9" s="73" t="s">
        <v>103</v>
      </c>
      <c r="I9" s="73">
        <v>1</v>
      </c>
      <c r="J9" s="73">
        <v>2</v>
      </c>
      <c r="K9" s="84" t="s">
        <v>6</v>
      </c>
      <c r="L9" s="80"/>
      <c r="M9" s="73" t="s">
        <v>103</v>
      </c>
      <c r="N9" s="73">
        <v>1</v>
      </c>
      <c r="O9" s="73">
        <v>2</v>
      </c>
      <c r="P9" s="84">
        <v>3</v>
      </c>
      <c r="R9" s="73">
        <v>31</v>
      </c>
      <c r="S9" s="73" t="s">
        <v>91</v>
      </c>
      <c r="T9" s="73" t="s">
        <v>104</v>
      </c>
      <c r="U9" s="73"/>
      <c r="V9" s="73"/>
      <c r="W9" s="73">
        <v>1</v>
      </c>
      <c r="X9" s="73">
        <v>1</v>
      </c>
      <c r="Y9" s="73">
        <v>1</v>
      </c>
      <c r="Z9" s="84">
        <v>4</v>
      </c>
    </row>
    <row r="10" spans="1:26" x14ac:dyDescent="0.2">
      <c r="A10" s="73" t="s">
        <v>105</v>
      </c>
      <c r="B10" s="73">
        <v>2</v>
      </c>
      <c r="C10" s="73">
        <v>2</v>
      </c>
      <c r="D10" s="73">
        <v>3</v>
      </c>
      <c r="E10" s="73">
        <v>4</v>
      </c>
      <c r="F10" s="84">
        <v>5</v>
      </c>
      <c r="H10" s="73" t="s">
        <v>106</v>
      </c>
      <c r="I10" s="73">
        <v>1</v>
      </c>
      <c r="J10" s="73">
        <v>2</v>
      </c>
      <c r="K10" s="84" t="s">
        <v>6</v>
      </c>
      <c r="L10" s="80"/>
      <c r="M10" s="73" t="s">
        <v>106</v>
      </c>
      <c r="N10" s="73">
        <v>1</v>
      </c>
      <c r="O10" s="73">
        <v>2</v>
      </c>
      <c r="P10" s="84">
        <v>3</v>
      </c>
      <c r="R10" s="73">
        <v>32</v>
      </c>
      <c r="S10" s="73" t="s">
        <v>91</v>
      </c>
      <c r="T10" s="73" t="s">
        <v>91</v>
      </c>
      <c r="U10" s="73" t="s">
        <v>92</v>
      </c>
      <c r="V10" s="73" t="s">
        <v>99</v>
      </c>
      <c r="W10" s="73">
        <v>1</v>
      </c>
      <c r="X10" s="73">
        <v>1</v>
      </c>
      <c r="Y10" s="73">
        <v>1</v>
      </c>
      <c r="Z10" s="84">
        <v>8</v>
      </c>
    </row>
    <row r="11" spans="1:26" x14ac:dyDescent="0.2">
      <c r="A11" s="73" t="s">
        <v>107</v>
      </c>
      <c r="B11" s="73">
        <v>2</v>
      </c>
      <c r="C11" s="73">
        <v>2</v>
      </c>
      <c r="D11" s="73">
        <v>3</v>
      </c>
      <c r="E11" s="73">
        <v>4</v>
      </c>
      <c r="F11" s="84">
        <v>5</v>
      </c>
      <c r="H11" s="73" t="s">
        <v>108</v>
      </c>
      <c r="I11" s="73">
        <v>1</v>
      </c>
      <c r="J11" s="73">
        <v>2</v>
      </c>
      <c r="K11" s="84" t="s">
        <v>6</v>
      </c>
      <c r="L11" s="80"/>
      <c r="M11" s="73" t="s">
        <v>108</v>
      </c>
      <c r="N11" s="73">
        <v>1</v>
      </c>
      <c r="O11" s="73">
        <v>2</v>
      </c>
      <c r="P11" s="84">
        <v>3</v>
      </c>
      <c r="R11" s="73">
        <v>33</v>
      </c>
      <c r="S11" s="73" t="s">
        <v>91</v>
      </c>
      <c r="T11" s="73" t="s">
        <v>91</v>
      </c>
      <c r="U11" s="73" t="s">
        <v>92</v>
      </c>
      <c r="V11" s="73" t="s">
        <v>99</v>
      </c>
      <c r="W11" s="73">
        <v>1</v>
      </c>
      <c r="X11" s="73">
        <v>1</v>
      </c>
      <c r="Y11" s="73">
        <v>1</v>
      </c>
      <c r="Z11" s="84">
        <v>8</v>
      </c>
    </row>
    <row r="12" spans="1:26" x14ac:dyDescent="0.2">
      <c r="A12" t="s">
        <v>109</v>
      </c>
      <c r="B12">
        <v>0</v>
      </c>
      <c r="C12">
        <v>2</v>
      </c>
      <c r="D12" t="s">
        <v>6</v>
      </c>
      <c r="H12" s="73" t="s">
        <v>110</v>
      </c>
      <c r="I12" s="73">
        <v>1</v>
      </c>
      <c r="J12" s="73">
        <v>2</v>
      </c>
      <c r="K12" s="84" t="s">
        <v>6</v>
      </c>
      <c r="L12" s="80"/>
      <c r="M12" s="73" t="s">
        <v>110</v>
      </c>
      <c r="N12" s="73">
        <v>1</v>
      </c>
      <c r="O12" s="73">
        <v>2</v>
      </c>
      <c r="P12" s="84">
        <v>3</v>
      </c>
      <c r="R12" s="73">
        <v>34</v>
      </c>
      <c r="S12" s="73" t="s">
        <v>91</v>
      </c>
      <c r="T12" s="73" t="s">
        <v>91</v>
      </c>
      <c r="U12" s="73" t="s">
        <v>92</v>
      </c>
      <c r="V12" s="73" t="s">
        <v>99</v>
      </c>
      <c r="W12" s="73">
        <v>1</v>
      </c>
      <c r="X12" s="73">
        <v>1</v>
      </c>
      <c r="Y12" s="73">
        <v>1</v>
      </c>
      <c r="Z12" s="84">
        <v>8</v>
      </c>
    </row>
    <row r="13" spans="1:26" x14ac:dyDescent="0.2">
      <c r="A13" s="73" t="s">
        <v>111</v>
      </c>
      <c r="B13" s="73">
        <v>1</v>
      </c>
      <c r="C13" s="73">
        <v>2</v>
      </c>
      <c r="D13" s="73">
        <v>2</v>
      </c>
      <c r="E13" s="73">
        <v>2</v>
      </c>
      <c r="F13" s="84">
        <v>2</v>
      </c>
      <c r="H13" s="73" t="s">
        <v>112</v>
      </c>
      <c r="I13" s="73">
        <v>1</v>
      </c>
      <c r="J13" s="73">
        <v>2</v>
      </c>
      <c r="K13" s="84">
        <v>3</v>
      </c>
      <c r="L13" s="80"/>
      <c r="M13" s="73" t="s">
        <v>112</v>
      </c>
      <c r="N13" s="73">
        <v>1</v>
      </c>
      <c r="O13" s="73">
        <v>2</v>
      </c>
      <c r="P13" s="84">
        <v>3</v>
      </c>
    </row>
    <row r="14" spans="1:26" x14ac:dyDescent="0.2">
      <c r="A14" s="73" t="s">
        <v>113</v>
      </c>
      <c r="B14" s="73">
        <v>1</v>
      </c>
      <c r="C14" s="73">
        <v>2</v>
      </c>
      <c r="D14" s="81">
        <v>2</v>
      </c>
      <c r="E14" s="81">
        <v>2</v>
      </c>
      <c r="F14" s="85">
        <v>2</v>
      </c>
      <c r="H14" s="73" t="s">
        <v>114</v>
      </c>
      <c r="I14" s="73">
        <v>1</v>
      </c>
      <c r="J14" s="73">
        <v>2</v>
      </c>
      <c r="K14" s="84">
        <v>3</v>
      </c>
      <c r="L14" s="80"/>
      <c r="M14" s="73" t="s">
        <v>114</v>
      </c>
      <c r="N14" s="73">
        <v>1</v>
      </c>
      <c r="O14" s="73">
        <v>2</v>
      </c>
      <c r="P14" s="84">
        <v>3</v>
      </c>
      <c r="R14" s="73">
        <v>21</v>
      </c>
      <c r="S14" s="73" t="s">
        <v>91</v>
      </c>
      <c r="T14" s="73" t="s">
        <v>104</v>
      </c>
      <c r="U14" s="73"/>
      <c r="V14" s="73"/>
      <c r="W14" s="73">
        <v>1</v>
      </c>
      <c r="X14" s="73">
        <v>1</v>
      </c>
      <c r="Y14" s="73">
        <v>1</v>
      </c>
      <c r="Z14" s="84">
        <v>4</v>
      </c>
    </row>
    <row r="15" spans="1:26" x14ac:dyDescent="0.2">
      <c r="A15" s="73" t="s">
        <v>115</v>
      </c>
      <c r="B15" s="73">
        <v>1</v>
      </c>
      <c r="C15" s="73">
        <v>2</v>
      </c>
      <c r="D15" s="73">
        <v>2</v>
      </c>
      <c r="E15" s="73">
        <v>2</v>
      </c>
      <c r="F15" s="84">
        <v>2</v>
      </c>
      <c r="H15" s="73" t="s">
        <v>116</v>
      </c>
      <c r="I15" s="73">
        <v>1</v>
      </c>
      <c r="J15" s="73">
        <v>2</v>
      </c>
      <c r="K15" s="84" t="s">
        <v>6</v>
      </c>
      <c r="L15" s="80"/>
      <c r="M15" s="73" t="s">
        <v>116</v>
      </c>
      <c r="N15" s="73">
        <v>1</v>
      </c>
      <c r="O15" s="73">
        <v>2</v>
      </c>
      <c r="P15" s="84">
        <v>3</v>
      </c>
      <c r="R15" s="73">
        <v>22</v>
      </c>
      <c r="S15" s="73" t="s">
        <v>91</v>
      </c>
      <c r="T15" s="73" t="s">
        <v>91</v>
      </c>
      <c r="U15" s="73" t="s">
        <v>92</v>
      </c>
      <c r="V15" s="73" t="s">
        <v>99</v>
      </c>
      <c r="W15" s="73">
        <v>1</v>
      </c>
      <c r="X15" s="73">
        <v>1</v>
      </c>
      <c r="Y15" s="73">
        <v>1</v>
      </c>
      <c r="Z15" s="84">
        <v>8</v>
      </c>
    </row>
    <row r="16" spans="1:26" x14ac:dyDescent="0.2">
      <c r="A16" s="73" t="s">
        <v>117</v>
      </c>
      <c r="B16" s="73">
        <v>1</v>
      </c>
      <c r="C16" s="73">
        <v>2</v>
      </c>
      <c r="D16" s="73">
        <v>2</v>
      </c>
      <c r="E16" s="73">
        <v>2</v>
      </c>
      <c r="F16" s="84">
        <v>2</v>
      </c>
      <c r="H16" t="s">
        <v>118</v>
      </c>
      <c r="I16" s="82" t="s">
        <v>6</v>
      </c>
      <c r="J16" t="s">
        <v>6</v>
      </c>
      <c r="K16" t="s">
        <v>6</v>
      </c>
      <c r="M16" t="s">
        <v>119</v>
      </c>
      <c r="N16" s="82"/>
      <c r="P16" t="s">
        <v>6</v>
      </c>
      <c r="R16" s="73">
        <v>23</v>
      </c>
      <c r="S16" s="73" t="s">
        <v>91</v>
      </c>
      <c r="T16" s="73" t="s">
        <v>91</v>
      </c>
      <c r="U16" s="73" t="s">
        <v>92</v>
      </c>
      <c r="V16" s="73" t="s">
        <v>99</v>
      </c>
      <c r="W16" s="73">
        <v>1</v>
      </c>
      <c r="X16" s="73">
        <v>1</v>
      </c>
      <c r="Y16" s="73">
        <v>1</v>
      </c>
      <c r="Z16" s="84">
        <v>8</v>
      </c>
    </row>
    <row r="17" spans="1:26" x14ac:dyDescent="0.2">
      <c r="A17" s="73" t="s">
        <v>120</v>
      </c>
      <c r="B17" s="73">
        <v>1</v>
      </c>
      <c r="C17" s="73">
        <v>2</v>
      </c>
      <c r="D17" s="73">
        <v>3</v>
      </c>
      <c r="E17" s="73">
        <v>4</v>
      </c>
      <c r="F17" s="84">
        <v>5</v>
      </c>
      <c r="H17" s="73" t="s">
        <v>121</v>
      </c>
      <c r="I17" s="73">
        <v>1</v>
      </c>
      <c r="J17" s="73">
        <v>2</v>
      </c>
      <c r="K17" s="84">
        <v>4</v>
      </c>
      <c r="L17" s="80"/>
      <c r="M17" s="73" t="s">
        <v>121</v>
      </c>
      <c r="N17" s="73">
        <v>1</v>
      </c>
      <c r="O17" s="73">
        <v>2</v>
      </c>
      <c r="P17" s="84">
        <v>3</v>
      </c>
      <c r="R17" s="73">
        <v>24</v>
      </c>
      <c r="S17" s="73" t="s">
        <v>91</v>
      </c>
      <c r="T17" s="73" t="s">
        <v>91</v>
      </c>
      <c r="U17" s="73" t="s">
        <v>92</v>
      </c>
      <c r="V17" s="73" t="s">
        <v>99</v>
      </c>
      <c r="W17" s="73">
        <v>1</v>
      </c>
      <c r="X17" s="73">
        <v>1</v>
      </c>
      <c r="Y17" s="73">
        <v>1</v>
      </c>
      <c r="Z17" s="84">
        <v>8</v>
      </c>
    </row>
    <row r="18" spans="1:26" x14ac:dyDescent="0.2">
      <c r="A18" s="73" t="s">
        <v>122</v>
      </c>
      <c r="B18" s="73">
        <v>1</v>
      </c>
      <c r="C18" s="73">
        <v>2</v>
      </c>
      <c r="D18" s="73">
        <v>3</v>
      </c>
      <c r="E18" s="73">
        <v>4</v>
      </c>
      <c r="F18" s="84">
        <v>5</v>
      </c>
      <c r="H18" s="73" t="s">
        <v>123</v>
      </c>
      <c r="I18" s="73">
        <v>1</v>
      </c>
      <c r="J18" s="73">
        <v>2</v>
      </c>
      <c r="K18" s="84">
        <v>4</v>
      </c>
      <c r="L18" s="80"/>
      <c r="M18" s="73" t="s">
        <v>123</v>
      </c>
      <c r="N18" s="73">
        <v>1</v>
      </c>
      <c r="O18" s="73">
        <v>2</v>
      </c>
      <c r="P18" s="84">
        <v>3</v>
      </c>
    </row>
    <row r="19" spans="1:26" x14ac:dyDescent="0.2">
      <c r="A19" s="73" t="s">
        <v>124</v>
      </c>
      <c r="B19" s="73">
        <v>1</v>
      </c>
      <c r="C19" s="73">
        <v>2</v>
      </c>
      <c r="D19" s="73">
        <v>3</v>
      </c>
      <c r="E19" s="73">
        <v>4</v>
      </c>
      <c r="F19" s="84">
        <v>5</v>
      </c>
      <c r="H19" s="73" t="s">
        <v>125</v>
      </c>
      <c r="I19" s="73">
        <v>1</v>
      </c>
      <c r="J19" s="73">
        <v>2</v>
      </c>
      <c r="K19" s="84">
        <v>4</v>
      </c>
      <c r="L19" s="80"/>
      <c r="M19" s="73" t="s">
        <v>125</v>
      </c>
      <c r="N19" s="73">
        <v>1</v>
      </c>
      <c r="O19" s="73">
        <v>2</v>
      </c>
      <c r="P19" s="84">
        <v>3</v>
      </c>
      <c r="R19" s="73">
        <v>11</v>
      </c>
      <c r="S19" s="73" t="s">
        <v>91</v>
      </c>
      <c r="T19" s="73" t="s">
        <v>104</v>
      </c>
      <c r="U19" s="73"/>
      <c r="V19" s="73"/>
      <c r="W19" s="73">
        <v>1</v>
      </c>
      <c r="X19" s="73">
        <v>1</v>
      </c>
      <c r="Y19" s="73">
        <v>1</v>
      </c>
      <c r="Z19" s="84">
        <v>4</v>
      </c>
    </row>
    <row r="20" spans="1:26" x14ac:dyDescent="0.2">
      <c r="A20" s="73" t="s">
        <v>126</v>
      </c>
      <c r="B20" s="73">
        <v>1</v>
      </c>
      <c r="C20" s="73">
        <v>2</v>
      </c>
      <c r="D20" s="73">
        <v>2</v>
      </c>
      <c r="E20" s="73">
        <v>2</v>
      </c>
      <c r="F20" s="84">
        <v>2</v>
      </c>
      <c r="H20" s="73" t="s">
        <v>127</v>
      </c>
      <c r="I20" s="73">
        <v>1</v>
      </c>
      <c r="J20" s="73">
        <v>2</v>
      </c>
      <c r="K20" s="84">
        <v>4</v>
      </c>
      <c r="L20" s="80"/>
      <c r="M20" s="73" t="s">
        <v>127</v>
      </c>
      <c r="N20" s="73">
        <v>1</v>
      </c>
      <c r="O20" s="73">
        <v>2</v>
      </c>
      <c r="P20" s="84">
        <v>3</v>
      </c>
      <c r="R20" s="73">
        <v>12</v>
      </c>
      <c r="S20" s="73" t="s">
        <v>91</v>
      </c>
      <c r="T20" s="73" t="s">
        <v>91</v>
      </c>
      <c r="U20" s="73" t="s">
        <v>92</v>
      </c>
      <c r="V20" s="73" t="s">
        <v>99</v>
      </c>
      <c r="W20" s="73">
        <v>1</v>
      </c>
      <c r="X20" s="73">
        <v>1</v>
      </c>
      <c r="Y20" s="73">
        <v>1</v>
      </c>
      <c r="Z20" s="84">
        <v>8</v>
      </c>
    </row>
    <row r="21" spans="1:26" x14ac:dyDescent="0.2">
      <c r="A21" t="s">
        <v>128</v>
      </c>
      <c r="B21" t="s">
        <v>6</v>
      </c>
      <c r="C21" t="s">
        <v>6</v>
      </c>
      <c r="D21" t="s">
        <v>6</v>
      </c>
      <c r="H21" s="73" t="s">
        <v>129</v>
      </c>
      <c r="I21" s="73">
        <v>1</v>
      </c>
      <c r="J21" s="73">
        <v>2</v>
      </c>
      <c r="K21" s="84" t="s">
        <v>6</v>
      </c>
      <c r="L21" s="80"/>
      <c r="M21" s="73" t="s">
        <v>129</v>
      </c>
      <c r="N21" s="73">
        <v>1</v>
      </c>
      <c r="O21" s="73">
        <v>2</v>
      </c>
      <c r="P21" s="84">
        <v>3</v>
      </c>
      <c r="R21" s="73">
        <v>13</v>
      </c>
      <c r="S21" s="73" t="s">
        <v>91</v>
      </c>
      <c r="T21" s="73" t="s">
        <v>91</v>
      </c>
      <c r="U21" s="73" t="s">
        <v>92</v>
      </c>
      <c r="V21" s="73" t="s">
        <v>99</v>
      </c>
      <c r="W21" s="73">
        <v>1</v>
      </c>
      <c r="X21" s="73">
        <v>1</v>
      </c>
      <c r="Y21" s="73">
        <v>1</v>
      </c>
      <c r="Z21" s="84">
        <v>8</v>
      </c>
    </row>
    <row r="22" spans="1:26" x14ac:dyDescent="0.2">
      <c r="A22" s="73" t="s">
        <v>130</v>
      </c>
      <c r="B22" s="73">
        <v>1</v>
      </c>
      <c r="C22" s="73">
        <v>2</v>
      </c>
      <c r="D22" s="73">
        <v>2</v>
      </c>
      <c r="E22" s="73">
        <v>2</v>
      </c>
      <c r="F22" s="84">
        <v>2</v>
      </c>
      <c r="H22" s="73" t="s">
        <v>131</v>
      </c>
      <c r="I22" s="73">
        <v>1</v>
      </c>
      <c r="J22" s="73">
        <v>2</v>
      </c>
      <c r="K22" s="84" t="s">
        <v>6</v>
      </c>
      <c r="L22" s="80"/>
      <c r="M22" s="73" t="s">
        <v>131</v>
      </c>
      <c r="N22" s="73">
        <v>1</v>
      </c>
      <c r="O22" s="73">
        <v>2</v>
      </c>
      <c r="P22" s="84">
        <v>3</v>
      </c>
      <c r="R22" s="73">
        <v>14</v>
      </c>
      <c r="S22" s="73" t="s">
        <v>91</v>
      </c>
      <c r="T22" s="73" t="s">
        <v>91</v>
      </c>
      <c r="U22" s="73" t="s">
        <v>92</v>
      </c>
      <c r="V22" s="73" t="s">
        <v>99</v>
      </c>
      <c r="W22" s="73">
        <v>1</v>
      </c>
      <c r="X22" s="73">
        <v>1</v>
      </c>
      <c r="Y22" s="73">
        <v>1</v>
      </c>
      <c r="Z22" s="84">
        <v>8</v>
      </c>
    </row>
    <row r="23" spans="1:26" x14ac:dyDescent="0.2">
      <c r="A23" s="73" t="s">
        <v>132</v>
      </c>
      <c r="B23" s="73">
        <v>1</v>
      </c>
      <c r="C23" s="73">
        <v>2</v>
      </c>
      <c r="D23" s="73">
        <v>2</v>
      </c>
      <c r="E23" s="73">
        <v>2</v>
      </c>
      <c r="F23" s="84">
        <v>2</v>
      </c>
      <c r="H23" s="73" t="s">
        <v>133</v>
      </c>
      <c r="I23" s="73">
        <v>1</v>
      </c>
      <c r="J23" s="73">
        <v>2</v>
      </c>
      <c r="K23" s="84" t="s">
        <v>6</v>
      </c>
      <c r="L23" s="80"/>
      <c r="M23" s="73" t="s">
        <v>133</v>
      </c>
      <c r="N23" s="73">
        <v>1</v>
      </c>
      <c r="O23" s="73">
        <v>2</v>
      </c>
      <c r="P23" s="84">
        <v>3</v>
      </c>
      <c r="Z23">
        <f>SUM(Z4:Z22)</f>
        <v>132</v>
      </c>
    </row>
    <row r="24" spans="1:26" x14ac:dyDescent="0.2">
      <c r="A24" s="73" t="s">
        <v>134</v>
      </c>
      <c r="B24" s="73">
        <v>1</v>
      </c>
      <c r="C24" s="73">
        <v>2</v>
      </c>
      <c r="D24" s="73">
        <v>2</v>
      </c>
      <c r="E24" s="73">
        <v>2</v>
      </c>
      <c r="F24" s="84">
        <v>2</v>
      </c>
      <c r="H24" s="73" t="s">
        <v>135</v>
      </c>
      <c r="I24" s="73">
        <v>1</v>
      </c>
      <c r="J24" s="73">
        <v>2</v>
      </c>
      <c r="K24" s="84" t="s">
        <v>6</v>
      </c>
      <c r="L24" s="80"/>
      <c r="M24" s="73" t="s">
        <v>135</v>
      </c>
      <c r="N24" s="73">
        <v>1</v>
      </c>
      <c r="O24" s="73">
        <v>2</v>
      </c>
      <c r="P24" s="84">
        <v>3</v>
      </c>
    </row>
    <row r="25" spans="1:26" x14ac:dyDescent="0.2">
      <c r="A25" s="73" t="s">
        <v>136</v>
      </c>
      <c r="B25" s="73">
        <v>1</v>
      </c>
      <c r="C25" s="73">
        <v>2</v>
      </c>
      <c r="D25" s="73">
        <v>2</v>
      </c>
      <c r="E25" s="73">
        <v>2</v>
      </c>
      <c r="F25" s="84">
        <v>2</v>
      </c>
      <c r="H25" s="73" t="s">
        <v>137</v>
      </c>
      <c r="I25" s="73">
        <v>1</v>
      </c>
      <c r="J25" s="73">
        <v>2</v>
      </c>
      <c r="K25" s="84" t="s">
        <v>6</v>
      </c>
      <c r="L25" s="80"/>
      <c r="M25" s="73" t="s">
        <v>137</v>
      </c>
      <c r="N25" s="73">
        <v>1</v>
      </c>
      <c r="O25" s="73">
        <v>2</v>
      </c>
      <c r="P25" s="84">
        <v>3</v>
      </c>
      <c r="T25" t="s">
        <v>6</v>
      </c>
    </row>
    <row r="26" spans="1:26" x14ac:dyDescent="0.2">
      <c r="A26" s="73" t="s">
        <v>138</v>
      </c>
      <c r="B26" s="73">
        <v>1</v>
      </c>
      <c r="C26" s="73">
        <v>2</v>
      </c>
      <c r="D26" s="73">
        <v>3</v>
      </c>
      <c r="E26" s="73">
        <v>4</v>
      </c>
      <c r="F26" s="84">
        <v>4</v>
      </c>
      <c r="H26" s="73" t="s">
        <v>139</v>
      </c>
      <c r="I26" s="73">
        <v>1</v>
      </c>
      <c r="J26" s="73">
        <v>2</v>
      </c>
      <c r="K26" s="84">
        <v>3</v>
      </c>
      <c r="L26" s="80"/>
      <c r="M26" s="73" t="s">
        <v>139</v>
      </c>
      <c r="N26" s="73">
        <v>1</v>
      </c>
      <c r="O26" s="73">
        <v>2</v>
      </c>
      <c r="P26" s="84">
        <v>3</v>
      </c>
    </row>
    <row r="27" spans="1:26" x14ac:dyDescent="0.2">
      <c r="A27" s="73" t="s">
        <v>140</v>
      </c>
      <c r="B27" s="73">
        <v>1</v>
      </c>
      <c r="C27" s="73">
        <v>2</v>
      </c>
      <c r="D27" s="73">
        <v>3</v>
      </c>
      <c r="E27" s="73">
        <v>4</v>
      </c>
      <c r="F27" s="84">
        <v>4</v>
      </c>
      <c r="H27" s="73" t="s">
        <v>141</v>
      </c>
      <c r="I27" s="73">
        <v>1</v>
      </c>
      <c r="J27" s="73">
        <v>2</v>
      </c>
      <c r="K27" s="84">
        <v>3</v>
      </c>
      <c r="L27" s="80"/>
      <c r="M27" s="73" t="s">
        <v>141</v>
      </c>
      <c r="N27" s="73">
        <v>1</v>
      </c>
      <c r="O27" s="73">
        <v>2</v>
      </c>
      <c r="P27" s="84">
        <v>3</v>
      </c>
    </row>
    <row r="28" spans="1:26" x14ac:dyDescent="0.2">
      <c r="A28" s="73" t="s">
        <v>142</v>
      </c>
      <c r="B28" s="73">
        <v>1</v>
      </c>
      <c r="C28" s="73">
        <v>2</v>
      </c>
      <c r="D28" s="73">
        <v>3</v>
      </c>
      <c r="E28" s="73">
        <v>4</v>
      </c>
      <c r="F28" s="84">
        <v>4</v>
      </c>
      <c r="H28" s="73" t="s">
        <v>143</v>
      </c>
      <c r="I28" s="73">
        <v>1</v>
      </c>
      <c r="J28" s="73">
        <v>2</v>
      </c>
      <c r="K28" s="84" t="s">
        <v>6</v>
      </c>
      <c r="L28" s="80"/>
      <c r="M28" s="73" t="s">
        <v>143</v>
      </c>
      <c r="N28" s="73">
        <v>1</v>
      </c>
      <c r="O28" s="73">
        <v>2</v>
      </c>
      <c r="P28" s="84">
        <v>3</v>
      </c>
    </row>
    <row r="29" spans="1:26" x14ac:dyDescent="0.2">
      <c r="A29" s="73" t="s">
        <v>144</v>
      </c>
      <c r="B29" s="73">
        <v>1</v>
      </c>
      <c r="C29" s="73">
        <v>2</v>
      </c>
      <c r="D29" s="73">
        <v>3</v>
      </c>
      <c r="E29" s="73">
        <v>4</v>
      </c>
      <c r="F29" s="84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 Alojamiento.</vt:lpstr>
      <vt:lpstr> Por el Día</vt:lpstr>
      <vt:lpstr>Itinerario para firmar</vt:lpstr>
      <vt:lpstr> Alojamiento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2018-11-08T20:47:11Z</dcterms:modified>
</cp:coreProperties>
</file>