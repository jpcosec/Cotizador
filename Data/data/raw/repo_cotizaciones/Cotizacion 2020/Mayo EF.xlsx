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carmenrodriguez/Dropbox/Eventos lodge/Eventos cotizados/Carmen/Cotizacion 2020/"/>
    </mc:Choice>
  </mc:AlternateContent>
  <xr:revisionPtr revIDLastSave="0" documentId="8_{47310242-56A1-3C46-837A-D7A0B36E18C9}" xr6:coauthVersionLast="36" xr6:coauthVersionMax="36" xr10:uidLastSave="{00000000-0000-0000-0000-000000000000}"/>
  <bookViews>
    <workbookView xWindow="180" yWindow="500" windowWidth="28080" windowHeight="16220" tabRatio="500" xr2:uid="{00000000-000D-0000-FFFF-FFFF00000000}"/>
  </bookViews>
  <sheets>
    <sheet name="Presupuesto valorizado" sheetId="1" r:id="rId1"/>
    <sheet name="Itinerario para firmar" sheetId="9" r:id="rId2"/>
    <sheet name="Detalle de alojamiento." sheetId="5" r:id="rId3"/>
    <sheet name="Detalle de Alimentacion." sheetId="10" r:id="rId4"/>
  </sheets>
  <calcPr calcId="18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43" i="1" l="1"/>
  <c r="F21" i="1"/>
  <c r="F36" i="1"/>
  <c r="F35" i="1"/>
  <c r="F37" i="1" s="1"/>
  <c r="E22" i="1"/>
  <c r="F17" i="1"/>
  <c r="F30" i="1" l="1"/>
  <c r="F31" i="1"/>
  <c r="F32" i="1"/>
  <c r="F29" i="1"/>
  <c r="F25" i="1"/>
  <c r="F26" i="1"/>
  <c r="F10" i="1"/>
  <c r="F11" i="1"/>
  <c r="F14" i="1"/>
  <c r="F15" i="1"/>
  <c r="F16" i="1"/>
  <c r="F27" i="1" l="1"/>
  <c r="F33" i="1"/>
  <c r="F22" i="1"/>
  <c r="E13" i="1"/>
  <c r="F13" i="1" s="1"/>
  <c r="F20" i="1" l="1"/>
  <c r="F23" i="1" s="1"/>
  <c r="F9" i="1" l="1"/>
  <c r="E12" i="1" l="1"/>
  <c r="F12" i="1" s="1"/>
  <c r="F18" i="1" s="1"/>
  <c r="F40" i="1"/>
  <c r="F41" i="1"/>
  <c r="F42" i="1"/>
  <c r="F39" i="1"/>
  <c r="F30" i="5"/>
  <c r="E30" i="5"/>
  <c r="D30" i="5"/>
  <c r="C30" i="5"/>
  <c r="B30" i="5"/>
  <c r="P29" i="5"/>
  <c r="O29" i="5"/>
  <c r="N29" i="5"/>
  <c r="K29" i="5"/>
  <c r="J29" i="5"/>
  <c r="I29" i="5"/>
  <c r="Z23" i="5"/>
  <c r="F44" i="1" l="1"/>
</calcChain>
</file>

<file path=xl/sharedStrings.xml><?xml version="1.0" encoding="utf-8"?>
<sst xmlns="http://schemas.openxmlformats.org/spreadsheetml/2006/main" count="412" uniqueCount="226">
  <si>
    <t xml:space="preserve">Valor </t>
  </si>
  <si>
    <t>Total</t>
  </si>
  <si>
    <t xml:space="preserve"> </t>
  </si>
  <si>
    <t>Empresa:</t>
  </si>
  <si>
    <t>Nº Pasajeros</t>
  </si>
  <si>
    <t>Fono:</t>
  </si>
  <si>
    <t>Nº Pax</t>
  </si>
  <si>
    <t>Detalle de servicios.</t>
  </si>
  <si>
    <t>Desayuno Buffet</t>
  </si>
  <si>
    <t xml:space="preserve">Capacidad total con hoteles nuevos </t>
  </si>
  <si>
    <t>Hoteles</t>
  </si>
  <si>
    <t>Disponible a diciembre 2014</t>
  </si>
  <si>
    <t>Cabañas</t>
  </si>
  <si>
    <t>Don Chote</t>
  </si>
  <si>
    <t>single</t>
  </si>
  <si>
    <t>Doble</t>
  </si>
  <si>
    <t>Con Triples</t>
  </si>
  <si>
    <t>Con Cuadruples</t>
  </si>
  <si>
    <t>Con quintuples</t>
  </si>
  <si>
    <t>Don Mario</t>
  </si>
  <si>
    <t>Don Jean Paul</t>
  </si>
  <si>
    <t>Numero</t>
  </si>
  <si>
    <t>dormitorio 1</t>
  </si>
  <si>
    <t>dorm 2</t>
  </si>
  <si>
    <t>dorm 3</t>
  </si>
  <si>
    <t>dorm 4</t>
  </si>
  <si>
    <t>Baños</t>
  </si>
  <si>
    <t>Frigobar</t>
  </si>
  <si>
    <t>Terraza</t>
  </si>
  <si>
    <t>C1</t>
  </si>
  <si>
    <t>M1</t>
  </si>
  <si>
    <t>2 camas</t>
  </si>
  <si>
    <t>2 camarotes</t>
  </si>
  <si>
    <t>C2</t>
  </si>
  <si>
    <t>M2</t>
  </si>
  <si>
    <t>C3</t>
  </si>
  <si>
    <t>M3</t>
  </si>
  <si>
    <t>C4</t>
  </si>
  <si>
    <t>M4</t>
  </si>
  <si>
    <t>1 camarotes</t>
  </si>
  <si>
    <t>C5</t>
  </si>
  <si>
    <t>M5</t>
  </si>
  <si>
    <t>C6</t>
  </si>
  <si>
    <t>M6</t>
  </si>
  <si>
    <t>1 camarote</t>
  </si>
  <si>
    <t>C7</t>
  </si>
  <si>
    <t>M7</t>
  </si>
  <si>
    <t>C8</t>
  </si>
  <si>
    <t>M8</t>
  </si>
  <si>
    <t xml:space="preserve">Don Jorge </t>
  </si>
  <si>
    <t>M9</t>
  </si>
  <si>
    <t>J1</t>
  </si>
  <si>
    <t>M10</t>
  </si>
  <si>
    <t>J2</t>
  </si>
  <si>
    <t>M11</t>
  </si>
  <si>
    <t>J3</t>
  </si>
  <si>
    <t>M12</t>
  </si>
  <si>
    <t>J4</t>
  </si>
  <si>
    <t>Don Roberto</t>
  </si>
  <si>
    <t>Don Jean Paul papa</t>
  </si>
  <si>
    <t>J5</t>
  </si>
  <si>
    <t>R1</t>
  </si>
  <si>
    <t>J6</t>
  </si>
  <si>
    <t>R2</t>
  </si>
  <si>
    <t>J7</t>
  </si>
  <si>
    <t>R3</t>
  </si>
  <si>
    <t>J8</t>
  </si>
  <si>
    <t>R4</t>
  </si>
  <si>
    <t>Don Pancho</t>
  </si>
  <si>
    <t>R5</t>
  </si>
  <si>
    <t>P1</t>
  </si>
  <si>
    <t>R6</t>
  </si>
  <si>
    <t>P2</t>
  </si>
  <si>
    <t>R7</t>
  </si>
  <si>
    <t>P3</t>
  </si>
  <si>
    <t>R8</t>
  </si>
  <si>
    <t>P4</t>
  </si>
  <si>
    <t>R9</t>
  </si>
  <si>
    <t>P5</t>
  </si>
  <si>
    <t>R10</t>
  </si>
  <si>
    <t>P6</t>
  </si>
  <si>
    <t>R11</t>
  </si>
  <si>
    <t>P7</t>
  </si>
  <si>
    <t>R12</t>
  </si>
  <si>
    <t>P8</t>
  </si>
  <si>
    <t>cuadruples y triples</t>
  </si>
  <si>
    <t>Total paquete.</t>
  </si>
  <si>
    <t>ITINERARIO SAN FRANCISCO LODGE</t>
  </si>
  <si>
    <t>Inicio</t>
  </si>
  <si>
    <t xml:space="preserve">Fin </t>
  </si>
  <si>
    <t>Responsable</t>
  </si>
  <si>
    <t>Nº Personas</t>
  </si>
  <si>
    <t>Lugar/Salón</t>
  </si>
  <si>
    <t xml:space="preserve">Comentarios </t>
  </si>
  <si>
    <t>Desayuno</t>
  </si>
  <si>
    <t>Comedor</t>
  </si>
  <si>
    <t>Almuerzo</t>
  </si>
  <si>
    <t>Actividades libres</t>
  </si>
  <si>
    <t>*Por favor se agradecerá avisar cambios con un máximo de tres días antes de la fecha de iniciación del evento. Cambios de última hora podrían incurrir en gastos extras.</t>
  </si>
  <si>
    <t>Firma representante de la empresa</t>
  </si>
  <si>
    <t>Gracias y nos vemos pronto!</t>
  </si>
  <si>
    <t>Parrilla pollo, vacuno, cerdo, chorizo, prietas, acompañamientos, salad bar,  postres, líquidos en autoservicio</t>
  </si>
  <si>
    <t>Almuerzos Buffet Parrilla</t>
  </si>
  <si>
    <t xml:space="preserve">Cena  Buffet </t>
  </si>
  <si>
    <t>Uds</t>
  </si>
  <si>
    <t xml:space="preserve">Piscina hasta las 20:00 </t>
  </si>
  <si>
    <t>Cena</t>
  </si>
  <si>
    <t>Lun 28 nov</t>
  </si>
  <si>
    <t>Uso salón</t>
  </si>
  <si>
    <t>Montaje por confirmar</t>
  </si>
  <si>
    <t>Mar 29 nov</t>
  </si>
  <si>
    <t>Mie 30 nov</t>
  </si>
  <si>
    <t>Observaciones</t>
  </si>
  <si>
    <t xml:space="preserve">Empresa: </t>
  </si>
  <si>
    <t xml:space="preserve">Nº Personas: </t>
  </si>
  <si>
    <t xml:space="preserve">                                                         Nombre: </t>
  </si>
  <si>
    <t xml:space="preserve">                                                        E Mail</t>
  </si>
  <si>
    <t xml:space="preserve">                                                        Fecha:</t>
  </si>
  <si>
    <t>Telefono</t>
  </si>
  <si>
    <t>Atiende:</t>
  </si>
  <si>
    <t>IVA</t>
  </si>
  <si>
    <t>Habitación doble hotel</t>
  </si>
  <si>
    <t>Hora</t>
  </si>
  <si>
    <t>13:00-15:00</t>
  </si>
  <si>
    <t>20:00- 21:00</t>
  </si>
  <si>
    <t>Importante:</t>
  </si>
  <si>
    <t>Cuenta  corriente:</t>
  </si>
  <si>
    <t>Nº620024-9.</t>
  </si>
  <si>
    <t>Banco </t>
  </si>
  <si>
    <t>Santander</t>
  </si>
  <si>
    <t>Razón Social: </t>
  </si>
  <si>
    <t>Rut: </t>
  </si>
  <si>
    <t>76.666.800-3</t>
  </si>
  <si>
    <t>Giro: </t>
  </si>
  <si>
    <t>Turismo.-</t>
  </si>
  <si>
    <t>Dirección: </t>
  </si>
  <si>
    <t>Camino a la canabina s/n San Esteban.</t>
  </si>
  <si>
    <t>Detalles Importantes:</t>
  </si>
  <si>
    <t>1.-</t>
  </si>
  <si>
    <t>2.-</t>
  </si>
  <si>
    <t>3.-</t>
  </si>
  <si>
    <t>4.-</t>
  </si>
  <si>
    <t>Desayuno buffet:</t>
  </si>
  <si>
    <t>Café, té, leche, jugo, frutas, yogurt, cereales, pan amasado, queso, jamón,  omelette, huevos, tartaletas o muffins o profiteroles, wafles.</t>
  </si>
  <si>
    <t xml:space="preserve">Almuerzos: </t>
  </si>
  <si>
    <t>Parrilla buffet de vacuno, costillar, pulpa, pollo, chorizos, prietas.</t>
  </si>
  <si>
    <r>
      <t xml:space="preserve">Onces: </t>
    </r>
    <r>
      <rPr>
        <sz val="13"/>
        <color rgb="FF000000"/>
        <rFont val="Calibri"/>
        <family val="2"/>
      </rPr>
      <t>Café, te, leche, jugos, helado, torta, sandwich.</t>
    </r>
  </si>
  <si>
    <t>Buffet de  Acompañamientos calientes, Salad bar con variedades de ensaladas, Buffet de postres con tortas, postres de leche y frutas.</t>
  </si>
  <si>
    <t>Actividades Libres(indicar Horario)</t>
  </si>
  <si>
    <t>Pesca con Mosca</t>
  </si>
  <si>
    <t>Autoservicio de Liquidos</t>
  </si>
  <si>
    <t>Café, té, aguas de hierba, agua mineral, nestéa, Jugos</t>
  </si>
  <si>
    <t>Piscina temperada</t>
  </si>
  <si>
    <t>Acceso a pescar con mosca, en lagunas o estero.</t>
  </si>
  <si>
    <t>Piscina temperada entre 10:00-14:00 y 15:00- 20:00(se exige uso de gorra), piscina exterior.</t>
  </si>
  <si>
    <t>Canopy, kayak, Cabalgatas 30 min, pool, ping pong, taca, taca, entre 10:00-13:00; 15:00- 18:30.</t>
  </si>
  <si>
    <t>Incluido sin costo</t>
  </si>
  <si>
    <t>Siempre que se usen en horarios establecidos y en forma no exclusiva, indicando hora de uso.</t>
  </si>
  <si>
    <t>Café, té, leche, yogurt, jamón, queso, huevos, mermeladas, mantequilla, panes, minipastelitos y cereales</t>
  </si>
  <si>
    <t>Variados platos de carnes y acompañamientos, salad bar, postres, líquidos en autoservicio</t>
  </si>
  <si>
    <t>Bebida gaseosa  ó cerveza</t>
  </si>
  <si>
    <t>Equipado con data, telón papelógrafo, aire acondicionado y calefacción, 8 h Día o 4 h Noche</t>
  </si>
  <si>
    <t>Habitación single hotel</t>
  </si>
  <si>
    <t>Habitación single hotel con 1 desayuno</t>
  </si>
  <si>
    <t>Habitación doble hotel con 2 desayunos</t>
  </si>
  <si>
    <t>Cotización de servicios.</t>
  </si>
  <si>
    <t xml:space="preserve"> Confirmar hora</t>
  </si>
  <si>
    <t>Pago Contado: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</si>
  <si>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Orden de compra indicando forma de pago abono y datos de la empresa.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</si>
  <si>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Abono de 50% del total del Evento.</t>
    </r>
  </si>
  <si>
    <t>Crédito:</t>
  </si>
  <si>
    <r>
      <t>Para órdenes de Compra y pagos</t>
    </r>
    <r>
      <rPr>
        <sz val="11"/>
        <color rgb="FF000000"/>
        <rFont val="Calibri"/>
        <family val="2"/>
      </rPr>
      <t>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</si>
  <si>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Confirmar asistentes con 72 hrs, luego se paga por lo reservado.</t>
    </r>
  </si>
  <si>
    <r>
      <t>·</t>
    </r>
    <r>
      <rPr>
        <sz val="7"/>
        <color rgb="FF000000"/>
        <rFont val="Times New Roman"/>
        <family val="1"/>
      </rPr>
      <t>      </t>
    </r>
    <r>
      <rPr>
        <sz val="11"/>
        <color rgb="FF000000"/>
        <rFont val="Calibri"/>
        <family val="2"/>
      </rPr>
      <t>Se deberá definir el Itinerario a más tardar 48 horas de iniciado el evento, después de 48 horas cualquier cambio tienen recargo de 50% al valor del servicio.</t>
    </r>
  </si>
  <si>
    <t>Gaseosa ó mineral ó  jugo de botella ó cerveza Cristal o Escudo en lata.</t>
  </si>
  <si>
    <t>Piscola, roncola, mojito, Ice, Aperol, copa de vino, espumante, vino tinto, blanco</t>
  </si>
  <si>
    <t>Tragos Con pisco, ron cocteles, cerveza vino.</t>
  </si>
  <si>
    <t xml:space="preserve">Carmen Rodriguez </t>
  </si>
  <si>
    <t>9 74961403</t>
  </si>
  <si>
    <t>Armando de bar, hielo, barman, cooler, servido de tragos, vasos, copas.</t>
  </si>
  <si>
    <t>Coctail basico, minimo 15 pasajeros.</t>
  </si>
  <si>
    <t xml:space="preserve"> Tragos(1 p/p entre) Pisco sour o espumante, vino,  bebida, cerveza, 1 empanaditas, 1 bruzquetas, quesos, frutos secos, galletas.</t>
  </si>
  <si>
    <t>Formalización y forma de pago.</t>
  </si>
  <si>
    <t>Para formalizar reserva se requiere lo siguiente.</t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</si>
  <si>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Saldo + extras si los hubiera, pagado contra factura el día del evento en el Lodge.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</si>
  <si>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Solicitud de Crédito.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</si>
  <si>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Balance último año contable.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</si>
  <si>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3 últimos IVA.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</si>
  <si>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Calibri"/>
        <family val="2"/>
      </rPr>
      <t>Escritura de constitución de la sociedad, donde se indique nombre y rut y dirección de los socios y representantes legales.</t>
    </r>
  </si>
  <si>
    <t>Crédito a 30 días, genera interés de 5% sobre el saldo adeudado, 60 días 10%. El no pago del saldo en la fecha señalada, genera automáticamente un 10% de recargo sobre el saldo, más el máximo interés convencional por día de atraso.</t>
  </si>
  <si>
    <t>Forma de Pago.</t>
  </si>
  <si>
    <t xml:space="preserve">La forma de pago de facturas generadas por eventos realizados o extras generados a raíz  de dichos eventos, deberán ser pagadas vía transferencia o Deposito a la Cta. Cte. de Aventuras Andinas Ltda, rut 76666800-3, Nº 620024-9 del Banco Santander, los gastos de cobranza del Lodge ascienden a $200.000, que implican un chofer, una camioneta para traslado de personal de cobranzas por día. </t>
  </si>
  <si>
    <t>Aventuras Andinas limitada.</t>
  </si>
  <si>
    <t>Copiar abonos o transferencias a sf@sflodge.cl y correo de la vendedora.</t>
  </si>
  <si>
    <t>Alimentos y bebidas</t>
  </si>
  <si>
    <t>Botella de vino reserva</t>
  </si>
  <si>
    <t xml:space="preserve">Salones </t>
  </si>
  <si>
    <t>Tragos con ticket</t>
  </si>
  <si>
    <r>
      <t>Bar abierto 4 horas</t>
    </r>
    <r>
      <rPr>
        <sz val="12"/>
        <color rgb="FFFF0000"/>
        <rFont val="Calibri (Cuerpo)_x0000_"/>
      </rPr>
      <t xml:space="preserve"> </t>
    </r>
  </si>
  <si>
    <t>Descorche, valor por persona</t>
  </si>
  <si>
    <t>Implementos técnologicos</t>
  </si>
  <si>
    <t xml:space="preserve">Amplificacion </t>
  </si>
  <si>
    <t xml:space="preserve">Luces </t>
  </si>
  <si>
    <t xml:space="preserve">DJ </t>
  </si>
  <si>
    <t>Animador</t>
  </si>
  <si>
    <t xml:space="preserve"> Pablo Parera</t>
  </si>
  <si>
    <t xml:space="preserve"> EF.</t>
  </si>
  <si>
    <t xml:space="preserve"> pablo.parera@ef.com</t>
  </si>
  <si>
    <t>Mayo</t>
  </si>
  <si>
    <t>Salon Coho</t>
  </si>
  <si>
    <t>Total A&amp;B</t>
  </si>
  <si>
    <t>Alojamiento</t>
  </si>
  <si>
    <t>Total Alojamiento</t>
  </si>
  <si>
    <t>Total Salones</t>
  </si>
  <si>
    <t>noches</t>
  </si>
  <si>
    <t>habitaciones</t>
  </si>
  <si>
    <t>cabaña</t>
  </si>
  <si>
    <t>Cabaña para 6 pasajeros con desayuno</t>
  </si>
  <si>
    <t>Total implementos tecnologicos</t>
  </si>
  <si>
    <t>Team Building y otros</t>
  </si>
  <si>
    <t xml:space="preserve">Cabalgata </t>
  </si>
  <si>
    <t>Trekking a la cumbre con mesa de hidratacion</t>
  </si>
  <si>
    <t>Quincho hasta  150 pasajeros</t>
  </si>
  <si>
    <t>35 caballos, 35 nomturas, 4 guas montados, 2 horas, estacion de hidratacion con aguas, frutas y barra de cereales.</t>
  </si>
  <si>
    <t>Incluye mesa de hidratacion con aguas y fruta, barra de cereales, 4 guias y 2 caballos en caso de necesitarse.</t>
  </si>
  <si>
    <t>Total team  Building y otros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</si>
</sst>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-&quot;$&quot;* #,##0_-;\-&quot;$&quot;* #,##0_-;_-&quot;$&quot;* &quot;-&quot;_-;_-@_-"/>
    <numFmt numFmtId="164" formatCode="&quot;$&quot;#,##0;[Red]&quot;$&quot;\-#,##0"/>
    <numFmt numFmtId="165" formatCode="&quot;$&quot;#,##0"/>
    <numFmt numFmtId="166" formatCode="h:mm:ss;@"/>
  </numFmts>
  <fonts count="22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3"/>
      <color rgb="FF000000"/>
      <name val="Calibri"/>
      <family val="2"/>
    </font>
    <font>
      <b/>
      <sz val="13"/>
      <color rgb="FF000000"/>
      <name val="Calibri"/>
      <family val="2"/>
    </font>
    <font>
      <sz val="12"/>
      <name val="Calibri"/>
      <family val="2"/>
      <scheme val="minor"/>
    </font>
    <font>
      <sz val="12"/>
      <color theme="3" tint="0.3999755851924192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Symbol"/>
      <charset val="2"/>
    </font>
    <font>
      <sz val="7"/>
      <color rgb="FF000000"/>
      <name val="Times New Roman"/>
      <family val="1"/>
    </font>
    <font>
      <sz val="12"/>
      <color rgb="FFFF0000"/>
      <name val="Calibri (Cuerpo)_x0000_"/>
    </font>
    <font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theme="9" tint="0.39997558519241921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3" tint="0.59999389629810485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7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42" fontId="20" fillId="0" borderId="0" applyFont="0" applyFill="0" applyBorder="0" applyAlignment="0" applyProtection="0"/>
  </cellStyleXfs>
  <cellXfs count="178">
    <xf numFmtId="0" fontId="0" fillId="0" borderId="0" xfId="0"/>
    <xf numFmtId="0" fontId="3" fillId="0" borderId="0" xfId="0" applyFont="1" applyAlignment="1">
      <alignment horizontal="right"/>
    </xf>
    <xf numFmtId="0" fontId="6" fillId="0" borderId="0" xfId="0" applyFont="1" applyBorder="1" applyAlignment="1">
      <alignment horizontal="right"/>
    </xf>
    <xf numFmtId="164" fontId="6" fillId="0" borderId="0" xfId="0" applyNumberFormat="1" applyFont="1" applyBorder="1" applyAlignment="1">
      <alignment horizontal="right"/>
    </xf>
    <xf numFmtId="0" fontId="6" fillId="0" borderId="0" xfId="0" applyFont="1"/>
    <xf numFmtId="164" fontId="6" fillId="0" borderId="0" xfId="0" applyNumberFormat="1" applyFont="1" applyAlignment="1">
      <alignment horizontal="right"/>
    </xf>
    <xf numFmtId="0" fontId="8" fillId="0" borderId="0" xfId="0" applyFont="1"/>
    <xf numFmtId="0" fontId="0" fillId="0" borderId="1" xfId="0" applyBorder="1"/>
    <xf numFmtId="0" fontId="0" fillId="0" borderId="1" xfId="0" applyBorder="1" applyAlignment="1">
      <alignment textRotation="45" wrapText="1"/>
    </xf>
    <xf numFmtId="0" fontId="0" fillId="0" borderId="8" xfId="0" applyFill="1" applyBorder="1" applyAlignment="1">
      <alignment textRotation="45" wrapText="1"/>
    </xf>
    <xf numFmtId="0" fontId="0" fillId="0" borderId="0" xfId="0" applyBorder="1" applyAlignment="1">
      <alignment textRotation="45" wrapText="1"/>
    </xf>
    <xf numFmtId="0" fontId="0" fillId="3" borderId="1" xfId="0" applyFill="1" applyBorder="1" applyAlignment="1">
      <alignment textRotation="45" wrapText="1"/>
    </xf>
    <xf numFmtId="0" fontId="0" fillId="3" borderId="1" xfId="0" applyFill="1" applyBorder="1" applyAlignment="1">
      <alignment textRotation="45"/>
    </xf>
    <xf numFmtId="0" fontId="0" fillId="3" borderId="1" xfId="0" applyFill="1" applyBorder="1" applyAlignment="1">
      <alignment textRotation="45" shrinkToFit="1"/>
    </xf>
    <xf numFmtId="0" fontId="0" fillId="0" borderId="0" xfId="0" applyBorder="1"/>
    <xf numFmtId="0" fontId="0" fillId="0" borderId="1" xfId="0" quotePrefix="1" applyBorder="1"/>
    <xf numFmtId="0" fontId="0" fillId="0" borderId="0" xfId="0" quotePrefix="1"/>
    <xf numFmtId="0" fontId="1" fillId="0" borderId="0" xfId="0" applyFont="1"/>
    <xf numFmtId="0" fontId="0" fillId="2" borderId="1" xfId="0" applyFill="1" applyBorder="1"/>
    <xf numFmtId="0" fontId="0" fillId="2" borderId="1" xfId="0" quotePrefix="1" applyFill="1" applyBorder="1"/>
    <xf numFmtId="0" fontId="6" fillId="4" borderId="0" xfId="0" applyFont="1" applyFill="1"/>
    <xf numFmtId="0" fontId="6" fillId="0" borderId="0" xfId="0" applyFont="1" applyAlignment="1">
      <alignment horizontal="center"/>
    </xf>
    <xf numFmtId="0" fontId="2" fillId="4" borderId="0" xfId="0" applyFont="1" applyFill="1" applyAlignment="1">
      <alignment vertical="center"/>
    </xf>
    <xf numFmtId="20" fontId="6" fillId="4" borderId="7" xfId="0" applyNumberFormat="1" applyFont="1" applyFill="1" applyBorder="1" applyAlignment="1">
      <alignment horizontal="center"/>
    </xf>
    <xf numFmtId="20" fontId="6" fillId="4" borderId="2" xfId="0" applyNumberFormat="1" applyFont="1" applyFill="1" applyBorder="1" applyAlignment="1">
      <alignment horizontal="center"/>
    </xf>
    <xf numFmtId="0" fontId="6" fillId="0" borderId="2" xfId="0" applyFont="1" applyBorder="1"/>
    <xf numFmtId="0" fontId="2" fillId="5" borderId="1" xfId="0" applyFont="1" applyFill="1" applyBorder="1" applyAlignment="1">
      <alignment horizontal="center"/>
    </xf>
    <xf numFmtId="0" fontId="2" fillId="5" borderId="12" xfId="0" applyFont="1" applyFill="1" applyBorder="1" applyAlignment="1">
      <alignment horizontal="center"/>
    </xf>
    <xf numFmtId="0" fontId="6" fillId="4" borderId="10" xfId="0" applyFont="1" applyFill="1" applyBorder="1"/>
    <xf numFmtId="0" fontId="6" fillId="0" borderId="0" xfId="0" applyFont="1" applyBorder="1" applyAlignment="1">
      <alignment horizontal="center"/>
    </xf>
    <xf numFmtId="0" fontId="0" fillId="0" borderId="0" xfId="0" applyAlignment="1">
      <alignment horizontal="right"/>
    </xf>
    <xf numFmtId="0" fontId="6" fillId="4" borderId="0" xfId="0" applyFont="1" applyFill="1" applyAlignment="1">
      <alignment horizontal="center"/>
    </xf>
    <xf numFmtId="0" fontId="2" fillId="4" borderId="0" xfId="0" applyFont="1" applyFill="1" applyAlignment="1">
      <alignment horizontal="center" vertical="center"/>
    </xf>
    <xf numFmtId="0" fontId="2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6" fillId="0" borderId="2" xfId="0" applyFont="1" applyBorder="1" applyAlignment="1">
      <alignment horizontal="center" vertical="top"/>
    </xf>
    <xf numFmtId="20" fontId="6" fillId="6" borderId="7" xfId="0" applyNumberFormat="1" applyFont="1" applyFill="1" applyBorder="1" applyAlignment="1">
      <alignment horizontal="center"/>
    </xf>
    <xf numFmtId="20" fontId="6" fillId="6" borderId="2" xfId="0" applyNumberFormat="1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0" fontId="6" fillId="6" borderId="2" xfId="0" applyFont="1" applyFill="1" applyBorder="1" applyAlignment="1">
      <alignment horizontal="center" vertical="center" wrapText="1"/>
    </xf>
    <xf numFmtId="0" fontId="6" fillId="7" borderId="2" xfId="0" applyFont="1" applyFill="1" applyBorder="1"/>
    <xf numFmtId="20" fontId="6" fillId="0" borderId="7" xfId="0" applyNumberFormat="1" applyFont="1" applyFill="1" applyBorder="1" applyAlignment="1">
      <alignment horizontal="center"/>
    </xf>
    <xf numFmtId="20" fontId="6" fillId="0" borderId="2" xfId="0" applyNumberFormat="1" applyFont="1" applyFill="1" applyBorder="1" applyAlignment="1">
      <alignment horizontal="center"/>
    </xf>
    <xf numFmtId="0" fontId="6" fillId="0" borderId="2" xfId="0" applyFont="1" applyFill="1" applyBorder="1" applyAlignment="1">
      <alignment horizontal="center"/>
    </xf>
    <xf numFmtId="0" fontId="6" fillId="0" borderId="2" xfId="0" applyFont="1" applyFill="1" applyBorder="1"/>
    <xf numFmtId="0" fontId="6" fillId="0" borderId="0" xfId="0" applyFont="1" applyFill="1"/>
    <xf numFmtId="0" fontId="0" fillId="0" borderId="0" xfId="0" applyFill="1"/>
    <xf numFmtId="20" fontId="6" fillId="6" borderId="7" xfId="0" applyNumberFormat="1" applyFont="1" applyFill="1" applyBorder="1" applyAlignment="1">
      <alignment horizontal="center" vertical="center"/>
    </xf>
    <xf numFmtId="20" fontId="6" fillId="6" borderId="2" xfId="0" applyNumberFormat="1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wrapText="1" shrinkToFit="1"/>
    </xf>
    <xf numFmtId="0" fontId="6" fillId="6" borderId="2" xfId="0" applyFont="1" applyFill="1" applyBorder="1" applyAlignment="1">
      <alignment horizontal="left" vertical="center" wrapText="1"/>
    </xf>
    <xf numFmtId="0" fontId="6" fillId="6" borderId="2" xfId="0" applyFont="1" applyFill="1" applyBorder="1" applyAlignment="1">
      <alignment horizontal="center"/>
    </xf>
    <xf numFmtId="0" fontId="6" fillId="6" borderId="2" xfId="0" applyFont="1" applyFill="1" applyBorder="1"/>
    <xf numFmtId="0" fontId="6" fillId="0" borderId="8" xfId="0" applyFont="1" applyBorder="1" applyAlignment="1"/>
    <xf numFmtId="0" fontId="6" fillId="0" borderId="0" xfId="0" applyFont="1" applyBorder="1" applyAlignment="1"/>
    <xf numFmtId="0" fontId="6" fillId="0" borderId="13" xfId="0" applyFont="1" applyBorder="1" applyAlignment="1"/>
    <xf numFmtId="20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wrapText="1" shrinkToFit="1"/>
    </xf>
    <xf numFmtId="0" fontId="6" fillId="0" borderId="0" xfId="0" applyFont="1" applyFill="1" applyBorder="1" applyAlignment="1">
      <alignment horizontal="center" wrapText="1" shrinkToFi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0" xfId="0" applyFont="1" applyFill="1"/>
    <xf numFmtId="0" fontId="1" fillId="0" borderId="0" xfId="0" applyFont="1" applyFill="1" applyAlignment="1">
      <alignment horizontal="right"/>
    </xf>
    <xf numFmtId="0" fontId="10" fillId="0" borderId="0" xfId="0" applyFont="1"/>
    <xf numFmtId="0" fontId="4" fillId="0" borderId="0" xfId="116"/>
    <xf numFmtId="0" fontId="11" fillId="0" borderId="0" xfId="0" applyFont="1" applyAlignment="1">
      <alignment vertical="center"/>
    </xf>
    <xf numFmtId="166" fontId="3" fillId="0" borderId="0" xfId="0" applyNumberFormat="1" applyFont="1" applyAlignment="1">
      <alignment horizontal="right"/>
    </xf>
    <xf numFmtId="166" fontId="0" fillId="0" borderId="0" xfId="0" applyNumberFormat="1"/>
    <xf numFmtId="166" fontId="6" fillId="0" borderId="0" xfId="0" applyNumberFormat="1" applyFont="1" applyBorder="1" applyAlignment="1">
      <alignment horizontal="right"/>
    </xf>
    <xf numFmtId="20" fontId="14" fillId="0" borderId="0" xfId="0" applyNumberFormat="1" applyFont="1"/>
    <xf numFmtId="0" fontId="14" fillId="0" borderId="0" xfId="0" applyFont="1"/>
    <xf numFmtId="0" fontId="12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0" fontId="12" fillId="0" borderId="17" xfId="0" applyFont="1" applyBorder="1" applyAlignment="1">
      <alignment vertical="center" wrapText="1"/>
    </xf>
    <xf numFmtId="0" fontId="11" fillId="0" borderId="17" xfId="0" applyFont="1" applyBorder="1" applyAlignment="1">
      <alignment vertical="center" wrapText="1"/>
    </xf>
    <xf numFmtId="0" fontId="12" fillId="0" borderId="16" xfId="0" applyFont="1" applyBorder="1" applyAlignment="1">
      <alignment vertical="center" wrapText="1"/>
    </xf>
    <xf numFmtId="0" fontId="6" fillId="9" borderId="1" xfId="0" applyFont="1" applyFill="1" applyBorder="1" applyAlignment="1">
      <alignment horizontal="left"/>
    </xf>
    <xf numFmtId="164" fontId="6" fillId="9" borderId="1" xfId="0" applyNumberFormat="1" applyFont="1" applyFill="1" applyBorder="1" applyAlignment="1">
      <alignment horizontal="right"/>
    </xf>
    <xf numFmtId="0" fontId="6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left"/>
    </xf>
    <xf numFmtId="166" fontId="13" fillId="9" borderId="1" xfId="0" applyNumberFormat="1" applyFont="1" applyFill="1" applyBorder="1" applyAlignment="1">
      <alignment horizontal="left"/>
    </xf>
    <xf numFmtId="0" fontId="13" fillId="9" borderId="1" xfId="0" applyFont="1" applyFill="1" applyBorder="1" applyAlignment="1">
      <alignment horizontal="center"/>
    </xf>
    <xf numFmtId="164" fontId="13" fillId="9" borderId="1" xfId="0" applyNumberFormat="1" applyFont="1" applyFill="1" applyBorder="1" applyAlignment="1">
      <alignment horizontal="right"/>
    </xf>
    <xf numFmtId="0" fontId="0" fillId="3" borderId="1" xfId="0" applyFont="1" applyFill="1" applyBorder="1"/>
    <xf numFmtId="0" fontId="6" fillId="9" borderId="1" xfId="0" applyFont="1" applyFill="1" applyBorder="1" applyAlignment="1">
      <alignment horizontal="left" vertical="center"/>
    </xf>
    <xf numFmtId="166" fontId="6" fillId="9" borderId="1" xfId="0" applyNumberFormat="1" applyFont="1" applyFill="1" applyBorder="1" applyAlignment="1">
      <alignment horizontal="left" vertical="center"/>
    </xf>
    <xf numFmtId="164" fontId="6" fillId="9" borderId="1" xfId="0" applyNumberFormat="1" applyFont="1" applyFill="1" applyBorder="1" applyAlignment="1">
      <alignment horizontal="right" vertical="center"/>
    </xf>
    <xf numFmtId="0" fontId="6" fillId="9" borderId="1" xfId="0" applyFont="1" applyFill="1" applyBorder="1"/>
    <xf numFmtId="166" fontId="6" fillId="9" borderId="1" xfId="0" applyNumberFormat="1" applyFont="1" applyFill="1" applyBorder="1"/>
    <xf numFmtId="166" fontId="2" fillId="10" borderId="9" xfId="0" applyNumberFormat="1" applyFont="1" applyFill="1" applyBorder="1" applyAlignment="1">
      <alignment horizontal="center"/>
    </xf>
    <xf numFmtId="0" fontId="2" fillId="10" borderId="9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left"/>
    </xf>
    <xf numFmtId="166" fontId="1" fillId="10" borderId="1" xfId="0" applyNumberFormat="1" applyFont="1" applyFill="1" applyBorder="1" applyAlignment="1">
      <alignment horizontal="left"/>
    </xf>
    <xf numFmtId="0" fontId="1" fillId="10" borderId="1" xfId="0" applyFont="1" applyFill="1" applyBorder="1" applyAlignment="1">
      <alignment horizontal="center"/>
    </xf>
    <xf numFmtId="164" fontId="1" fillId="10" borderId="1" xfId="0" applyNumberFormat="1" applyFont="1" applyFill="1" applyBorder="1" applyAlignment="1">
      <alignment horizontal="right"/>
    </xf>
    <xf numFmtId="166" fontId="6" fillId="9" borderId="0" xfId="0" applyNumberFormat="1" applyFont="1" applyFill="1" applyBorder="1"/>
    <xf numFmtId="0" fontId="6" fillId="9" borderId="0" xfId="0" applyFont="1" applyFill="1" applyBorder="1" applyAlignment="1">
      <alignment horizontal="center"/>
    </xf>
    <xf numFmtId="164" fontId="6" fillId="9" borderId="0" xfId="0" applyNumberFormat="1" applyFont="1" applyFill="1" applyBorder="1"/>
    <xf numFmtId="0" fontId="6" fillId="9" borderId="0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166" fontId="0" fillId="0" borderId="1" xfId="0" applyNumberFormat="1" applyFill="1" applyBorder="1"/>
    <xf numFmtId="164" fontId="6" fillId="0" borderId="1" xfId="0" applyNumberFormat="1" applyFont="1" applyFill="1" applyBorder="1" applyAlignment="1">
      <alignment horizontal="right"/>
    </xf>
    <xf numFmtId="166" fontId="0" fillId="0" borderId="0" xfId="0" applyNumberFormat="1" applyAlignment="1">
      <alignment horizontal="left"/>
    </xf>
    <xf numFmtId="166" fontId="1" fillId="0" borderId="0" xfId="0" applyNumberFormat="1" applyFont="1" applyFill="1" applyAlignment="1">
      <alignment horizontal="left"/>
    </xf>
    <xf numFmtId="0" fontId="6" fillId="11" borderId="1" xfId="0" applyFont="1" applyFill="1" applyBorder="1" applyAlignment="1">
      <alignment vertical="center" wrapText="1"/>
    </xf>
    <xf numFmtId="0" fontId="6" fillId="11" borderId="1" xfId="0" applyFont="1" applyFill="1" applyBorder="1" applyAlignment="1">
      <alignment horizontal="center" vertical="center" wrapText="1"/>
    </xf>
    <xf numFmtId="164" fontId="6" fillId="9" borderId="1" xfId="0" applyNumberFormat="1" applyFont="1" applyFill="1" applyBorder="1"/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7" fillId="0" borderId="0" xfId="0" applyFont="1" applyAlignment="1">
      <alignment horizontal="left" vertical="center" indent="4"/>
    </xf>
    <xf numFmtId="0" fontId="6" fillId="0" borderId="18" xfId="0" applyFont="1" applyBorder="1" applyAlignment="1">
      <alignment horizontal="left"/>
    </xf>
    <xf numFmtId="166" fontId="6" fillId="0" borderId="2" xfId="0" applyNumberFormat="1" applyFont="1" applyBorder="1" applyAlignment="1">
      <alignment horizontal="right"/>
    </xf>
    <xf numFmtId="164" fontId="6" fillId="0" borderId="2" xfId="0" applyNumberFormat="1" applyFont="1" applyBorder="1" applyAlignment="1">
      <alignment horizontal="right"/>
    </xf>
    <xf numFmtId="0" fontId="6" fillId="0" borderId="12" xfId="0" applyFont="1" applyBorder="1"/>
    <xf numFmtId="0" fontId="1" fillId="0" borderId="0" xfId="0" applyFont="1" applyAlignment="1">
      <alignment horizontal="center"/>
    </xf>
    <xf numFmtId="0" fontId="6" fillId="9" borderId="12" xfId="0" applyFont="1" applyFill="1" applyBorder="1" applyAlignment="1">
      <alignment horizontal="left"/>
    </xf>
    <xf numFmtId="0" fontId="6" fillId="9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65" fontId="6" fillId="9" borderId="1" xfId="175" applyNumberFormat="1" applyFont="1" applyFill="1" applyBorder="1" applyAlignment="1">
      <alignment vertical="center"/>
    </xf>
    <xf numFmtId="0" fontId="6" fillId="9" borderId="1" xfId="0" applyFont="1" applyFill="1" applyBorder="1" applyAlignment="1">
      <alignment horizontal="left" wrapText="1"/>
    </xf>
    <xf numFmtId="0" fontId="16" fillId="0" borderId="0" xfId="0" applyFont="1" applyAlignment="1">
      <alignment horizontal="justify" vertical="center"/>
    </xf>
    <xf numFmtId="0" fontId="15" fillId="0" borderId="0" xfId="0" applyFont="1" applyAlignment="1">
      <alignment horizontal="justify" vertical="center"/>
    </xf>
    <xf numFmtId="0" fontId="4" fillId="0" borderId="0" xfId="116" applyAlignment="1">
      <alignment vertical="center"/>
    </xf>
    <xf numFmtId="166" fontId="0" fillId="0" borderId="1" xfId="0" applyNumberFormat="1" applyBorder="1"/>
    <xf numFmtId="166" fontId="4" fillId="0" borderId="0" xfId="116" applyNumberFormat="1" applyFont="1"/>
    <xf numFmtId="166" fontId="0" fillId="0" borderId="8" xfId="0" applyNumberFormat="1" applyFill="1" applyBorder="1"/>
    <xf numFmtId="0" fontId="6" fillId="9" borderId="8" xfId="0" applyFont="1" applyFill="1" applyBorder="1" applyAlignment="1">
      <alignment horizontal="center"/>
    </xf>
    <xf numFmtId="164" fontId="6" fillId="0" borderId="0" xfId="0" applyNumberFormat="1" applyFont="1" applyFill="1" applyBorder="1" applyAlignment="1">
      <alignment horizontal="right"/>
    </xf>
    <xf numFmtId="0" fontId="6" fillId="0" borderId="0" xfId="0" applyFont="1" applyFill="1" applyBorder="1" applyAlignment="1">
      <alignment horizontal="left"/>
    </xf>
    <xf numFmtId="0" fontId="2" fillId="0" borderId="8" xfId="0" applyFont="1" applyFill="1" applyBorder="1" applyAlignment="1">
      <alignment horizontal="right"/>
    </xf>
    <xf numFmtId="0" fontId="2" fillId="9" borderId="19" xfId="0" applyFont="1" applyFill="1" applyBorder="1" applyAlignment="1">
      <alignment horizontal="right" vertical="center"/>
    </xf>
    <xf numFmtId="0" fontId="2" fillId="9" borderId="0" xfId="0" applyFont="1" applyFill="1" applyBorder="1" applyAlignment="1">
      <alignment horizontal="right"/>
    </xf>
    <xf numFmtId="164" fontId="1" fillId="0" borderId="0" xfId="0" applyNumberFormat="1" applyFont="1"/>
    <xf numFmtId="164" fontId="2" fillId="9" borderId="6" xfId="0" applyNumberFormat="1" applyFont="1" applyFill="1" applyBorder="1" applyAlignment="1">
      <alignment horizontal="right"/>
    </xf>
    <xf numFmtId="1" fontId="0" fillId="0" borderId="1" xfId="0" applyNumberFormat="1" applyBorder="1" applyAlignment="1">
      <alignment horizontal="center"/>
    </xf>
    <xf numFmtId="164" fontId="2" fillId="9" borderId="0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left"/>
    </xf>
    <xf numFmtId="0" fontId="6" fillId="0" borderId="1" xfId="0" applyFont="1" applyBorder="1" applyAlignment="1">
      <alignment horizontal="right"/>
    </xf>
    <xf numFmtId="166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center"/>
    </xf>
    <xf numFmtId="164" fontId="6" fillId="0" borderId="1" xfId="0" applyNumberFormat="1" applyFont="1" applyBorder="1" applyAlignment="1">
      <alignment horizontal="right"/>
    </xf>
    <xf numFmtId="166" fontId="2" fillId="9" borderId="0" xfId="0" applyNumberFormat="1" applyFont="1" applyFill="1" applyBorder="1"/>
    <xf numFmtId="0" fontId="2" fillId="9" borderId="0" xfId="0" applyFont="1" applyFill="1" applyBorder="1" applyAlignment="1">
      <alignment horizontal="center"/>
    </xf>
    <xf numFmtId="164" fontId="2" fillId="9" borderId="0" xfId="0" applyNumberFormat="1" applyFont="1" applyFill="1" applyBorder="1"/>
    <xf numFmtId="0" fontId="2" fillId="9" borderId="0" xfId="0" applyFont="1" applyFill="1" applyBorder="1" applyAlignment="1">
      <alignment horizontal="left"/>
    </xf>
    <xf numFmtId="166" fontId="2" fillId="12" borderId="1" xfId="0" applyNumberFormat="1" applyFont="1" applyFill="1" applyBorder="1" applyAlignment="1">
      <alignment horizontal="right"/>
    </xf>
    <xf numFmtId="0" fontId="2" fillId="12" borderId="1" xfId="0" applyFont="1" applyFill="1" applyBorder="1" applyAlignment="1">
      <alignment horizontal="center"/>
    </xf>
    <xf numFmtId="164" fontId="2" fillId="12" borderId="1" xfId="0" applyNumberFormat="1" applyFont="1" applyFill="1" applyBorder="1" applyAlignment="1">
      <alignment horizontal="right"/>
    </xf>
    <xf numFmtId="0" fontId="21" fillId="12" borderId="0" xfId="0" applyFont="1" applyFill="1"/>
    <xf numFmtId="0" fontId="16" fillId="0" borderId="0" xfId="0" applyFont="1" applyAlignment="1">
      <alignment horizontal="left" vertical="center"/>
    </xf>
    <xf numFmtId="0" fontId="9" fillId="4" borderId="0" xfId="0" applyFont="1" applyFill="1" applyAlignment="1">
      <alignment horizontal="center"/>
    </xf>
    <xf numFmtId="0" fontId="6" fillId="0" borderId="3" xfId="0" applyFont="1" applyFill="1" applyBorder="1" applyAlignment="1">
      <alignment horizontal="left"/>
    </xf>
    <xf numFmtId="0" fontId="6" fillId="0" borderId="4" xfId="0" applyFont="1" applyFill="1" applyBorder="1" applyAlignment="1">
      <alignment horizontal="left"/>
    </xf>
    <xf numFmtId="0" fontId="6" fillId="0" borderId="11" xfId="0" applyFont="1" applyFill="1" applyBorder="1" applyAlignment="1">
      <alignment horizontal="left"/>
    </xf>
    <xf numFmtId="0" fontId="6" fillId="7" borderId="3" xfId="0" applyFont="1" applyFill="1" applyBorder="1" applyAlignment="1">
      <alignment horizontal="left"/>
    </xf>
    <xf numFmtId="0" fontId="6" fillId="7" borderId="4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20" fontId="6" fillId="0" borderId="1" xfId="0" applyNumberFormat="1" applyFont="1" applyFill="1" applyBorder="1" applyAlignment="1">
      <alignment horizontal="center" vertical="center"/>
    </xf>
    <xf numFmtId="20" fontId="6" fillId="8" borderId="1" xfId="0" applyNumberFormat="1" applyFont="1" applyFill="1" applyBorder="1" applyAlignment="1">
      <alignment horizontal="center" vertical="center"/>
    </xf>
    <xf numFmtId="0" fontId="9" fillId="4" borderId="0" xfId="0" applyFont="1" applyFill="1" applyAlignment="1">
      <alignment horizontal="left" vertical="center" wrapText="1"/>
    </xf>
    <xf numFmtId="0" fontId="6" fillId="4" borderId="0" xfId="0" applyFont="1" applyFill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5" borderId="11" xfId="0" applyFont="1" applyFill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0" fontId="6" fillId="6" borderId="3" xfId="0" applyFont="1" applyFill="1" applyBorder="1" applyAlignment="1">
      <alignment horizontal="left" wrapText="1" shrinkToFit="1"/>
    </xf>
    <xf numFmtId="0" fontId="6" fillId="6" borderId="4" xfId="0" applyFont="1" applyFill="1" applyBorder="1" applyAlignment="1">
      <alignment horizontal="left" wrapText="1" shrinkToFit="1"/>
    </xf>
    <xf numFmtId="0" fontId="6" fillId="6" borderId="11" xfId="0" applyFont="1" applyFill="1" applyBorder="1" applyAlignment="1">
      <alignment horizontal="left" wrapText="1" shrinkToFit="1"/>
    </xf>
    <xf numFmtId="17" fontId="2" fillId="5" borderId="3" xfId="0" applyNumberFormat="1" applyFont="1" applyFill="1" applyBorder="1" applyAlignment="1">
      <alignment horizontal="center"/>
    </xf>
    <xf numFmtId="0" fontId="6" fillId="6" borderId="3" xfId="0" applyFont="1" applyFill="1" applyBorder="1" applyAlignment="1">
      <alignment horizontal="left"/>
    </xf>
    <xf numFmtId="0" fontId="6" fillId="6" borderId="4" xfId="0" applyFont="1" applyFill="1" applyBorder="1" applyAlignment="1">
      <alignment horizontal="left"/>
    </xf>
    <xf numFmtId="0" fontId="6" fillId="6" borderId="11" xfId="0" applyFont="1" applyFill="1" applyBorder="1" applyAlignment="1">
      <alignment horizontal="left"/>
    </xf>
    <xf numFmtId="0" fontId="2" fillId="10" borderId="5" xfId="0" applyFont="1" applyFill="1" applyBorder="1" applyAlignment="1">
      <alignment horizontal="left"/>
    </xf>
  </cellXfs>
  <cellStyles count="176">
    <cellStyle name="Hipervínculo" xfId="1" builtinId="8" hidden="1"/>
    <cellStyle name="Hipervínculo" xfId="3" builtinId="8" hidden="1"/>
    <cellStyle name="Hipervínculo" xfId="5" builtinId="8" hidden="1"/>
    <cellStyle name="Hipervínculo" xfId="7" builtinId="8" hidden="1"/>
    <cellStyle name="Hipervínculo" xfId="9" builtinId="8" hidden="1"/>
    <cellStyle name="Hipervínculo" xfId="11" builtinId="8" hidden="1"/>
    <cellStyle name="Hipervínculo" xfId="13" builtinId="8" hidden="1"/>
    <cellStyle name="Hipervínculo" xfId="15" builtinId="8" hidden="1"/>
    <cellStyle name="Hipervínculo" xfId="17" builtinId="8" hidden="1"/>
    <cellStyle name="Hipervínculo" xfId="19" builtinId="8" hidden="1"/>
    <cellStyle name="Hipervínculo" xfId="21" builtinId="8" hidden="1"/>
    <cellStyle name="Hipervínculo" xfId="23" builtinId="8" hidden="1"/>
    <cellStyle name="Hipervínculo" xfId="25" builtinId="8" hidden="1"/>
    <cellStyle name="Hipervínculo" xfId="27" builtinId="8" hidden="1"/>
    <cellStyle name="Hipervínculo" xfId="29" builtinId="8" hidden="1"/>
    <cellStyle name="Hipervínculo" xfId="31" builtinId="8" hidden="1"/>
    <cellStyle name="Hipervínculo" xfId="33" builtinId="8" hidden="1"/>
    <cellStyle name="Hipervínculo" xfId="35" builtinId="8" hidden="1"/>
    <cellStyle name="Hipervínculo" xfId="37" builtinId="8" hidden="1"/>
    <cellStyle name="Hipervínculo" xfId="39" builtinId="8" hidden="1"/>
    <cellStyle name="Hipervínculo" xfId="41" builtinId="8" hidden="1"/>
    <cellStyle name="Hipervínculo" xfId="43" builtinId="8" hidden="1"/>
    <cellStyle name="Hipervínculo" xfId="45" builtinId="8" hidden="1"/>
    <cellStyle name="Hipervínculo" xfId="47" builtinId="8" hidden="1"/>
    <cellStyle name="Hipervínculo" xfId="49" builtinId="8" hidden="1"/>
    <cellStyle name="Hipervínculo" xfId="51" builtinId="8" hidden="1"/>
    <cellStyle name="Hipervínculo" xfId="53" builtinId="8" hidden="1"/>
    <cellStyle name="Hipervínculo" xfId="55" builtinId="8" hidden="1"/>
    <cellStyle name="Hipervínculo" xfId="57" builtinId="8" hidden="1"/>
    <cellStyle name="Hipervínculo" xfId="59" builtinId="8" hidden="1"/>
    <cellStyle name="Hipervínculo" xfId="61" builtinId="8" hidden="1"/>
    <cellStyle name="Hipervínculo" xfId="63" builtinId="8" hidden="1"/>
    <cellStyle name="Hipervínculo" xfId="65" builtinId="8" hidden="1"/>
    <cellStyle name="Hipervínculo" xfId="67" builtinId="8" hidden="1"/>
    <cellStyle name="Hipervínculo" xfId="69" builtinId="8" hidden="1"/>
    <cellStyle name="Hipervínculo" xfId="71" builtinId="8" hidden="1"/>
    <cellStyle name="Hipervínculo" xfId="73" builtinId="8" hidden="1"/>
    <cellStyle name="Hipervínculo" xfId="75" builtinId="8" hidden="1"/>
    <cellStyle name="Hipervínculo" xfId="77" builtinId="8" hidden="1"/>
    <cellStyle name="Hipervínculo" xfId="79" builtinId="8" hidden="1"/>
    <cellStyle name="Hipervínculo" xfId="81" builtinId="8" hidden="1"/>
    <cellStyle name="Hipervínculo" xfId="83" builtinId="8" hidden="1"/>
    <cellStyle name="Hipervínculo" xfId="85" builtinId="8" hidden="1"/>
    <cellStyle name="Hipervínculo" xfId="116" builtinId="8"/>
    <cellStyle name="Hipervínculo visitado" xfId="2" builtinId="9" hidden="1"/>
    <cellStyle name="Hipervínculo visitado" xfId="4" builtinId="9" hidden="1"/>
    <cellStyle name="Hipervínculo visitado" xfId="6" builtinId="9" hidden="1"/>
    <cellStyle name="Hipervínculo visitado" xfId="8" builtinId="9" hidden="1"/>
    <cellStyle name="Hipervínculo visitado" xfId="10" builtinId="9" hidden="1"/>
    <cellStyle name="Hipervínculo visitado" xfId="12" builtinId="9" hidden="1"/>
    <cellStyle name="Hipervínculo visitado" xfId="14" builtinId="9" hidden="1"/>
    <cellStyle name="Hipervínculo visitado" xfId="16" builtinId="9" hidden="1"/>
    <cellStyle name="Hipervínculo visitado" xfId="18" builtinId="9" hidden="1"/>
    <cellStyle name="Hipervínculo visitado" xfId="20" builtinId="9" hidden="1"/>
    <cellStyle name="Hipervínculo visitado" xfId="22" builtinId="9" hidden="1"/>
    <cellStyle name="Hipervínculo visitado" xfId="24" builtinId="9" hidden="1"/>
    <cellStyle name="Hipervínculo visitado" xfId="26" builtinId="9" hidden="1"/>
    <cellStyle name="Hipervínculo visitado" xfId="28" builtinId="9" hidden="1"/>
    <cellStyle name="Hipervínculo visitado" xfId="30" builtinId="9" hidden="1"/>
    <cellStyle name="Hipervínculo visitado" xfId="32" builtinId="9" hidden="1"/>
    <cellStyle name="Hipervínculo visitado" xfId="34" builtinId="9" hidden="1"/>
    <cellStyle name="Hipervínculo visitado" xfId="36" builtinId="9" hidden="1"/>
    <cellStyle name="Hipervínculo visitado" xfId="38" builtinId="9" hidden="1"/>
    <cellStyle name="Hipervínculo visitado" xfId="40" builtinId="9" hidden="1"/>
    <cellStyle name="Hipervínculo visitado" xfId="42" builtinId="9" hidden="1"/>
    <cellStyle name="Hipervínculo visitado" xfId="44" builtinId="9" hidden="1"/>
    <cellStyle name="Hipervínculo visitado" xfId="46" builtinId="9" hidden="1"/>
    <cellStyle name="Hipervínculo visitado" xfId="48" builtinId="9" hidden="1"/>
    <cellStyle name="Hipervínculo visitado" xfId="50" builtinId="9" hidden="1"/>
    <cellStyle name="Hipervínculo visitado" xfId="52" builtinId="9" hidden="1"/>
    <cellStyle name="Hipervínculo visitado" xfId="54" builtinId="9" hidden="1"/>
    <cellStyle name="Hipervínculo visitado" xfId="56" builtinId="9" hidden="1"/>
    <cellStyle name="Hipervínculo visitado" xfId="58" builtinId="9" hidden="1"/>
    <cellStyle name="Hipervínculo visitado" xfId="60" builtinId="9" hidden="1"/>
    <cellStyle name="Hipervínculo visitado" xfId="62" builtinId="9" hidden="1"/>
    <cellStyle name="Hipervínculo visitado" xfId="64" builtinId="9" hidden="1"/>
    <cellStyle name="Hipervínculo visitado" xfId="66" builtinId="9" hidden="1"/>
    <cellStyle name="Hipervínculo visitado" xfId="68" builtinId="9" hidden="1"/>
    <cellStyle name="Hipervínculo visitado" xfId="70" builtinId="9" hidden="1"/>
    <cellStyle name="Hipervínculo visitado" xfId="72" builtinId="9" hidden="1"/>
    <cellStyle name="Hipervínculo visitado" xfId="74" builtinId="9" hidden="1"/>
    <cellStyle name="Hipervínculo visitado" xfId="76" builtinId="9" hidden="1"/>
    <cellStyle name="Hipervínculo visitado" xfId="78" builtinId="9" hidden="1"/>
    <cellStyle name="Hipervínculo visitado" xfId="80" builtinId="9" hidden="1"/>
    <cellStyle name="Hipervínculo visitado" xfId="82" builtinId="9" hidden="1"/>
    <cellStyle name="Hipervínculo visitado" xfId="84" builtinId="9" hidden="1"/>
    <cellStyle name="Hipervínculo visitado" xfId="86" builtinId="9" hidden="1"/>
    <cellStyle name="Hipervínculo visitado" xfId="87" builtinId="9" hidden="1"/>
    <cellStyle name="Hipervínculo visitado" xfId="88" builtinId="9" hidden="1"/>
    <cellStyle name="Hipervínculo visitado" xfId="89" builtinId="9" hidden="1"/>
    <cellStyle name="Hipervínculo visitado" xfId="90" builtinId="9" hidden="1"/>
    <cellStyle name="Hipervínculo visitado" xfId="91" builtinId="9" hidden="1"/>
    <cellStyle name="Hipervínculo visitado" xfId="92" builtinId="9" hidden="1"/>
    <cellStyle name="Hipervínculo visitado" xfId="93" builtinId="9" hidden="1"/>
    <cellStyle name="Hipervínculo visitado" xfId="94" builtinId="9" hidden="1"/>
    <cellStyle name="Hipervínculo visitado" xfId="95" builtinId="9" hidden="1"/>
    <cellStyle name="Hipervínculo visitado" xfId="96" builtinId="9" hidden="1"/>
    <cellStyle name="Hipervínculo visitado" xfId="97" builtinId="9" hidden="1"/>
    <cellStyle name="Hipervínculo visitado" xfId="98" builtinId="9" hidden="1"/>
    <cellStyle name="Hipervínculo visitado" xfId="99" builtinId="9" hidden="1"/>
    <cellStyle name="Hipervínculo visitado" xfId="100" builtinId="9" hidden="1"/>
    <cellStyle name="Hipervínculo visitado" xfId="101" builtinId="9" hidden="1"/>
    <cellStyle name="Hipervínculo visitado" xfId="102" builtinId="9" hidden="1"/>
    <cellStyle name="Hipervínculo visitado" xfId="103" builtinId="9" hidden="1"/>
    <cellStyle name="Hipervínculo visitado" xfId="104" builtinId="9" hidden="1"/>
    <cellStyle name="Hipervínculo visitado" xfId="105" builtinId="9" hidden="1"/>
    <cellStyle name="Hipervínculo visitado" xfId="106" builtinId="9" hidden="1"/>
    <cellStyle name="Hipervínculo visitado" xfId="107" builtinId="9" hidden="1"/>
    <cellStyle name="Hipervínculo visitado" xfId="108" builtinId="9" hidden="1"/>
    <cellStyle name="Hipervínculo visitado" xfId="109" builtinId="9" hidden="1"/>
    <cellStyle name="Hipervínculo visitado" xfId="110" builtinId="9" hidden="1"/>
    <cellStyle name="Hipervínculo visitado" xfId="111" builtinId="9" hidden="1"/>
    <cellStyle name="Hipervínculo visitado" xfId="112" builtinId="9" hidden="1"/>
    <cellStyle name="Hipervínculo visitado" xfId="113" builtinId="9" hidden="1"/>
    <cellStyle name="Hipervínculo visitado" xfId="114" builtinId="9" hidden="1"/>
    <cellStyle name="Hipervínculo visitado" xfId="115" builtinId="9" hidden="1"/>
    <cellStyle name="Hipervínculo visitado" xfId="117" builtinId="9" hidden="1"/>
    <cellStyle name="Hipervínculo visitado" xfId="118" builtinId="9" hidden="1"/>
    <cellStyle name="Hipervínculo visitado" xfId="119" builtinId="9" hidden="1"/>
    <cellStyle name="Hipervínculo visitado" xfId="120" builtinId="9" hidden="1"/>
    <cellStyle name="Hipervínculo visitado" xfId="121" builtinId="9" hidden="1"/>
    <cellStyle name="Hipervínculo visitado" xfId="122" builtinId="9" hidden="1"/>
    <cellStyle name="Hipervínculo visitado" xfId="123" builtinId="9" hidden="1"/>
    <cellStyle name="Hipervínculo visitado" xfId="124" builtinId="9" hidden="1"/>
    <cellStyle name="Hipervínculo visitado" xfId="125" builtinId="9" hidden="1"/>
    <cellStyle name="Hipervínculo visitado" xfId="126" builtinId="9" hidden="1"/>
    <cellStyle name="Hipervínculo visitado" xfId="127" builtinId="9" hidden="1"/>
    <cellStyle name="Hipervínculo visitado" xfId="128" builtinId="9" hidden="1"/>
    <cellStyle name="Hipervínculo visitado" xfId="129" builtinId="9" hidden="1"/>
    <cellStyle name="Hipervínculo visitado" xfId="130" builtinId="9" hidden="1"/>
    <cellStyle name="Hipervínculo visitado" xfId="131" builtinId="9" hidden="1"/>
    <cellStyle name="Hipervínculo visitado" xfId="132" builtinId="9" hidden="1"/>
    <cellStyle name="Hipervínculo visitado" xfId="133" builtinId="9" hidden="1"/>
    <cellStyle name="Hipervínculo visitado" xfId="134" builtinId="9" hidden="1"/>
    <cellStyle name="Hipervínculo visitado" xfId="135" builtinId="9" hidden="1"/>
    <cellStyle name="Hipervínculo visitado" xfId="136" builtinId="9" hidden="1"/>
    <cellStyle name="Hipervínculo visitado" xfId="137" builtinId="9" hidden="1"/>
    <cellStyle name="Hipervínculo visitado" xfId="138" builtinId="9" hidden="1"/>
    <cellStyle name="Hipervínculo visitado" xfId="139" builtinId="9" hidden="1"/>
    <cellStyle name="Hipervínculo visitado" xfId="140" builtinId="9" hidden="1"/>
    <cellStyle name="Hipervínculo visitado" xfId="141" builtinId="9" hidden="1"/>
    <cellStyle name="Hipervínculo visitado" xfId="142" builtinId="9" hidden="1"/>
    <cellStyle name="Hipervínculo visitado" xfId="143" builtinId="9" hidden="1"/>
    <cellStyle name="Hipervínculo visitado" xfId="144" builtinId="9" hidden="1"/>
    <cellStyle name="Hipervínculo visitado" xfId="145" builtinId="9" hidden="1"/>
    <cellStyle name="Hipervínculo visitado" xfId="146" builtinId="9" hidden="1"/>
    <cellStyle name="Hipervínculo visitado" xfId="147" builtinId="9" hidden="1"/>
    <cellStyle name="Hipervínculo visitado" xfId="148" builtinId="9" hidden="1"/>
    <cellStyle name="Hipervínculo visitado" xfId="149" builtinId="9" hidden="1"/>
    <cellStyle name="Hipervínculo visitado" xfId="150" builtinId="9" hidden="1"/>
    <cellStyle name="Hipervínculo visitado" xfId="151" builtinId="9" hidden="1"/>
    <cellStyle name="Hipervínculo visitado" xfId="152" builtinId="9" hidden="1"/>
    <cellStyle name="Hipervínculo visitado" xfId="153" builtinId="9" hidden="1"/>
    <cellStyle name="Hipervínculo visitado" xfId="154" builtinId="9" hidden="1"/>
    <cellStyle name="Hipervínculo visitado" xfId="155" builtinId="9" hidden="1"/>
    <cellStyle name="Hipervínculo visitado" xfId="156" builtinId="9" hidden="1"/>
    <cellStyle name="Hipervínculo visitado" xfId="157" builtinId="9" hidden="1"/>
    <cellStyle name="Hipervínculo visitado" xfId="158" builtinId="9" hidden="1"/>
    <cellStyle name="Hipervínculo visitado" xfId="159" builtinId="9" hidden="1"/>
    <cellStyle name="Hipervínculo visitado" xfId="160" builtinId="9" hidden="1"/>
    <cellStyle name="Hipervínculo visitado" xfId="161" builtinId="9" hidden="1"/>
    <cellStyle name="Hipervínculo visitado" xfId="162" builtinId="9" hidden="1"/>
    <cellStyle name="Hipervínculo visitado" xfId="163" builtinId="9" hidden="1"/>
    <cellStyle name="Hipervínculo visitado" xfId="164" builtinId="9" hidden="1"/>
    <cellStyle name="Hipervínculo visitado" xfId="165" builtinId="9" hidden="1"/>
    <cellStyle name="Hipervínculo visitado" xfId="166" builtinId="9" hidden="1"/>
    <cellStyle name="Hipervínculo visitado" xfId="167" builtinId="9" hidden="1"/>
    <cellStyle name="Hipervínculo visitado" xfId="168" builtinId="9" hidden="1"/>
    <cellStyle name="Hipervínculo visitado" xfId="169" builtinId="9" hidden="1"/>
    <cellStyle name="Hipervínculo visitado" xfId="170" builtinId="9" hidden="1"/>
    <cellStyle name="Hipervínculo visitado" xfId="171" builtinId="9" hidden="1"/>
    <cellStyle name="Hipervínculo visitado" xfId="172" builtinId="9" hidden="1"/>
    <cellStyle name="Hipervínculo visitado" xfId="173" builtinId="9" hidden="1"/>
    <cellStyle name="Hipervínculo visitado" xfId="174" builtinId="9" hidden="1"/>
    <cellStyle name="Moneda [0]" xfId="175" builtinId="7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069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203200</xdr:rowOff>
    </xdr:from>
    <xdr:to>
      <xdr:col>0</xdr:col>
      <xdr:colOff>1981200</xdr:colOff>
      <xdr:row>6</xdr:row>
      <xdr:rowOff>158694</xdr:rowOff>
    </xdr:to>
    <xdr:pic>
      <xdr:nvPicPr>
        <xdr:cNvPr id="4" name="Imagen 3" descr="logo san francisco.jpg.pdf">
          <a:extLst>
            <a:ext uri="{FF2B5EF4-FFF2-40B4-BE49-F238E27FC236}">
              <a16:creationId xmlns:a16="http://schemas.microsoft.com/office/drawing/2014/main" id="{0B7CC046-3C95-614B-8ED1-0F16408859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03200"/>
          <a:ext cx="1981200" cy="15683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5121" name="Picture 1" descr="clip_image001.png">
          <a:extLst>
            <a:ext uri="{FF2B5EF4-FFF2-40B4-BE49-F238E27FC236}">
              <a16:creationId xmlns:a16="http://schemas.microsoft.com/office/drawing/2014/main" id="{00000000-0008-0000-0100-000001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9525</xdr:colOff>
      <xdr:row>0</xdr:row>
      <xdr:rowOff>0</xdr:rowOff>
    </xdr:from>
    <xdr:to>
      <xdr:col>1</xdr:col>
      <xdr:colOff>581025</xdr:colOff>
      <xdr:row>3</xdr:row>
      <xdr:rowOff>168852</xdr:rowOff>
    </xdr:to>
    <xdr:pic>
      <xdr:nvPicPr>
        <xdr:cNvPr id="4" name="Picture 1" descr="clip_image001.pn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0"/>
          <a:ext cx="1409700" cy="768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159223</xdr:colOff>
      <xdr:row>0</xdr:row>
      <xdr:rowOff>134005</xdr:rowOff>
    </xdr:from>
    <xdr:to>
      <xdr:col>3</xdr:col>
      <xdr:colOff>31278</xdr:colOff>
      <xdr:row>2</xdr:row>
      <xdr:rowOff>0</xdr:rowOff>
    </xdr:to>
    <xdr:pic>
      <xdr:nvPicPr>
        <xdr:cNvPr id="2" name="Imagen 1" descr="logo san francisco.jpg.pd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223" y="134005"/>
          <a:ext cx="2348555" cy="1516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cristian@siriusproducciones.cl" TargetMode="External"/><Relationship Id="rId1" Type="http://schemas.openxmlformats.org/officeDocument/2006/relationships/hyperlink" Target="mailto:sf@sflodge.cl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/>
  </sheetPr>
  <dimension ref="A1:G77"/>
  <sheetViews>
    <sheetView tabSelected="1" zoomScale="109" zoomScaleNormal="109" zoomScalePageLayoutView="109" workbookViewId="0">
      <selection activeCell="F44" sqref="F44"/>
    </sheetView>
  </sheetViews>
  <sheetFormatPr baseColWidth="10" defaultRowHeight="16"/>
  <cols>
    <col min="1" max="1" width="33.83203125" customWidth="1"/>
    <col min="2" max="2" width="10.83203125" style="69" customWidth="1"/>
    <col min="3" max="3" width="12" customWidth="1"/>
    <col min="4" max="4" width="11.83203125" customWidth="1"/>
    <col min="5" max="5" width="12.33203125" customWidth="1"/>
    <col min="6" max="6" width="11.33203125" customWidth="1"/>
    <col min="7" max="7" width="109.83203125" bestFit="1" customWidth="1"/>
    <col min="8" max="8" width="11.33203125" bestFit="1" customWidth="1"/>
    <col min="9" max="9" width="99.83203125" customWidth="1"/>
  </cols>
  <sheetData>
    <row r="1" spans="1:7" ht="47" customHeight="1">
      <c r="A1" s="1" t="s">
        <v>2</v>
      </c>
      <c r="B1" s="68"/>
      <c r="C1" s="65" t="s">
        <v>165</v>
      </c>
    </row>
    <row r="2" spans="1:7">
      <c r="G2" s="117" t="s">
        <v>137</v>
      </c>
    </row>
    <row r="3" spans="1:7">
      <c r="A3" s="62" t="s">
        <v>115</v>
      </c>
      <c r="B3" s="105" t="s">
        <v>205</v>
      </c>
      <c r="D3" t="s">
        <v>3</v>
      </c>
      <c r="E3" s="30" t="s">
        <v>206</v>
      </c>
      <c r="G3" s="71" t="s">
        <v>138</v>
      </c>
    </row>
    <row r="4" spans="1:7">
      <c r="A4" t="s">
        <v>116</v>
      </c>
      <c r="B4" s="127" t="s">
        <v>207</v>
      </c>
      <c r="C4" s="66"/>
      <c r="D4" t="s">
        <v>5</v>
      </c>
      <c r="E4">
        <v>964939299</v>
      </c>
      <c r="G4" s="72" t="s">
        <v>139</v>
      </c>
    </row>
    <row r="5" spans="1:7">
      <c r="A5" t="s">
        <v>117</v>
      </c>
      <c r="B5" s="105" t="s">
        <v>208</v>
      </c>
      <c r="D5" t="s">
        <v>4</v>
      </c>
      <c r="E5" s="30">
        <v>70</v>
      </c>
      <c r="G5" s="72" t="s">
        <v>140</v>
      </c>
    </row>
    <row r="6" spans="1:7">
      <c r="A6" s="64" t="s">
        <v>119</v>
      </c>
      <c r="B6" s="106" t="s">
        <v>177</v>
      </c>
      <c r="C6" s="63"/>
      <c r="D6" s="63" t="s">
        <v>118</v>
      </c>
      <c r="E6" s="64" t="s">
        <v>178</v>
      </c>
      <c r="G6" s="72" t="s">
        <v>141</v>
      </c>
    </row>
    <row r="7" spans="1:7" ht="17" thickBot="1">
      <c r="A7" s="63"/>
      <c r="B7" s="106"/>
      <c r="C7" s="63"/>
      <c r="D7" s="63"/>
      <c r="E7" s="63"/>
      <c r="F7" s="63"/>
      <c r="G7" s="72"/>
    </row>
    <row r="8" spans="1:7" ht="15.75" customHeight="1">
      <c r="A8" s="177" t="s">
        <v>194</v>
      </c>
      <c r="B8" s="91" t="s">
        <v>122</v>
      </c>
      <c r="C8" s="92" t="s">
        <v>104</v>
      </c>
      <c r="D8" s="92" t="s">
        <v>6</v>
      </c>
      <c r="E8" s="92" t="s">
        <v>0</v>
      </c>
      <c r="F8" s="92" t="s">
        <v>1</v>
      </c>
      <c r="G8" s="93" t="s">
        <v>7</v>
      </c>
    </row>
    <row r="9" spans="1:7" ht="15.75" customHeight="1">
      <c r="A9" s="89" t="s">
        <v>8</v>
      </c>
      <c r="B9" s="90"/>
      <c r="C9" s="80">
        <v>2</v>
      </c>
      <c r="D9" s="80">
        <v>70</v>
      </c>
      <c r="E9" s="109">
        <v>0</v>
      </c>
      <c r="F9" s="79">
        <f>C9*D9*E9</f>
        <v>0</v>
      </c>
      <c r="G9" s="78" t="s">
        <v>158</v>
      </c>
    </row>
    <row r="10" spans="1:7" ht="16.5" customHeight="1">
      <c r="A10" s="86" t="s">
        <v>102</v>
      </c>
      <c r="B10" s="87" t="s">
        <v>123</v>
      </c>
      <c r="C10" s="80">
        <v>3</v>
      </c>
      <c r="D10" s="80">
        <v>70</v>
      </c>
      <c r="E10" s="79">
        <v>15000</v>
      </c>
      <c r="F10" s="79">
        <f t="shared" ref="F10:F16" si="0">C10*D10*E10</f>
        <v>3150000</v>
      </c>
      <c r="G10" s="78" t="s">
        <v>101</v>
      </c>
    </row>
    <row r="11" spans="1:7">
      <c r="A11" s="86" t="s">
        <v>103</v>
      </c>
      <c r="B11" s="87" t="s">
        <v>124</v>
      </c>
      <c r="C11" s="80">
        <v>2</v>
      </c>
      <c r="D11" s="80">
        <v>70</v>
      </c>
      <c r="E11" s="88">
        <v>15000</v>
      </c>
      <c r="F11" s="79">
        <f t="shared" si="0"/>
        <v>2100000</v>
      </c>
      <c r="G11" s="78" t="s">
        <v>159</v>
      </c>
    </row>
    <row r="12" spans="1:7">
      <c r="A12" s="86" t="s">
        <v>160</v>
      </c>
      <c r="B12" s="87"/>
      <c r="C12" s="80">
        <v>5</v>
      </c>
      <c r="D12" s="80">
        <v>70</v>
      </c>
      <c r="E12" s="79">
        <f>1800/1.19</f>
        <v>1512.6050420168067</v>
      </c>
      <c r="F12" s="79">
        <f t="shared" si="0"/>
        <v>529411.76470588229</v>
      </c>
      <c r="G12" s="78" t="s">
        <v>174</v>
      </c>
    </row>
    <row r="13" spans="1:7">
      <c r="A13" s="86" t="s">
        <v>195</v>
      </c>
      <c r="B13" s="87"/>
      <c r="C13" s="80">
        <v>0</v>
      </c>
      <c r="D13" s="80">
        <v>0</v>
      </c>
      <c r="E13" s="79">
        <f>12500/1.19</f>
        <v>10504.20168067227</v>
      </c>
      <c r="F13" s="79">
        <f t="shared" si="0"/>
        <v>0</v>
      </c>
      <c r="G13" s="78" t="s">
        <v>174</v>
      </c>
    </row>
    <row r="14" spans="1:7" ht="17">
      <c r="A14" s="86" t="s">
        <v>180</v>
      </c>
      <c r="B14" s="119"/>
      <c r="C14" s="120">
        <v>1</v>
      </c>
      <c r="D14" s="119"/>
      <c r="E14" s="121">
        <v>8500</v>
      </c>
      <c r="F14" s="79">
        <f t="shared" si="0"/>
        <v>0</v>
      </c>
      <c r="G14" s="122" t="s">
        <v>181</v>
      </c>
    </row>
    <row r="15" spans="1:7">
      <c r="A15" s="113" t="s">
        <v>197</v>
      </c>
      <c r="B15" s="114"/>
      <c r="C15" s="35">
        <v>0</v>
      </c>
      <c r="D15" s="35">
        <v>0</v>
      </c>
      <c r="E15" s="115">
        <v>3850</v>
      </c>
      <c r="F15" s="79">
        <f t="shared" si="0"/>
        <v>0</v>
      </c>
      <c r="G15" s="116" t="s">
        <v>175</v>
      </c>
    </row>
    <row r="16" spans="1:7">
      <c r="A16" s="113" t="s">
        <v>198</v>
      </c>
      <c r="B16" s="114"/>
      <c r="C16" s="35">
        <v>0</v>
      </c>
      <c r="D16" s="35">
        <v>0</v>
      </c>
      <c r="E16" s="115">
        <v>24000</v>
      </c>
      <c r="F16" s="79">
        <f t="shared" si="0"/>
        <v>0</v>
      </c>
      <c r="G16" s="25" t="s">
        <v>176</v>
      </c>
    </row>
    <row r="17" spans="1:7">
      <c r="A17" s="86" t="s">
        <v>199</v>
      </c>
      <c r="B17" s="87"/>
      <c r="C17" s="35">
        <v>2</v>
      </c>
      <c r="D17" s="35">
        <v>70</v>
      </c>
      <c r="E17" s="79">
        <v>7000</v>
      </c>
      <c r="F17" s="79">
        <f>C17*D17*E17</f>
        <v>980000</v>
      </c>
      <c r="G17" s="78" t="s">
        <v>179</v>
      </c>
    </row>
    <row r="18" spans="1:7" ht="17" thickBot="1">
      <c r="A18" s="133" t="s">
        <v>210</v>
      </c>
      <c r="F18" s="135">
        <f>SUM(F9:F17)</f>
        <v>6759411.7647058824</v>
      </c>
    </row>
    <row r="19" spans="1:7" ht="15.75" customHeight="1">
      <c r="A19" s="177" t="s">
        <v>211</v>
      </c>
      <c r="B19" s="91" t="s">
        <v>122</v>
      </c>
      <c r="C19" s="92" t="s">
        <v>214</v>
      </c>
      <c r="D19" s="92" t="s">
        <v>215</v>
      </c>
      <c r="E19" s="92" t="s">
        <v>0</v>
      </c>
      <c r="F19" s="92" t="s">
        <v>1</v>
      </c>
      <c r="G19" s="93" t="s">
        <v>7</v>
      </c>
    </row>
    <row r="20" spans="1:7" ht="16.5" customHeight="1">
      <c r="A20" s="102" t="s">
        <v>162</v>
      </c>
      <c r="B20" s="103"/>
      <c r="C20" s="80">
        <v>0</v>
      </c>
      <c r="D20" s="80">
        <v>0</v>
      </c>
      <c r="E20" s="104">
        <v>99000</v>
      </c>
      <c r="F20" s="79">
        <f>C20*E20</f>
        <v>0</v>
      </c>
      <c r="G20" s="102" t="s">
        <v>163</v>
      </c>
    </row>
    <row r="21" spans="1:7" ht="16.5" customHeight="1">
      <c r="A21" s="102" t="s">
        <v>121</v>
      </c>
      <c r="B21" s="103"/>
      <c r="C21" s="80">
        <v>2</v>
      </c>
      <c r="D21" s="80">
        <v>64</v>
      </c>
      <c r="E21" s="104">
        <v>118000</v>
      </c>
      <c r="F21" s="79">
        <f>C21*D21*E21</f>
        <v>15104000</v>
      </c>
      <c r="G21" s="102" t="s">
        <v>164</v>
      </c>
    </row>
    <row r="22" spans="1:7" ht="16.5" customHeight="1">
      <c r="A22" s="102" t="s">
        <v>216</v>
      </c>
      <c r="B22" s="103"/>
      <c r="C22" s="80">
        <v>2</v>
      </c>
      <c r="D22" s="80">
        <v>6</v>
      </c>
      <c r="E22" s="104">
        <f>E21+39500*4</f>
        <v>276000</v>
      </c>
      <c r="F22" s="79">
        <f>C22*E22</f>
        <v>552000</v>
      </c>
      <c r="G22" s="102" t="s">
        <v>217</v>
      </c>
    </row>
    <row r="23" spans="1:7" ht="16.5" customHeight="1" thickBot="1">
      <c r="A23" s="132" t="s">
        <v>212</v>
      </c>
      <c r="B23" s="128"/>
      <c r="C23" s="129"/>
      <c r="D23" s="99"/>
      <c r="E23" s="130"/>
      <c r="F23" s="136">
        <f>SUM(F20:F22)</f>
        <v>15656000</v>
      </c>
      <c r="G23" s="131"/>
    </row>
    <row r="24" spans="1:7" ht="16.5" customHeight="1">
      <c r="A24" s="177" t="s">
        <v>196</v>
      </c>
      <c r="B24" s="91"/>
      <c r="C24" s="92" t="s">
        <v>104</v>
      </c>
      <c r="D24" s="92" t="s">
        <v>6</v>
      </c>
      <c r="E24" s="92" t="s">
        <v>0</v>
      </c>
      <c r="F24" s="92" t="s">
        <v>1</v>
      </c>
      <c r="G24" s="93" t="s">
        <v>7</v>
      </c>
    </row>
    <row r="25" spans="1:7">
      <c r="A25" s="7" t="s">
        <v>209</v>
      </c>
      <c r="B25" s="126"/>
      <c r="C25" s="80">
        <v>2</v>
      </c>
      <c r="D25" s="80">
        <v>70</v>
      </c>
      <c r="E25" s="109">
        <v>250000</v>
      </c>
      <c r="F25" s="79">
        <f t="shared" ref="F25:F26" si="1">C25*E25</f>
        <v>500000</v>
      </c>
      <c r="G25" s="78" t="s">
        <v>161</v>
      </c>
    </row>
    <row r="26" spans="1:7" s="14" customFormat="1" ht="16.5" customHeight="1">
      <c r="A26" s="86" t="s">
        <v>222</v>
      </c>
      <c r="B26" s="87"/>
      <c r="C26" s="80">
        <v>2</v>
      </c>
      <c r="D26" s="80">
        <v>70</v>
      </c>
      <c r="E26" s="79">
        <v>300000</v>
      </c>
      <c r="F26" s="79">
        <f t="shared" si="1"/>
        <v>600000</v>
      </c>
      <c r="G26" s="78" t="s">
        <v>161</v>
      </c>
    </row>
    <row r="27" spans="1:7" ht="17" thickBot="1">
      <c r="A27" s="134" t="s">
        <v>213</v>
      </c>
      <c r="B27" s="98"/>
      <c r="C27" s="99"/>
      <c r="D27" s="99"/>
      <c r="E27" s="100" t="s">
        <v>2</v>
      </c>
      <c r="F27" s="138">
        <f>SUM(F25:F26)</f>
        <v>1100000</v>
      </c>
      <c r="G27" s="101"/>
    </row>
    <row r="28" spans="1:7">
      <c r="A28" s="177" t="s">
        <v>200</v>
      </c>
      <c r="B28" s="91"/>
      <c r="C28" s="92" t="s">
        <v>104</v>
      </c>
      <c r="D28" s="92" t="s">
        <v>6</v>
      </c>
      <c r="E28" s="92" t="s">
        <v>0</v>
      </c>
      <c r="F28" s="92" t="s">
        <v>1</v>
      </c>
      <c r="G28" s="93" t="s">
        <v>7</v>
      </c>
    </row>
    <row r="29" spans="1:7">
      <c r="A29" s="86" t="s">
        <v>201</v>
      </c>
      <c r="B29" s="87"/>
      <c r="C29" s="80">
        <v>2</v>
      </c>
      <c r="D29" s="80">
        <v>70</v>
      </c>
      <c r="E29" s="79">
        <v>200000</v>
      </c>
      <c r="F29" s="79">
        <f>C29*E29</f>
        <v>400000</v>
      </c>
      <c r="G29" s="118"/>
    </row>
    <row r="30" spans="1:7">
      <c r="A30" s="86" t="s">
        <v>202</v>
      </c>
      <c r="B30" s="126"/>
      <c r="C30" s="137">
        <v>2</v>
      </c>
      <c r="D30" s="137">
        <v>70</v>
      </c>
      <c r="E30" s="79">
        <v>150000</v>
      </c>
      <c r="F30" s="79">
        <f t="shared" ref="F30:F32" si="2">C30*E30</f>
        <v>300000</v>
      </c>
      <c r="G30" s="78" t="s">
        <v>2</v>
      </c>
    </row>
    <row r="31" spans="1:7">
      <c r="A31" s="86" t="s">
        <v>203</v>
      </c>
      <c r="B31" s="87"/>
      <c r="C31" s="80">
        <v>2</v>
      </c>
      <c r="D31" s="80">
        <v>70</v>
      </c>
      <c r="E31" s="79">
        <v>450000</v>
      </c>
      <c r="F31" s="79">
        <f t="shared" si="2"/>
        <v>900000</v>
      </c>
      <c r="G31" s="118" t="s">
        <v>2</v>
      </c>
    </row>
    <row r="32" spans="1:7" ht="17">
      <c r="A32" s="107" t="s">
        <v>204</v>
      </c>
      <c r="B32" s="108" t="s">
        <v>2</v>
      </c>
      <c r="C32" s="80">
        <v>0</v>
      </c>
      <c r="D32" s="80">
        <v>0</v>
      </c>
      <c r="E32" s="79">
        <v>150000</v>
      </c>
      <c r="F32" s="79">
        <f t="shared" si="2"/>
        <v>0</v>
      </c>
      <c r="G32" s="78" t="s">
        <v>2</v>
      </c>
    </row>
    <row r="33" spans="1:7" s="17" customFormat="1" ht="17" thickBot="1">
      <c r="A33" s="134" t="s">
        <v>218</v>
      </c>
      <c r="B33" s="144"/>
      <c r="C33" s="145"/>
      <c r="D33" s="145"/>
      <c r="E33" s="146" t="s">
        <v>2</v>
      </c>
      <c r="F33" s="138">
        <f>SUM(F29:F32)</f>
        <v>1600000</v>
      </c>
      <c r="G33" s="147"/>
    </row>
    <row r="34" spans="1:7" s="17" customFormat="1">
      <c r="A34" s="177" t="s">
        <v>219</v>
      </c>
      <c r="B34" s="91"/>
      <c r="C34" s="92" t="s">
        <v>104</v>
      </c>
      <c r="D34" s="92" t="s">
        <v>6</v>
      </c>
      <c r="E34" s="92" t="s">
        <v>0</v>
      </c>
      <c r="F34" s="92" t="s">
        <v>1</v>
      </c>
      <c r="G34" s="93" t="s">
        <v>7</v>
      </c>
    </row>
    <row r="35" spans="1:7" s="17" customFormat="1">
      <c r="A35" s="86" t="s">
        <v>220</v>
      </c>
      <c r="B35" s="87"/>
      <c r="C35" s="80">
        <v>1</v>
      </c>
      <c r="D35" s="80">
        <v>35</v>
      </c>
      <c r="E35" s="79">
        <v>37000</v>
      </c>
      <c r="F35" s="79">
        <f>C35*D35*E35</f>
        <v>1295000</v>
      </c>
      <c r="G35" s="118" t="s">
        <v>223</v>
      </c>
    </row>
    <row r="36" spans="1:7" s="17" customFormat="1">
      <c r="A36" s="86" t="s">
        <v>221</v>
      </c>
      <c r="B36" s="126"/>
      <c r="C36" s="137">
        <v>1</v>
      </c>
      <c r="D36" s="137">
        <v>70</v>
      </c>
      <c r="E36" s="79">
        <v>8500</v>
      </c>
      <c r="F36" s="79">
        <f>C36*D36*E36</f>
        <v>595000</v>
      </c>
      <c r="G36" s="78" t="s">
        <v>224</v>
      </c>
    </row>
    <row r="37" spans="1:7" s="17" customFormat="1">
      <c r="A37" s="134" t="s">
        <v>225</v>
      </c>
      <c r="B37" s="144"/>
      <c r="C37" s="145"/>
      <c r="D37" s="145"/>
      <c r="E37" s="146"/>
      <c r="F37" s="138">
        <f>SUM(F35:F36)</f>
        <v>1890000</v>
      </c>
      <c r="G37" s="147"/>
    </row>
    <row r="38" spans="1:7">
      <c r="A38" s="94" t="s">
        <v>156</v>
      </c>
      <c r="B38" s="95" t="s">
        <v>166</v>
      </c>
      <c r="C38" s="96"/>
      <c r="D38" s="96"/>
      <c r="E38" s="97"/>
      <c r="F38" s="97" t="s">
        <v>2</v>
      </c>
      <c r="G38" s="94" t="s">
        <v>157</v>
      </c>
    </row>
    <row r="39" spans="1:7">
      <c r="A39" s="81" t="s">
        <v>152</v>
      </c>
      <c r="B39" s="82" t="s">
        <v>2</v>
      </c>
      <c r="C39" s="83">
        <v>0</v>
      </c>
      <c r="D39" s="83">
        <v>0</v>
      </c>
      <c r="E39" s="84">
        <v>0</v>
      </c>
      <c r="F39" s="84">
        <f t="shared" ref="F39:F42" si="3">C39*D39*E39</f>
        <v>0</v>
      </c>
      <c r="G39" s="85" t="s">
        <v>154</v>
      </c>
    </row>
    <row r="40" spans="1:7">
      <c r="A40" s="81" t="s">
        <v>148</v>
      </c>
      <c r="B40" s="82" t="s">
        <v>2</v>
      </c>
      <c r="C40" s="83">
        <v>0</v>
      </c>
      <c r="D40" s="83">
        <v>0</v>
      </c>
      <c r="E40" s="84">
        <v>0</v>
      </c>
      <c r="F40" s="84">
        <f t="shared" si="3"/>
        <v>0</v>
      </c>
      <c r="G40" s="85" t="s">
        <v>155</v>
      </c>
    </row>
    <row r="41" spans="1:7" ht="16.5" customHeight="1">
      <c r="A41" s="81" t="s">
        <v>149</v>
      </c>
      <c r="B41" s="82" t="s">
        <v>2</v>
      </c>
      <c r="C41" s="83">
        <v>0</v>
      </c>
      <c r="D41" s="83">
        <v>0</v>
      </c>
      <c r="E41" s="84">
        <v>0</v>
      </c>
      <c r="F41" s="84">
        <f t="shared" si="3"/>
        <v>0</v>
      </c>
      <c r="G41" s="85" t="s">
        <v>153</v>
      </c>
    </row>
    <row r="42" spans="1:7">
      <c r="A42" s="81" t="s">
        <v>150</v>
      </c>
      <c r="B42" s="82" t="s">
        <v>2</v>
      </c>
      <c r="C42" s="83">
        <v>0</v>
      </c>
      <c r="D42" s="83">
        <v>0</v>
      </c>
      <c r="E42" s="84">
        <v>0</v>
      </c>
      <c r="F42" s="84">
        <f t="shared" si="3"/>
        <v>0</v>
      </c>
      <c r="G42" s="81" t="s">
        <v>151</v>
      </c>
    </row>
    <row r="43" spans="1:7" s="17" customFormat="1">
      <c r="A43" s="139" t="s">
        <v>86</v>
      </c>
      <c r="B43" s="148"/>
      <c r="C43" s="149"/>
      <c r="D43" s="149"/>
      <c r="E43" s="150"/>
      <c r="F43" s="150">
        <f>SUM(F18+F23+F27+F33+F37)</f>
        <v>27005411.764705881</v>
      </c>
      <c r="G43" s="151" t="s">
        <v>2</v>
      </c>
    </row>
    <row r="44" spans="1:7">
      <c r="A44" s="140" t="s">
        <v>120</v>
      </c>
      <c r="B44" s="141"/>
      <c r="C44" s="142"/>
      <c r="D44" s="142"/>
      <c r="E44" s="143"/>
      <c r="F44" s="143">
        <f>F43*1.19-F43</f>
        <v>5131028.2352941148</v>
      </c>
      <c r="G44" s="4"/>
    </row>
    <row r="45" spans="1:7">
      <c r="A45" s="2"/>
      <c r="B45" s="70"/>
      <c r="C45" s="29"/>
      <c r="D45" s="21"/>
      <c r="E45" s="5"/>
      <c r="F45" s="3"/>
      <c r="G45" s="4"/>
    </row>
    <row r="46" spans="1:7">
      <c r="A46" s="2"/>
      <c r="B46" s="70"/>
      <c r="C46" s="29"/>
      <c r="D46" s="21"/>
      <c r="E46" s="5"/>
      <c r="F46" s="3"/>
      <c r="G46" s="4"/>
    </row>
    <row r="47" spans="1:7" ht="17">
      <c r="A47" s="110" t="s">
        <v>125</v>
      </c>
      <c r="B47"/>
      <c r="E47" s="67"/>
      <c r="F47" s="67"/>
      <c r="G47" s="67"/>
    </row>
    <row r="48" spans="1:7">
      <c r="A48" s="112" t="s">
        <v>172</v>
      </c>
      <c r="B48"/>
    </row>
    <row r="49" spans="1:6">
      <c r="A49" s="112" t="s">
        <v>173</v>
      </c>
      <c r="B49"/>
    </row>
    <row r="51" spans="1:6">
      <c r="A51" s="110" t="s">
        <v>182</v>
      </c>
      <c r="B51"/>
    </row>
    <row r="52" spans="1:6">
      <c r="A52" s="111" t="s">
        <v>183</v>
      </c>
      <c r="B52"/>
    </row>
    <row r="53" spans="1:6">
      <c r="A53" s="112" t="s">
        <v>168</v>
      </c>
      <c r="B53"/>
    </row>
    <row r="54" spans="1:6">
      <c r="A54" s="112" t="s">
        <v>169</v>
      </c>
      <c r="B54"/>
    </row>
    <row r="55" spans="1:6">
      <c r="A55" s="110" t="s">
        <v>167</v>
      </c>
      <c r="B55"/>
    </row>
    <row r="56" spans="1:6">
      <c r="A56" s="112" t="s">
        <v>184</v>
      </c>
      <c r="B56"/>
    </row>
    <row r="57" spans="1:6">
      <c r="A57" s="110" t="s">
        <v>170</v>
      </c>
      <c r="B57"/>
    </row>
    <row r="58" spans="1:6">
      <c r="A58" s="112" t="s">
        <v>185</v>
      </c>
      <c r="B58"/>
    </row>
    <row r="59" spans="1:6">
      <c r="A59" s="112" t="s">
        <v>186</v>
      </c>
      <c r="B59"/>
    </row>
    <row r="60" spans="1:6">
      <c r="A60" s="112" t="s">
        <v>187</v>
      </c>
      <c r="B60"/>
    </row>
    <row r="61" spans="1:6">
      <c r="A61" s="112" t="s">
        <v>188</v>
      </c>
      <c r="B61"/>
    </row>
    <row r="62" spans="1:6">
      <c r="A62" s="111"/>
      <c r="B62"/>
    </row>
    <row r="63" spans="1:6">
      <c r="A63" s="111" t="s">
        <v>189</v>
      </c>
      <c r="B63" s="111"/>
      <c r="C63" s="111"/>
      <c r="D63" s="111"/>
      <c r="E63" s="111"/>
      <c r="F63" s="111"/>
    </row>
    <row r="64" spans="1:6">
      <c r="A64" s="123"/>
      <c r="B64"/>
    </row>
    <row r="65" spans="1:6">
      <c r="A65" s="124" t="s">
        <v>190</v>
      </c>
      <c r="B65"/>
    </row>
    <row r="66" spans="1:6" ht="16" customHeight="1">
      <c r="A66" s="152" t="s">
        <v>191</v>
      </c>
      <c r="B66" s="152"/>
      <c r="C66" s="152"/>
      <c r="D66" s="152"/>
      <c r="E66" s="152"/>
      <c r="F66" s="152"/>
    </row>
    <row r="67" spans="1:6">
      <c r="A67" s="111"/>
      <c r="B67"/>
    </row>
    <row r="68" spans="1:6">
      <c r="A68" s="110" t="s">
        <v>171</v>
      </c>
      <c r="B68"/>
    </row>
    <row r="69" spans="1:6">
      <c r="A69" s="111"/>
      <c r="B69"/>
    </row>
    <row r="70" spans="1:6">
      <c r="A70" s="111" t="s">
        <v>126</v>
      </c>
      <c r="B70" s="111" t="s">
        <v>127</v>
      </c>
    </row>
    <row r="71" spans="1:6">
      <c r="A71" s="111" t="s">
        <v>128</v>
      </c>
      <c r="B71"/>
      <c r="D71" s="111" t="s">
        <v>129</v>
      </c>
    </row>
    <row r="72" spans="1:6">
      <c r="A72" s="111" t="s">
        <v>130</v>
      </c>
      <c r="B72" s="111" t="s">
        <v>192</v>
      </c>
    </row>
    <row r="73" spans="1:6">
      <c r="A73" s="111" t="s">
        <v>131</v>
      </c>
      <c r="B73"/>
      <c r="D73" s="111" t="s">
        <v>132</v>
      </c>
    </row>
    <row r="74" spans="1:6">
      <c r="A74" s="111" t="s">
        <v>133</v>
      </c>
      <c r="B74"/>
      <c r="D74" s="111" t="s">
        <v>134</v>
      </c>
    </row>
    <row r="75" spans="1:6">
      <c r="A75" s="111" t="s">
        <v>135</v>
      </c>
      <c r="B75"/>
      <c r="C75" s="111" t="s">
        <v>136</v>
      </c>
    </row>
    <row r="76" spans="1:6">
      <c r="A76" s="111" t="s">
        <v>5</v>
      </c>
      <c r="B76"/>
      <c r="D76" s="111">
        <v>29539311</v>
      </c>
    </row>
    <row r="77" spans="1:6">
      <c r="A77" s="125" t="s">
        <v>193</v>
      </c>
      <c r="B77"/>
    </row>
  </sheetData>
  <mergeCells count="1">
    <mergeCell ref="A66:F66"/>
  </mergeCells>
  <phoneticPr fontId="7" type="noConversion"/>
  <hyperlinks>
    <hyperlink ref="A77" r:id="rId1" display="mailto:sf@sflodge.cl" xr:uid="{F2E06317-FA26-FE40-932C-91E8DCBE551E}"/>
    <hyperlink ref="B4" r:id="rId2" display="cristian@siriusproducciones.cl" xr:uid="{0996A3F2-8FF2-564B-8327-B0F4923EF3F6}"/>
  </hyperlinks>
  <pageMargins left="0.75000000000000011" right="0.75000000000000011" top="1" bottom="1" header="0.5" footer="0.5"/>
  <pageSetup paperSize="5" orientation="portrait" horizontalDpi="4294967292" verticalDpi="4294967292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N53"/>
  <sheetViews>
    <sheetView topLeftCell="A10" workbookViewId="0">
      <selection activeCell="A7" sqref="A7"/>
    </sheetView>
  </sheetViews>
  <sheetFormatPr baseColWidth="10" defaultColWidth="11" defaultRowHeight="16"/>
  <cols>
    <col min="1" max="2" width="11" style="62"/>
    <col min="6" max="8" width="11" style="62"/>
    <col min="9" max="9" width="31" customWidth="1"/>
  </cols>
  <sheetData>
    <row r="1" spans="1:14">
      <c r="A1" s="163"/>
      <c r="B1" s="163"/>
      <c r="C1" s="163"/>
      <c r="D1" s="22"/>
      <c r="E1" s="22" t="s">
        <v>87</v>
      </c>
      <c r="F1" s="32"/>
      <c r="G1" s="32"/>
      <c r="H1" s="32"/>
      <c r="I1" s="22"/>
      <c r="J1" s="20"/>
      <c r="K1" s="20"/>
      <c r="L1" s="20"/>
      <c r="M1" s="20"/>
      <c r="N1" s="20"/>
    </row>
    <row r="2" spans="1:14">
      <c r="A2" s="163"/>
      <c r="B2" s="163"/>
      <c r="C2" s="163"/>
      <c r="D2" s="22"/>
      <c r="E2" s="22"/>
      <c r="F2" s="32"/>
      <c r="G2" s="32"/>
      <c r="H2" s="32"/>
      <c r="I2" s="22"/>
      <c r="J2" s="20"/>
      <c r="K2" s="20"/>
      <c r="L2" s="20"/>
      <c r="M2" s="20"/>
      <c r="N2" s="20"/>
    </row>
    <row r="3" spans="1:14">
      <c r="A3" s="163"/>
      <c r="B3" s="163"/>
      <c r="C3" s="163"/>
      <c r="D3" s="22"/>
      <c r="E3" s="22" t="s">
        <v>113</v>
      </c>
      <c r="F3" s="32"/>
      <c r="G3" s="32"/>
      <c r="H3" s="32"/>
      <c r="I3" s="22"/>
      <c r="J3" s="20"/>
      <c r="K3" s="20"/>
      <c r="L3" s="20"/>
      <c r="M3" s="20"/>
      <c r="N3" s="20"/>
    </row>
    <row r="4" spans="1:14">
      <c r="A4" s="163"/>
      <c r="B4" s="163"/>
      <c r="C4" s="163"/>
      <c r="D4" s="33"/>
      <c r="E4" s="33" t="s">
        <v>114</v>
      </c>
      <c r="F4" s="34"/>
      <c r="G4" s="34"/>
      <c r="H4" s="34"/>
      <c r="I4" s="33"/>
      <c r="J4" s="20"/>
      <c r="K4" s="20"/>
      <c r="L4" s="20"/>
      <c r="M4" s="20"/>
      <c r="N4" s="20"/>
    </row>
    <row r="5" spans="1:14">
      <c r="A5" s="31"/>
      <c r="B5" s="31"/>
      <c r="C5" s="31"/>
      <c r="D5" s="33"/>
      <c r="E5" s="33"/>
      <c r="F5" s="34"/>
      <c r="G5" s="34"/>
      <c r="H5" s="34"/>
      <c r="I5" s="33"/>
      <c r="J5" s="20"/>
      <c r="K5" s="20"/>
      <c r="L5" s="20"/>
      <c r="M5" s="20"/>
      <c r="N5" s="20"/>
    </row>
    <row r="6" spans="1:14">
      <c r="A6" s="26" t="s">
        <v>88</v>
      </c>
      <c r="B6" s="27" t="s">
        <v>89</v>
      </c>
      <c r="C6" s="164" t="s">
        <v>107</v>
      </c>
      <c r="D6" s="165"/>
      <c r="E6" s="166"/>
      <c r="F6" s="27" t="s">
        <v>90</v>
      </c>
      <c r="G6" s="27" t="s">
        <v>91</v>
      </c>
      <c r="H6" s="27" t="s">
        <v>92</v>
      </c>
      <c r="I6" s="27" t="s">
        <v>93</v>
      </c>
      <c r="J6" s="20"/>
      <c r="K6" s="20"/>
      <c r="L6" s="20"/>
      <c r="M6" s="20"/>
      <c r="N6" s="20"/>
    </row>
    <row r="7" spans="1:14">
      <c r="A7" s="42">
        <v>0.375</v>
      </c>
      <c r="B7" s="43">
        <v>0.45833333333333331</v>
      </c>
      <c r="C7" s="154" t="s">
        <v>108</v>
      </c>
      <c r="D7" s="155"/>
      <c r="E7" s="156"/>
      <c r="F7" s="44"/>
      <c r="G7" s="44"/>
      <c r="H7" s="44"/>
      <c r="I7" s="45" t="s">
        <v>109</v>
      </c>
      <c r="J7" s="20"/>
      <c r="K7" s="20"/>
      <c r="L7" s="20"/>
      <c r="M7" s="20"/>
      <c r="N7" s="20"/>
    </row>
    <row r="8" spans="1:14">
      <c r="A8" s="42">
        <v>0.46875</v>
      </c>
      <c r="B8" s="43">
        <v>0.5625</v>
      </c>
      <c r="C8" s="154" t="s">
        <v>108</v>
      </c>
      <c r="D8" s="155"/>
      <c r="E8" s="156"/>
      <c r="F8" s="44"/>
      <c r="G8" s="44"/>
      <c r="H8" s="44"/>
      <c r="I8" s="45" t="s">
        <v>109</v>
      </c>
      <c r="J8" s="20"/>
      <c r="K8" s="20"/>
      <c r="L8" s="20"/>
      <c r="M8" s="20"/>
      <c r="N8" s="20"/>
    </row>
    <row r="9" spans="1:14" ht="17">
      <c r="A9" s="37">
        <v>0.5625</v>
      </c>
      <c r="B9" s="38">
        <v>0.60416666666666663</v>
      </c>
      <c r="C9" s="157" t="s">
        <v>96</v>
      </c>
      <c r="D9" s="158"/>
      <c r="E9" s="159"/>
      <c r="F9" s="39"/>
      <c r="G9" s="39">
        <v>60</v>
      </c>
      <c r="H9" s="40" t="s">
        <v>95</v>
      </c>
      <c r="I9" s="41"/>
      <c r="J9" s="20"/>
      <c r="K9" s="20"/>
      <c r="L9" s="20"/>
      <c r="M9" s="20"/>
      <c r="N9" s="20"/>
    </row>
    <row r="10" spans="1:14">
      <c r="A10" s="42">
        <v>0.625</v>
      </c>
      <c r="B10" s="43">
        <v>0.70833333333333337</v>
      </c>
      <c r="C10" s="154" t="s">
        <v>108</v>
      </c>
      <c r="D10" s="155"/>
      <c r="E10" s="156"/>
      <c r="F10" s="44"/>
      <c r="G10" s="44"/>
      <c r="H10" s="44"/>
      <c r="I10" s="45" t="s">
        <v>109</v>
      </c>
      <c r="J10" s="20"/>
      <c r="K10" s="20"/>
      <c r="L10" s="20"/>
      <c r="M10" s="20"/>
      <c r="N10" s="20"/>
    </row>
    <row r="11" spans="1:14">
      <c r="A11" s="42">
        <v>0.71875</v>
      </c>
      <c r="B11" s="43">
        <v>0.75</v>
      </c>
      <c r="C11" s="154" t="s">
        <v>108</v>
      </c>
      <c r="D11" s="155"/>
      <c r="E11" s="156"/>
      <c r="F11" s="44"/>
      <c r="G11" s="44"/>
      <c r="H11" s="44"/>
      <c r="I11" s="45" t="s">
        <v>109</v>
      </c>
      <c r="J11" s="20"/>
      <c r="K11" s="20"/>
      <c r="L11" s="20"/>
      <c r="M11" s="20"/>
      <c r="N11" s="20"/>
    </row>
    <row r="12" spans="1:14">
      <c r="A12" s="23">
        <v>0.75</v>
      </c>
      <c r="B12" s="24">
        <v>0.79166666666666663</v>
      </c>
      <c r="C12" s="167" t="s">
        <v>97</v>
      </c>
      <c r="D12" s="168"/>
      <c r="E12" s="169"/>
      <c r="F12" s="36"/>
      <c r="G12" s="36"/>
      <c r="H12" s="35"/>
      <c r="I12" s="25" t="s">
        <v>105</v>
      </c>
      <c r="J12" s="20"/>
      <c r="K12" s="20"/>
      <c r="L12" s="20"/>
      <c r="M12" s="20"/>
      <c r="N12" s="20"/>
    </row>
    <row r="13" spans="1:14" ht="15" customHeight="1">
      <c r="A13" s="48">
        <v>0.83333333333333337</v>
      </c>
      <c r="B13" s="49">
        <v>0.875</v>
      </c>
      <c r="C13" s="170" t="s">
        <v>106</v>
      </c>
      <c r="D13" s="171"/>
      <c r="E13" s="172"/>
      <c r="F13" s="50"/>
      <c r="G13" s="50">
        <v>60</v>
      </c>
      <c r="H13" s="40" t="s">
        <v>95</v>
      </c>
      <c r="I13" s="51"/>
      <c r="J13" s="20"/>
      <c r="K13" s="20"/>
      <c r="L13" s="20"/>
      <c r="M13" s="20"/>
      <c r="N13" s="20"/>
    </row>
    <row r="14" spans="1:14">
      <c r="A14" s="54"/>
      <c r="B14" s="55"/>
      <c r="C14" s="55"/>
      <c r="D14" s="55"/>
      <c r="E14" s="55"/>
      <c r="F14" s="55"/>
      <c r="G14" s="55"/>
      <c r="H14" s="55"/>
      <c r="I14" s="56"/>
      <c r="J14" s="20"/>
      <c r="K14" s="20"/>
      <c r="L14" s="20"/>
      <c r="M14" s="20"/>
      <c r="N14" s="20"/>
    </row>
    <row r="15" spans="1:14">
      <c r="A15" s="26" t="s">
        <v>88</v>
      </c>
      <c r="B15" s="27" t="s">
        <v>89</v>
      </c>
      <c r="C15" s="173" t="s">
        <v>110</v>
      </c>
      <c r="D15" s="165"/>
      <c r="E15" s="166"/>
      <c r="F15" s="27" t="s">
        <v>90</v>
      </c>
      <c r="G15" s="27" t="s">
        <v>91</v>
      </c>
      <c r="H15" s="27" t="s">
        <v>92</v>
      </c>
      <c r="I15" s="27" t="s">
        <v>93</v>
      </c>
      <c r="J15" s="20"/>
      <c r="K15" s="20"/>
      <c r="L15" s="20"/>
      <c r="M15" s="20"/>
      <c r="N15" s="20"/>
    </row>
    <row r="16" spans="1:14">
      <c r="A16" s="37">
        <v>0.33333333333333331</v>
      </c>
      <c r="B16" s="38">
        <v>0.375</v>
      </c>
      <c r="C16" s="174" t="s">
        <v>94</v>
      </c>
      <c r="D16" s="175"/>
      <c r="E16" s="176"/>
      <c r="F16" s="52"/>
      <c r="G16" s="52">
        <v>60</v>
      </c>
      <c r="H16" s="52"/>
      <c r="I16" s="53"/>
      <c r="J16" s="20"/>
      <c r="K16" s="20"/>
      <c r="L16" s="20"/>
      <c r="M16" s="20"/>
      <c r="N16" s="20"/>
    </row>
    <row r="17" spans="1:14">
      <c r="A17" s="42">
        <v>0.375</v>
      </c>
      <c r="B17" s="43">
        <v>0.45833333333333331</v>
      </c>
      <c r="C17" s="154" t="s">
        <v>108</v>
      </c>
      <c r="D17" s="155"/>
      <c r="E17" s="156"/>
      <c r="F17" s="44"/>
      <c r="G17" s="44"/>
      <c r="H17" s="44"/>
      <c r="I17" s="45" t="s">
        <v>109</v>
      </c>
      <c r="J17" s="20"/>
      <c r="K17" s="20"/>
      <c r="L17" s="20"/>
      <c r="M17" s="20"/>
      <c r="N17" s="20"/>
    </row>
    <row r="18" spans="1:14">
      <c r="A18" s="42">
        <v>0.46875</v>
      </c>
      <c r="B18" s="43">
        <v>0.5625</v>
      </c>
      <c r="C18" s="154" t="s">
        <v>108</v>
      </c>
      <c r="D18" s="155"/>
      <c r="E18" s="156"/>
      <c r="F18" s="44"/>
      <c r="G18" s="44"/>
      <c r="H18" s="44"/>
      <c r="I18" s="45" t="s">
        <v>109</v>
      </c>
      <c r="J18" s="20"/>
      <c r="K18" s="20"/>
      <c r="L18" s="20"/>
      <c r="M18" s="20"/>
      <c r="N18" s="20"/>
    </row>
    <row r="19" spans="1:14" ht="17">
      <c r="A19" s="37">
        <v>0.5625</v>
      </c>
      <c r="B19" s="38">
        <v>0.60416666666666663</v>
      </c>
      <c r="C19" s="157" t="s">
        <v>96</v>
      </c>
      <c r="D19" s="158"/>
      <c r="E19" s="159"/>
      <c r="F19" s="39"/>
      <c r="G19" s="39">
        <v>60</v>
      </c>
      <c r="H19" s="40" t="s">
        <v>95</v>
      </c>
      <c r="I19" s="41"/>
      <c r="J19" s="20"/>
      <c r="K19" s="20"/>
      <c r="L19" s="20"/>
      <c r="M19" s="20"/>
      <c r="N19" s="20"/>
    </row>
    <row r="20" spans="1:14">
      <c r="A20" s="42">
        <v>0.625</v>
      </c>
      <c r="B20" s="43">
        <v>0.70833333333333337</v>
      </c>
      <c r="C20" s="154" t="s">
        <v>108</v>
      </c>
      <c r="D20" s="155"/>
      <c r="E20" s="156"/>
      <c r="F20" s="44"/>
      <c r="G20" s="44"/>
      <c r="H20" s="44"/>
      <c r="I20" s="45" t="s">
        <v>109</v>
      </c>
      <c r="J20" s="20"/>
      <c r="K20" s="20"/>
      <c r="L20" s="20"/>
      <c r="M20" s="20"/>
      <c r="N20" s="20"/>
    </row>
    <row r="21" spans="1:14">
      <c r="A21" s="42">
        <v>0.71875</v>
      </c>
      <c r="B21" s="43">
        <v>0.75</v>
      </c>
      <c r="C21" s="154" t="s">
        <v>108</v>
      </c>
      <c r="D21" s="155"/>
      <c r="E21" s="156"/>
      <c r="F21" s="44"/>
      <c r="G21" s="44"/>
      <c r="H21" s="44"/>
      <c r="I21" s="45" t="s">
        <v>109</v>
      </c>
      <c r="J21" s="20"/>
      <c r="K21" s="20"/>
      <c r="L21" s="20"/>
      <c r="M21" s="20"/>
      <c r="N21" s="20"/>
    </row>
    <row r="22" spans="1:14">
      <c r="A22" s="23">
        <v>0.75</v>
      </c>
      <c r="B22" s="24">
        <v>0.79166666666666663</v>
      </c>
      <c r="C22" s="167" t="s">
        <v>97</v>
      </c>
      <c r="D22" s="168"/>
      <c r="E22" s="169"/>
      <c r="F22" s="36"/>
      <c r="G22" s="36"/>
      <c r="H22" s="35"/>
      <c r="I22" s="25" t="s">
        <v>105</v>
      </c>
      <c r="J22" s="20"/>
      <c r="K22" s="20"/>
      <c r="L22" s="20"/>
      <c r="M22" s="20"/>
      <c r="N22" s="20"/>
    </row>
    <row r="23" spans="1:14" ht="15" customHeight="1">
      <c r="A23" s="48">
        <v>0.83333333333333337</v>
      </c>
      <c r="B23" s="49">
        <v>0.875</v>
      </c>
      <c r="C23" s="170" t="s">
        <v>106</v>
      </c>
      <c r="D23" s="171"/>
      <c r="E23" s="172"/>
      <c r="F23" s="50"/>
      <c r="G23" s="50">
        <v>60</v>
      </c>
      <c r="H23" s="40" t="s">
        <v>95</v>
      </c>
      <c r="I23" s="51"/>
      <c r="J23" s="20"/>
      <c r="K23" s="20"/>
      <c r="L23" s="20"/>
      <c r="M23" s="20"/>
      <c r="N23" s="20"/>
    </row>
    <row r="24" spans="1:14" s="47" customFormat="1" ht="15" customHeight="1">
      <c r="A24" s="57"/>
      <c r="B24" s="57"/>
      <c r="C24" s="58"/>
      <c r="D24" s="58"/>
      <c r="E24" s="58"/>
      <c r="F24" s="59"/>
      <c r="G24" s="59"/>
      <c r="H24" s="60"/>
      <c r="I24" s="61"/>
      <c r="J24" s="46"/>
      <c r="K24" s="46"/>
      <c r="L24" s="46"/>
      <c r="M24" s="46"/>
      <c r="N24" s="46"/>
    </row>
    <row r="25" spans="1:14">
      <c r="A25" s="26" t="s">
        <v>88</v>
      </c>
      <c r="B25" s="27" t="s">
        <v>89</v>
      </c>
      <c r="C25" s="173" t="s">
        <v>111</v>
      </c>
      <c r="D25" s="165"/>
      <c r="E25" s="166"/>
      <c r="F25" s="27" t="s">
        <v>90</v>
      </c>
      <c r="G25" s="27" t="s">
        <v>91</v>
      </c>
      <c r="H25" s="27" t="s">
        <v>92</v>
      </c>
      <c r="I25" s="27" t="s">
        <v>93</v>
      </c>
      <c r="J25" s="20"/>
      <c r="K25" s="20"/>
      <c r="L25" s="20"/>
      <c r="M25" s="20"/>
      <c r="N25" s="20"/>
    </row>
    <row r="26" spans="1:14">
      <c r="A26" s="37">
        <v>0.33333333333333331</v>
      </c>
      <c r="B26" s="38">
        <v>0.375</v>
      </c>
      <c r="C26" s="174" t="s">
        <v>94</v>
      </c>
      <c r="D26" s="175"/>
      <c r="E26" s="176"/>
      <c r="F26" s="52"/>
      <c r="G26" s="52">
        <v>60</v>
      </c>
      <c r="H26" s="52"/>
      <c r="I26" s="53"/>
      <c r="J26" s="20"/>
      <c r="K26" s="20"/>
      <c r="L26" s="20"/>
      <c r="M26" s="20"/>
      <c r="N26" s="20"/>
    </row>
    <row r="27" spans="1:14">
      <c r="A27" s="42">
        <v>0.375</v>
      </c>
      <c r="B27" s="43">
        <v>0.45833333333333331</v>
      </c>
      <c r="C27" s="154" t="s">
        <v>108</v>
      </c>
      <c r="D27" s="155"/>
      <c r="E27" s="156"/>
      <c r="F27" s="44"/>
      <c r="G27" s="44"/>
      <c r="H27" s="44"/>
      <c r="I27" s="45" t="s">
        <v>109</v>
      </c>
      <c r="J27" s="20"/>
      <c r="K27" s="20"/>
      <c r="L27" s="20"/>
      <c r="M27" s="20"/>
      <c r="N27" s="20"/>
    </row>
    <row r="28" spans="1:14">
      <c r="A28" s="42">
        <v>0.46875</v>
      </c>
      <c r="B28" s="43">
        <v>0.5625</v>
      </c>
      <c r="C28" s="154" t="s">
        <v>108</v>
      </c>
      <c r="D28" s="155"/>
      <c r="E28" s="156"/>
      <c r="F28" s="44"/>
      <c r="G28" s="44"/>
      <c r="H28" s="44"/>
      <c r="I28" s="45" t="s">
        <v>109</v>
      </c>
      <c r="J28" s="20"/>
      <c r="K28" s="20"/>
      <c r="L28" s="20"/>
      <c r="M28" s="20"/>
      <c r="N28" s="20"/>
    </row>
    <row r="29" spans="1:14" ht="17">
      <c r="A29" s="37">
        <v>0.5625</v>
      </c>
      <c r="B29" s="38">
        <v>0.60416666666666663</v>
      </c>
      <c r="C29" s="157" t="s">
        <v>96</v>
      </c>
      <c r="D29" s="158"/>
      <c r="E29" s="159"/>
      <c r="F29" s="39"/>
      <c r="G29" s="39">
        <v>60</v>
      </c>
      <c r="H29" s="40" t="s">
        <v>95</v>
      </c>
      <c r="I29" s="41"/>
      <c r="J29" s="20"/>
      <c r="K29" s="20"/>
      <c r="L29" s="20"/>
      <c r="M29" s="20"/>
      <c r="N29" s="20"/>
    </row>
    <row r="30" spans="1:14">
      <c r="A30" s="42">
        <v>0.625</v>
      </c>
      <c r="B30" s="43">
        <v>0.70833333333333337</v>
      </c>
      <c r="C30" s="154" t="s">
        <v>108</v>
      </c>
      <c r="D30" s="155"/>
      <c r="E30" s="156"/>
      <c r="F30" s="44"/>
      <c r="G30" s="44"/>
      <c r="H30" s="44"/>
      <c r="I30" s="45" t="s">
        <v>109</v>
      </c>
      <c r="J30" s="20"/>
      <c r="K30" s="20"/>
      <c r="L30" s="20"/>
      <c r="M30" s="20"/>
      <c r="N30" s="20"/>
    </row>
    <row r="31" spans="1:14">
      <c r="A31" s="42">
        <v>0.71875</v>
      </c>
      <c r="B31" s="43">
        <v>0.75</v>
      </c>
      <c r="C31" s="154" t="s">
        <v>108</v>
      </c>
      <c r="D31" s="155"/>
      <c r="E31" s="156"/>
      <c r="F31" s="44"/>
      <c r="G31" s="44"/>
      <c r="H31" s="44"/>
      <c r="I31" s="45" t="s">
        <v>109</v>
      </c>
      <c r="J31" s="20"/>
      <c r="K31" s="20"/>
      <c r="L31" s="20"/>
      <c r="M31" s="20"/>
      <c r="N31" s="20"/>
    </row>
    <row r="32" spans="1:14" s="47" customFormat="1" ht="15" customHeight="1">
      <c r="A32" s="160"/>
      <c r="B32" s="160"/>
      <c r="C32" s="160"/>
      <c r="D32" s="160"/>
      <c r="E32" s="160"/>
      <c r="F32" s="160"/>
      <c r="G32" s="160"/>
      <c r="H32" s="160"/>
      <c r="I32" s="160"/>
      <c r="J32" s="46"/>
      <c r="K32" s="46"/>
      <c r="L32" s="46"/>
      <c r="M32" s="46"/>
      <c r="N32" s="46"/>
    </row>
    <row r="33" spans="1:14" s="47" customFormat="1" ht="15" customHeight="1">
      <c r="A33" s="161" t="s">
        <v>112</v>
      </c>
      <c r="B33" s="161"/>
      <c r="C33" s="161"/>
      <c r="D33" s="161"/>
      <c r="E33" s="161"/>
      <c r="F33" s="161"/>
      <c r="G33" s="161"/>
      <c r="H33" s="161"/>
      <c r="I33" s="161"/>
      <c r="J33" s="46"/>
      <c r="K33" s="46"/>
      <c r="L33" s="46"/>
      <c r="M33" s="46"/>
      <c r="N33" s="46"/>
    </row>
    <row r="34" spans="1:14" s="47" customFormat="1" ht="15" customHeight="1">
      <c r="A34" s="160"/>
      <c r="B34" s="160"/>
      <c r="C34" s="160"/>
      <c r="D34" s="160"/>
      <c r="E34" s="160"/>
      <c r="F34" s="160"/>
      <c r="G34" s="160"/>
      <c r="H34" s="160"/>
      <c r="I34" s="160"/>
      <c r="J34" s="46"/>
      <c r="K34" s="46"/>
      <c r="L34" s="46"/>
      <c r="M34" s="46"/>
      <c r="N34" s="46"/>
    </row>
    <row r="35" spans="1:14" s="47" customFormat="1" ht="15" customHeight="1">
      <c r="A35" s="160"/>
      <c r="B35" s="160"/>
      <c r="C35" s="160"/>
      <c r="D35" s="160"/>
      <c r="E35" s="160"/>
      <c r="F35" s="160"/>
      <c r="G35" s="160"/>
      <c r="H35" s="160"/>
      <c r="I35" s="160"/>
      <c r="J35" s="46"/>
      <c r="K35" s="46"/>
      <c r="L35" s="46"/>
      <c r="M35" s="46"/>
      <c r="N35" s="46"/>
    </row>
    <row r="36" spans="1:14" s="47" customFormat="1" ht="15" customHeight="1">
      <c r="A36" s="160"/>
      <c r="B36" s="160"/>
      <c r="C36" s="160"/>
      <c r="D36" s="160"/>
      <c r="E36" s="160"/>
      <c r="F36" s="160"/>
      <c r="G36" s="160"/>
      <c r="H36" s="160"/>
      <c r="I36" s="160"/>
      <c r="J36" s="46"/>
      <c r="K36" s="46"/>
      <c r="L36" s="46"/>
      <c r="M36" s="46"/>
      <c r="N36" s="46"/>
    </row>
    <row r="37" spans="1:14" s="47" customFormat="1" ht="15" customHeight="1">
      <c r="A37" s="160"/>
      <c r="B37" s="160"/>
      <c r="C37" s="160"/>
      <c r="D37" s="160"/>
      <c r="E37" s="160"/>
      <c r="F37" s="160"/>
      <c r="G37" s="160"/>
      <c r="H37" s="160"/>
      <c r="I37" s="160"/>
      <c r="J37" s="46"/>
      <c r="K37" s="46"/>
      <c r="L37" s="46"/>
      <c r="M37" s="46"/>
      <c r="N37" s="46"/>
    </row>
    <row r="38" spans="1:14" s="47" customFormat="1" ht="15" customHeight="1">
      <c r="A38" s="160"/>
      <c r="B38" s="160"/>
      <c r="C38" s="160"/>
      <c r="D38" s="160"/>
      <c r="E38" s="160"/>
      <c r="F38" s="160"/>
      <c r="G38" s="160"/>
      <c r="H38" s="160"/>
      <c r="I38" s="160"/>
      <c r="J38" s="46"/>
      <c r="K38" s="46"/>
      <c r="L38" s="46"/>
      <c r="M38" s="46"/>
      <c r="N38" s="46"/>
    </row>
    <row r="39" spans="1:14" s="47" customFormat="1" ht="15" customHeight="1">
      <c r="A39" s="160"/>
      <c r="B39" s="160"/>
      <c r="C39" s="160"/>
      <c r="D39" s="160"/>
      <c r="E39" s="160"/>
      <c r="F39" s="160"/>
      <c r="G39" s="160"/>
      <c r="H39" s="160"/>
      <c r="I39" s="160"/>
      <c r="J39" s="46"/>
      <c r="K39" s="46"/>
      <c r="L39" s="46"/>
      <c r="M39" s="46"/>
      <c r="N39" s="46"/>
    </row>
    <row r="40" spans="1:14" s="47" customFormat="1" ht="15" customHeight="1">
      <c r="A40" s="57"/>
      <c r="B40" s="57"/>
      <c r="C40" s="58"/>
      <c r="D40" s="58"/>
      <c r="E40" s="58"/>
      <c r="F40" s="59"/>
      <c r="G40" s="59"/>
      <c r="H40" s="60"/>
      <c r="I40" s="61"/>
      <c r="J40" s="46"/>
      <c r="K40" s="46"/>
      <c r="L40" s="46"/>
      <c r="M40" s="46"/>
      <c r="N40" s="46"/>
    </row>
    <row r="41" spans="1:14" s="47" customFormat="1" ht="15" customHeight="1">
      <c r="A41" s="57"/>
      <c r="B41" s="57"/>
      <c r="C41" s="58"/>
      <c r="D41" s="58"/>
      <c r="E41" s="58"/>
      <c r="F41" s="59"/>
      <c r="G41" s="59"/>
      <c r="H41" s="60"/>
      <c r="I41" s="61"/>
      <c r="J41" s="46"/>
      <c r="K41" s="46"/>
      <c r="L41" s="46"/>
      <c r="M41" s="46"/>
      <c r="N41" s="46"/>
    </row>
    <row r="42" spans="1:14" s="47" customFormat="1" ht="15" customHeight="1">
      <c r="A42" s="57"/>
      <c r="B42" s="57"/>
      <c r="C42" s="58"/>
      <c r="D42" s="58"/>
      <c r="E42" s="58"/>
      <c r="F42" s="59"/>
      <c r="G42" s="59"/>
      <c r="H42" s="60"/>
      <c r="I42" s="61"/>
      <c r="J42" s="46"/>
      <c r="K42" s="46"/>
      <c r="L42" s="46"/>
      <c r="M42" s="46"/>
      <c r="N42" s="46"/>
    </row>
    <row r="43" spans="1:14">
      <c r="A43" s="31"/>
      <c r="B43" s="31"/>
      <c r="C43" s="20"/>
      <c r="D43" s="31"/>
      <c r="E43" s="20"/>
      <c r="F43" s="31"/>
      <c r="G43" s="31"/>
      <c r="H43" s="31"/>
      <c r="I43" s="20"/>
      <c r="J43" s="20"/>
      <c r="K43" s="20"/>
      <c r="L43" s="20"/>
      <c r="M43" s="20"/>
      <c r="N43" s="20"/>
    </row>
    <row r="44" spans="1:14" ht="24" customHeight="1">
      <c r="A44" s="162" t="s">
        <v>98</v>
      </c>
      <c r="B44" s="162"/>
      <c r="C44" s="162"/>
      <c r="D44" s="162"/>
      <c r="E44" s="162"/>
      <c r="F44" s="162"/>
      <c r="G44" s="162"/>
      <c r="H44" s="31"/>
      <c r="I44" s="28" t="s">
        <v>99</v>
      </c>
      <c r="J44" s="20"/>
      <c r="K44" s="20"/>
      <c r="L44" s="20"/>
      <c r="M44" s="20"/>
      <c r="N44" s="20"/>
    </row>
    <row r="45" spans="1:14">
      <c r="A45" s="163"/>
      <c r="B45" s="163"/>
      <c r="C45" s="163"/>
      <c r="D45" s="163"/>
      <c r="E45" s="163"/>
      <c r="F45" s="163"/>
      <c r="G45" s="163"/>
      <c r="H45" s="31"/>
      <c r="I45" s="20"/>
      <c r="J45" s="20"/>
      <c r="K45" s="20"/>
      <c r="L45" s="20"/>
      <c r="M45" s="20"/>
      <c r="N45" s="20"/>
    </row>
    <row r="46" spans="1:14">
      <c r="A46" s="153" t="s">
        <v>100</v>
      </c>
      <c r="B46" s="153"/>
      <c r="C46" s="153"/>
      <c r="D46" s="153"/>
      <c r="E46" s="153"/>
      <c r="F46" s="153"/>
      <c r="G46" s="153"/>
      <c r="H46" s="31"/>
      <c r="I46" s="20"/>
      <c r="J46" s="20"/>
      <c r="K46" s="20"/>
      <c r="L46" s="20"/>
      <c r="M46" s="20"/>
      <c r="N46" s="20"/>
    </row>
    <row r="47" spans="1:14">
      <c r="A47" s="31"/>
      <c r="B47" s="31"/>
      <c r="C47" s="20"/>
      <c r="D47" s="20"/>
      <c r="E47" s="20"/>
      <c r="F47" s="31"/>
      <c r="G47" s="31"/>
      <c r="H47" s="31"/>
      <c r="I47" s="20"/>
      <c r="J47" s="20"/>
      <c r="K47" s="20"/>
      <c r="L47" s="20"/>
      <c r="M47" s="20"/>
      <c r="N47" s="20"/>
    </row>
    <row r="48" spans="1:14">
      <c r="A48" s="31"/>
      <c r="B48" s="31"/>
      <c r="C48" s="20"/>
      <c r="D48" s="20"/>
      <c r="E48" s="20"/>
      <c r="F48" s="31"/>
      <c r="G48" s="31"/>
      <c r="H48" s="31"/>
      <c r="I48" s="20"/>
      <c r="J48" s="20"/>
      <c r="K48" s="20"/>
      <c r="L48" s="20"/>
      <c r="M48" s="20"/>
      <c r="N48" s="20"/>
    </row>
    <row r="49" spans="1:14">
      <c r="A49" s="31"/>
      <c r="B49" s="31"/>
      <c r="C49" s="20"/>
      <c r="D49" s="20"/>
      <c r="E49" s="20"/>
      <c r="F49" s="31"/>
      <c r="G49" s="31"/>
      <c r="H49" s="31"/>
      <c r="I49" s="20"/>
      <c r="J49" s="20"/>
      <c r="K49" s="20"/>
      <c r="L49" s="20"/>
      <c r="M49" s="20"/>
      <c r="N49" s="20"/>
    </row>
    <row r="50" spans="1:14">
      <c r="A50" s="31"/>
      <c r="B50" s="31"/>
      <c r="C50" s="20"/>
      <c r="D50" s="20"/>
      <c r="E50" s="20"/>
      <c r="F50" s="31"/>
      <c r="G50" s="31"/>
      <c r="H50" s="31"/>
      <c r="I50" s="20"/>
      <c r="J50" s="20"/>
      <c r="K50" s="20"/>
      <c r="L50" s="20"/>
      <c r="M50" s="20"/>
      <c r="N50" s="20"/>
    </row>
    <row r="51" spans="1:14">
      <c r="A51" s="31"/>
      <c r="B51" s="31"/>
      <c r="C51" s="20"/>
      <c r="D51" s="20"/>
      <c r="E51" s="20"/>
      <c r="F51" s="31"/>
      <c r="G51" s="31"/>
      <c r="H51" s="31"/>
      <c r="I51" s="20"/>
      <c r="J51" s="20"/>
      <c r="K51" s="20"/>
      <c r="L51" s="20"/>
      <c r="M51" s="20"/>
      <c r="N51" s="20"/>
    </row>
    <row r="52" spans="1:14">
      <c r="A52" s="31"/>
      <c r="B52" s="31"/>
      <c r="C52" s="20"/>
      <c r="D52" s="20"/>
      <c r="E52" s="20"/>
      <c r="F52" s="31"/>
      <c r="G52" s="31"/>
      <c r="H52" s="31"/>
      <c r="I52" s="20"/>
      <c r="J52" s="20"/>
      <c r="K52" s="20"/>
      <c r="L52" s="20"/>
      <c r="M52" s="20"/>
      <c r="N52" s="20"/>
    </row>
    <row r="53" spans="1:14">
      <c r="A53" s="31"/>
      <c r="B53" s="31"/>
      <c r="C53" s="20"/>
      <c r="D53" s="20"/>
      <c r="E53" s="20"/>
      <c r="F53" s="31"/>
      <c r="G53" s="31"/>
      <c r="H53" s="31"/>
      <c r="I53" s="20"/>
      <c r="J53" s="20"/>
      <c r="K53" s="20"/>
      <c r="L53" s="20"/>
      <c r="M53" s="20"/>
      <c r="N53" s="20"/>
    </row>
  </sheetData>
  <mergeCells count="36">
    <mergeCell ref="C27:E27"/>
    <mergeCell ref="C18:E18"/>
    <mergeCell ref="C19:E19"/>
    <mergeCell ref="C20:E20"/>
    <mergeCell ref="C7:E7"/>
    <mergeCell ref="C11:E11"/>
    <mergeCell ref="C12:E12"/>
    <mergeCell ref="C13:E13"/>
    <mergeCell ref="C15:E15"/>
    <mergeCell ref="C16:E16"/>
    <mergeCell ref="C17:E17"/>
    <mergeCell ref="C21:E21"/>
    <mergeCell ref="C22:E22"/>
    <mergeCell ref="C23:E23"/>
    <mergeCell ref="C25:E25"/>
    <mergeCell ref="C26:E26"/>
    <mergeCell ref="A1:C4"/>
    <mergeCell ref="C6:E6"/>
    <mergeCell ref="C8:E8"/>
    <mergeCell ref="C9:E9"/>
    <mergeCell ref="C10:E10"/>
    <mergeCell ref="A46:G46"/>
    <mergeCell ref="C28:E28"/>
    <mergeCell ref="C29:E29"/>
    <mergeCell ref="C30:E30"/>
    <mergeCell ref="C31:E31"/>
    <mergeCell ref="A38:I38"/>
    <mergeCell ref="A36:I36"/>
    <mergeCell ref="A37:I37"/>
    <mergeCell ref="A33:I33"/>
    <mergeCell ref="A34:I34"/>
    <mergeCell ref="A35:I35"/>
    <mergeCell ref="A32:I32"/>
    <mergeCell ref="A39:I39"/>
    <mergeCell ref="A44:G44"/>
    <mergeCell ref="A45:G45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 tint="0.39997558519241921"/>
  </sheetPr>
  <dimension ref="A1:Z32"/>
  <sheetViews>
    <sheetView topLeftCell="B1" workbookViewId="0">
      <selection activeCell="G1" sqref="G1"/>
    </sheetView>
  </sheetViews>
  <sheetFormatPr baseColWidth="10" defaultRowHeight="16"/>
  <sheetData>
    <row r="1" spans="1:26" ht="115" customHeight="1">
      <c r="E1" s="6" t="s">
        <v>9</v>
      </c>
      <c r="L1" s="17" t="s">
        <v>2</v>
      </c>
    </row>
    <row r="2" spans="1:26">
      <c r="A2" t="s">
        <v>10</v>
      </c>
      <c r="J2" t="s">
        <v>11</v>
      </c>
      <c r="P2" t="s">
        <v>2</v>
      </c>
      <c r="U2" t="s">
        <v>12</v>
      </c>
    </row>
    <row r="3" spans="1:26" ht="58">
      <c r="A3" s="7" t="s">
        <v>13</v>
      </c>
      <c r="B3" s="8" t="s">
        <v>14</v>
      </c>
      <c r="C3" s="8" t="s">
        <v>15</v>
      </c>
      <c r="D3" s="8" t="s">
        <v>16</v>
      </c>
      <c r="E3" s="8" t="s">
        <v>17</v>
      </c>
      <c r="F3" s="8" t="s">
        <v>18</v>
      </c>
      <c r="H3" s="9" t="s">
        <v>19</v>
      </c>
      <c r="I3" s="8" t="s">
        <v>14</v>
      </c>
      <c r="J3" s="8" t="s">
        <v>15</v>
      </c>
      <c r="K3" s="8" t="s">
        <v>85</v>
      </c>
      <c r="L3" s="10"/>
      <c r="M3" s="9" t="s">
        <v>20</v>
      </c>
      <c r="N3" s="8" t="s">
        <v>14</v>
      </c>
      <c r="O3" s="8" t="s">
        <v>15</v>
      </c>
      <c r="P3" s="8" t="s">
        <v>16</v>
      </c>
      <c r="R3" s="11" t="s">
        <v>21</v>
      </c>
      <c r="S3" s="12" t="s">
        <v>22</v>
      </c>
      <c r="T3" s="12" t="s">
        <v>23</v>
      </c>
      <c r="U3" s="12" t="s">
        <v>24</v>
      </c>
      <c r="V3" s="12" t="s">
        <v>25</v>
      </c>
      <c r="W3" s="12" t="s">
        <v>26</v>
      </c>
      <c r="X3" s="12" t="s">
        <v>27</v>
      </c>
      <c r="Y3" s="12" t="s">
        <v>28</v>
      </c>
      <c r="Z3" s="13" t="s">
        <v>1</v>
      </c>
    </row>
    <row r="4" spans="1:26">
      <c r="A4" s="7" t="s">
        <v>29</v>
      </c>
      <c r="B4" s="7">
        <v>1</v>
      </c>
      <c r="C4" s="7">
        <v>2</v>
      </c>
      <c r="D4" s="7">
        <v>2</v>
      </c>
      <c r="E4" s="7">
        <v>2</v>
      </c>
      <c r="F4" s="18">
        <v>2</v>
      </c>
      <c r="H4" s="7" t="s">
        <v>30</v>
      </c>
      <c r="I4" s="7">
        <v>1</v>
      </c>
      <c r="J4" s="7">
        <v>2</v>
      </c>
      <c r="K4" s="18">
        <v>4</v>
      </c>
      <c r="L4" s="14"/>
      <c r="M4" s="7" t="s">
        <v>30</v>
      </c>
      <c r="N4" s="7">
        <v>1</v>
      </c>
      <c r="O4" s="7">
        <v>2</v>
      </c>
      <c r="P4" s="18">
        <v>3</v>
      </c>
      <c r="R4" s="7">
        <v>41</v>
      </c>
      <c r="S4" s="7" t="s">
        <v>31</v>
      </c>
      <c r="T4" s="7" t="s">
        <v>31</v>
      </c>
      <c r="U4" s="7" t="s">
        <v>32</v>
      </c>
      <c r="V4" s="7" t="s">
        <v>32</v>
      </c>
      <c r="W4" s="7">
        <v>2</v>
      </c>
      <c r="X4" s="7">
        <v>1</v>
      </c>
      <c r="Y4" s="7">
        <v>1</v>
      </c>
      <c r="Z4" s="18">
        <v>12</v>
      </c>
    </row>
    <row r="5" spans="1:26">
      <c r="A5" s="7" t="s">
        <v>33</v>
      </c>
      <c r="B5" s="7">
        <v>1</v>
      </c>
      <c r="C5" s="7">
        <v>2</v>
      </c>
      <c r="D5" s="7">
        <v>2</v>
      </c>
      <c r="E5" s="7">
        <v>2</v>
      </c>
      <c r="F5" s="18">
        <v>2</v>
      </c>
      <c r="H5" s="7" t="s">
        <v>34</v>
      </c>
      <c r="I5" s="7">
        <v>1</v>
      </c>
      <c r="J5" s="7">
        <v>2</v>
      </c>
      <c r="K5" s="18">
        <v>4</v>
      </c>
      <c r="L5" s="14"/>
      <c r="M5" s="7" t="s">
        <v>34</v>
      </c>
      <c r="N5" s="7">
        <v>1</v>
      </c>
      <c r="O5" s="7">
        <v>2</v>
      </c>
      <c r="P5" s="18">
        <v>3</v>
      </c>
      <c r="R5" s="7">
        <v>42</v>
      </c>
      <c r="S5" s="7" t="s">
        <v>31</v>
      </c>
      <c r="T5" s="7" t="s">
        <v>31</v>
      </c>
      <c r="U5" s="7" t="s">
        <v>32</v>
      </c>
      <c r="V5" s="7" t="s">
        <v>32</v>
      </c>
      <c r="W5" s="7">
        <v>2</v>
      </c>
      <c r="X5" s="7">
        <v>1</v>
      </c>
      <c r="Y5" s="7">
        <v>1</v>
      </c>
      <c r="Z5" s="18">
        <v>12</v>
      </c>
    </row>
    <row r="6" spans="1:26">
      <c r="A6" s="7" t="s">
        <v>35</v>
      </c>
      <c r="B6" s="7">
        <v>1</v>
      </c>
      <c r="C6" s="7">
        <v>2</v>
      </c>
      <c r="D6" s="15">
        <v>2</v>
      </c>
      <c r="E6" s="7">
        <v>2</v>
      </c>
      <c r="F6" s="18">
        <v>2</v>
      </c>
      <c r="H6" s="7" t="s">
        <v>36</v>
      </c>
      <c r="I6" s="7">
        <v>1</v>
      </c>
      <c r="J6" s="7">
        <v>2</v>
      </c>
      <c r="K6" s="18">
        <v>4</v>
      </c>
      <c r="L6" s="14"/>
      <c r="M6" s="7" t="s">
        <v>36</v>
      </c>
      <c r="N6" s="7">
        <v>1</v>
      </c>
      <c r="O6" s="7">
        <v>2</v>
      </c>
      <c r="P6" s="18">
        <v>3</v>
      </c>
      <c r="R6" s="7">
        <v>43</v>
      </c>
      <c r="S6" s="7" t="s">
        <v>31</v>
      </c>
      <c r="T6" s="7" t="s">
        <v>31</v>
      </c>
      <c r="U6" s="7" t="s">
        <v>32</v>
      </c>
      <c r="V6" s="7" t="s">
        <v>32</v>
      </c>
      <c r="W6" s="7">
        <v>2</v>
      </c>
      <c r="X6" s="7">
        <v>1</v>
      </c>
      <c r="Y6" s="7">
        <v>1</v>
      </c>
      <c r="Z6" s="18">
        <v>12</v>
      </c>
    </row>
    <row r="7" spans="1:26">
      <c r="A7" s="7" t="s">
        <v>37</v>
      </c>
      <c r="B7" s="7">
        <v>1</v>
      </c>
      <c r="C7" s="7">
        <v>2</v>
      </c>
      <c r="D7" s="7">
        <v>2</v>
      </c>
      <c r="E7" s="7">
        <v>2</v>
      </c>
      <c r="F7" s="18">
        <v>2</v>
      </c>
      <c r="H7" s="7" t="s">
        <v>38</v>
      </c>
      <c r="I7" s="7">
        <v>1</v>
      </c>
      <c r="J7" s="7">
        <v>2</v>
      </c>
      <c r="K7" s="18">
        <v>4</v>
      </c>
      <c r="L7" s="14"/>
      <c r="M7" s="7" t="s">
        <v>38</v>
      </c>
      <c r="N7" s="7">
        <v>1</v>
      </c>
      <c r="O7" s="7">
        <v>2</v>
      </c>
      <c r="P7" s="18">
        <v>3</v>
      </c>
      <c r="R7" s="7">
        <v>44</v>
      </c>
      <c r="S7" s="7" t="s">
        <v>31</v>
      </c>
      <c r="T7" s="7" t="s">
        <v>31</v>
      </c>
      <c r="U7" s="7" t="s">
        <v>32</v>
      </c>
      <c r="V7" s="7" t="s">
        <v>39</v>
      </c>
      <c r="W7" s="7">
        <v>2</v>
      </c>
      <c r="X7" s="7">
        <v>1</v>
      </c>
      <c r="Y7" s="7">
        <v>1</v>
      </c>
      <c r="Z7" s="18">
        <v>12</v>
      </c>
    </row>
    <row r="8" spans="1:26">
      <c r="A8" s="7" t="s">
        <v>40</v>
      </c>
      <c r="B8" s="7">
        <v>2</v>
      </c>
      <c r="C8" s="7">
        <v>2</v>
      </c>
      <c r="D8" s="7">
        <v>3</v>
      </c>
      <c r="E8" s="7">
        <v>4</v>
      </c>
      <c r="F8" s="18">
        <v>5</v>
      </c>
      <c r="H8" s="7" t="s">
        <v>41</v>
      </c>
      <c r="I8" s="7">
        <v>1</v>
      </c>
      <c r="J8" s="7">
        <v>2</v>
      </c>
      <c r="K8" s="18" t="s">
        <v>2</v>
      </c>
      <c r="L8" s="14"/>
      <c r="M8" s="7" t="s">
        <v>41</v>
      </c>
      <c r="N8" s="7">
        <v>1</v>
      </c>
      <c r="O8" s="7">
        <v>2</v>
      </c>
      <c r="P8" s="18">
        <v>3</v>
      </c>
    </row>
    <row r="9" spans="1:26">
      <c r="A9" s="7" t="s">
        <v>42</v>
      </c>
      <c r="B9" s="7">
        <v>2</v>
      </c>
      <c r="C9" s="7">
        <v>2</v>
      </c>
      <c r="D9" s="7">
        <v>3</v>
      </c>
      <c r="E9" s="7">
        <v>4</v>
      </c>
      <c r="F9" s="18">
        <v>5</v>
      </c>
      <c r="H9" s="7" t="s">
        <v>43</v>
      </c>
      <c r="I9" s="7">
        <v>1</v>
      </c>
      <c r="J9" s="7">
        <v>2</v>
      </c>
      <c r="K9" s="18" t="s">
        <v>2</v>
      </c>
      <c r="L9" s="14"/>
      <c r="M9" s="7" t="s">
        <v>43</v>
      </c>
      <c r="N9" s="7">
        <v>1</v>
      </c>
      <c r="O9" s="7">
        <v>2</v>
      </c>
      <c r="P9" s="18">
        <v>3</v>
      </c>
      <c r="R9" s="7">
        <v>31</v>
      </c>
      <c r="S9" s="7" t="s">
        <v>31</v>
      </c>
      <c r="T9" s="7" t="s">
        <v>44</v>
      </c>
      <c r="U9" s="7"/>
      <c r="V9" s="7"/>
      <c r="W9" s="7">
        <v>1</v>
      </c>
      <c r="X9" s="7">
        <v>1</v>
      </c>
      <c r="Y9" s="7">
        <v>1</v>
      </c>
      <c r="Z9" s="18">
        <v>4</v>
      </c>
    </row>
    <row r="10" spans="1:26">
      <c r="A10" s="7" t="s">
        <v>45</v>
      </c>
      <c r="B10" s="7">
        <v>2</v>
      </c>
      <c r="C10" s="7">
        <v>2</v>
      </c>
      <c r="D10" s="7">
        <v>3</v>
      </c>
      <c r="E10" s="7">
        <v>4</v>
      </c>
      <c r="F10" s="18">
        <v>5</v>
      </c>
      <c r="H10" s="7" t="s">
        <v>46</v>
      </c>
      <c r="I10" s="7">
        <v>1</v>
      </c>
      <c r="J10" s="7">
        <v>2</v>
      </c>
      <c r="K10" s="18" t="s">
        <v>2</v>
      </c>
      <c r="L10" s="14"/>
      <c r="M10" s="7" t="s">
        <v>46</v>
      </c>
      <c r="N10" s="7">
        <v>1</v>
      </c>
      <c r="O10" s="7">
        <v>2</v>
      </c>
      <c r="P10" s="18">
        <v>3</v>
      </c>
      <c r="R10" s="7">
        <v>32</v>
      </c>
      <c r="S10" s="7" t="s">
        <v>31</v>
      </c>
      <c r="T10" s="7" t="s">
        <v>31</v>
      </c>
      <c r="U10" s="7" t="s">
        <v>32</v>
      </c>
      <c r="V10" s="7" t="s">
        <v>39</v>
      </c>
      <c r="W10" s="7">
        <v>1</v>
      </c>
      <c r="X10" s="7">
        <v>1</v>
      </c>
      <c r="Y10" s="7">
        <v>1</v>
      </c>
      <c r="Z10" s="18">
        <v>8</v>
      </c>
    </row>
    <row r="11" spans="1:26">
      <c r="A11" s="7" t="s">
        <v>47</v>
      </c>
      <c r="B11" s="7">
        <v>2</v>
      </c>
      <c r="C11" s="7">
        <v>2</v>
      </c>
      <c r="D11" s="7">
        <v>3</v>
      </c>
      <c r="E11" s="7">
        <v>4</v>
      </c>
      <c r="F11" s="18">
        <v>5</v>
      </c>
      <c r="H11" s="7" t="s">
        <v>48</v>
      </c>
      <c r="I11" s="7">
        <v>1</v>
      </c>
      <c r="J11" s="7">
        <v>2</v>
      </c>
      <c r="K11" s="18" t="s">
        <v>2</v>
      </c>
      <c r="L11" s="14"/>
      <c r="M11" s="7" t="s">
        <v>48</v>
      </c>
      <c r="N11" s="7">
        <v>1</v>
      </c>
      <c r="O11" s="7">
        <v>2</v>
      </c>
      <c r="P11" s="18">
        <v>3</v>
      </c>
      <c r="R11" s="7">
        <v>33</v>
      </c>
      <c r="S11" s="7" t="s">
        <v>31</v>
      </c>
      <c r="T11" s="7" t="s">
        <v>31</v>
      </c>
      <c r="U11" s="7" t="s">
        <v>32</v>
      </c>
      <c r="V11" s="7" t="s">
        <v>39</v>
      </c>
      <c r="W11" s="7">
        <v>1</v>
      </c>
      <c r="X11" s="7">
        <v>1</v>
      </c>
      <c r="Y11" s="7">
        <v>1</v>
      </c>
      <c r="Z11" s="18">
        <v>8</v>
      </c>
    </row>
    <row r="12" spans="1:26">
      <c r="A12" t="s">
        <v>49</v>
      </c>
      <c r="B12">
        <v>0</v>
      </c>
      <c r="C12">
        <v>2</v>
      </c>
      <c r="D12" t="s">
        <v>2</v>
      </c>
      <c r="H12" s="7" t="s">
        <v>50</v>
      </c>
      <c r="I12" s="7">
        <v>1</v>
      </c>
      <c r="J12" s="7">
        <v>2</v>
      </c>
      <c r="K12" s="18" t="s">
        <v>2</v>
      </c>
      <c r="L12" s="14"/>
      <c r="M12" s="7" t="s">
        <v>50</v>
      </c>
      <c r="N12" s="7">
        <v>1</v>
      </c>
      <c r="O12" s="7">
        <v>2</v>
      </c>
      <c r="P12" s="18">
        <v>3</v>
      </c>
      <c r="R12" s="7">
        <v>34</v>
      </c>
      <c r="S12" s="7" t="s">
        <v>31</v>
      </c>
      <c r="T12" s="7" t="s">
        <v>31</v>
      </c>
      <c r="U12" s="7" t="s">
        <v>32</v>
      </c>
      <c r="V12" s="7" t="s">
        <v>39</v>
      </c>
      <c r="W12" s="7">
        <v>1</v>
      </c>
      <c r="X12" s="7">
        <v>1</v>
      </c>
      <c r="Y12" s="7">
        <v>1</v>
      </c>
      <c r="Z12" s="18">
        <v>8</v>
      </c>
    </row>
    <row r="13" spans="1:26">
      <c r="A13" s="7" t="s">
        <v>51</v>
      </c>
      <c r="B13" s="7">
        <v>1</v>
      </c>
      <c r="C13" s="7">
        <v>2</v>
      </c>
      <c r="D13" s="7">
        <v>2</v>
      </c>
      <c r="E13" s="7">
        <v>2</v>
      </c>
      <c r="F13" s="18">
        <v>2</v>
      </c>
      <c r="H13" s="7" t="s">
        <v>52</v>
      </c>
      <c r="I13" s="7">
        <v>1</v>
      </c>
      <c r="J13" s="7">
        <v>2</v>
      </c>
      <c r="K13" s="18">
        <v>3</v>
      </c>
      <c r="L13" s="14"/>
      <c r="M13" s="7" t="s">
        <v>52</v>
      </c>
      <c r="N13" s="7">
        <v>1</v>
      </c>
      <c r="O13" s="7">
        <v>2</v>
      </c>
      <c r="P13" s="18">
        <v>3</v>
      </c>
    </row>
    <row r="14" spans="1:26">
      <c r="A14" s="7" t="s">
        <v>53</v>
      </c>
      <c r="B14" s="7">
        <v>1</v>
      </c>
      <c r="C14" s="7">
        <v>2</v>
      </c>
      <c r="D14" s="15">
        <v>2</v>
      </c>
      <c r="E14" s="15">
        <v>2</v>
      </c>
      <c r="F14" s="19">
        <v>2</v>
      </c>
      <c r="H14" s="7" t="s">
        <v>54</v>
      </c>
      <c r="I14" s="7">
        <v>1</v>
      </c>
      <c r="J14" s="7">
        <v>2</v>
      </c>
      <c r="K14" s="18">
        <v>3</v>
      </c>
      <c r="L14" s="14"/>
      <c r="M14" s="7" t="s">
        <v>54</v>
      </c>
      <c r="N14" s="7">
        <v>1</v>
      </c>
      <c r="O14" s="7">
        <v>2</v>
      </c>
      <c r="P14" s="18">
        <v>3</v>
      </c>
      <c r="R14" s="7">
        <v>21</v>
      </c>
      <c r="S14" s="7" t="s">
        <v>31</v>
      </c>
      <c r="T14" s="7" t="s">
        <v>44</v>
      </c>
      <c r="U14" s="7"/>
      <c r="V14" s="7"/>
      <c r="W14" s="7">
        <v>1</v>
      </c>
      <c r="X14" s="7">
        <v>1</v>
      </c>
      <c r="Y14" s="7">
        <v>1</v>
      </c>
      <c r="Z14" s="18">
        <v>4</v>
      </c>
    </row>
    <row r="15" spans="1:26">
      <c r="A15" s="7" t="s">
        <v>55</v>
      </c>
      <c r="B15" s="7">
        <v>1</v>
      </c>
      <c r="C15" s="7">
        <v>2</v>
      </c>
      <c r="D15" s="7">
        <v>2</v>
      </c>
      <c r="E15" s="7">
        <v>2</v>
      </c>
      <c r="F15" s="18">
        <v>2</v>
      </c>
      <c r="H15" s="7" t="s">
        <v>56</v>
      </c>
      <c r="I15" s="7">
        <v>1</v>
      </c>
      <c r="J15" s="7">
        <v>2</v>
      </c>
      <c r="K15" s="18" t="s">
        <v>2</v>
      </c>
      <c r="L15" s="14"/>
      <c r="M15" s="7" t="s">
        <v>56</v>
      </c>
      <c r="N15" s="7">
        <v>1</v>
      </c>
      <c r="O15" s="7">
        <v>2</v>
      </c>
      <c r="P15" s="18">
        <v>3</v>
      </c>
      <c r="R15" s="7">
        <v>22</v>
      </c>
      <c r="S15" s="7" t="s">
        <v>31</v>
      </c>
      <c r="T15" s="7" t="s">
        <v>31</v>
      </c>
      <c r="U15" s="7" t="s">
        <v>32</v>
      </c>
      <c r="V15" s="7" t="s">
        <v>39</v>
      </c>
      <c r="W15" s="7">
        <v>1</v>
      </c>
      <c r="X15" s="7">
        <v>1</v>
      </c>
      <c r="Y15" s="7">
        <v>1</v>
      </c>
      <c r="Z15" s="18">
        <v>8</v>
      </c>
    </row>
    <row r="16" spans="1:26">
      <c r="A16" s="7" t="s">
        <v>57</v>
      </c>
      <c r="B16" s="7">
        <v>1</v>
      </c>
      <c r="C16" s="7">
        <v>2</v>
      </c>
      <c r="D16" s="7">
        <v>2</v>
      </c>
      <c r="E16" s="7">
        <v>2</v>
      </c>
      <c r="F16" s="18">
        <v>2</v>
      </c>
      <c r="H16" t="s">
        <v>58</v>
      </c>
      <c r="I16" s="16" t="s">
        <v>2</v>
      </c>
      <c r="J16" t="s">
        <v>2</v>
      </c>
      <c r="K16" t="s">
        <v>2</v>
      </c>
      <c r="M16" t="s">
        <v>59</v>
      </c>
      <c r="N16" s="16"/>
      <c r="P16" t="s">
        <v>2</v>
      </c>
      <c r="R16" s="7">
        <v>23</v>
      </c>
      <c r="S16" s="7" t="s">
        <v>31</v>
      </c>
      <c r="T16" s="7" t="s">
        <v>31</v>
      </c>
      <c r="U16" s="7" t="s">
        <v>32</v>
      </c>
      <c r="V16" s="7" t="s">
        <v>39</v>
      </c>
      <c r="W16" s="7">
        <v>1</v>
      </c>
      <c r="X16" s="7">
        <v>1</v>
      </c>
      <c r="Y16" s="7">
        <v>1</v>
      </c>
      <c r="Z16" s="18">
        <v>8</v>
      </c>
    </row>
    <row r="17" spans="1:26">
      <c r="A17" s="7" t="s">
        <v>60</v>
      </c>
      <c r="B17" s="7">
        <v>1</v>
      </c>
      <c r="C17" s="7">
        <v>2</v>
      </c>
      <c r="D17" s="7">
        <v>3</v>
      </c>
      <c r="E17" s="7">
        <v>4</v>
      </c>
      <c r="F17" s="18">
        <v>5</v>
      </c>
      <c r="H17" s="7" t="s">
        <v>61</v>
      </c>
      <c r="I17" s="7">
        <v>1</v>
      </c>
      <c r="J17" s="7">
        <v>2</v>
      </c>
      <c r="K17" s="18">
        <v>4</v>
      </c>
      <c r="L17" s="14"/>
      <c r="M17" s="7" t="s">
        <v>61</v>
      </c>
      <c r="N17" s="7">
        <v>1</v>
      </c>
      <c r="O17" s="7">
        <v>2</v>
      </c>
      <c r="P17" s="18">
        <v>3</v>
      </c>
      <c r="R17" s="7">
        <v>24</v>
      </c>
      <c r="S17" s="7" t="s">
        <v>31</v>
      </c>
      <c r="T17" s="7" t="s">
        <v>31</v>
      </c>
      <c r="U17" s="7" t="s">
        <v>32</v>
      </c>
      <c r="V17" s="7" t="s">
        <v>39</v>
      </c>
      <c r="W17" s="7">
        <v>1</v>
      </c>
      <c r="X17" s="7">
        <v>1</v>
      </c>
      <c r="Y17" s="7">
        <v>1</v>
      </c>
      <c r="Z17" s="18">
        <v>8</v>
      </c>
    </row>
    <row r="18" spans="1:26">
      <c r="A18" s="7" t="s">
        <v>62</v>
      </c>
      <c r="B18" s="7">
        <v>1</v>
      </c>
      <c r="C18" s="7">
        <v>2</v>
      </c>
      <c r="D18" s="7">
        <v>3</v>
      </c>
      <c r="E18" s="7">
        <v>4</v>
      </c>
      <c r="F18" s="18">
        <v>5</v>
      </c>
      <c r="H18" s="7" t="s">
        <v>63</v>
      </c>
      <c r="I18" s="7">
        <v>1</v>
      </c>
      <c r="J18" s="7">
        <v>2</v>
      </c>
      <c r="K18" s="18">
        <v>4</v>
      </c>
      <c r="L18" s="14"/>
      <c r="M18" s="7" t="s">
        <v>63</v>
      </c>
      <c r="N18" s="7">
        <v>1</v>
      </c>
      <c r="O18" s="7">
        <v>2</v>
      </c>
      <c r="P18" s="18">
        <v>3</v>
      </c>
    </row>
    <row r="19" spans="1:26">
      <c r="A19" s="7" t="s">
        <v>64</v>
      </c>
      <c r="B19" s="7">
        <v>1</v>
      </c>
      <c r="C19" s="7">
        <v>2</v>
      </c>
      <c r="D19" s="7">
        <v>3</v>
      </c>
      <c r="E19" s="7">
        <v>4</v>
      </c>
      <c r="F19" s="18">
        <v>5</v>
      </c>
      <c r="H19" s="7" t="s">
        <v>65</v>
      </c>
      <c r="I19" s="7">
        <v>1</v>
      </c>
      <c r="J19" s="7">
        <v>2</v>
      </c>
      <c r="K19" s="18">
        <v>4</v>
      </c>
      <c r="L19" s="14"/>
      <c r="M19" s="7" t="s">
        <v>65</v>
      </c>
      <c r="N19" s="7">
        <v>1</v>
      </c>
      <c r="O19" s="7">
        <v>2</v>
      </c>
      <c r="P19" s="18">
        <v>3</v>
      </c>
      <c r="R19" s="7">
        <v>11</v>
      </c>
      <c r="S19" s="7" t="s">
        <v>31</v>
      </c>
      <c r="T19" s="7" t="s">
        <v>44</v>
      </c>
      <c r="U19" s="7"/>
      <c r="V19" s="7"/>
      <c r="W19" s="7">
        <v>1</v>
      </c>
      <c r="X19" s="7">
        <v>1</v>
      </c>
      <c r="Y19" s="7">
        <v>1</v>
      </c>
      <c r="Z19" s="18">
        <v>4</v>
      </c>
    </row>
    <row r="20" spans="1:26">
      <c r="A20" s="7" t="s">
        <v>66</v>
      </c>
      <c r="B20" s="7">
        <v>1</v>
      </c>
      <c r="C20" s="7">
        <v>2</v>
      </c>
      <c r="D20" s="7">
        <v>2</v>
      </c>
      <c r="E20" s="7">
        <v>2</v>
      </c>
      <c r="F20" s="18">
        <v>2</v>
      </c>
      <c r="H20" s="7" t="s">
        <v>67</v>
      </c>
      <c r="I20" s="7">
        <v>1</v>
      </c>
      <c r="J20" s="7">
        <v>2</v>
      </c>
      <c r="K20" s="18">
        <v>4</v>
      </c>
      <c r="L20" s="14"/>
      <c r="M20" s="7" t="s">
        <v>67</v>
      </c>
      <c r="N20" s="7">
        <v>1</v>
      </c>
      <c r="O20" s="7">
        <v>2</v>
      </c>
      <c r="P20" s="18">
        <v>3</v>
      </c>
      <c r="R20" s="7">
        <v>12</v>
      </c>
      <c r="S20" s="7" t="s">
        <v>31</v>
      </c>
      <c r="T20" s="7" t="s">
        <v>31</v>
      </c>
      <c r="U20" s="7" t="s">
        <v>32</v>
      </c>
      <c r="V20" s="7" t="s">
        <v>39</v>
      </c>
      <c r="W20" s="7">
        <v>1</v>
      </c>
      <c r="X20" s="7">
        <v>1</v>
      </c>
      <c r="Y20" s="7">
        <v>1</v>
      </c>
      <c r="Z20" s="18">
        <v>8</v>
      </c>
    </row>
    <row r="21" spans="1:26">
      <c r="A21" t="s">
        <v>68</v>
      </c>
      <c r="B21" t="s">
        <v>2</v>
      </c>
      <c r="C21" t="s">
        <v>2</v>
      </c>
      <c r="D21" t="s">
        <v>2</v>
      </c>
      <c r="H21" s="7" t="s">
        <v>69</v>
      </c>
      <c r="I21" s="7">
        <v>1</v>
      </c>
      <c r="J21" s="7">
        <v>2</v>
      </c>
      <c r="K21" s="18" t="s">
        <v>2</v>
      </c>
      <c r="L21" s="14"/>
      <c r="M21" s="7" t="s">
        <v>69</v>
      </c>
      <c r="N21" s="7">
        <v>1</v>
      </c>
      <c r="O21" s="7">
        <v>2</v>
      </c>
      <c r="P21" s="18">
        <v>3</v>
      </c>
      <c r="R21" s="7">
        <v>13</v>
      </c>
      <c r="S21" s="7" t="s">
        <v>31</v>
      </c>
      <c r="T21" s="7" t="s">
        <v>31</v>
      </c>
      <c r="U21" s="7" t="s">
        <v>32</v>
      </c>
      <c r="V21" s="7" t="s">
        <v>39</v>
      </c>
      <c r="W21" s="7">
        <v>1</v>
      </c>
      <c r="X21" s="7">
        <v>1</v>
      </c>
      <c r="Y21" s="7">
        <v>1</v>
      </c>
      <c r="Z21" s="18">
        <v>8</v>
      </c>
    </row>
    <row r="22" spans="1:26">
      <c r="A22" s="7" t="s">
        <v>70</v>
      </c>
      <c r="B22" s="7">
        <v>1</v>
      </c>
      <c r="C22" s="7">
        <v>2</v>
      </c>
      <c r="D22" s="7">
        <v>2</v>
      </c>
      <c r="E22" s="7">
        <v>2</v>
      </c>
      <c r="F22" s="18">
        <v>2</v>
      </c>
      <c r="H22" s="7" t="s">
        <v>71</v>
      </c>
      <c r="I22" s="7">
        <v>1</v>
      </c>
      <c r="J22" s="7">
        <v>2</v>
      </c>
      <c r="K22" s="18" t="s">
        <v>2</v>
      </c>
      <c r="L22" s="14"/>
      <c r="M22" s="7" t="s">
        <v>71</v>
      </c>
      <c r="N22" s="7">
        <v>1</v>
      </c>
      <c r="O22" s="7">
        <v>2</v>
      </c>
      <c r="P22" s="18">
        <v>3</v>
      </c>
      <c r="R22" s="7">
        <v>14</v>
      </c>
      <c r="S22" s="7" t="s">
        <v>31</v>
      </c>
      <c r="T22" s="7" t="s">
        <v>31</v>
      </c>
      <c r="U22" s="7" t="s">
        <v>32</v>
      </c>
      <c r="V22" s="7" t="s">
        <v>39</v>
      </c>
      <c r="W22" s="7">
        <v>1</v>
      </c>
      <c r="X22" s="7">
        <v>1</v>
      </c>
      <c r="Y22" s="7">
        <v>1</v>
      </c>
      <c r="Z22" s="18">
        <v>8</v>
      </c>
    </row>
    <row r="23" spans="1:26">
      <c r="A23" s="7" t="s">
        <v>72</v>
      </c>
      <c r="B23" s="7">
        <v>1</v>
      </c>
      <c r="C23" s="7">
        <v>2</v>
      </c>
      <c r="D23" s="7">
        <v>2</v>
      </c>
      <c r="E23" s="7">
        <v>2</v>
      </c>
      <c r="F23" s="18">
        <v>2</v>
      </c>
      <c r="H23" s="7" t="s">
        <v>73</v>
      </c>
      <c r="I23" s="7">
        <v>1</v>
      </c>
      <c r="J23" s="7">
        <v>2</v>
      </c>
      <c r="K23" s="18" t="s">
        <v>2</v>
      </c>
      <c r="L23" s="14"/>
      <c r="M23" s="7" t="s">
        <v>73</v>
      </c>
      <c r="N23" s="7">
        <v>1</v>
      </c>
      <c r="O23" s="7">
        <v>2</v>
      </c>
      <c r="P23" s="18">
        <v>3</v>
      </c>
      <c r="Z23">
        <f>SUM(Z4:Z22)</f>
        <v>132</v>
      </c>
    </row>
    <row r="24" spans="1:26">
      <c r="A24" s="7" t="s">
        <v>74</v>
      </c>
      <c r="B24" s="7">
        <v>1</v>
      </c>
      <c r="C24" s="7">
        <v>2</v>
      </c>
      <c r="D24" s="7">
        <v>2</v>
      </c>
      <c r="E24" s="7">
        <v>2</v>
      </c>
      <c r="F24" s="18">
        <v>2</v>
      </c>
      <c r="H24" s="7" t="s">
        <v>75</v>
      </c>
      <c r="I24" s="7">
        <v>1</v>
      </c>
      <c r="J24" s="7">
        <v>2</v>
      </c>
      <c r="K24" s="18" t="s">
        <v>2</v>
      </c>
      <c r="L24" s="14"/>
      <c r="M24" s="7" t="s">
        <v>75</v>
      </c>
      <c r="N24" s="7">
        <v>1</v>
      </c>
      <c r="O24" s="7">
        <v>2</v>
      </c>
      <c r="P24" s="18">
        <v>3</v>
      </c>
    </row>
    <row r="25" spans="1:26">
      <c r="A25" s="7" t="s">
        <v>76</v>
      </c>
      <c r="B25" s="7">
        <v>1</v>
      </c>
      <c r="C25" s="7">
        <v>2</v>
      </c>
      <c r="D25" s="7">
        <v>2</v>
      </c>
      <c r="E25" s="7">
        <v>2</v>
      </c>
      <c r="F25" s="18">
        <v>2</v>
      </c>
      <c r="H25" s="7" t="s">
        <v>77</v>
      </c>
      <c r="I25" s="7">
        <v>1</v>
      </c>
      <c r="J25" s="7">
        <v>2</v>
      </c>
      <c r="K25" s="18" t="s">
        <v>2</v>
      </c>
      <c r="L25" s="14"/>
      <c r="M25" s="7" t="s">
        <v>77</v>
      </c>
      <c r="N25" s="7">
        <v>1</v>
      </c>
      <c r="O25" s="7">
        <v>2</v>
      </c>
      <c r="P25" s="18">
        <v>3</v>
      </c>
      <c r="T25" t="s">
        <v>2</v>
      </c>
    </row>
    <row r="26" spans="1:26">
      <c r="A26" s="7" t="s">
        <v>78</v>
      </c>
      <c r="B26" s="7">
        <v>1</v>
      </c>
      <c r="C26" s="7">
        <v>2</v>
      </c>
      <c r="D26" s="7">
        <v>3</v>
      </c>
      <c r="E26" s="7">
        <v>4</v>
      </c>
      <c r="F26" s="18">
        <v>4</v>
      </c>
      <c r="H26" s="7" t="s">
        <v>79</v>
      </c>
      <c r="I26" s="7">
        <v>1</v>
      </c>
      <c r="J26" s="7">
        <v>2</v>
      </c>
      <c r="K26" s="18">
        <v>3</v>
      </c>
      <c r="L26" s="14"/>
      <c r="M26" s="7" t="s">
        <v>79</v>
      </c>
      <c r="N26" s="7">
        <v>1</v>
      </c>
      <c r="O26" s="7">
        <v>2</v>
      </c>
      <c r="P26" s="18">
        <v>3</v>
      </c>
    </row>
    <row r="27" spans="1:26">
      <c r="A27" s="7" t="s">
        <v>80</v>
      </c>
      <c r="B27" s="7">
        <v>1</v>
      </c>
      <c r="C27" s="7">
        <v>2</v>
      </c>
      <c r="D27" s="7">
        <v>3</v>
      </c>
      <c r="E27" s="7">
        <v>4</v>
      </c>
      <c r="F27" s="18">
        <v>4</v>
      </c>
      <c r="H27" s="7" t="s">
        <v>81</v>
      </c>
      <c r="I27" s="7">
        <v>1</v>
      </c>
      <c r="J27" s="7">
        <v>2</v>
      </c>
      <c r="K27" s="18">
        <v>3</v>
      </c>
      <c r="L27" s="14"/>
      <c r="M27" s="7" t="s">
        <v>81</v>
      </c>
      <c r="N27" s="7">
        <v>1</v>
      </c>
      <c r="O27" s="7">
        <v>2</v>
      </c>
      <c r="P27" s="18">
        <v>3</v>
      </c>
    </row>
    <row r="28" spans="1:26">
      <c r="A28" s="7" t="s">
        <v>82</v>
      </c>
      <c r="B28" s="7">
        <v>1</v>
      </c>
      <c r="C28" s="7">
        <v>2</v>
      </c>
      <c r="D28" s="7">
        <v>3</v>
      </c>
      <c r="E28" s="7">
        <v>4</v>
      </c>
      <c r="F28" s="18">
        <v>4</v>
      </c>
      <c r="H28" s="7" t="s">
        <v>83</v>
      </c>
      <c r="I28" s="7">
        <v>1</v>
      </c>
      <c r="J28" s="7">
        <v>2</v>
      </c>
      <c r="K28" s="18" t="s">
        <v>2</v>
      </c>
      <c r="L28" s="14"/>
      <c r="M28" s="7" t="s">
        <v>83</v>
      </c>
      <c r="N28" s="7">
        <v>1</v>
      </c>
      <c r="O28" s="7">
        <v>2</v>
      </c>
      <c r="P28" s="18">
        <v>3</v>
      </c>
    </row>
    <row r="29" spans="1:26">
      <c r="A29" s="7" t="s">
        <v>84</v>
      </c>
      <c r="B29" s="7">
        <v>1</v>
      </c>
      <c r="C29" s="7">
        <v>2</v>
      </c>
      <c r="D29" s="7">
        <v>3</v>
      </c>
      <c r="E29" s="7">
        <v>4</v>
      </c>
      <c r="F29" s="18">
        <v>4</v>
      </c>
      <c r="I29">
        <f>SUM(I4:I28)</f>
        <v>24</v>
      </c>
      <c r="J29">
        <f>SUM(J4:J28)</f>
        <v>48</v>
      </c>
      <c r="K29">
        <f>SUM(K4:K28)</f>
        <v>44</v>
      </c>
      <c r="N29">
        <f>SUM(N4:N28)</f>
        <v>24</v>
      </c>
      <c r="O29">
        <f>SUM(O4:O28)</f>
        <v>48</v>
      </c>
      <c r="P29">
        <f>SUM(P4:P28)</f>
        <v>72</v>
      </c>
    </row>
    <row r="30" spans="1:26">
      <c r="B30">
        <f>SUM(B4:B29)</f>
        <v>28</v>
      </c>
      <c r="C30">
        <f>SUM(C4:C29)</f>
        <v>50</v>
      </c>
      <c r="D30">
        <f>SUM(D4:D29)</f>
        <v>59</v>
      </c>
      <c r="E30">
        <f>SUM(E4:E29)</f>
        <v>70</v>
      </c>
      <c r="F30">
        <f>SUM(F4:F29)</f>
        <v>77</v>
      </c>
    </row>
    <row r="32" spans="1:26">
      <c r="E32" t="s">
        <v>2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7"/>
  <sheetViews>
    <sheetView workbookViewId="0">
      <selection activeCell="A3" sqref="A3"/>
    </sheetView>
  </sheetViews>
  <sheetFormatPr baseColWidth="10" defaultRowHeight="16"/>
  <cols>
    <col min="1" max="1" width="121.1640625" customWidth="1"/>
  </cols>
  <sheetData>
    <row r="1" spans="1:1" ht="17" thickBot="1"/>
    <row r="2" spans="1:1" ht="18">
      <c r="A2" s="73" t="s">
        <v>142</v>
      </c>
    </row>
    <row r="3" spans="1:1" ht="28" customHeight="1" thickBot="1">
      <c r="A3" s="74" t="s">
        <v>143</v>
      </c>
    </row>
    <row r="4" spans="1:1" ht="18">
      <c r="A4" s="75" t="s">
        <v>144</v>
      </c>
    </row>
    <row r="5" spans="1:1" ht="41" customHeight="1">
      <c r="A5" s="76" t="s">
        <v>145</v>
      </c>
    </row>
    <row r="6" spans="1:1" ht="33" customHeight="1" thickBot="1">
      <c r="A6" s="74" t="s">
        <v>147</v>
      </c>
    </row>
    <row r="7" spans="1:1" ht="29" customHeight="1" thickBot="1">
      <c r="A7" s="77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Presupuesto valorizado</vt:lpstr>
      <vt:lpstr>Itinerario para firmar</vt:lpstr>
      <vt:lpstr>Detalle de alojamiento.</vt:lpstr>
      <vt:lpstr>Detalle de Alimentacion.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Carmen Rodriguez</dc:creator>
  <cp:lastModifiedBy>carmen@sf.cl</cp:lastModifiedBy>
  <dcterms:created xsi:type="dcterms:W3CDTF">2014-07-29T17:30:41Z</dcterms:created>
  <dcterms:modified xsi:type="dcterms:W3CDTF">2020-01-29T15:13:59Z</dcterms:modified>
</cp:coreProperties>
</file>