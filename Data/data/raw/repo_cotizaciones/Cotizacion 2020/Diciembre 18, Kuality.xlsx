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77F58EEA-0BB8-6244-AF3F-A7AC1D04C0FE}" xr6:coauthVersionLast="36" xr6:coauthVersionMax="36" xr10:uidLastSave="{00000000-0000-0000-0000-000000000000}"/>
  <bookViews>
    <workbookView xWindow="0" yWindow="460" windowWidth="25260" windowHeight="1116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5" i="1" l="1"/>
  <c r="F28" i="1" l="1"/>
  <c r="F54" i="1" l="1"/>
  <c r="F55" i="1"/>
  <c r="F50" i="1" l="1"/>
  <c r="F51" i="1"/>
  <c r="F52" i="1"/>
  <c r="F53" i="1"/>
  <c r="F49" i="1"/>
  <c r="F46" i="1" l="1"/>
  <c r="F44" i="1"/>
  <c r="F45" i="1"/>
  <c r="F19" i="1"/>
  <c r="E29" i="1" l="1"/>
  <c r="F29" i="1" s="1"/>
  <c r="E18" i="1"/>
  <c r="F42" i="1" l="1"/>
  <c r="F47" i="1" s="1"/>
  <c r="F36" i="1"/>
  <c r="F27" i="1" l="1"/>
  <c r="E17" i="1" l="1"/>
  <c r="F17" i="1" s="1"/>
  <c r="F16" i="1"/>
  <c r="F35" i="1"/>
  <c r="F37" i="1"/>
  <c r="F34" i="1"/>
  <c r="F10" i="1"/>
  <c r="F13" i="1"/>
  <c r="F18" i="1"/>
  <c r="F9" i="1"/>
  <c r="F56" i="1"/>
  <c r="F30" i="5"/>
  <c r="E30" i="5"/>
  <c r="D30" i="5"/>
  <c r="C30" i="5"/>
  <c r="B30" i="5"/>
  <c r="P29" i="5"/>
  <c r="O29" i="5"/>
  <c r="N29" i="5"/>
  <c r="K29" i="5"/>
  <c r="J29" i="5"/>
  <c r="I29" i="5"/>
  <c r="Z23" i="5"/>
  <c r="F30" i="1" l="1"/>
  <c r="F57" i="1" s="1"/>
  <c r="F38" i="1"/>
  <c r="F58" i="1" l="1"/>
  <c r="F59" i="1" s="1"/>
</calcChain>
</file>

<file path=xl/sharedStrings.xml><?xml version="1.0" encoding="utf-8"?>
<sst xmlns="http://schemas.openxmlformats.org/spreadsheetml/2006/main" count="433" uniqueCount="238">
  <si>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</si>
  <si>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</si>
  <si>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</si>
  <si>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</si>
  <si>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</si>
  <si>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1.-</t>
  </si>
  <si>
    <t xml:space="preserve">                                                             E Mail</t>
  </si>
  <si>
    <t>Fono:</t>
  </si>
  <si>
    <t>2.-</t>
  </si>
  <si>
    <t xml:space="preserve">                                                             Fecha:</t>
  </si>
  <si>
    <t>Nº Pasajeros</t>
  </si>
  <si>
    <t>3.-</t>
  </si>
  <si>
    <t>Atiende:</t>
  </si>
  <si>
    <t xml:space="preserve">Carmen Rodriguez </t>
  </si>
  <si>
    <t>Telefono</t>
  </si>
  <si>
    <t>9 74961403</t>
  </si>
  <si>
    <t>4.-</t>
  </si>
  <si>
    <t>Alimentos y bebidas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</si>
  <si>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</si>
  <si>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</si>
  <si>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</si>
  <si>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</si>
  <si>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</si>
  <si>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</si>
  <si>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</si>
  <si>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Café, té, leche, yogurt, jamón, queso, huevos, mermeladas, mantequilla, panes, minipastelitos y cereales</t>
  </si>
  <si>
    <t>Coffee Básico</t>
  </si>
  <si>
    <t>Café, té, agua, jugo de pulpa, 2 facturitas ó 1 muffins y 2 tapaditos.</t>
  </si>
  <si>
    <t>Coffee Light</t>
  </si>
  <si>
    <t>Jugo de pulpa, agua, yogurt, 1 brocheta fruta, 1 barra de cereal</t>
  </si>
  <si>
    <t>Coffee Intermedio</t>
  </si>
  <si>
    <t>Café, té, agua, jugo de pulpa, 1 muffins, 2 facturitas, 1 fruta y 1  tapadito.</t>
  </si>
  <si>
    <t>13:00-15:00</t>
  </si>
  <si>
    <t>Podra elegir entre, 3 opciones de entrada, 3 opciones de fondo, 3 opciones de postre, 2 ensaladas, 2 sopas, inc café, jarros de agua</t>
  </si>
  <si>
    <t>Almuerzo sugerencias del chef( bajo 30 pax) pasajeros)</t>
  </si>
  <si>
    <t>Almuerzo o cena parrilla, servido a la mesa</t>
  </si>
  <si>
    <t>Parrilla pollo, vacuno, cerdo, chorizo, prietas, acompañamientos, salad bar,  postres servidos a la mesa, café, jarros de agua a la mesa.</t>
  </si>
  <si>
    <t>Almuerzo o cena parrilla, servido a la mesa, bajo 30 pasajeros</t>
  </si>
  <si>
    <t>Podra elegir entre, 3 opciones de entrada, 3 opciones de fondo, 3 opciones de postre, 2 ensaladas, 2 sopas.</t>
  </si>
  <si>
    <t>Cena Sugerencias del chef(bajo 30 pax)</t>
  </si>
  <si>
    <t>Bebida gaseosa  ó cerveza</t>
  </si>
  <si>
    <t>Gaseosa ó mineral ó  jugo de botella ó cerveza Cristal o Escudo en lata.</t>
  </si>
  <si>
    <t>Botella de vino reserva</t>
  </si>
  <si>
    <t>Coctail basico, minimo 15 pasajeros.</t>
  </si>
  <si>
    <t xml:space="preserve"> Tragos(1 p/p entre) Pisco sour o espumante, vino,  bebida, cerveza, 1 empanaditas, 1 bruzquetas, quesos, frutos secos, galletas.</t>
  </si>
  <si>
    <t>Coctail Intermedio,                            Minimo 15 pasajeros.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</si>
  <si>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</si>
  <si>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</si>
  <si>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</si>
  <si>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Tragos con ticket</t>
  </si>
  <si>
    <t>Piscola, roncola, mojito, Ice, Aperol, copa de vino, espumante, vino tinto, blanco</t>
  </si>
  <si>
    <r>
      <t>Bar abierto 4 horas</t>
    </r>
    <r>
      <rPr>
        <sz val="12"/>
        <color rgb="FFFF0000"/>
        <rFont val="Calibri (Cuerpo)_x0000_"/>
      </rPr>
      <t xml:space="preserve"> </t>
    </r>
  </si>
  <si>
    <t>Tragos Con pisco, ron cocteles, cerveza vino.</t>
  </si>
  <si>
    <t>Descorche, valor por persona</t>
  </si>
  <si>
    <t>Armando de bar, hielo, barman, cooler, servido de tragos, vasos, copas.</t>
  </si>
  <si>
    <t>Habitación single hotel</t>
  </si>
  <si>
    <t>Habitación single hotel con 1 desayuno</t>
  </si>
  <si>
    <t>Habitación doble hotel</t>
  </si>
  <si>
    <t>Habitación doble hotel con 2 desayunos</t>
  </si>
  <si>
    <t>Habitación triple hotel</t>
  </si>
  <si>
    <t>Habitación triple hotel con 2 desayunos</t>
  </si>
  <si>
    <t>Total paquete.</t>
  </si>
  <si>
    <t xml:space="preserve">Salones </t>
  </si>
  <si>
    <t>Salon chinook, hasta 300 pasajeros</t>
  </si>
  <si>
    <t>Equipado con data, telón papelógrafo, aire acondicionado y calefacción, 8 h Día o 4 h Noche</t>
  </si>
  <si>
    <t>Salon Coho, hasta 180 pasajeros</t>
  </si>
  <si>
    <t>Salon Fario, hasta 110 pasajeros</t>
  </si>
  <si>
    <t>Salón Arcoiris 1 hasta 80 pasajeros.</t>
  </si>
  <si>
    <t>Quincho 150 pasajeros</t>
  </si>
  <si>
    <t>Domo 300 pasajeros</t>
  </si>
  <si>
    <t>Implementos técnologicos</t>
  </si>
  <si>
    <t xml:space="preserve">Amplificacion </t>
  </si>
  <si>
    <t xml:space="preserve">Luces </t>
  </si>
  <si>
    <t>Pantalla led.</t>
  </si>
  <si>
    <t xml:space="preserve">DJ </t>
  </si>
  <si>
    <t>Karaoke</t>
  </si>
  <si>
    <t>DJ y Karaoke</t>
  </si>
  <si>
    <t>Animador</t>
  </si>
  <si>
    <t xml:space="preserve"> sin costo en formato compartido/ el valor es con uso exclusivo</t>
  </si>
  <si>
    <t xml:space="preserve"> Confirmar hora</t>
  </si>
  <si>
    <t>Siempre que se usen en horarios establecidos y en forma no exclusiva, indicando hora de uso.</t>
  </si>
  <si>
    <t>Piscina temperada</t>
  </si>
  <si>
    <t>Piscina temperada entre 10:00-14:00 y 15:00- 20:00(se exige uso de gorra), piscina exterior.</t>
  </si>
  <si>
    <t>Piscina exterior</t>
  </si>
  <si>
    <t>Canopy</t>
  </si>
  <si>
    <t>Kayak</t>
  </si>
  <si>
    <t>cabalgatas 30 minutos, cada cabalgata</t>
  </si>
  <si>
    <t>Pool</t>
  </si>
  <si>
    <t>Taca-taca</t>
  </si>
  <si>
    <t>Pesca con Mosca</t>
  </si>
  <si>
    <t>Acceso a pescar con mosca, en lagunas o estero.</t>
  </si>
  <si>
    <t>Total  Evento</t>
  </si>
  <si>
    <t>Valor no incluye propinas.</t>
  </si>
  <si>
    <t>IVA</t>
  </si>
  <si>
    <t>Total evento con IVA</t>
  </si>
  <si>
    <t>Importante: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</si>
  <si>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</si>
  <si>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</si>
  <si>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</si>
  <si>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</si>
  <si>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</si>
  <si>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</si>
  <si>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</si>
  <si>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</si>
  <si>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</si>
  <si>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</si>
  <si>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</si>
  <si>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</si>
  <si>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</si>
  <si>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</si>
  <si>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</si>
  <si>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</si>
  <si>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r>
      <t>Para órdenes de Compra y pagos</t>
    </r>
    <r>
      <rPr>
        <sz val="11"/>
        <color rgb="FF000000"/>
        <rFont val="Calibri"/>
        <family val="2"/>
      </rPr>
      <t>.</t>
    </r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</si>
  <si>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</si>
  <si>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</si>
  <si>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</si>
  <si>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</si>
  <si>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</si>
  <si>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</si>
  <si>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</si>
  <si>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</si>
  <si>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</si>
  <si>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</si>
  <si>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</si>
  <si>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</si>
  <si>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</si>
  <si>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ITINERARIO SAN FRANCISCO LODGE</t>
  </si>
  <si>
    <t xml:space="preserve">Empresa: </t>
  </si>
  <si>
    <t xml:space="preserve">Nº Personas: </t>
  </si>
  <si>
    <t>Inicio</t>
  </si>
  <si>
    <t xml:space="preserve">Fin </t>
  </si>
  <si>
    <t>Lun 28 nov</t>
  </si>
  <si>
    <t>Responsable</t>
  </si>
  <si>
    <t>Nº Personas</t>
  </si>
  <si>
    <t>Lugar/Salón</t>
  </si>
  <si>
    <t xml:space="preserve">Comentarios </t>
  </si>
  <si>
    <t>Uso salón</t>
  </si>
  <si>
    <t>Montaje por confirmar</t>
  </si>
  <si>
    <t>Almuerzo</t>
  </si>
  <si>
    <t>Comedor</t>
  </si>
  <si>
    <t>Actividades libres</t>
  </si>
  <si>
    <t xml:space="preserve">Piscina hasta las 20:00 </t>
  </si>
  <si>
    <t>Cena</t>
  </si>
  <si>
    <t>Mar 29 nov</t>
  </si>
  <si>
    <t>Mie 30 nov</t>
  </si>
  <si>
    <t>Observaciones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</si>
  <si>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</si>
  <si>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</si>
  <si>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</si>
  <si>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</si>
  <si>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</si>
  <si>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</si>
  <si>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</si>
  <si>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</si>
  <si>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</si>
  <si>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</si>
  <si>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</si>
  <si>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</si>
  <si>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</si>
  <si>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</si>
  <si>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cuadruples y triples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</si>
  <si>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</si>
  <si>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</si>
  <si>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</si>
  <si>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</si>
  <si>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</si>
  <si>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</si>
  <si>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</si>
  <si>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</si>
  <si>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</si>
  <si>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</si>
  <si>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</si>
  <si>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</si>
  <si>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</si>
  <si>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</si>
  <si>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</si>
  <si>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</si>
  <si>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</si>
  <si>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</si>
  <si>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</si>
  <si>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</si>
  <si>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</si>
  <si>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</si>
  <si>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</si>
  <si>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</si>
  <si>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</si>
  <si>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</si>
  <si>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</si>
  <si>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</si>
  <si>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</si>
  <si>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</si>
  <si>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</si>
  <si>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</si>
  <si>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</si>
  <si>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</si>
  <si>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</si>
  <si>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</si>
  <si>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</si>
  <si>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</si>
  <si>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</si>
  <si>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</si>
  <si>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</si>
  <si>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</si>
  <si>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</si>
  <si>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</si>
  <si>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</si>
  <si>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</si>
  <si>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</si>
  <si>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</si>
  <si>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</si>
  <si>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</si>
  <si>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</si>
  <si>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</si>
  <si>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</si>
  <si>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</si>
  <si>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</si>
  <si>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</si>
  <si>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</si>
  <si>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</si>
  <si>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</si>
  <si>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</si>
  <si>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</si>
  <si>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</si>
  <si>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</si>
  <si>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</si>
  <si>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</si>
  <si>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</si>
  <si>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</si>
  <si>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</si>
  <si>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</si>
  <si>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t>Buffet de  Acompañamientos calientes, Salad bar con variedades de ensaladas, Buffet de postres con tortas, postres de leche y frutas.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</si>
  <si>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</si>
  <si>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Marcela Gallegos</t>
  </si>
  <si>
    <t>marcela.gallegos@cocha.cl</t>
  </si>
  <si>
    <t>kuality</t>
  </si>
  <si>
    <t>18 de diciembre</t>
  </si>
  <si>
    <t>Habitaciones</t>
  </si>
  <si>
    <t xml:space="preserve">                                                         COMAG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</si>
</sst>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95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6" fontId="0" fillId="0" borderId="1" xfId="0" applyNumberFormat="1" applyBorder="1"/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1" fillId="10" borderId="1" xfId="0" applyFont="1" applyFill="1" applyBorder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left"/>
    </xf>
    <xf numFmtId="0" fontId="6" fillId="4" borderId="0" xfId="0" applyFont="1" applyFill="1" applyAlignment="1">
      <alignment horizontal="center"/>
    </xf>
    <xf numFmtId="0" fontId="17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166" fontId="4" fillId="0" borderId="0" xfId="116" applyNumberFormat="1" applyAlignment="1">
      <alignment horizontal="left"/>
    </xf>
    <xf numFmtId="0" fontId="6" fillId="12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/>
    </xf>
    <xf numFmtId="164" fontId="6" fillId="12" borderId="1" xfId="0" applyNumberFormat="1" applyFont="1" applyFill="1" applyBorder="1" applyAlignment="1">
      <alignment horizontal="right" wrapText="1"/>
    </xf>
    <xf numFmtId="164" fontId="6" fillId="13" borderId="1" xfId="0" applyNumberFormat="1" applyFont="1" applyFill="1" applyBorder="1" applyAlignment="1">
      <alignment horizontal="right"/>
    </xf>
    <xf numFmtId="0" fontId="6" fillId="13" borderId="1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left" vertical="center"/>
    </xf>
    <xf numFmtId="166" fontId="6" fillId="13" borderId="1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/>
    </xf>
    <xf numFmtId="9" fontId="1" fillId="0" borderId="0" xfId="0" applyNumberFormat="1" applyFont="1" applyFill="1" applyAlignment="1">
      <alignment horizontal="left"/>
    </xf>
  </cellXfs>
  <cellStyles count="176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" xfId="116" builtinId="8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3" builtinId="9" hidden="1"/>
    <cellStyle name="Hipervínculo visitado" xfId="171" builtinId="9" hidden="1"/>
    <cellStyle name="Hipervínculo visitado" xfId="169" builtinId="9" hidden="1"/>
    <cellStyle name="Hipervínculo visitado" xfId="167" builtinId="9" hidden="1"/>
    <cellStyle name="Hipervínculo visitado" xfId="165" builtinId="9" hidden="1"/>
    <cellStyle name="Hipervínculo visitado" xfId="163" builtinId="9" hidden="1"/>
    <cellStyle name="Hipervínculo visitado" xfId="161" builtinId="9" hidden="1"/>
    <cellStyle name="Hipervínculo visitado" xfId="159" builtinId="9" hidden="1"/>
    <cellStyle name="Hipervínculo visitado" xfId="157" builtinId="9" hidden="1"/>
    <cellStyle name="Hipervínculo visitado" xfId="155" builtinId="9" hidden="1"/>
    <cellStyle name="Hipervínculo visitado" xfId="153" builtinId="9" hidden="1"/>
    <cellStyle name="Hipervínculo visitado" xfId="151" builtinId="9" hidden="1"/>
    <cellStyle name="Hipervínculo visitado" xfId="149" builtinId="9" hidden="1"/>
    <cellStyle name="Hipervínculo visitado" xfId="147" builtinId="9" hidden="1"/>
    <cellStyle name="Hipervínculo visitado" xfId="145" builtinId="9" hidden="1"/>
    <cellStyle name="Hipervínculo visitado" xfId="143" builtinId="9" hidden="1"/>
    <cellStyle name="Hipervínculo visitado" xfId="141" builtinId="9" hidden="1"/>
    <cellStyle name="Hipervínculo visitado" xfId="139" builtinId="9" hidden="1"/>
    <cellStyle name="Hipervínculo visitado" xfId="137" builtinId="9" hidden="1"/>
    <cellStyle name="Hipervínculo visitado" xfId="135" builtinId="9" hidden="1"/>
    <cellStyle name="Hipervínculo visitado" xfId="133" builtinId="9" hidden="1"/>
    <cellStyle name="Hipervínculo visitado" xfId="131" builtinId="9" hidden="1"/>
    <cellStyle name="Hipervínculo visitado" xfId="129" builtinId="9" hidden="1"/>
    <cellStyle name="Hipervínculo visitado" xfId="127" builtinId="9" hidden="1"/>
    <cellStyle name="Hipervínculo visitado" xfId="125" builtinId="9" hidden="1"/>
    <cellStyle name="Hipervínculo visitado" xfId="123" builtinId="9" hidden="1"/>
    <cellStyle name="Hipervínculo visitado" xfId="121" builtinId="9" hidden="1"/>
    <cellStyle name="Hipervínculo visitado" xfId="52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20" builtinId="9" hidden="1"/>
    <cellStyle name="Hipervínculo visitado" xfId="119" builtinId="9" hidden="1"/>
    <cellStyle name="Hipervínculo visitado" xfId="114" builtinId="9" hidden="1"/>
    <cellStyle name="Hipervínculo visitado" xfId="110" builtinId="9" hidden="1"/>
    <cellStyle name="Hipervínculo visitado" xfId="106" builtinId="9" hidden="1"/>
    <cellStyle name="Hipervínculo visitado" xfId="102" builtinId="9" hidden="1"/>
    <cellStyle name="Hipervínculo visitado" xfId="98" builtinId="9" hidden="1"/>
    <cellStyle name="Hipervínculo visitado" xfId="94" builtinId="9" hidden="1"/>
    <cellStyle name="Hipervínculo visitado" xfId="90" builtinId="9" hidden="1"/>
    <cellStyle name="Hipervínculo visitado" xfId="86" builtinId="9" hidden="1"/>
    <cellStyle name="Hipervínculo visitado" xfId="78" builtinId="9" hidden="1"/>
    <cellStyle name="Hipervínculo visitado" xfId="70" builtinId="9" hidden="1"/>
    <cellStyle name="Hipervínculo visitado" xfId="62" builtinId="9" hidden="1"/>
    <cellStyle name="Hipervínculo visitado" xfId="54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38" builtinId="9" hidden="1"/>
    <cellStyle name="Hipervínculo visitado" xfId="22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cela.gallegos@cocha.cl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92"/>
  <sheetViews>
    <sheetView tabSelected="1" zoomScale="109" zoomScaleNormal="109" zoomScalePageLayoutView="109" workbookViewId="0">
      <selection activeCell="F26" sqref="F26"/>
    </sheetView>
  </sheetViews>
  <sheetFormatPr baseColWidth="10" defaultColWidth="11" defaultRowHeight="16"/>
  <cols>
    <col min="1" max="1" width="36.33203125" customWidth="1"/>
    <col min="2" max="2" width="10.83203125" style="76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>
      <c r="A1" s="1" t="s">
        <v>0</v>
      </c>
      <c r="B1" s="75"/>
      <c r="C1" s="72" t="s">
        <v>1</v>
      </c>
    </row>
    <row r="2" spans="1:7">
      <c r="F2" s="156" t="s">
        <v>0</v>
      </c>
      <c r="G2" s="143" t="s">
        <v>2</v>
      </c>
    </row>
    <row r="3" spans="1:7">
      <c r="A3" s="34" t="s">
        <v>3</v>
      </c>
      <c r="B3" s="124" t="s">
        <v>232</v>
      </c>
      <c r="D3" t="s">
        <v>4</v>
      </c>
      <c r="E3" s="34" t="s">
        <v>234</v>
      </c>
      <c r="G3" s="85" t="s">
        <v>5</v>
      </c>
    </row>
    <row r="4" spans="1:7">
      <c r="A4" s="157" t="s">
        <v>6</v>
      </c>
      <c r="B4" s="184" t="s">
        <v>233</v>
      </c>
      <c r="C4" s="73"/>
      <c r="D4" t="s">
        <v>7</v>
      </c>
      <c r="E4">
        <v>224641302</v>
      </c>
      <c r="G4" s="86" t="s">
        <v>8</v>
      </c>
    </row>
    <row r="5" spans="1:7">
      <c r="A5" s="157" t="s">
        <v>9</v>
      </c>
      <c r="B5" s="124" t="s">
        <v>235</v>
      </c>
      <c r="D5" t="s">
        <v>10</v>
      </c>
      <c r="E5" s="34">
        <v>15</v>
      </c>
      <c r="G5" s="86" t="s">
        <v>11</v>
      </c>
    </row>
    <row r="6" spans="1:7">
      <c r="A6" s="71" t="s">
        <v>12</v>
      </c>
      <c r="B6" s="125" t="s">
        <v>13</v>
      </c>
      <c r="C6" s="70"/>
      <c r="D6" s="70" t="s">
        <v>14</v>
      </c>
      <c r="E6" s="71" t="s">
        <v>15</v>
      </c>
      <c r="G6" s="86" t="s">
        <v>16</v>
      </c>
    </row>
    <row r="7" spans="1:7" ht="17" thickBot="1">
      <c r="A7" s="193" t="s">
        <v>237</v>
      </c>
      <c r="B7" s="194">
        <v>0.15</v>
      </c>
      <c r="C7" s="70"/>
      <c r="D7" s="70"/>
      <c r="E7" s="70"/>
      <c r="F7" s="70"/>
      <c r="G7" s="86"/>
    </row>
    <row r="8" spans="1:7" ht="15.75" customHeight="1">
      <c r="A8" s="107" t="s">
        <v>17</v>
      </c>
      <c r="B8" s="108" t="s">
        <v>18</v>
      </c>
      <c r="C8" s="109" t="s">
        <v>19</v>
      </c>
      <c r="D8" s="109" t="s">
        <v>20</v>
      </c>
      <c r="E8" s="109" t="s">
        <v>21</v>
      </c>
      <c r="F8" s="109" t="s">
        <v>22</v>
      </c>
      <c r="G8" s="110" t="s">
        <v>23</v>
      </c>
    </row>
    <row r="9" spans="1:7" ht="15.75" customHeight="1">
      <c r="A9" s="105" t="s">
        <v>24</v>
      </c>
      <c r="B9" s="106"/>
      <c r="C9" s="94">
        <v>0</v>
      </c>
      <c r="D9" s="94">
        <v>0</v>
      </c>
      <c r="E9" s="128">
        <v>12500</v>
      </c>
      <c r="F9" s="93">
        <f>D9*E9</f>
        <v>0</v>
      </c>
      <c r="G9" s="92" t="s">
        <v>25</v>
      </c>
    </row>
    <row r="10" spans="1:7">
      <c r="A10" s="103" t="s">
        <v>26</v>
      </c>
      <c r="B10" s="104"/>
      <c r="C10" s="94">
        <v>0</v>
      </c>
      <c r="D10" s="94">
        <v>0</v>
      </c>
      <c r="E10" s="102">
        <v>4850</v>
      </c>
      <c r="F10" s="93">
        <f>D10*E10</f>
        <v>0</v>
      </c>
      <c r="G10" s="100" t="s">
        <v>27</v>
      </c>
    </row>
    <row r="11" spans="1:7">
      <c r="A11" s="137" t="s">
        <v>28</v>
      </c>
      <c r="B11" s="138"/>
      <c r="C11" s="139">
        <v>0</v>
      </c>
      <c r="D11" s="139">
        <v>0</v>
      </c>
      <c r="E11" s="140">
        <v>5850</v>
      </c>
      <c r="F11" s="141">
        <v>0</v>
      </c>
      <c r="G11" s="142" t="s">
        <v>29</v>
      </c>
    </row>
    <row r="12" spans="1:7">
      <c r="A12" s="137" t="s">
        <v>30</v>
      </c>
      <c r="B12" s="138"/>
      <c r="C12" s="139">
        <v>0</v>
      </c>
      <c r="D12" s="139">
        <v>0</v>
      </c>
      <c r="E12" s="140">
        <v>6850</v>
      </c>
      <c r="F12" s="141">
        <v>0</v>
      </c>
      <c r="G12" s="142" t="s">
        <v>31</v>
      </c>
    </row>
    <row r="13" spans="1:7" ht="34.5" customHeight="1">
      <c r="A13" s="185" t="s">
        <v>34</v>
      </c>
      <c r="B13" s="186" t="s">
        <v>0</v>
      </c>
      <c r="C13" s="187">
        <v>0</v>
      </c>
      <c r="D13" s="187">
        <v>0</v>
      </c>
      <c r="E13" s="188">
        <v>25000</v>
      </c>
      <c r="F13" s="189">
        <f>D13*E13</f>
        <v>0</v>
      </c>
      <c r="G13" s="190" t="s">
        <v>33</v>
      </c>
    </row>
    <row r="14" spans="1:7" ht="16.5" customHeight="1">
      <c r="A14" s="185" t="s">
        <v>35</v>
      </c>
      <c r="B14" s="186"/>
      <c r="C14" s="187">
        <v>0</v>
      </c>
      <c r="D14" s="187">
        <v>0</v>
      </c>
      <c r="E14" s="188">
        <v>29500</v>
      </c>
      <c r="F14" s="189">
        <v>0</v>
      </c>
      <c r="G14" s="190" t="s">
        <v>36</v>
      </c>
    </row>
    <row r="15" spans="1:7" ht="36" customHeight="1">
      <c r="A15" s="186" t="s">
        <v>37</v>
      </c>
      <c r="B15" s="186"/>
      <c r="C15" s="187">
        <v>0</v>
      </c>
      <c r="D15" s="187">
        <v>0</v>
      </c>
      <c r="E15" s="188">
        <v>35000</v>
      </c>
      <c r="F15" s="189">
        <v>0</v>
      </c>
      <c r="G15" s="190" t="s">
        <v>36</v>
      </c>
    </row>
    <row r="16" spans="1:7">
      <c r="A16" s="191" t="s">
        <v>39</v>
      </c>
      <c r="B16" s="192" t="s">
        <v>32</v>
      </c>
      <c r="C16" s="187">
        <v>0</v>
      </c>
      <c r="D16" s="187">
        <v>0</v>
      </c>
      <c r="E16" s="189">
        <v>25000</v>
      </c>
      <c r="F16" s="189">
        <f>D16*E16</f>
        <v>0</v>
      </c>
      <c r="G16" s="190" t="s">
        <v>38</v>
      </c>
    </row>
    <row r="17" spans="1:7">
      <c r="A17" s="191" t="s">
        <v>40</v>
      </c>
      <c r="B17" s="192"/>
      <c r="C17" s="187">
        <v>0</v>
      </c>
      <c r="D17" s="187">
        <v>0</v>
      </c>
      <c r="E17" s="189">
        <f>1800/1.19</f>
        <v>1512.6050420168067</v>
      </c>
      <c r="F17" s="189">
        <f>D17*E17</f>
        <v>0</v>
      </c>
      <c r="G17" s="190" t="s">
        <v>41</v>
      </c>
    </row>
    <row r="18" spans="1:7">
      <c r="A18" s="100" t="s">
        <v>42</v>
      </c>
      <c r="B18" s="101"/>
      <c r="C18" s="94">
        <v>0</v>
      </c>
      <c r="D18" s="94">
        <v>0</v>
      </c>
      <c r="E18" s="93">
        <f>12500/1.19</f>
        <v>10504.20168067227</v>
      </c>
      <c r="F18" s="93">
        <f>D18*E18</f>
        <v>0</v>
      </c>
      <c r="G18" s="92" t="s">
        <v>41</v>
      </c>
    </row>
    <row r="19" spans="1:7" ht="17">
      <c r="A19" s="100" t="s">
        <v>43</v>
      </c>
      <c r="B19" s="145"/>
      <c r="C19" s="146">
        <v>1</v>
      </c>
      <c r="D19" s="145"/>
      <c r="E19" s="147">
        <v>10000</v>
      </c>
      <c r="F19" s="93">
        <f t="shared" ref="F19" si="0">D19*E19</f>
        <v>0</v>
      </c>
      <c r="G19" s="148" t="s">
        <v>44</v>
      </c>
    </row>
    <row r="20" spans="1:7" ht="34">
      <c r="A20" s="153" t="s">
        <v>45</v>
      </c>
      <c r="B20" s="145"/>
      <c r="C20" s="139">
        <v>0</v>
      </c>
      <c r="D20" s="139">
        <v>0</v>
      </c>
      <c r="E20" s="147">
        <v>13500</v>
      </c>
      <c r="F20" s="141">
        <v>0</v>
      </c>
      <c r="G20" s="154" t="s">
        <v>46</v>
      </c>
    </row>
    <row r="21" spans="1:7" ht="34">
      <c r="A21" s="153" t="s">
        <v>47</v>
      </c>
      <c r="B21" s="145"/>
      <c r="C21" s="139">
        <v>0</v>
      </c>
      <c r="D21" s="139">
        <v>0</v>
      </c>
      <c r="E21" s="147">
        <v>15000</v>
      </c>
      <c r="F21" s="141">
        <v>0</v>
      </c>
      <c r="G21" s="154" t="s">
        <v>48</v>
      </c>
    </row>
    <row r="22" spans="1:7">
      <c r="A22" s="133" t="s">
        <v>49</v>
      </c>
      <c r="B22" s="134"/>
      <c r="C22" s="42">
        <v>0</v>
      </c>
      <c r="D22" s="42">
        <v>0</v>
      </c>
      <c r="E22" s="135">
        <v>3850</v>
      </c>
      <c r="F22" s="135">
        <v>0</v>
      </c>
      <c r="G22" s="136" t="s">
        <v>50</v>
      </c>
    </row>
    <row r="23" spans="1:7">
      <c r="A23" s="133" t="s">
        <v>51</v>
      </c>
      <c r="B23" s="134"/>
      <c r="C23" s="42">
        <v>0</v>
      </c>
      <c r="D23" s="42">
        <v>0</v>
      </c>
      <c r="E23" s="135">
        <v>24000</v>
      </c>
      <c r="F23" s="135">
        <v>0</v>
      </c>
      <c r="G23" s="27" t="s">
        <v>52</v>
      </c>
    </row>
    <row r="24" spans="1:7">
      <c r="A24" s="100" t="s">
        <v>53</v>
      </c>
      <c r="B24" s="101"/>
      <c r="C24" s="42">
        <v>0</v>
      </c>
      <c r="D24" s="42">
        <v>0</v>
      </c>
      <c r="E24" s="93">
        <v>7000</v>
      </c>
      <c r="F24" s="135">
        <v>0</v>
      </c>
      <c r="G24" s="92" t="s">
        <v>54</v>
      </c>
    </row>
    <row r="25" spans="1:7" ht="17" thickBot="1">
      <c r="F25" s="156">
        <f>SUM(F9:F24)</f>
        <v>0</v>
      </c>
    </row>
    <row r="26" spans="1:7" ht="15.75" customHeight="1">
      <c r="A26" s="107" t="s">
        <v>236</v>
      </c>
      <c r="B26" s="108" t="s">
        <v>18</v>
      </c>
      <c r="C26" s="109" t="s">
        <v>19</v>
      </c>
      <c r="D26" s="109" t="s">
        <v>20</v>
      </c>
      <c r="E26" s="109" t="s">
        <v>21</v>
      </c>
      <c r="F26" s="109" t="s">
        <v>22</v>
      </c>
      <c r="G26" s="110" t="s">
        <v>23</v>
      </c>
    </row>
    <row r="27" spans="1:7" ht="16.5" customHeight="1">
      <c r="A27" s="121" t="s">
        <v>55</v>
      </c>
      <c r="B27" s="122"/>
      <c r="C27" s="94">
        <v>15</v>
      </c>
      <c r="D27" s="94">
        <v>15</v>
      </c>
      <c r="E27" s="123">
        <v>99000</v>
      </c>
      <c r="F27" s="93">
        <f>C27*E27</f>
        <v>1485000</v>
      </c>
      <c r="G27" s="121" t="s">
        <v>56</v>
      </c>
    </row>
    <row r="28" spans="1:7" ht="16.5" customHeight="1">
      <c r="A28" s="121" t="s">
        <v>57</v>
      </c>
      <c r="B28" s="122"/>
      <c r="C28" s="94">
        <v>0</v>
      </c>
      <c r="D28" s="94">
        <v>0</v>
      </c>
      <c r="E28" s="123">
        <v>118000</v>
      </c>
      <c r="F28" s="93">
        <f>C28*E28</f>
        <v>0</v>
      </c>
      <c r="G28" s="121" t="s">
        <v>58</v>
      </c>
    </row>
    <row r="29" spans="1:7" ht="16.5" customHeight="1">
      <c r="A29" s="121" t="s">
        <v>59</v>
      </c>
      <c r="B29" s="122"/>
      <c r="C29" s="94">
        <v>0</v>
      </c>
      <c r="D29" s="94">
        <v>0</v>
      </c>
      <c r="E29" s="123">
        <f>118000+39500</f>
        <v>157500</v>
      </c>
      <c r="F29" s="93">
        <f>C29*E29</f>
        <v>0</v>
      </c>
      <c r="G29" s="121" t="s">
        <v>60</v>
      </c>
    </row>
    <row r="30" spans="1:7" ht="16.5" customHeight="1" thickBot="1">
      <c r="A30" s="2" t="s">
        <v>61</v>
      </c>
      <c r="B30" s="77"/>
      <c r="C30" s="33"/>
      <c r="D30" s="23"/>
      <c r="E30" s="7"/>
      <c r="F30" s="5">
        <f>SUM(F9:F28)</f>
        <v>1485000</v>
      </c>
      <c r="G30" s="32" t="s">
        <v>0</v>
      </c>
    </row>
    <row r="31" spans="1:7" ht="16.5" customHeight="1">
      <c r="A31" s="107" t="s">
        <v>62</v>
      </c>
      <c r="B31" s="108"/>
      <c r="C31" s="109" t="s">
        <v>19</v>
      </c>
      <c r="D31" s="109" t="s">
        <v>20</v>
      </c>
      <c r="E31" s="109" t="s">
        <v>21</v>
      </c>
      <c r="F31" s="109" t="s">
        <v>22</v>
      </c>
      <c r="G31" s="110" t="s">
        <v>23</v>
      </c>
    </row>
    <row r="32" spans="1:7">
      <c r="A32" s="105" t="s">
        <v>63</v>
      </c>
      <c r="B32" s="106"/>
      <c r="C32" s="94">
        <v>0</v>
      </c>
      <c r="D32" s="94">
        <v>0</v>
      </c>
      <c r="E32" s="128">
        <v>300000</v>
      </c>
      <c r="F32" s="93">
        <v>0</v>
      </c>
      <c r="G32" s="92" t="s">
        <v>64</v>
      </c>
    </row>
    <row r="33" spans="1:7">
      <c r="A33" s="9" t="s">
        <v>65</v>
      </c>
      <c r="B33" s="152"/>
      <c r="C33" s="94">
        <v>0</v>
      </c>
      <c r="D33" s="94">
        <v>0</v>
      </c>
      <c r="E33" s="128">
        <v>250000</v>
      </c>
      <c r="F33" s="93">
        <v>0</v>
      </c>
      <c r="G33" s="92" t="s">
        <v>64</v>
      </c>
    </row>
    <row r="34" spans="1:7">
      <c r="A34" s="9" t="s">
        <v>66</v>
      </c>
      <c r="B34" s="104"/>
      <c r="C34" s="94">
        <v>0</v>
      </c>
      <c r="D34" s="94">
        <v>0</v>
      </c>
      <c r="E34" s="102">
        <v>220000</v>
      </c>
      <c r="F34" s="129">
        <f>D34*E34</f>
        <v>0</v>
      </c>
      <c r="G34" s="92" t="s">
        <v>64</v>
      </c>
    </row>
    <row r="35" spans="1:7">
      <c r="A35" s="100" t="s">
        <v>67</v>
      </c>
      <c r="B35" s="101"/>
      <c r="C35" s="94">
        <v>0</v>
      </c>
      <c r="D35" s="94">
        <v>0</v>
      </c>
      <c r="E35" s="102">
        <v>180000</v>
      </c>
      <c r="F35" s="93">
        <f>C35*E35</f>
        <v>0</v>
      </c>
      <c r="G35" s="92" t="s">
        <v>64</v>
      </c>
    </row>
    <row r="36" spans="1:7" s="16" customFormat="1" ht="16.5" customHeight="1">
      <c r="A36" s="100" t="s">
        <v>68</v>
      </c>
      <c r="B36" s="101"/>
      <c r="C36" s="94">
        <v>0</v>
      </c>
      <c r="D36" s="94">
        <v>0</v>
      </c>
      <c r="E36" s="93">
        <v>300000</v>
      </c>
      <c r="F36" s="93">
        <f>D36*E36</f>
        <v>0</v>
      </c>
      <c r="G36" s="92" t="s">
        <v>64</v>
      </c>
    </row>
    <row r="37" spans="1:7" s="16" customFormat="1" ht="16.5" customHeight="1">
      <c r="A37" s="126" t="s">
        <v>69</v>
      </c>
      <c r="B37" s="127" t="s">
        <v>0</v>
      </c>
      <c r="C37" s="94">
        <v>0</v>
      </c>
      <c r="D37" s="94">
        <v>0</v>
      </c>
      <c r="E37" s="93">
        <v>300000</v>
      </c>
      <c r="F37" s="129">
        <f t="shared" ref="F37" si="1">D37*E37</f>
        <v>0</v>
      </c>
      <c r="G37" s="92" t="s">
        <v>64</v>
      </c>
    </row>
    <row r="38" spans="1:7" ht="17" thickBot="1">
      <c r="A38" s="115"/>
      <c r="B38" s="116"/>
      <c r="C38" s="117"/>
      <c r="D38" s="117"/>
      <c r="E38" s="118" t="s">
        <v>0</v>
      </c>
      <c r="F38" s="119">
        <f>SUM(F34:F37)</f>
        <v>0</v>
      </c>
      <c r="G38" s="120"/>
    </row>
    <row r="39" spans="1:7">
      <c r="A39" s="107" t="s">
        <v>70</v>
      </c>
      <c r="B39" s="108"/>
      <c r="C39" s="109" t="s">
        <v>19</v>
      </c>
      <c r="D39" s="109" t="s">
        <v>20</v>
      </c>
      <c r="E39" s="109" t="s">
        <v>21</v>
      </c>
      <c r="F39" s="109" t="s">
        <v>22</v>
      </c>
      <c r="G39" s="110" t="s">
        <v>23</v>
      </c>
    </row>
    <row r="40" spans="1:7">
      <c r="A40" s="100" t="s">
        <v>71</v>
      </c>
      <c r="B40" s="101"/>
      <c r="C40" s="94">
        <v>0</v>
      </c>
      <c r="D40" s="94">
        <v>0</v>
      </c>
      <c r="E40" s="93">
        <v>200000</v>
      </c>
      <c r="F40" s="93">
        <v>0</v>
      </c>
      <c r="G40" s="144"/>
    </row>
    <row r="41" spans="1:7">
      <c r="A41" s="100" t="s">
        <v>72</v>
      </c>
      <c r="B41" s="152"/>
      <c r="C41" s="94">
        <v>0</v>
      </c>
      <c r="D41" s="94">
        <v>0</v>
      </c>
      <c r="E41" s="93">
        <v>150000</v>
      </c>
      <c r="F41" s="93">
        <v>0</v>
      </c>
      <c r="G41" s="92" t="s">
        <v>0</v>
      </c>
    </row>
    <row r="42" spans="1:7">
      <c r="A42" s="100" t="s">
        <v>73</v>
      </c>
      <c r="B42" s="101"/>
      <c r="C42" s="94">
        <v>0</v>
      </c>
      <c r="D42" s="94">
        <v>0</v>
      </c>
      <c r="E42" s="93">
        <v>650000</v>
      </c>
      <c r="F42" s="93">
        <f>C42*E42</f>
        <v>0</v>
      </c>
      <c r="G42" s="144"/>
    </row>
    <row r="43" spans="1:7">
      <c r="A43" s="100" t="s">
        <v>74</v>
      </c>
      <c r="B43" s="101"/>
      <c r="C43" s="94">
        <v>0</v>
      </c>
      <c r="D43" s="94">
        <v>0</v>
      </c>
      <c r="E43" s="93">
        <v>450000</v>
      </c>
      <c r="F43" s="93">
        <v>0</v>
      </c>
      <c r="G43" s="144" t="s">
        <v>0</v>
      </c>
    </row>
    <row r="44" spans="1:7">
      <c r="A44" s="100" t="s">
        <v>75</v>
      </c>
      <c r="B44" s="101"/>
      <c r="C44" s="94">
        <v>0</v>
      </c>
      <c r="D44" s="94">
        <v>0</v>
      </c>
      <c r="E44" s="93">
        <v>450000</v>
      </c>
      <c r="F44" s="93">
        <f>D44*E44</f>
        <v>0</v>
      </c>
      <c r="G44" s="92" t="s">
        <v>0</v>
      </c>
    </row>
    <row r="45" spans="1:7" ht="17">
      <c r="A45" s="126" t="s">
        <v>76</v>
      </c>
      <c r="B45" s="127" t="s">
        <v>0</v>
      </c>
      <c r="C45" s="94">
        <v>0</v>
      </c>
      <c r="D45" s="94">
        <v>0</v>
      </c>
      <c r="E45" s="93">
        <v>580000</v>
      </c>
      <c r="F45" s="129">
        <f t="shared" ref="F45" si="2">D45*E45</f>
        <v>0</v>
      </c>
      <c r="G45" s="92" t="s">
        <v>0</v>
      </c>
    </row>
    <row r="46" spans="1:7" ht="17">
      <c r="A46" s="126" t="s">
        <v>77</v>
      </c>
      <c r="B46" s="127" t="s">
        <v>0</v>
      </c>
      <c r="C46" s="94">
        <v>0</v>
      </c>
      <c r="D46" s="94">
        <v>0</v>
      </c>
      <c r="E46" s="93">
        <v>150000</v>
      </c>
      <c r="F46" s="129">
        <f t="shared" ref="F46" si="3">D46*E46</f>
        <v>0</v>
      </c>
      <c r="G46" s="92" t="s">
        <v>0</v>
      </c>
    </row>
    <row r="47" spans="1:7">
      <c r="A47" s="115"/>
      <c r="B47" s="116"/>
      <c r="C47" s="117"/>
      <c r="D47" s="117"/>
      <c r="E47" s="118" t="s">
        <v>0</v>
      </c>
      <c r="F47" s="119">
        <f>SUM(F40:F46)</f>
        <v>0</v>
      </c>
      <c r="G47" s="120"/>
    </row>
    <row r="48" spans="1:7" ht="34">
      <c r="A48" s="155" t="s">
        <v>78</v>
      </c>
      <c r="B48" s="112" t="s">
        <v>79</v>
      </c>
      <c r="C48" s="113"/>
      <c r="D48" s="113"/>
      <c r="E48" s="114"/>
      <c r="F48" s="114" t="s">
        <v>0</v>
      </c>
      <c r="G48" s="111" t="s">
        <v>80</v>
      </c>
    </row>
    <row r="49" spans="1:7">
      <c r="A49" s="95" t="s">
        <v>81</v>
      </c>
      <c r="B49" s="96" t="s">
        <v>0</v>
      </c>
      <c r="C49" s="97">
        <v>0</v>
      </c>
      <c r="D49" s="97">
        <v>0</v>
      </c>
      <c r="E49" s="98">
        <v>250000</v>
      </c>
      <c r="F49" s="98">
        <f>C49*D49*E49</f>
        <v>0</v>
      </c>
      <c r="G49" s="99" t="s">
        <v>82</v>
      </c>
    </row>
    <row r="50" spans="1:7">
      <c r="A50" s="95" t="s">
        <v>83</v>
      </c>
      <c r="B50" s="96"/>
      <c r="C50" s="97">
        <v>0</v>
      </c>
      <c r="D50" s="97">
        <v>0</v>
      </c>
      <c r="E50" s="98">
        <v>250000</v>
      </c>
      <c r="F50" s="98">
        <f t="shared" ref="F50:F55" si="4">C50*D50*E50</f>
        <v>0</v>
      </c>
      <c r="G50" s="99"/>
    </row>
    <row r="51" spans="1:7">
      <c r="A51" s="95" t="s">
        <v>84</v>
      </c>
      <c r="B51" s="96" t="s">
        <v>0</v>
      </c>
      <c r="C51" s="97">
        <v>0</v>
      </c>
      <c r="D51" s="97">
        <v>0</v>
      </c>
      <c r="E51" s="98">
        <v>250000</v>
      </c>
      <c r="F51" s="98">
        <f t="shared" si="4"/>
        <v>0</v>
      </c>
      <c r="G51" s="99" t="s">
        <v>0</v>
      </c>
    </row>
    <row r="52" spans="1:7">
      <c r="A52" s="95" t="s">
        <v>85</v>
      </c>
      <c r="B52" s="96"/>
      <c r="C52" s="97">
        <v>0</v>
      </c>
      <c r="D52" s="97">
        <v>0</v>
      </c>
      <c r="E52" s="98">
        <v>250000</v>
      </c>
      <c r="F52" s="98">
        <f t="shared" si="4"/>
        <v>0</v>
      </c>
      <c r="G52" s="99"/>
    </row>
    <row r="53" spans="1:7">
      <c r="A53" s="95" t="s">
        <v>86</v>
      </c>
      <c r="B53" s="96"/>
      <c r="C53" s="97">
        <v>0</v>
      </c>
      <c r="D53" s="97">
        <v>0</v>
      </c>
      <c r="E53" s="98">
        <v>30000</v>
      </c>
      <c r="F53" s="98">
        <f t="shared" si="4"/>
        <v>0</v>
      </c>
      <c r="G53" s="99"/>
    </row>
    <row r="54" spans="1:7">
      <c r="A54" s="95" t="s">
        <v>87</v>
      </c>
      <c r="B54" s="96"/>
      <c r="C54" s="97">
        <v>0</v>
      </c>
      <c r="D54" s="97">
        <v>0</v>
      </c>
      <c r="E54" s="98">
        <v>250000</v>
      </c>
      <c r="F54" s="98">
        <f t="shared" si="4"/>
        <v>0</v>
      </c>
      <c r="G54" s="99"/>
    </row>
    <row r="55" spans="1:7">
      <c r="A55" s="95" t="s">
        <v>88</v>
      </c>
      <c r="B55" s="96"/>
      <c r="C55" s="97">
        <v>0</v>
      </c>
      <c r="D55" s="97">
        <v>0</v>
      </c>
      <c r="E55" s="98">
        <v>100000</v>
      </c>
      <c r="F55" s="98">
        <f t="shared" si="4"/>
        <v>0</v>
      </c>
      <c r="G55" s="99"/>
    </row>
    <row r="56" spans="1:7" ht="16.5" customHeight="1" thickBot="1">
      <c r="A56" s="95" t="s">
        <v>89</v>
      </c>
      <c r="B56" s="96" t="s">
        <v>0</v>
      </c>
      <c r="C56" s="97">
        <v>0</v>
      </c>
      <c r="D56" s="97">
        <v>0</v>
      </c>
      <c r="E56" s="98">
        <v>0</v>
      </c>
      <c r="F56" s="98">
        <f t="shared" ref="F56" si="5">C56*D56*E56</f>
        <v>0</v>
      </c>
      <c r="G56" s="99" t="s">
        <v>90</v>
      </c>
    </row>
    <row r="57" spans="1:7" ht="17" thickBot="1">
      <c r="A57" s="35" t="s">
        <v>91</v>
      </c>
      <c r="B57" s="79"/>
      <c r="C57" s="36"/>
      <c r="D57" s="36"/>
      <c r="E57" s="37"/>
      <c r="F57" s="38">
        <f>F25+F30+F38+F47+F56</f>
        <v>1485000</v>
      </c>
      <c r="G57" s="6" t="s">
        <v>92</v>
      </c>
    </row>
    <row r="58" spans="1:7">
      <c r="A58" s="3" t="s">
        <v>93</v>
      </c>
      <c r="B58" s="78"/>
      <c r="C58" s="31"/>
      <c r="D58" s="23"/>
      <c r="E58" s="7"/>
      <c r="F58" s="5">
        <f>F57*1.19-F57</f>
        <v>282150</v>
      </c>
      <c r="G58" s="6"/>
    </row>
    <row r="59" spans="1:7">
      <c r="A59" s="80" t="s">
        <v>94</v>
      </c>
      <c r="B59" s="81"/>
      <c r="C59" s="82"/>
      <c r="D59" s="82"/>
      <c r="E59" s="83"/>
      <c r="F59" s="84">
        <f>F57+F58</f>
        <v>1767150</v>
      </c>
      <c r="G59" s="6"/>
    </row>
    <row r="60" spans="1:7">
      <c r="A60" s="3"/>
      <c r="B60" s="78"/>
      <c r="C60" s="31"/>
      <c r="D60" s="23"/>
      <c r="E60" s="7"/>
      <c r="F60" s="4"/>
      <c r="G60" s="6"/>
    </row>
    <row r="61" spans="1:7">
      <c r="A61" s="3"/>
      <c r="B61" s="78"/>
      <c r="C61" s="31"/>
      <c r="D61" s="23"/>
      <c r="E61" s="7"/>
      <c r="F61" s="4"/>
      <c r="G61" s="6"/>
    </row>
    <row r="62" spans="1:7" ht="17">
      <c r="A62" s="130" t="s">
        <v>95</v>
      </c>
      <c r="B62"/>
      <c r="E62" s="74"/>
      <c r="F62" s="74"/>
      <c r="G62" s="74"/>
    </row>
    <row r="63" spans="1:7">
      <c r="A63" s="132" t="s">
        <v>96</v>
      </c>
      <c r="B63"/>
    </row>
    <row r="64" spans="1:7">
      <c r="A64" s="132" t="s">
        <v>97</v>
      </c>
      <c r="B64"/>
    </row>
    <row r="66" spans="1:6">
      <c r="A66" s="130" t="s">
        <v>98</v>
      </c>
      <c r="B66"/>
    </row>
    <row r="67" spans="1:6">
      <c r="A67" s="131" t="s">
        <v>99</v>
      </c>
      <c r="B67"/>
    </row>
    <row r="68" spans="1:6">
      <c r="A68" s="132" t="s">
        <v>100</v>
      </c>
      <c r="B68"/>
    </row>
    <row r="69" spans="1:6">
      <c r="A69" s="132" t="s">
        <v>101</v>
      </c>
      <c r="B69"/>
    </row>
    <row r="70" spans="1:6">
      <c r="A70" s="130" t="s">
        <v>102</v>
      </c>
      <c r="B70"/>
    </row>
    <row r="71" spans="1:6">
      <c r="A71" s="132" t="s">
        <v>103</v>
      </c>
      <c r="B71"/>
    </row>
    <row r="72" spans="1:6">
      <c r="A72" s="130" t="s">
        <v>104</v>
      </c>
      <c r="B72"/>
    </row>
    <row r="73" spans="1:6">
      <c r="A73" s="132" t="s">
        <v>105</v>
      </c>
      <c r="B73"/>
    </row>
    <row r="74" spans="1:6">
      <c r="A74" s="132" t="s">
        <v>106</v>
      </c>
      <c r="B74"/>
    </row>
    <row r="75" spans="1:6">
      <c r="A75" s="132" t="s">
        <v>107</v>
      </c>
      <c r="B75"/>
    </row>
    <row r="76" spans="1:6">
      <c r="A76" s="132" t="s">
        <v>108</v>
      </c>
      <c r="B76"/>
    </row>
    <row r="77" spans="1:6">
      <c r="A77" s="131"/>
      <c r="B77"/>
    </row>
    <row r="78" spans="1:6">
      <c r="A78" s="131" t="s">
        <v>109</v>
      </c>
      <c r="B78" s="131"/>
      <c r="C78" s="131"/>
      <c r="D78" s="131"/>
      <c r="E78" s="131"/>
      <c r="F78" s="131"/>
    </row>
    <row r="79" spans="1:6">
      <c r="A79" s="149"/>
      <c r="B79"/>
    </row>
    <row r="80" spans="1:6">
      <c r="A80" s="150" t="s">
        <v>110</v>
      </c>
      <c r="B80"/>
    </row>
    <row r="81" spans="1:6" ht="16" customHeight="1">
      <c r="A81" s="159" t="s">
        <v>111</v>
      </c>
      <c r="B81" s="159"/>
      <c r="C81" s="159"/>
      <c r="D81" s="159"/>
      <c r="E81" s="159"/>
      <c r="F81" s="159"/>
    </row>
    <row r="82" spans="1:6">
      <c r="A82" s="131"/>
      <c r="B82"/>
    </row>
    <row r="83" spans="1:6">
      <c r="A83" s="130" t="s">
        <v>112</v>
      </c>
      <c r="B83"/>
    </row>
    <row r="84" spans="1:6">
      <c r="A84" s="131"/>
      <c r="B84"/>
    </row>
    <row r="85" spans="1:6">
      <c r="A85" s="131" t="s">
        <v>113</v>
      </c>
      <c r="B85" s="131" t="s">
        <v>114</v>
      </c>
    </row>
    <row r="86" spans="1:6">
      <c r="A86" s="131" t="s">
        <v>115</v>
      </c>
      <c r="B86" s="131" t="s">
        <v>116</v>
      </c>
    </row>
    <row r="87" spans="1:6">
      <c r="A87" s="131" t="s">
        <v>117</v>
      </c>
      <c r="B87" s="131" t="s">
        <v>118</v>
      </c>
    </row>
    <row r="88" spans="1:6">
      <c r="A88" s="131" t="s">
        <v>119</v>
      </c>
      <c r="B88" s="131" t="s">
        <v>120</v>
      </c>
    </row>
    <row r="89" spans="1:6">
      <c r="A89" s="131" t="s">
        <v>121</v>
      </c>
      <c r="B89" s="131" t="s">
        <v>122</v>
      </c>
    </row>
    <row r="90" spans="1:6">
      <c r="A90" s="131" t="s">
        <v>123</v>
      </c>
      <c r="B90" s="131" t="s">
        <v>124</v>
      </c>
    </row>
    <row r="91" spans="1:6">
      <c r="A91" s="131" t="s">
        <v>7</v>
      </c>
      <c r="B91" s="131">
        <v>29539311</v>
      </c>
    </row>
    <row r="92" spans="1:6">
      <c r="A92" s="151" t="s">
        <v>125</v>
      </c>
      <c r="B92"/>
    </row>
  </sheetData>
  <mergeCells count="1">
    <mergeCell ref="A81:F81"/>
  </mergeCells>
  <phoneticPr fontId="7" type="noConversion"/>
  <hyperlinks>
    <hyperlink ref="A92" r:id="rId1" display="mailto:sf@sflodge.cl" xr:uid="{F2E06317-FA26-FE40-932C-91E8DCBE551E}"/>
    <hyperlink ref="B4" r:id="rId2" xr:uid="{F6BCC872-0038-DB4B-97A0-888E4CA821D1}"/>
  </hyperlinks>
  <pageMargins left="0.75000000000000011" right="0.75000000000000011" top="1" bottom="1" header="0.5" footer="0.5"/>
  <pageSetup orientation="portrait" horizontalDpi="4294967292" verticalDpi="4294967292" r:id="rId3"/>
  <ignoredErrors>
    <ignoredError sqref="F35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69"/>
    <col min="6" max="8" width="11" style="69"/>
    <col min="9" max="9" width="31" customWidth="1"/>
  </cols>
  <sheetData>
    <row r="1" spans="1:14">
      <c r="A1" s="170"/>
      <c r="B1" s="170"/>
      <c r="C1" s="170"/>
      <c r="D1" s="24"/>
      <c r="E1" s="24" t="s">
        <v>126</v>
      </c>
      <c r="F1" s="39"/>
      <c r="G1" s="39"/>
      <c r="H1" s="39"/>
      <c r="I1" s="24"/>
      <c r="J1" s="22"/>
      <c r="K1" s="22"/>
      <c r="L1" s="22"/>
      <c r="M1" s="22"/>
      <c r="N1" s="22"/>
    </row>
    <row r="2" spans="1:14">
      <c r="A2" s="170"/>
      <c r="B2" s="170"/>
      <c r="C2" s="170"/>
      <c r="D2" s="24"/>
      <c r="E2" s="24"/>
      <c r="F2" s="39"/>
      <c r="G2" s="39"/>
      <c r="H2" s="39"/>
      <c r="I2" s="24"/>
      <c r="J2" s="22"/>
      <c r="K2" s="22"/>
      <c r="L2" s="22"/>
      <c r="M2" s="22"/>
      <c r="N2" s="22"/>
    </row>
    <row r="3" spans="1:14">
      <c r="A3" s="170"/>
      <c r="B3" s="170"/>
      <c r="C3" s="170"/>
      <c r="D3" s="24"/>
      <c r="E3" s="24" t="s">
        <v>127</v>
      </c>
      <c r="F3" s="39"/>
      <c r="G3" s="39"/>
      <c r="H3" s="39"/>
      <c r="I3" s="24"/>
      <c r="J3" s="22"/>
      <c r="K3" s="22"/>
      <c r="L3" s="22"/>
      <c r="M3" s="22"/>
      <c r="N3" s="22"/>
    </row>
    <row r="4" spans="1:14">
      <c r="A4" s="170"/>
      <c r="B4" s="170"/>
      <c r="C4" s="170"/>
      <c r="D4" s="40"/>
      <c r="E4" s="40" t="s">
        <v>128</v>
      </c>
      <c r="F4" s="41"/>
      <c r="G4" s="41"/>
      <c r="H4" s="41"/>
      <c r="I4" s="40"/>
      <c r="J4" s="22"/>
      <c r="K4" s="22"/>
      <c r="L4" s="22"/>
      <c r="M4" s="22"/>
      <c r="N4" s="22"/>
    </row>
    <row r="5" spans="1:14">
      <c r="A5" s="158"/>
      <c r="B5" s="158"/>
      <c r="C5" s="158"/>
      <c r="D5" s="40"/>
      <c r="E5" s="40"/>
      <c r="F5" s="41"/>
      <c r="G5" s="41"/>
      <c r="H5" s="41"/>
      <c r="I5" s="40"/>
      <c r="J5" s="22"/>
      <c r="K5" s="22"/>
      <c r="L5" s="22"/>
      <c r="M5" s="22"/>
      <c r="N5" s="22"/>
    </row>
    <row r="6" spans="1:14">
      <c r="A6" s="28" t="s">
        <v>129</v>
      </c>
      <c r="B6" s="29" t="s">
        <v>130</v>
      </c>
      <c r="C6" s="171" t="s">
        <v>131</v>
      </c>
      <c r="D6" s="172"/>
      <c r="E6" s="173"/>
      <c r="F6" s="29" t="s">
        <v>132</v>
      </c>
      <c r="G6" s="29" t="s">
        <v>133</v>
      </c>
      <c r="H6" s="29" t="s">
        <v>134</v>
      </c>
      <c r="I6" s="29" t="s">
        <v>135</v>
      </c>
      <c r="J6" s="22"/>
      <c r="K6" s="22"/>
      <c r="L6" s="22"/>
      <c r="M6" s="22"/>
      <c r="N6" s="22"/>
    </row>
    <row r="7" spans="1:14">
      <c r="A7" s="49">
        <v>0.375</v>
      </c>
      <c r="B7" s="50">
        <v>0.45833333333333331</v>
      </c>
      <c r="C7" s="161" t="s">
        <v>136</v>
      </c>
      <c r="D7" s="162"/>
      <c r="E7" s="163"/>
      <c r="F7" s="51"/>
      <c r="G7" s="51"/>
      <c r="H7" s="51"/>
      <c r="I7" s="52" t="s">
        <v>137</v>
      </c>
      <c r="J7" s="22"/>
      <c r="K7" s="22"/>
      <c r="L7" s="22"/>
      <c r="M7" s="22"/>
      <c r="N7" s="22"/>
    </row>
    <row r="8" spans="1:14">
      <c r="A8" s="49">
        <v>0.46875</v>
      </c>
      <c r="B8" s="50">
        <v>0.5625</v>
      </c>
      <c r="C8" s="161" t="s">
        <v>136</v>
      </c>
      <c r="D8" s="162"/>
      <c r="E8" s="163"/>
      <c r="F8" s="51"/>
      <c r="G8" s="51"/>
      <c r="H8" s="51"/>
      <c r="I8" s="52" t="s">
        <v>137</v>
      </c>
      <c r="J8" s="22"/>
      <c r="K8" s="22"/>
      <c r="L8" s="22"/>
      <c r="M8" s="22"/>
      <c r="N8" s="22"/>
    </row>
    <row r="9" spans="1:14" ht="17">
      <c r="A9" s="44">
        <v>0.5625</v>
      </c>
      <c r="B9" s="45">
        <v>0.60416666666666663</v>
      </c>
      <c r="C9" s="164" t="s">
        <v>138</v>
      </c>
      <c r="D9" s="165"/>
      <c r="E9" s="166"/>
      <c r="F9" s="46"/>
      <c r="G9" s="46">
        <v>60</v>
      </c>
      <c r="H9" s="47" t="s">
        <v>139</v>
      </c>
      <c r="I9" s="48"/>
      <c r="J9" s="22"/>
      <c r="K9" s="22"/>
      <c r="L9" s="22"/>
      <c r="M9" s="22"/>
      <c r="N9" s="22"/>
    </row>
    <row r="10" spans="1:14">
      <c r="A10" s="49">
        <v>0.625</v>
      </c>
      <c r="B10" s="50">
        <v>0.70833333333333337</v>
      </c>
      <c r="C10" s="161" t="s">
        <v>136</v>
      </c>
      <c r="D10" s="162"/>
      <c r="E10" s="163"/>
      <c r="F10" s="51"/>
      <c r="G10" s="51"/>
      <c r="H10" s="51"/>
      <c r="I10" s="52" t="s">
        <v>137</v>
      </c>
      <c r="J10" s="22"/>
      <c r="K10" s="22"/>
      <c r="L10" s="22"/>
      <c r="M10" s="22"/>
      <c r="N10" s="22"/>
    </row>
    <row r="11" spans="1:14">
      <c r="A11" s="49">
        <v>0.71875</v>
      </c>
      <c r="B11" s="50">
        <v>0.75</v>
      </c>
      <c r="C11" s="161" t="s">
        <v>136</v>
      </c>
      <c r="D11" s="162"/>
      <c r="E11" s="163"/>
      <c r="F11" s="51"/>
      <c r="G11" s="51"/>
      <c r="H11" s="51"/>
      <c r="I11" s="52" t="s">
        <v>137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74" t="s">
        <v>140</v>
      </c>
      <c r="D12" s="175"/>
      <c r="E12" s="176"/>
      <c r="F12" s="43"/>
      <c r="G12" s="43"/>
      <c r="H12" s="42"/>
      <c r="I12" s="27" t="s">
        <v>141</v>
      </c>
      <c r="J12" s="22"/>
      <c r="K12" s="22"/>
      <c r="L12" s="22"/>
      <c r="M12" s="22"/>
      <c r="N12" s="22"/>
    </row>
    <row r="13" spans="1:14" ht="15" customHeight="1">
      <c r="A13" s="55">
        <v>0.83333333333333337</v>
      </c>
      <c r="B13" s="56">
        <v>0.875</v>
      </c>
      <c r="C13" s="177" t="s">
        <v>142</v>
      </c>
      <c r="D13" s="178"/>
      <c r="E13" s="179"/>
      <c r="F13" s="57"/>
      <c r="G13" s="57">
        <v>60</v>
      </c>
      <c r="H13" s="47" t="s">
        <v>139</v>
      </c>
      <c r="I13" s="58"/>
      <c r="J13" s="22"/>
      <c r="K13" s="22"/>
      <c r="L13" s="22"/>
      <c r="M13" s="22"/>
      <c r="N13" s="22"/>
    </row>
    <row r="14" spans="1:14">
      <c r="A14" s="61"/>
      <c r="B14" s="62"/>
      <c r="C14" s="62"/>
      <c r="D14" s="62"/>
      <c r="E14" s="62"/>
      <c r="F14" s="62"/>
      <c r="G14" s="62"/>
      <c r="H14" s="62"/>
      <c r="I14" s="63"/>
      <c r="J14" s="22"/>
      <c r="K14" s="22"/>
      <c r="L14" s="22"/>
      <c r="M14" s="22"/>
      <c r="N14" s="22"/>
    </row>
    <row r="15" spans="1:14">
      <c r="A15" s="28" t="s">
        <v>129</v>
      </c>
      <c r="B15" s="29" t="s">
        <v>130</v>
      </c>
      <c r="C15" s="180" t="s">
        <v>143</v>
      </c>
      <c r="D15" s="172"/>
      <c r="E15" s="173"/>
      <c r="F15" s="29" t="s">
        <v>132</v>
      </c>
      <c r="G15" s="29" t="s">
        <v>133</v>
      </c>
      <c r="H15" s="29" t="s">
        <v>134</v>
      </c>
      <c r="I15" s="29" t="s">
        <v>135</v>
      </c>
      <c r="J15" s="22"/>
      <c r="K15" s="22"/>
      <c r="L15" s="22"/>
      <c r="M15" s="22"/>
      <c r="N15" s="22"/>
    </row>
    <row r="16" spans="1:14">
      <c r="A16" s="44">
        <v>0.33333333333333331</v>
      </c>
      <c r="B16" s="45">
        <v>0.375</v>
      </c>
      <c r="C16" s="181" t="s">
        <v>24</v>
      </c>
      <c r="D16" s="182"/>
      <c r="E16" s="183"/>
      <c r="F16" s="59"/>
      <c r="G16" s="59">
        <v>60</v>
      </c>
      <c r="H16" s="59"/>
      <c r="I16" s="60"/>
      <c r="J16" s="22"/>
      <c r="K16" s="22"/>
      <c r="L16" s="22"/>
      <c r="M16" s="22"/>
      <c r="N16" s="22"/>
    </row>
    <row r="17" spans="1:14">
      <c r="A17" s="49">
        <v>0.375</v>
      </c>
      <c r="B17" s="50">
        <v>0.45833333333333331</v>
      </c>
      <c r="C17" s="161" t="s">
        <v>136</v>
      </c>
      <c r="D17" s="162"/>
      <c r="E17" s="163"/>
      <c r="F17" s="51"/>
      <c r="G17" s="51"/>
      <c r="H17" s="51"/>
      <c r="I17" s="52" t="s">
        <v>137</v>
      </c>
      <c r="J17" s="22"/>
      <c r="K17" s="22"/>
      <c r="L17" s="22"/>
      <c r="M17" s="22"/>
      <c r="N17" s="22"/>
    </row>
    <row r="18" spans="1:14">
      <c r="A18" s="49">
        <v>0.46875</v>
      </c>
      <c r="B18" s="50">
        <v>0.5625</v>
      </c>
      <c r="C18" s="161" t="s">
        <v>136</v>
      </c>
      <c r="D18" s="162"/>
      <c r="E18" s="163"/>
      <c r="F18" s="51"/>
      <c r="G18" s="51"/>
      <c r="H18" s="51"/>
      <c r="I18" s="52" t="s">
        <v>137</v>
      </c>
      <c r="J18" s="22"/>
      <c r="K18" s="22"/>
      <c r="L18" s="22"/>
      <c r="M18" s="22"/>
      <c r="N18" s="22"/>
    </row>
    <row r="19" spans="1:14" ht="17">
      <c r="A19" s="44">
        <v>0.5625</v>
      </c>
      <c r="B19" s="45">
        <v>0.60416666666666663</v>
      </c>
      <c r="C19" s="164" t="s">
        <v>138</v>
      </c>
      <c r="D19" s="165"/>
      <c r="E19" s="166"/>
      <c r="F19" s="46"/>
      <c r="G19" s="46">
        <v>60</v>
      </c>
      <c r="H19" s="47" t="s">
        <v>139</v>
      </c>
      <c r="I19" s="48"/>
      <c r="J19" s="22"/>
      <c r="K19" s="22"/>
      <c r="L19" s="22"/>
      <c r="M19" s="22"/>
      <c r="N19" s="22"/>
    </row>
    <row r="20" spans="1:14">
      <c r="A20" s="49">
        <v>0.625</v>
      </c>
      <c r="B20" s="50">
        <v>0.70833333333333337</v>
      </c>
      <c r="C20" s="161" t="s">
        <v>136</v>
      </c>
      <c r="D20" s="162"/>
      <c r="E20" s="163"/>
      <c r="F20" s="51"/>
      <c r="G20" s="51"/>
      <c r="H20" s="51"/>
      <c r="I20" s="52" t="s">
        <v>137</v>
      </c>
      <c r="J20" s="22"/>
      <c r="K20" s="22"/>
      <c r="L20" s="22"/>
      <c r="M20" s="22"/>
      <c r="N20" s="22"/>
    </row>
    <row r="21" spans="1:14">
      <c r="A21" s="49">
        <v>0.71875</v>
      </c>
      <c r="B21" s="50">
        <v>0.75</v>
      </c>
      <c r="C21" s="161" t="s">
        <v>136</v>
      </c>
      <c r="D21" s="162"/>
      <c r="E21" s="163"/>
      <c r="F21" s="51"/>
      <c r="G21" s="51"/>
      <c r="H21" s="51"/>
      <c r="I21" s="52" t="s">
        <v>137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74" t="s">
        <v>140</v>
      </c>
      <c r="D22" s="175"/>
      <c r="E22" s="176"/>
      <c r="F22" s="43"/>
      <c r="G22" s="43"/>
      <c r="H22" s="42"/>
      <c r="I22" s="27" t="s">
        <v>141</v>
      </c>
      <c r="J22" s="22"/>
      <c r="K22" s="22"/>
      <c r="L22" s="22"/>
      <c r="M22" s="22"/>
      <c r="N22" s="22"/>
    </row>
    <row r="23" spans="1:14" ht="15" customHeight="1">
      <c r="A23" s="55">
        <v>0.83333333333333337</v>
      </c>
      <c r="B23" s="56">
        <v>0.875</v>
      </c>
      <c r="C23" s="177" t="s">
        <v>142</v>
      </c>
      <c r="D23" s="178"/>
      <c r="E23" s="179"/>
      <c r="F23" s="57"/>
      <c r="G23" s="57">
        <v>60</v>
      </c>
      <c r="H23" s="47" t="s">
        <v>139</v>
      </c>
      <c r="I23" s="58"/>
      <c r="J23" s="22"/>
      <c r="K23" s="22"/>
      <c r="L23" s="22"/>
      <c r="M23" s="22"/>
      <c r="N23" s="22"/>
    </row>
    <row r="24" spans="1:14" s="54" customFormat="1" ht="15" customHeight="1">
      <c r="A24" s="64"/>
      <c r="B24" s="64"/>
      <c r="C24" s="65"/>
      <c r="D24" s="65"/>
      <c r="E24" s="65"/>
      <c r="F24" s="66"/>
      <c r="G24" s="66"/>
      <c r="H24" s="67"/>
      <c r="I24" s="68"/>
      <c r="J24" s="53"/>
      <c r="K24" s="53"/>
      <c r="L24" s="53"/>
      <c r="M24" s="53"/>
      <c r="N24" s="53"/>
    </row>
    <row r="25" spans="1:14">
      <c r="A25" s="28" t="s">
        <v>129</v>
      </c>
      <c r="B25" s="29" t="s">
        <v>130</v>
      </c>
      <c r="C25" s="180" t="s">
        <v>144</v>
      </c>
      <c r="D25" s="172"/>
      <c r="E25" s="173"/>
      <c r="F25" s="29" t="s">
        <v>132</v>
      </c>
      <c r="G25" s="29" t="s">
        <v>133</v>
      </c>
      <c r="H25" s="29" t="s">
        <v>134</v>
      </c>
      <c r="I25" s="29" t="s">
        <v>135</v>
      </c>
      <c r="J25" s="22"/>
      <c r="K25" s="22"/>
      <c r="L25" s="22"/>
      <c r="M25" s="22"/>
      <c r="N25" s="22"/>
    </row>
    <row r="26" spans="1:14">
      <c r="A26" s="44">
        <v>0.33333333333333331</v>
      </c>
      <c r="B26" s="45">
        <v>0.375</v>
      </c>
      <c r="C26" s="181" t="s">
        <v>24</v>
      </c>
      <c r="D26" s="182"/>
      <c r="E26" s="183"/>
      <c r="F26" s="59"/>
      <c r="G26" s="59">
        <v>60</v>
      </c>
      <c r="H26" s="59"/>
      <c r="I26" s="60"/>
      <c r="J26" s="22"/>
      <c r="K26" s="22"/>
      <c r="L26" s="22"/>
      <c r="M26" s="22"/>
      <c r="N26" s="22"/>
    </row>
    <row r="27" spans="1:14">
      <c r="A27" s="49">
        <v>0.375</v>
      </c>
      <c r="B27" s="50">
        <v>0.45833333333333331</v>
      </c>
      <c r="C27" s="161" t="s">
        <v>136</v>
      </c>
      <c r="D27" s="162"/>
      <c r="E27" s="163"/>
      <c r="F27" s="51"/>
      <c r="G27" s="51"/>
      <c r="H27" s="51"/>
      <c r="I27" s="52" t="s">
        <v>137</v>
      </c>
      <c r="J27" s="22"/>
      <c r="K27" s="22"/>
      <c r="L27" s="22"/>
      <c r="M27" s="22"/>
      <c r="N27" s="22"/>
    </row>
    <row r="28" spans="1:14">
      <c r="A28" s="49">
        <v>0.46875</v>
      </c>
      <c r="B28" s="50">
        <v>0.5625</v>
      </c>
      <c r="C28" s="161" t="s">
        <v>136</v>
      </c>
      <c r="D28" s="162"/>
      <c r="E28" s="163"/>
      <c r="F28" s="51"/>
      <c r="G28" s="51"/>
      <c r="H28" s="51"/>
      <c r="I28" s="52" t="s">
        <v>137</v>
      </c>
      <c r="J28" s="22"/>
      <c r="K28" s="22"/>
      <c r="L28" s="22"/>
      <c r="M28" s="22"/>
      <c r="N28" s="22"/>
    </row>
    <row r="29" spans="1:14" ht="17">
      <c r="A29" s="44">
        <v>0.5625</v>
      </c>
      <c r="B29" s="45">
        <v>0.60416666666666663</v>
      </c>
      <c r="C29" s="164" t="s">
        <v>138</v>
      </c>
      <c r="D29" s="165"/>
      <c r="E29" s="166"/>
      <c r="F29" s="46"/>
      <c r="G29" s="46">
        <v>60</v>
      </c>
      <c r="H29" s="47" t="s">
        <v>139</v>
      </c>
      <c r="I29" s="48"/>
      <c r="J29" s="22"/>
      <c r="K29" s="22"/>
      <c r="L29" s="22"/>
      <c r="M29" s="22"/>
      <c r="N29" s="22"/>
    </row>
    <row r="30" spans="1:14">
      <c r="A30" s="49">
        <v>0.625</v>
      </c>
      <c r="B30" s="50">
        <v>0.70833333333333337</v>
      </c>
      <c r="C30" s="161" t="s">
        <v>136</v>
      </c>
      <c r="D30" s="162"/>
      <c r="E30" s="163"/>
      <c r="F30" s="51"/>
      <c r="G30" s="51"/>
      <c r="H30" s="51"/>
      <c r="I30" s="52" t="s">
        <v>137</v>
      </c>
      <c r="J30" s="22"/>
      <c r="K30" s="22"/>
      <c r="L30" s="22"/>
      <c r="M30" s="22"/>
      <c r="N30" s="22"/>
    </row>
    <row r="31" spans="1:14">
      <c r="A31" s="49">
        <v>0.71875</v>
      </c>
      <c r="B31" s="50">
        <v>0.75</v>
      </c>
      <c r="C31" s="161" t="s">
        <v>136</v>
      </c>
      <c r="D31" s="162"/>
      <c r="E31" s="163"/>
      <c r="F31" s="51"/>
      <c r="G31" s="51"/>
      <c r="H31" s="51"/>
      <c r="I31" s="52" t="s">
        <v>137</v>
      </c>
      <c r="J31" s="22"/>
      <c r="K31" s="22"/>
      <c r="L31" s="22"/>
      <c r="M31" s="22"/>
      <c r="N31" s="22"/>
    </row>
    <row r="32" spans="1:14" s="54" customFormat="1" ht="15" customHeight="1">
      <c r="A32" s="167"/>
      <c r="B32" s="167"/>
      <c r="C32" s="167"/>
      <c r="D32" s="167"/>
      <c r="E32" s="167"/>
      <c r="F32" s="167"/>
      <c r="G32" s="167"/>
      <c r="H32" s="167"/>
      <c r="I32" s="167"/>
      <c r="J32" s="53"/>
      <c r="K32" s="53"/>
      <c r="L32" s="53"/>
      <c r="M32" s="53"/>
      <c r="N32" s="53"/>
    </row>
    <row r="33" spans="1:14" s="54" customFormat="1" ht="15" customHeight="1">
      <c r="A33" s="168" t="s">
        <v>145</v>
      </c>
      <c r="B33" s="168"/>
      <c r="C33" s="168"/>
      <c r="D33" s="168"/>
      <c r="E33" s="168"/>
      <c r="F33" s="168"/>
      <c r="G33" s="168"/>
      <c r="H33" s="168"/>
      <c r="I33" s="168"/>
      <c r="J33" s="53"/>
      <c r="K33" s="53"/>
      <c r="L33" s="53"/>
      <c r="M33" s="53"/>
      <c r="N33" s="53"/>
    </row>
    <row r="34" spans="1:14" s="54" customFormat="1" ht="15" customHeight="1">
      <c r="A34" s="167"/>
      <c r="B34" s="167"/>
      <c r="C34" s="167"/>
      <c r="D34" s="167"/>
      <c r="E34" s="167"/>
      <c r="F34" s="167"/>
      <c r="G34" s="167"/>
      <c r="H34" s="167"/>
      <c r="I34" s="167"/>
      <c r="J34" s="53"/>
      <c r="K34" s="53"/>
      <c r="L34" s="53"/>
      <c r="M34" s="53"/>
      <c r="N34" s="53"/>
    </row>
    <row r="35" spans="1:14" s="54" customFormat="1" ht="15" customHeight="1">
      <c r="A35" s="167"/>
      <c r="B35" s="167"/>
      <c r="C35" s="167"/>
      <c r="D35" s="167"/>
      <c r="E35" s="167"/>
      <c r="F35" s="167"/>
      <c r="G35" s="167"/>
      <c r="H35" s="167"/>
      <c r="I35" s="167"/>
      <c r="J35" s="53"/>
      <c r="K35" s="53"/>
      <c r="L35" s="53"/>
      <c r="M35" s="53"/>
      <c r="N35" s="53"/>
    </row>
    <row r="36" spans="1:14" s="54" customFormat="1" ht="15" customHeight="1">
      <c r="A36" s="167"/>
      <c r="B36" s="167"/>
      <c r="C36" s="167"/>
      <c r="D36" s="167"/>
      <c r="E36" s="167"/>
      <c r="F36" s="167"/>
      <c r="G36" s="167"/>
      <c r="H36" s="167"/>
      <c r="I36" s="167"/>
      <c r="J36" s="53"/>
      <c r="K36" s="53"/>
      <c r="L36" s="53"/>
      <c r="M36" s="53"/>
      <c r="N36" s="53"/>
    </row>
    <row r="37" spans="1:14" s="54" customFormat="1" ht="15" customHeight="1">
      <c r="A37" s="167"/>
      <c r="B37" s="167"/>
      <c r="C37" s="167"/>
      <c r="D37" s="167"/>
      <c r="E37" s="167"/>
      <c r="F37" s="167"/>
      <c r="G37" s="167"/>
      <c r="H37" s="167"/>
      <c r="I37" s="167"/>
      <c r="J37" s="53"/>
      <c r="K37" s="53"/>
      <c r="L37" s="53"/>
      <c r="M37" s="53"/>
      <c r="N37" s="53"/>
    </row>
    <row r="38" spans="1:14" s="54" customFormat="1" ht="15" customHeight="1">
      <c r="A38" s="167"/>
      <c r="B38" s="167"/>
      <c r="C38" s="167"/>
      <c r="D38" s="167"/>
      <c r="E38" s="167"/>
      <c r="F38" s="167"/>
      <c r="G38" s="167"/>
      <c r="H38" s="167"/>
      <c r="I38" s="167"/>
      <c r="J38" s="53"/>
      <c r="K38" s="53"/>
      <c r="L38" s="53"/>
      <c r="M38" s="53"/>
      <c r="N38" s="53"/>
    </row>
    <row r="39" spans="1:14" s="54" customFormat="1" ht="15" customHeight="1">
      <c r="A39" s="167"/>
      <c r="B39" s="167"/>
      <c r="C39" s="167"/>
      <c r="D39" s="167"/>
      <c r="E39" s="167"/>
      <c r="F39" s="167"/>
      <c r="G39" s="167"/>
      <c r="H39" s="167"/>
      <c r="I39" s="167"/>
      <c r="J39" s="53"/>
      <c r="K39" s="53"/>
      <c r="L39" s="53"/>
      <c r="M39" s="53"/>
      <c r="N39" s="53"/>
    </row>
    <row r="40" spans="1:14" s="54" customFormat="1" ht="15" customHeight="1">
      <c r="A40" s="64"/>
      <c r="B40" s="64"/>
      <c r="C40" s="65"/>
      <c r="D40" s="65"/>
      <c r="E40" s="65"/>
      <c r="F40" s="66"/>
      <c r="G40" s="66"/>
      <c r="H40" s="67"/>
      <c r="I40" s="68"/>
      <c r="J40" s="53"/>
      <c r="K40" s="53"/>
      <c r="L40" s="53"/>
      <c r="M40" s="53"/>
      <c r="N40" s="53"/>
    </row>
    <row r="41" spans="1:14" s="54" customFormat="1" ht="15" customHeight="1">
      <c r="A41" s="64"/>
      <c r="B41" s="64"/>
      <c r="C41" s="65"/>
      <c r="D41" s="65"/>
      <c r="E41" s="65"/>
      <c r="F41" s="66"/>
      <c r="G41" s="66"/>
      <c r="H41" s="67"/>
      <c r="I41" s="68"/>
      <c r="J41" s="53"/>
      <c r="K41" s="53"/>
      <c r="L41" s="53"/>
      <c r="M41" s="53"/>
      <c r="N41" s="53"/>
    </row>
    <row r="42" spans="1:14" s="54" customFormat="1" ht="15" customHeight="1">
      <c r="A42" s="64"/>
      <c r="B42" s="64"/>
      <c r="C42" s="65"/>
      <c r="D42" s="65"/>
      <c r="E42" s="65"/>
      <c r="F42" s="66"/>
      <c r="G42" s="66"/>
      <c r="H42" s="67"/>
      <c r="I42" s="68"/>
      <c r="J42" s="53"/>
      <c r="K42" s="53"/>
      <c r="L42" s="53"/>
      <c r="M42" s="53"/>
      <c r="N42" s="53"/>
    </row>
    <row r="43" spans="1:14">
      <c r="A43" s="158"/>
      <c r="B43" s="158"/>
      <c r="C43" s="22"/>
      <c r="D43" s="158"/>
      <c r="E43" s="22"/>
      <c r="F43" s="158"/>
      <c r="G43" s="158"/>
      <c r="H43" s="158"/>
      <c r="I43" s="22"/>
      <c r="J43" s="22"/>
      <c r="K43" s="22"/>
      <c r="L43" s="22"/>
      <c r="M43" s="22"/>
      <c r="N43" s="22"/>
    </row>
    <row r="44" spans="1:14" ht="24" customHeight="1">
      <c r="A44" s="169" t="s">
        <v>146</v>
      </c>
      <c r="B44" s="169"/>
      <c r="C44" s="169"/>
      <c r="D44" s="169"/>
      <c r="E44" s="169"/>
      <c r="F44" s="169"/>
      <c r="G44" s="169"/>
      <c r="H44" s="158"/>
      <c r="I44" s="30" t="s">
        <v>147</v>
      </c>
      <c r="J44" s="22"/>
      <c r="K44" s="22"/>
      <c r="L44" s="22"/>
      <c r="M44" s="22"/>
      <c r="N44" s="22"/>
    </row>
    <row r="45" spans="1:14">
      <c r="A45" s="170"/>
      <c r="B45" s="170"/>
      <c r="C45" s="170"/>
      <c r="D45" s="170"/>
      <c r="E45" s="170"/>
      <c r="F45" s="170"/>
      <c r="G45" s="170"/>
      <c r="H45" s="158"/>
      <c r="I45" s="22"/>
      <c r="J45" s="22"/>
      <c r="K45" s="22"/>
      <c r="L45" s="22"/>
      <c r="M45" s="22"/>
      <c r="N45" s="22"/>
    </row>
    <row r="46" spans="1:14">
      <c r="A46" s="160" t="s">
        <v>148</v>
      </c>
      <c r="B46" s="160"/>
      <c r="C46" s="160"/>
      <c r="D46" s="160"/>
      <c r="E46" s="160"/>
      <c r="F46" s="160"/>
      <c r="G46" s="160"/>
      <c r="H46" s="158"/>
      <c r="I46" s="22"/>
      <c r="J46" s="22"/>
      <c r="K46" s="22"/>
      <c r="L46" s="22"/>
      <c r="M46" s="22"/>
      <c r="N46" s="22"/>
    </row>
    <row r="47" spans="1:14">
      <c r="A47" s="158"/>
      <c r="B47" s="158"/>
      <c r="C47" s="22"/>
      <c r="D47" s="22"/>
      <c r="E47" s="22"/>
      <c r="F47" s="158"/>
      <c r="G47" s="158"/>
      <c r="H47" s="158"/>
      <c r="I47" s="22"/>
      <c r="J47" s="22"/>
      <c r="K47" s="22"/>
      <c r="L47" s="22"/>
      <c r="M47" s="22"/>
      <c r="N47" s="22"/>
    </row>
    <row r="48" spans="1:14">
      <c r="A48" s="158"/>
      <c r="B48" s="158"/>
      <c r="C48" s="22"/>
      <c r="D48" s="22"/>
      <c r="E48" s="22"/>
      <c r="F48" s="158"/>
      <c r="G48" s="158"/>
      <c r="H48" s="158"/>
      <c r="I48" s="22"/>
      <c r="J48" s="22"/>
      <c r="K48" s="22"/>
      <c r="L48" s="22"/>
      <c r="M48" s="22"/>
      <c r="N48" s="22"/>
    </row>
    <row r="49" spans="1:14">
      <c r="A49" s="158"/>
      <c r="B49" s="158"/>
      <c r="C49" s="22"/>
      <c r="D49" s="22"/>
      <c r="E49" s="22"/>
      <c r="F49" s="158"/>
      <c r="G49" s="158"/>
      <c r="H49" s="158"/>
      <c r="I49" s="22"/>
      <c r="J49" s="22"/>
      <c r="K49" s="22"/>
      <c r="L49" s="22"/>
      <c r="M49" s="22"/>
      <c r="N49" s="22"/>
    </row>
    <row r="50" spans="1:14">
      <c r="A50" s="158"/>
      <c r="B50" s="158"/>
      <c r="C50" s="22"/>
      <c r="D50" s="22"/>
      <c r="E50" s="22"/>
      <c r="F50" s="158"/>
      <c r="G50" s="158"/>
      <c r="H50" s="158"/>
      <c r="I50" s="22"/>
      <c r="J50" s="22"/>
      <c r="K50" s="22"/>
      <c r="L50" s="22"/>
      <c r="M50" s="22"/>
      <c r="N50" s="22"/>
    </row>
    <row r="51" spans="1:14">
      <c r="A51" s="158"/>
      <c r="B51" s="158"/>
      <c r="C51" s="22"/>
      <c r="D51" s="22"/>
      <c r="E51" s="22"/>
      <c r="F51" s="158"/>
      <c r="G51" s="158"/>
      <c r="H51" s="158"/>
      <c r="I51" s="22"/>
      <c r="J51" s="22"/>
      <c r="K51" s="22"/>
      <c r="L51" s="22"/>
      <c r="M51" s="22"/>
      <c r="N51" s="22"/>
    </row>
    <row r="52" spans="1:14">
      <c r="A52" s="158"/>
      <c r="B52" s="158"/>
      <c r="C52" s="22"/>
      <c r="D52" s="22"/>
      <c r="E52" s="22"/>
      <c r="F52" s="158"/>
      <c r="G52" s="158"/>
      <c r="H52" s="158"/>
      <c r="I52" s="22"/>
      <c r="J52" s="22"/>
      <c r="K52" s="22"/>
      <c r="L52" s="22"/>
      <c r="M52" s="22"/>
      <c r="N52" s="22"/>
    </row>
    <row r="53" spans="1:14">
      <c r="A53" s="158"/>
      <c r="B53" s="158"/>
      <c r="C53" s="22"/>
      <c r="D53" s="22"/>
      <c r="E53" s="22"/>
      <c r="F53" s="158"/>
      <c r="G53" s="158"/>
      <c r="H53" s="158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ColWidth="11" defaultRowHeight="16"/>
  <sheetData>
    <row r="1" spans="1:26" ht="115" customHeight="1">
      <c r="E1" s="8" t="s">
        <v>149</v>
      </c>
      <c r="L1" s="19" t="s">
        <v>0</v>
      </c>
    </row>
    <row r="2" spans="1:26">
      <c r="A2" t="s">
        <v>150</v>
      </c>
      <c r="J2" t="s">
        <v>151</v>
      </c>
      <c r="P2" t="s">
        <v>0</v>
      </c>
      <c r="U2" t="s">
        <v>152</v>
      </c>
    </row>
    <row r="3" spans="1:26" ht="57">
      <c r="A3" s="9" t="s">
        <v>153</v>
      </c>
      <c r="B3" s="10" t="s">
        <v>154</v>
      </c>
      <c r="C3" s="10" t="s">
        <v>155</v>
      </c>
      <c r="D3" s="10" t="s">
        <v>156</v>
      </c>
      <c r="E3" s="10" t="s">
        <v>157</v>
      </c>
      <c r="F3" s="10" t="s">
        <v>158</v>
      </c>
      <c r="H3" s="11" t="s">
        <v>159</v>
      </c>
      <c r="I3" s="10" t="s">
        <v>154</v>
      </c>
      <c r="J3" s="10" t="s">
        <v>155</v>
      </c>
      <c r="K3" s="10" t="s">
        <v>160</v>
      </c>
      <c r="L3" s="12"/>
      <c r="M3" s="11" t="s">
        <v>161</v>
      </c>
      <c r="N3" s="10" t="s">
        <v>154</v>
      </c>
      <c r="O3" s="10" t="s">
        <v>155</v>
      </c>
      <c r="P3" s="10" t="s">
        <v>156</v>
      </c>
      <c r="R3" s="13" t="s">
        <v>162</v>
      </c>
      <c r="S3" s="14" t="s">
        <v>163</v>
      </c>
      <c r="T3" s="14" t="s">
        <v>164</v>
      </c>
      <c r="U3" s="14" t="s">
        <v>165</v>
      </c>
      <c r="V3" s="14" t="s">
        <v>166</v>
      </c>
      <c r="W3" s="14" t="s">
        <v>167</v>
      </c>
      <c r="X3" s="14" t="s">
        <v>168</v>
      </c>
      <c r="Y3" s="14" t="s">
        <v>169</v>
      </c>
      <c r="Z3" s="15" t="s">
        <v>22</v>
      </c>
    </row>
    <row r="4" spans="1:26">
      <c r="A4" s="9" t="s">
        <v>170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171</v>
      </c>
      <c r="I4" s="9">
        <v>1</v>
      </c>
      <c r="J4" s="9">
        <v>2</v>
      </c>
      <c r="K4" s="20">
        <v>4</v>
      </c>
      <c r="L4" s="16"/>
      <c r="M4" s="9" t="s">
        <v>171</v>
      </c>
      <c r="N4" s="9">
        <v>1</v>
      </c>
      <c r="O4" s="9">
        <v>2</v>
      </c>
      <c r="P4" s="20">
        <v>3</v>
      </c>
      <c r="R4" s="9">
        <v>41</v>
      </c>
      <c r="S4" s="9" t="s">
        <v>172</v>
      </c>
      <c r="T4" s="9" t="s">
        <v>172</v>
      </c>
      <c r="U4" s="9" t="s">
        <v>173</v>
      </c>
      <c r="V4" s="9" t="s">
        <v>173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174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175</v>
      </c>
      <c r="I5" s="9">
        <v>1</v>
      </c>
      <c r="J5" s="9">
        <v>2</v>
      </c>
      <c r="K5" s="20">
        <v>4</v>
      </c>
      <c r="L5" s="16"/>
      <c r="M5" s="9" t="s">
        <v>175</v>
      </c>
      <c r="N5" s="9">
        <v>1</v>
      </c>
      <c r="O5" s="9">
        <v>2</v>
      </c>
      <c r="P5" s="20">
        <v>3</v>
      </c>
      <c r="R5" s="9">
        <v>42</v>
      </c>
      <c r="S5" s="9" t="s">
        <v>172</v>
      </c>
      <c r="T5" s="9" t="s">
        <v>172</v>
      </c>
      <c r="U5" s="9" t="s">
        <v>173</v>
      </c>
      <c r="V5" s="9" t="s">
        <v>173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176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177</v>
      </c>
      <c r="I6" s="9">
        <v>1</v>
      </c>
      <c r="J6" s="9">
        <v>2</v>
      </c>
      <c r="K6" s="20">
        <v>4</v>
      </c>
      <c r="L6" s="16"/>
      <c r="M6" s="9" t="s">
        <v>177</v>
      </c>
      <c r="N6" s="9">
        <v>1</v>
      </c>
      <c r="O6" s="9">
        <v>2</v>
      </c>
      <c r="P6" s="20">
        <v>3</v>
      </c>
      <c r="R6" s="9">
        <v>43</v>
      </c>
      <c r="S6" s="9" t="s">
        <v>172</v>
      </c>
      <c r="T6" s="9" t="s">
        <v>172</v>
      </c>
      <c r="U6" s="9" t="s">
        <v>173</v>
      </c>
      <c r="V6" s="9" t="s">
        <v>173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178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179</v>
      </c>
      <c r="I7" s="9">
        <v>1</v>
      </c>
      <c r="J7" s="9">
        <v>2</v>
      </c>
      <c r="K7" s="20">
        <v>4</v>
      </c>
      <c r="L7" s="16"/>
      <c r="M7" s="9" t="s">
        <v>179</v>
      </c>
      <c r="N7" s="9">
        <v>1</v>
      </c>
      <c r="O7" s="9">
        <v>2</v>
      </c>
      <c r="P7" s="20">
        <v>3</v>
      </c>
      <c r="R7" s="9">
        <v>44</v>
      </c>
      <c r="S7" s="9" t="s">
        <v>172</v>
      </c>
      <c r="T7" s="9" t="s">
        <v>172</v>
      </c>
      <c r="U7" s="9" t="s">
        <v>173</v>
      </c>
      <c r="V7" s="9" t="s">
        <v>180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181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182</v>
      </c>
      <c r="I8" s="9">
        <v>1</v>
      </c>
      <c r="J8" s="9">
        <v>2</v>
      </c>
      <c r="K8" s="20" t="s">
        <v>0</v>
      </c>
      <c r="L8" s="16"/>
      <c r="M8" s="9" t="s">
        <v>182</v>
      </c>
      <c r="N8" s="9">
        <v>1</v>
      </c>
      <c r="O8" s="9">
        <v>2</v>
      </c>
      <c r="P8" s="20">
        <v>3</v>
      </c>
    </row>
    <row r="9" spans="1:26">
      <c r="A9" s="9" t="s">
        <v>183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184</v>
      </c>
      <c r="I9" s="9">
        <v>1</v>
      </c>
      <c r="J9" s="9">
        <v>2</v>
      </c>
      <c r="K9" s="20" t="s">
        <v>0</v>
      </c>
      <c r="L9" s="16"/>
      <c r="M9" s="9" t="s">
        <v>184</v>
      </c>
      <c r="N9" s="9">
        <v>1</v>
      </c>
      <c r="O9" s="9">
        <v>2</v>
      </c>
      <c r="P9" s="20">
        <v>3</v>
      </c>
      <c r="R9" s="9">
        <v>31</v>
      </c>
      <c r="S9" s="9" t="s">
        <v>172</v>
      </c>
      <c r="T9" s="9" t="s">
        <v>185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186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187</v>
      </c>
      <c r="I10" s="9">
        <v>1</v>
      </c>
      <c r="J10" s="9">
        <v>2</v>
      </c>
      <c r="K10" s="20" t="s">
        <v>0</v>
      </c>
      <c r="L10" s="16"/>
      <c r="M10" s="9" t="s">
        <v>187</v>
      </c>
      <c r="N10" s="9">
        <v>1</v>
      </c>
      <c r="O10" s="9">
        <v>2</v>
      </c>
      <c r="P10" s="20">
        <v>3</v>
      </c>
      <c r="R10" s="9">
        <v>32</v>
      </c>
      <c r="S10" s="9" t="s">
        <v>172</v>
      </c>
      <c r="T10" s="9" t="s">
        <v>172</v>
      </c>
      <c r="U10" s="9" t="s">
        <v>173</v>
      </c>
      <c r="V10" s="9" t="s">
        <v>180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188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189</v>
      </c>
      <c r="I11" s="9">
        <v>1</v>
      </c>
      <c r="J11" s="9">
        <v>2</v>
      </c>
      <c r="K11" s="20" t="s">
        <v>0</v>
      </c>
      <c r="L11" s="16"/>
      <c r="M11" s="9" t="s">
        <v>189</v>
      </c>
      <c r="N11" s="9">
        <v>1</v>
      </c>
      <c r="O11" s="9">
        <v>2</v>
      </c>
      <c r="P11" s="20">
        <v>3</v>
      </c>
      <c r="R11" s="9">
        <v>33</v>
      </c>
      <c r="S11" s="9" t="s">
        <v>172</v>
      </c>
      <c r="T11" s="9" t="s">
        <v>172</v>
      </c>
      <c r="U11" s="9" t="s">
        <v>173</v>
      </c>
      <c r="V11" s="9" t="s">
        <v>180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190</v>
      </c>
      <c r="B12">
        <v>0</v>
      </c>
      <c r="C12">
        <v>2</v>
      </c>
      <c r="D12" t="s">
        <v>0</v>
      </c>
      <c r="H12" s="9" t="s">
        <v>191</v>
      </c>
      <c r="I12" s="9">
        <v>1</v>
      </c>
      <c r="J12" s="9">
        <v>2</v>
      </c>
      <c r="K12" s="20" t="s">
        <v>0</v>
      </c>
      <c r="L12" s="16"/>
      <c r="M12" s="9" t="s">
        <v>191</v>
      </c>
      <c r="N12" s="9">
        <v>1</v>
      </c>
      <c r="O12" s="9">
        <v>2</v>
      </c>
      <c r="P12" s="20">
        <v>3</v>
      </c>
      <c r="R12" s="9">
        <v>34</v>
      </c>
      <c r="S12" s="9" t="s">
        <v>172</v>
      </c>
      <c r="T12" s="9" t="s">
        <v>172</v>
      </c>
      <c r="U12" s="9" t="s">
        <v>173</v>
      </c>
      <c r="V12" s="9" t="s">
        <v>180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192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193</v>
      </c>
      <c r="I13" s="9">
        <v>1</v>
      </c>
      <c r="J13" s="9">
        <v>2</v>
      </c>
      <c r="K13" s="20">
        <v>3</v>
      </c>
      <c r="L13" s="16"/>
      <c r="M13" s="9" t="s">
        <v>193</v>
      </c>
      <c r="N13" s="9">
        <v>1</v>
      </c>
      <c r="O13" s="9">
        <v>2</v>
      </c>
      <c r="P13" s="20">
        <v>3</v>
      </c>
    </row>
    <row r="14" spans="1:26">
      <c r="A14" s="9" t="s">
        <v>194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195</v>
      </c>
      <c r="I14" s="9">
        <v>1</v>
      </c>
      <c r="J14" s="9">
        <v>2</v>
      </c>
      <c r="K14" s="20">
        <v>3</v>
      </c>
      <c r="L14" s="16"/>
      <c r="M14" s="9" t="s">
        <v>195</v>
      </c>
      <c r="N14" s="9">
        <v>1</v>
      </c>
      <c r="O14" s="9">
        <v>2</v>
      </c>
      <c r="P14" s="20">
        <v>3</v>
      </c>
      <c r="R14" s="9">
        <v>21</v>
      </c>
      <c r="S14" s="9" t="s">
        <v>172</v>
      </c>
      <c r="T14" s="9" t="s">
        <v>185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196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197</v>
      </c>
      <c r="I15" s="9">
        <v>1</v>
      </c>
      <c r="J15" s="9">
        <v>2</v>
      </c>
      <c r="K15" s="20" t="s">
        <v>0</v>
      </c>
      <c r="L15" s="16"/>
      <c r="M15" s="9" t="s">
        <v>197</v>
      </c>
      <c r="N15" s="9">
        <v>1</v>
      </c>
      <c r="O15" s="9">
        <v>2</v>
      </c>
      <c r="P15" s="20">
        <v>3</v>
      </c>
      <c r="R15" s="9">
        <v>22</v>
      </c>
      <c r="S15" s="9" t="s">
        <v>172</v>
      </c>
      <c r="T15" s="9" t="s">
        <v>172</v>
      </c>
      <c r="U15" s="9" t="s">
        <v>173</v>
      </c>
      <c r="V15" s="9" t="s">
        <v>180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198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199</v>
      </c>
      <c r="I16" s="18" t="s">
        <v>0</v>
      </c>
      <c r="J16" t="s">
        <v>0</v>
      </c>
      <c r="K16" t="s">
        <v>0</v>
      </c>
      <c r="M16" t="s">
        <v>200</v>
      </c>
      <c r="N16" s="18"/>
      <c r="P16" t="s">
        <v>0</v>
      </c>
      <c r="R16" s="9">
        <v>23</v>
      </c>
      <c r="S16" s="9" t="s">
        <v>172</v>
      </c>
      <c r="T16" s="9" t="s">
        <v>172</v>
      </c>
      <c r="U16" s="9" t="s">
        <v>173</v>
      </c>
      <c r="V16" s="9" t="s">
        <v>180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201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202</v>
      </c>
      <c r="I17" s="9">
        <v>1</v>
      </c>
      <c r="J17" s="9">
        <v>2</v>
      </c>
      <c r="K17" s="20">
        <v>4</v>
      </c>
      <c r="L17" s="16"/>
      <c r="M17" s="9" t="s">
        <v>202</v>
      </c>
      <c r="N17" s="9">
        <v>1</v>
      </c>
      <c r="O17" s="9">
        <v>2</v>
      </c>
      <c r="P17" s="20">
        <v>3</v>
      </c>
      <c r="R17" s="9">
        <v>24</v>
      </c>
      <c r="S17" s="9" t="s">
        <v>172</v>
      </c>
      <c r="T17" s="9" t="s">
        <v>172</v>
      </c>
      <c r="U17" s="9" t="s">
        <v>173</v>
      </c>
      <c r="V17" s="9" t="s">
        <v>180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203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204</v>
      </c>
      <c r="I18" s="9">
        <v>1</v>
      </c>
      <c r="J18" s="9">
        <v>2</v>
      </c>
      <c r="K18" s="20">
        <v>4</v>
      </c>
      <c r="L18" s="16"/>
      <c r="M18" s="9" t="s">
        <v>204</v>
      </c>
      <c r="N18" s="9">
        <v>1</v>
      </c>
      <c r="O18" s="9">
        <v>2</v>
      </c>
      <c r="P18" s="20">
        <v>3</v>
      </c>
    </row>
    <row r="19" spans="1:26">
      <c r="A19" s="9" t="s">
        <v>205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206</v>
      </c>
      <c r="I19" s="9">
        <v>1</v>
      </c>
      <c r="J19" s="9">
        <v>2</v>
      </c>
      <c r="K19" s="20">
        <v>4</v>
      </c>
      <c r="L19" s="16"/>
      <c r="M19" s="9" t="s">
        <v>206</v>
      </c>
      <c r="N19" s="9">
        <v>1</v>
      </c>
      <c r="O19" s="9">
        <v>2</v>
      </c>
      <c r="P19" s="20">
        <v>3</v>
      </c>
      <c r="R19" s="9">
        <v>11</v>
      </c>
      <c r="S19" s="9" t="s">
        <v>172</v>
      </c>
      <c r="T19" s="9" t="s">
        <v>185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207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208</v>
      </c>
      <c r="I20" s="9">
        <v>1</v>
      </c>
      <c r="J20" s="9">
        <v>2</v>
      </c>
      <c r="K20" s="20">
        <v>4</v>
      </c>
      <c r="L20" s="16"/>
      <c r="M20" s="9" t="s">
        <v>208</v>
      </c>
      <c r="N20" s="9">
        <v>1</v>
      </c>
      <c r="O20" s="9">
        <v>2</v>
      </c>
      <c r="P20" s="20">
        <v>3</v>
      </c>
      <c r="R20" s="9">
        <v>12</v>
      </c>
      <c r="S20" s="9" t="s">
        <v>172</v>
      </c>
      <c r="T20" s="9" t="s">
        <v>172</v>
      </c>
      <c r="U20" s="9" t="s">
        <v>173</v>
      </c>
      <c r="V20" s="9" t="s">
        <v>180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209</v>
      </c>
      <c r="B21" t="s">
        <v>0</v>
      </c>
      <c r="C21" t="s">
        <v>0</v>
      </c>
      <c r="D21" t="s">
        <v>0</v>
      </c>
      <c r="H21" s="9" t="s">
        <v>210</v>
      </c>
      <c r="I21" s="9">
        <v>1</v>
      </c>
      <c r="J21" s="9">
        <v>2</v>
      </c>
      <c r="K21" s="20" t="s">
        <v>0</v>
      </c>
      <c r="L21" s="16"/>
      <c r="M21" s="9" t="s">
        <v>210</v>
      </c>
      <c r="N21" s="9">
        <v>1</v>
      </c>
      <c r="O21" s="9">
        <v>2</v>
      </c>
      <c r="P21" s="20">
        <v>3</v>
      </c>
      <c r="R21" s="9">
        <v>13</v>
      </c>
      <c r="S21" s="9" t="s">
        <v>172</v>
      </c>
      <c r="T21" s="9" t="s">
        <v>172</v>
      </c>
      <c r="U21" s="9" t="s">
        <v>173</v>
      </c>
      <c r="V21" s="9" t="s">
        <v>180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211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212</v>
      </c>
      <c r="I22" s="9">
        <v>1</v>
      </c>
      <c r="J22" s="9">
        <v>2</v>
      </c>
      <c r="K22" s="20" t="s">
        <v>0</v>
      </c>
      <c r="L22" s="16"/>
      <c r="M22" s="9" t="s">
        <v>212</v>
      </c>
      <c r="N22" s="9">
        <v>1</v>
      </c>
      <c r="O22" s="9">
        <v>2</v>
      </c>
      <c r="P22" s="20">
        <v>3</v>
      </c>
      <c r="R22" s="9">
        <v>14</v>
      </c>
      <c r="S22" s="9" t="s">
        <v>172</v>
      </c>
      <c r="T22" s="9" t="s">
        <v>172</v>
      </c>
      <c r="U22" s="9" t="s">
        <v>173</v>
      </c>
      <c r="V22" s="9" t="s">
        <v>180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213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214</v>
      </c>
      <c r="I23" s="9">
        <v>1</v>
      </c>
      <c r="J23" s="9">
        <v>2</v>
      </c>
      <c r="K23" s="20" t="s">
        <v>0</v>
      </c>
      <c r="L23" s="16"/>
      <c r="M23" s="9" t="s">
        <v>214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215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216</v>
      </c>
      <c r="I24" s="9">
        <v>1</v>
      </c>
      <c r="J24" s="9">
        <v>2</v>
      </c>
      <c r="K24" s="20" t="s">
        <v>0</v>
      </c>
      <c r="L24" s="16"/>
      <c r="M24" s="9" t="s">
        <v>216</v>
      </c>
      <c r="N24" s="9">
        <v>1</v>
      </c>
      <c r="O24" s="9">
        <v>2</v>
      </c>
      <c r="P24" s="20">
        <v>3</v>
      </c>
    </row>
    <row r="25" spans="1:26">
      <c r="A25" s="9" t="s">
        <v>217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218</v>
      </c>
      <c r="I25" s="9">
        <v>1</v>
      </c>
      <c r="J25" s="9">
        <v>2</v>
      </c>
      <c r="K25" s="20" t="s">
        <v>0</v>
      </c>
      <c r="L25" s="16"/>
      <c r="M25" s="9" t="s">
        <v>218</v>
      </c>
      <c r="N25" s="9">
        <v>1</v>
      </c>
      <c r="O25" s="9">
        <v>2</v>
      </c>
      <c r="P25" s="20">
        <v>3</v>
      </c>
      <c r="T25" t="s">
        <v>0</v>
      </c>
    </row>
    <row r="26" spans="1:26">
      <c r="A26" s="9" t="s">
        <v>219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220</v>
      </c>
      <c r="I26" s="9">
        <v>1</v>
      </c>
      <c r="J26" s="9">
        <v>2</v>
      </c>
      <c r="K26" s="20">
        <v>3</v>
      </c>
      <c r="L26" s="16"/>
      <c r="M26" s="9" t="s">
        <v>220</v>
      </c>
      <c r="N26" s="9">
        <v>1</v>
      </c>
      <c r="O26" s="9">
        <v>2</v>
      </c>
      <c r="P26" s="20">
        <v>3</v>
      </c>
    </row>
    <row r="27" spans="1:26">
      <c r="A27" s="9" t="s">
        <v>221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222</v>
      </c>
      <c r="I27" s="9">
        <v>1</v>
      </c>
      <c r="J27" s="9">
        <v>2</v>
      </c>
      <c r="K27" s="20">
        <v>3</v>
      </c>
      <c r="L27" s="16"/>
      <c r="M27" s="9" t="s">
        <v>222</v>
      </c>
      <c r="N27" s="9">
        <v>1</v>
      </c>
      <c r="O27" s="9">
        <v>2</v>
      </c>
      <c r="P27" s="20">
        <v>3</v>
      </c>
    </row>
    <row r="28" spans="1:26">
      <c r="A28" s="9" t="s">
        <v>223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224</v>
      </c>
      <c r="I28" s="9">
        <v>1</v>
      </c>
      <c r="J28" s="9">
        <v>2</v>
      </c>
      <c r="K28" s="20" t="s">
        <v>0</v>
      </c>
      <c r="L28" s="16"/>
      <c r="M28" s="9" t="s">
        <v>224</v>
      </c>
      <c r="N28" s="9">
        <v>1</v>
      </c>
      <c r="O28" s="9">
        <v>2</v>
      </c>
      <c r="P28" s="20">
        <v>3</v>
      </c>
    </row>
    <row r="29" spans="1:26">
      <c r="A29" s="9" t="s">
        <v>225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ColWidth="11" defaultRowHeight="16"/>
  <cols>
    <col min="1" max="1" width="121.1640625" customWidth="1"/>
  </cols>
  <sheetData>
    <row r="1" spans="1:1" ht="17" thickBot="1"/>
    <row r="2" spans="1:1" ht="18">
      <c r="A2" s="87" t="s">
        <v>226</v>
      </c>
    </row>
    <row r="3" spans="1:1" ht="28" customHeight="1" thickBot="1">
      <c r="A3" s="88" t="s">
        <v>227</v>
      </c>
    </row>
    <row r="4" spans="1:1" ht="18">
      <c r="A4" s="89" t="s">
        <v>228</v>
      </c>
    </row>
    <row r="5" spans="1:1" ht="41" customHeight="1">
      <c r="A5" s="90" t="s">
        <v>229</v>
      </c>
    </row>
    <row r="6" spans="1:1" ht="33" customHeight="1" thickBot="1">
      <c r="A6" s="88" t="s">
        <v>230</v>
      </c>
    </row>
    <row r="7" spans="1:1" ht="29" customHeight="1" thickBot="1">
      <c r="A7" s="9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Rodriguez</dc:creator>
  <cp:keywords/>
  <dc:description/>
  <cp:lastModifiedBy>carmen@sf.cl</cp:lastModifiedBy>
  <cp:revision/>
  <dcterms:created xsi:type="dcterms:W3CDTF">2014-07-29T17:30:41Z</dcterms:created>
  <dcterms:modified xsi:type="dcterms:W3CDTF">2020-11-25T19:36:52Z</dcterms:modified>
  <cp:category/>
  <cp:contentStatus/>
</cp:coreProperties>
</file>