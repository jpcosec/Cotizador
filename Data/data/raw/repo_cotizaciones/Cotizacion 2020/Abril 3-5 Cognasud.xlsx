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B4133422-B6FD-174F-81D4-0DFE7F1DA5E1}" xr6:coauthVersionLast="36" xr6:coauthVersionMax="36" xr10:uidLastSave="{00000000-0000-0000-0000-000000000000}"/>
  <bookViews>
    <workbookView xWindow="2880" yWindow="460" windowWidth="25600" windowHeight="162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2" i="1" l="1"/>
  <c r="C63" i="1"/>
  <c r="F29" i="1"/>
  <c r="B64" i="1"/>
  <c r="C64" i="1" s="1"/>
  <c r="B63" i="1"/>
  <c r="B62" i="1"/>
  <c r="F50" i="1" l="1"/>
  <c r="F48" i="1"/>
  <c r="F49" i="1"/>
  <c r="F22" i="1"/>
  <c r="E33" i="1" l="1"/>
  <c r="E21" i="1"/>
  <c r="F33" i="1" l="1"/>
  <c r="F46" i="1"/>
  <c r="F51" i="1" s="1"/>
  <c r="F40" i="1"/>
  <c r="F32" i="1" l="1"/>
  <c r="F31" i="1"/>
  <c r="E9" i="1" l="1"/>
  <c r="E20" i="1" l="1"/>
  <c r="F20" i="1" s="1"/>
  <c r="F18" i="1"/>
  <c r="F14" i="1"/>
  <c r="F39" i="1"/>
  <c r="F41" i="1"/>
  <c r="F38" i="1"/>
  <c r="F10" i="1"/>
  <c r="F13" i="1"/>
  <c r="F15" i="1"/>
  <c r="F21" i="1"/>
  <c r="F28" i="1"/>
  <c r="F17" i="1"/>
  <c r="F19" i="1"/>
  <c r="F9" i="1"/>
  <c r="F54" i="1"/>
  <c r="F55" i="1"/>
  <c r="F56" i="1"/>
  <c r="F53" i="1"/>
  <c r="F30" i="5"/>
  <c r="E30" i="5"/>
  <c r="D30" i="5"/>
  <c r="C30" i="5"/>
  <c r="B30" i="5"/>
  <c r="P29" i="5"/>
  <c r="O29" i="5"/>
  <c r="N29" i="5"/>
  <c r="K29" i="5"/>
  <c r="J29" i="5"/>
  <c r="I29" i="5"/>
  <c r="Z23" i="5"/>
  <c r="F34" i="1" l="1"/>
  <c r="F42" i="1"/>
  <c r="F57" i="1" l="1"/>
  <c r="F58" i="1" s="1"/>
  <c r="F59" i="1" s="1"/>
</calcChain>
</file>

<file path=xl/sharedStrings.xml><?xml version="1.0" encoding="utf-8"?>
<sst xmlns="http://schemas.openxmlformats.org/spreadsheetml/2006/main" count="448" uniqueCount="244">
  <si>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</si>
  <si>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</si>
  <si>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</si>
  <si>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</si>
  <si>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</si>
  <si>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</si>
  <si>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</si>
  <si>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</si>
  <si>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</si>
  <si>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</si>
  <si>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</si>
  <si>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</si>
  <si>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</si>
  <si>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</si>
  <si>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</si>
  <si>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</si>
  <si>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</si>
  <si>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</si>
  <si>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</si>
  <si>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</si>
  <si>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</si>
  <si>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</si>
  <si>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</si>
  <si>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</si>
  <si>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</si>
  <si>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</si>
  <si>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</si>
  <si>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</si>
  <si>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</si>
  <si>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</si>
  <si>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</si>
  <si>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</si>
  <si>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</si>
  <si>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</si>
  <si>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</si>
  <si>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</si>
  <si>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</si>
  <si>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</si>
  <si>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</si>
  <si>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</si>
  <si>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</si>
  <si>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</si>
  <si>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</si>
  <si>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</si>
  <si>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</si>
  <si>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</si>
  <si>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</si>
  <si>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</si>
  <si>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</si>
  <si>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</si>
  <si>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</si>
  <si>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</si>
  <si>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</si>
  <si>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</si>
  <si>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</si>
  <si>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</si>
  <si>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</si>
  <si>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</si>
  <si>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</si>
  <si>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</si>
  <si>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</si>
  <si>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</si>
  <si>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</si>
  <si>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</si>
  <si>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</si>
  <si>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</si>
  <si>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</si>
  <si>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</si>
  <si>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</si>
  <si>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</si>
  <si>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</si>
  <si>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</si>
  <si>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</si>
  <si>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</si>
  <si>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</si>
  <si>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</si>
  <si>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</si>
  <si>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</si>
  <si>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</si>
  <si>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</si>
  <si>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</si>
  <si>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</si>
  <si>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</si>
  <si>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</si>
  <si>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</si>
  <si>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</si>
  <si>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</si>
  <si>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</si>
  <si>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</si>
  <si>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</si>
  <si>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</si>
  <si>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</si>
  <si>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</si>
  <si>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</si>
  <si>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</si>
  <si>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</si>
  <si>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</si>
  <si>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</si>
  <si>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</si>
  <si>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</si>
  <si>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</si>
  <si>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</si>
  <si>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</si>
  <si>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</si>
  <si>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</si>
  <si>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</si>
  <si>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</si>
  <si>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</si>
  <si>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</si>
  <si>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</si>
  <si>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</si>
  <si>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</si>
  <si>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</si>
  <si>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</si>
  <si>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</si>
  <si>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</si>
  <si>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</si>
  <si>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</si>
  <si>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</si>
  <si>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</si>
  <si>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</si>
  <si>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</si>
  <si>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</si>
  <si>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</si>
  <si>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</si>
  <si>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</si>
  <si>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</si>
  <si>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</si>
  <si>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</si>
  <si>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</si>
  <si>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</si>
  <si>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</si>
  <si>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</si>
  <si>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</si>
  <si>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</si>
  <si>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</si>
  <si>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</si>
  <si>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</si>
  <si>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</si>
  <si>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</si>
  <si>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</si>
  <si>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</si>
  <si>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</si>
  <si>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</si>
  <si>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</si>
  <si>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</si>
  <si>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</si>
  <si>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</si>
  <si>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</si>
  <si>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</si>
  <si>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</si>
  <si>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</si>
  <si>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</si>
  <si>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</si>
  <si>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</si>
  <si>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</si>
  <si>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</si>
  <si>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</si>
  <si>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</si>
  <si>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</si>
  <si>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</si>
  <si>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</si>
  <si>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</si>
  <si>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</si>
  <si>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</si>
  <si>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</si>
  <si>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</si>
  <si>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</si>
  <si>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</si>
  <si>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</si>
  <si>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</si>
  <si>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</si>
  <si>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</si>
  <si>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</si>
  <si>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</si>
  <si>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</si>
  <si>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</si>
  <si>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</si>
  <si>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</si>
  <si>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</si>
  <si>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Almuerzos Buffet Parrilla, bajo 30 pax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</si>
  <si>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</si>
  <si>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</si>
  <si>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</si>
  <si>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</si>
  <si>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</si>
  <si>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</si>
  <si>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</si>
  <si>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</si>
  <si>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</si>
  <si>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</si>
  <si>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</si>
  <si>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</si>
  <si>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</si>
  <si>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</si>
  <si>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</si>
  <si>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</si>
  <si>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</si>
  <si>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</si>
  <si>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</si>
  <si>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</si>
  <si>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</si>
  <si>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</si>
  <si>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</si>
  <si>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</si>
  <si>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</si>
  <si>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</si>
  <si>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</si>
  <si>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</si>
  <si>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</si>
  <si>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</si>
  <si>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3 tiempos, con maridaje de vino servido a la mesa hasta 150 pasajeros.</t>
  </si>
  <si>
    <t>Habitación triple hotel con 2 desayunos</t>
  </si>
  <si>
    <t>Habitación triple hotel</t>
  </si>
  <si>
    <t xml:space="preserve">Salones </t>
  </si>
  <si>
    <t>Salon chinook, hasta 300 pasajeros</t>
  </si>
  <si>
    <t>Salon Coho, hasta 180 pasajeros</t>
  </si>
  <si>
    <t>Salon Fario, hasta 110 pasajeros</t>
  </si>
  <si>
    <t>Quincho 150 pasajeros</t>
  </si>
  <si>
    <t>Domo 300 pasajeros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</si>
  <si>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</si>
  <si>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</si>
  <si>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</si>
  <si>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</si>
  <si>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</si>
  <si>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</si>
  <si>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</si>
  <si>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</si>
  <si>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</si>
  <si>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</si>
  <si>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</si>
  <si>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 xml:space="preserve">Almuerzo o cena Gourmet 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</si>
  <si>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</si>
  <si>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</si>
  <si>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</si>
  <si>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</si>
  <si>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Valor 3 dias 2 noches habitacion  Single</t>
  </si>
  <si>
    <t xml:space="preserve">Valor 3 dias 2 noches habitacion Doble </t>
  </si>
  <si>
    <t>Valor 3 dias 2 noches habitacion  Triple</t>
  </si>
  <si>
    <t>Incluye, 3 almuerzos, 2 cenas, 2 desayunos, 2 noches de alojamiento, uso de salon</t>
  </si>
  <si>
    <t>Patricia Lopez</t>
  </si>
  <si>
    <t>Cognasud</t>
  </si>
  <si>
    <t>3-5 de abril</t>
  </si>
  <si>
    <t>Valor con descuento en base a 16 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</si>
</sst>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59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9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4" fontId="0" fillId="0" borderId="0" xfId="0" applyNumberFormat="1"/>
    <xf numFmtId="0" fontId="2" fillId="0" borderId="0" xfId="0" applyFont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right"/>
    </xf>
    <xf numFmtId="164" fontId="0" fillId="12" borderId="1" xfId="0" applyNumberFormat="1" applyFill="1" applyBorder="1"/>
    <xf numFmtId="0" fontId="0" fillId="12" borderId="1" xfId="0" applyFill="1" applyBorder="1"/>
    <xf numFmtId="0" fontId="6" fillId="12" borderId="1" xfId="0" applyFont="1" applyFill="1" applyBorder="1"/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colors>
    <mruColors>
      <color rgb="FFFFF593"/>
      <color rgb="FFEE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98"/>
  <sheetViews>
    <sheetView tabSelected="1" topLeftCell="A47" zoomScale="109" zoomScaleNormal="109" zoomScalePageLayoutView="109" workbookViewId="0">
      <selection activeCell="A62" sqref="A62"/>
    </sheetView>
  </sheetViews>
  <sheetFormatPr baseColWidth="10" defaultRowHeight="16"/>
  <cols>
    <col min="1" max="1" width="33.8320312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175</v>
      </c>
    </row>
    <row r="2" spans="1:7">
      <c r="G2" s="146" t="s">
        <v>143</v>
      </c>
    </row>
    <row r="3" spans="1:7">
      <c r="A3" s="70" t="s">
        <v>117</v>
      </c>
      <c r="B3" s="125" t="s">
        <v>240</v>
      </c>
      <c r="D3" t="s">
        <v>3</v>
      </c>
      <c r="E3" s="34" t="s">
        <v>241</v>
      </c>
      <c r="G3" s="86" t="s">
        <v>144</v>
      </c>
    </row>
    <row r="4" spans="1:7">
      <c r="A4" t="s">
        <v>118</v>
      </c>
      <c r="B4" s="125"/>
      <c r="C4" s="74"/>
      <c r="D4" t="s">
        <v>5</v>
      </c>
      <c r="G4" s="87" t="s">
        <v>145</v>
      </c>
    </row>
    <row r="5" spans="1:7">
      <c r="A5" t="s">
        <v>119</v>
      </c>
      <c r="B5" s="125" t="s">
        <v>242</v>
      </c>
      <c r="D5" t="s">
        <v>4</v>
      </c>
      <c r="E5" s="34" t="s">
        <v>2</v>
      </c>
      <c r="G5" s="87" t="s">
        <v>146</v>
      </c>
    </row>
    <row r="6" spans="1:7">
      <c r="A6" s="72" t="s">
        <v>121</v>
      </c>
      <c r="B6" s="126" t="s">
        <v>192</v>
      </c>
      <c r="C6" s="71"/>
      <c r="D6" s="71" t="s">
        <v>120</v>
      </c>
      <c r="E6" s="72" t="s">
        <v>193</v>
      </c>
      <c r="G6" s="87" t="s">
        <v>147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209</v>
      </c>
      <c r="B8" s="109" t="s">
        <v>127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5.75" customHeight="1">
      <c r="A9" s="106" t="s">
        <v>8</v>
      </c>
      <c r="B9" s="107"/>
      <c r="C9" s="95">
        <v>0</v>
      </c>
      <c r="D9" s="95">
        <v>0</v>
      </c>
      <c r="E9" s="131">
        <f>12500/1.19</f>
        <v>10504.20168067227</v>
      </c>
      <c r="F9" s="94">
        <f>D9*E9</f>
        <v>0</v>
      </c>
      <c r="G9" s="93" t="s">
        <v>165</v>
      </c>
    </row>
    <row r="10" spans="1:7">
      <c r="A10" s="104" t="s">
        <v>168</v>
      </c>
      <c r="B10" s="105"/>
      <c r="C10" s="95">
        <v>0</v>
      </c>
      <c r="D10" s="95">
        <v>0</v>
      </c>
      <c r="E10" s="103">
        <v>3850</v>
      </c>
      <c r="F10" s="94">
        <f>D10*E10</f>
        <v>0</v>
      </c>
      <c r="G10" s="101" t="s">
        <v>125</v>
      </c>
    </row>
    <row r="11" spans="1:7">
      <c r="A11" s="140" t="s">
        <v>102</v>
      </c>
      <c r="B11" s="141"/>
      <c r="C11" s="142">
        <v>0</v>
      </c>
      <c r="D11" s="142">
        <v>0</v>
      </c>
      <c r="E11" s="143">
        <v>4800</v>
      </c>
      <c r="F11" s="144">
        <v>0</v>
      </c>
      <c r="G11" s="145" t="s">
        <v>169</v>
      </c>
    </row>
    <row r="12" spans="1:7">
      <c r="A12" s="140" t="s">
        <v>103</v>
      </c>
      <c r="B12" s="141"/>
      <c r="C12" s="142">
        <v>0</v>
      </c>
      <c r="D12" s="142">
        <v>0</v>
      </c>
      <c r="E12" s="143">
        <v>5500</v>
      </c>
      <c r="F12" s="144">
        <v>0</v>
      </c>
      <c r="G12" s="145" t="s">
        <v>126</v>
      </c>
    </row>
    <row r="13" spans="1:7" ht="16.5" customHeight="1">
      <c r="A13" s="101" t="s">
        <v>104</v>
      </c>
      <c r="B13" s="102" t="s">
        <v>129</v>
      </c>
      <c r="C13" s="142">
        <v>0</v>
      </c>
      <c r="D13" s="142">
        <v>0</v>
      </c>
      <c r="E13" s="94">
        <v>15000</v>
      </c>
      <c r="F13" s="94">
        <f>D13*E13</f>
        <v>0</v>
      </c>
      <c r="G13" s="93" t="s">
        <v>101</v>
      </c>
    </row>
    <row r="14" spans="1:7" ht="16.5" customHeight="1">
      <c r="A14" s="101" t="s">
        <v>180</v>
      </c>
      <c r="B14" s="102" t="s">
        <v>129</v>
      </c>
      <c r="C14" s="142">
        <v>0</v>
      </c>
      <c r="D14" s="142">
        <v>0</v>
      </c>
      <c r="E14" s="94">
        <v>25000</v>
      </c>
      <c r="F14" s="94">
        <f t="shared" ref="F14" si="0">D14*E14</f>
        <v>0</v>
      </c>
      <c r="G14" s="93" t="s">
        <v>101</v>
      </c>
    </row>
    <row r="15" spans="1:7" ht="16.5" customHeight="1">
      <c r="A15" s="127" t="s">
        <v>178</v>
      </c>
      <c r="B15" s="128" t="s">
        <v>2</v>
      </c>
      <c r="C15" s="142">
        <v>0</v>
      </c>
      <c r="D15" s="142">
        <v>0</v>
      </c>
      <c r="E15" s="129">
        <v>15000</v>
      </c>
      <c r="F15" s="94">
        <f>D15*E15</f>
        <v>0</v>
      </c>
      <c r="G15" s="130" t="s">
        <v>177</v>
      </c>
    </row>
    <row r="16" spans="1:7" ht="16.5" customHeight="1">
      <c r="A16" s="127" t="s">
        <v>231</v>
      </c>
      <c r="B16" s="128"/>
      <c r="C16" s="142">
        <v>0</v>
      </c>
      <c r="D16" s="142">
        <v>0</v>
      </c>
      <c r="E16" s="129">
        <v>45000</v>
      </c>
      <c r="F16" s="94">
        <v>0</v>
      </c>
      <c r="G16" s="130" t="s">
        <v>211</v>
      </c>
    </row>
    <row r="17" spans="1:7">
      <c r="A17" s="101" t="s">
        <v>105</v>
      </c>
      <c r="B17" s="102" t="s">
        <v>130</v>
      </c>
      <c r="C17" s="142">
        <v>0</v>
      </c>
      <c r="D17" s="142">
        <v>0</v>
      </c>
      <c r="E17" s="103">
        <v>15000</v>
      </c>
      <c r="F17" s="94">
        <f>D17*E17</f>
        <v>0</v>
      </c>
      <c r="G17" s="93" t="s">
        <v>166</v>
      </c>
    </row>
    <row r="18" spans="1:7">
      <c r="A18" s="101" t="s">
        <v>181</v>
      </c>
      <c r="B18" s="102" t="s">
        <v>129</v>
      </c>
      <c r="C18" s="142">
        <v>0</v>
      </c>
      <c r="D18" s="142">
        <v>0</v>
      </c>
      <c r="E18" s="94">
        <v>25000</v>
      </c>
      <c r="F18" s="94">
        <f>D18*E18</f>
        <v>0</v>
      </c>
      <c r="G18" s="93" t="s">
        <v>101</v>
      </c>
    </row>
    <row r="19" spans="1:7" ht="17">
      <c r="A19" s="127" t="s">
        <v>179</v>
      </c>
      <c r="B19" s="128" t="s">
        <v>2</v>
      </c>
      <c r="C19" s="142">
        <v>0</v>
      </c>
      <c r="D19" s="142">
        <v>0</v>
      </c>
      <c r="E19" s="129">
        <v>15000</v>
      </c>
      <c r="F19" s="94">
        <f>D19*E19</f>
        <v>0</v>
      </c>
      <c r="G19" s="130" t="s">
        <v>177</v>
      </c>
    </row>
    <row r="20" spans="1:7">
      <c r="A20" s="101" t="s">
        <v>167</v>
      </c>
      <c r="B20" s="102"/>
      <c r="C20" s="142">
        <v>0</v>
      </c>
      <c r="D20" s="142">
        <v>0</v>
      </c>
      <c r="E20" s="94">
        <f>1800/1.19</f>
        <v>1512.6050420168067</v>
      </c>
      <c r="F20" s="94">
        <f>D20*E20</f>
        <v>0</v>
      </c>
      <c r="G20" s="93" t="s">
        <v>189</v>
      </c>
    </row>
    <row r="21" spans="1:7">
      <c r="A21" s="101" t="s">
        <v>210</v>
      </c>
      <c r="B21" s="102"/>
      <c r="C21" s="142">
        <v>0</v>
      </c>
      <c r="D21" s="142">
        <v>0</v>
      </c>
      <c r="E21" s="94">
        <f>12500/1.19</f>
        <v>10504.20168067227</v>
      </c>
      <c r="F21" s="94">
        <f>D21*E21</f>
        <v>0</v>
      </c>
      <c r="G21" s="93" t="s">
        <v>189</v>
      </c>
    </row>
    <row r="22" spans="1:7" ht="17">
      <c r="A22" s="101" t="s">
        <v>195</v>
      </c>
      <c r="B22" s="148"/>
      <c r="C22" s="142">
        <v>0</v>
      </c>
      <c r="D22" s="142">
        <v>0</v>
      </c>
      <c r="E22" s="149">
        <v>8500</v>
      </c>
      <c r="F22" s="94">
        <f t="shared" ref="F22" si="1">D22*E22</f>
        <v>0</v>
      </c>
      <c r="G22" s="150" t="s">
        <v>196</v>
      </c>
    </row>
    <row r="23" spans="1:7" ht="34">
      <c r="A23" s="155" t="s">
        <v>232</v>
      </c>
      <c r="B23" s="148"/>
      <c r="C23" s="142">
        <v>0</v>
      </c>
      <c r="D23" s="142">
        <v>0</v>
      </c>
      <c r="E23" s="149">
        <v>13500</v>
      </c>
      <c r="F23" s="144">
        <v>0</v>
      </c>
      <c r="G23" s="156" t="s">
        <v>233</v>
      </c>
    </row>
    <row r="24" spans="1:7" ht="34">
      <c r="A24" s="155" t="s">
        <v>234</v>
      </c>
      <c r="B24" s="148"/>
      <c r="C24" s="142">
        <v>0</v>
      </c>
      <c r="D24" s="142">
        <v>0</v>
      </c>
      <c r="E24" s="149">
        <v>15000</v>
      </c>
      <c r="F24" s="144">
        <v>0</v>
      </c>
      <c r="G24" s="156" t="s">
        <v>235</v>
      </c>
    </row>
    <row r="25" spans="1:7">
      <c r="A25" s="136" t="s">
        <v>220</v>
      </c>
      <c r="B25" s="137"/>
      <c r="C25" s="43">
        <v>0</v>
      </c>
      <c r="D25" s="43">
        <v>0</v>
      </c>
      <c r="E25" s="138">
        <v>3850</v>
      </c>
      <c r="F25" s="138">
        <v>0</v>
      </c>
      <c r="G25" s="139" t="s">
        <v>190</v>
      </c>
    </row>
    <row r="26" spans="1:7">
      <c r="A26" s="136" t="s">
        <v>221</v>
      </c>
      <c r="B26" s="137"/>
      <c r="C26" s="43">
        <v>0</v>
      </c>
      <c r="D26" s="43">
        <v>0</v>
      </c>
      <c r="E26" s="138">
        <v>24000</v>
      </c>
      <c r="F26" s="138">
        <v>0</v>
      </c>
      <c r="G26" s="27" t="s">
        <v>191</v>
      </c>
    </row>
    <row r="27" spans="1:7">
      <c r="A27" s="101" t="s">
        <v>222</v>
      </c>
      <c r="B27" s="102"/>
      <c r="C27" s="43">
        <v>0</v>
      </c>
      <c r="D27" s="43">
        <v>0</v>
      </c>
      <c r="E27" s="94">
        <v>7000</v>
      </c>
      <c r="F27" s="138">
        <v>0</v>
      </c>
      <c r="G27" s="93" t="s">
        <v>194</v>
      </c>
    </row>
    <row r="28" spans="1:7">
      <c r="A28" s="104" t="s">
        <v>168</v>
      </c>
      <c r="B28" s="105"/>
      <c r="C28" s="95">
        <v>0</v>
      </c>
      <c r="D28" s="95">
        <v>0</v>
      </c>
      <c r="E28" s="103">
        <v>3850</v>
      </c>
      <c r="F28" s="94">
        <f t="shared" ref="F28" si="2">D28*E28</f>
        <v>0</v>
      </c>
      <c r="G28" s="101" t="s">
        <v>125</v>
      </c>
    </row>
    <row r="29" spans="1:7" ht="17" thickBot="1">
      <c r="F29" s="182">
        <f>SUM(F9:F28)</f>
        <v>0</v>
      </c>
    </row>
    <row r="30" spans="1:7" ht="15.75" customHeight="1">
      <c r="A30" s="108" t="s">
        <v>209</v>
      </c>
      <c r="B30" s="109" t="s">
        <v>127</v>
      </c>
      <c r="C30" s="110" t="s">
        <v>106</v>
      </c>
      <c r="D30" s="110" t="s">
        <v>6</v>
      </c>
      <c r="E30" s="110" t="s">
        <v>0</v>
      </c>
      <c r="F30" s="110" t="s">
        <v>1</v>
      </c>
      <c r="G30" s="111" t="s">
        <v>7</v>
      </c>
    </row>
    <row r="31" spans="1:7" ht="16.5" customHeight="1">
      <c r="A31" s="122" t="s">
        <v>172</v>
      </c>
      <c r="B31" s="123"/>
      <c r="C31" s="95">
        <v>0</v>
      </c>
      <c r="D31" s="95">
        <v>0</v>
      </c>
      <c r="E31" s="124">
        <v>99000</v>
      </c>
      <c r="F31" s="94">
        <f>C31*E31</f>
        <v>0</v>
      </c>
      <c r="G31" s="122" t="s">
        <v>173</v>
      </c>
    </row>
    <row r="32" spans="1:7" ht="16.5" customHeight="1">
      <c r="A32" s="122" t="s">
        <v>124</v>
      </c>
      <c r="B32" s="123"/>
      <c r="C32" s="95">
        <v>0</v>
      </c>
      <c r="D32" s="95">
        <v>0</v>
      </c>
      <c r="E32" s="124">
        <v>118000</v>
      </c>
      <c r="F32" s="94">
        <f>C32*E32</f>
        <v>0</v>
      </c>
      <c r="G32" s="122" t="s">
        <v>174</v>
      </c>
    </row>
    <row r="33" spans="1:7" ht="16.5" customHeight="1">
      <c r="A33" s="122" t="s">
        <v>213</v>
      </c>
      <c r="B33" s="123"/>
      <c r="C33" s="95">
        <v>0</v>
      </c>
      <c r="D33" s="95">
        <v>0</v>
      </c>
      <c r="E33" s="124">
        <f>118000+39500</f>
        <v>157500</v>
      </c>
      <c r="F33" s="94">
        <f>C33*E33</f>
        <v>0</v>
      </c>
      <c r="G33" s="122" t="s">
        <v>212</v>
      </c>
    </row>
    <row r="34" spans="1:7" ht="16.5" customHeight="1" thickBot="1">
      <c r="A34" s="2" t="s">
        <v>86</v>
      </c>
      <c r="B34" s="78"/>
      <c r="C34" s="33"/>
      <c r="D34" s="23"/>
      <c r="E34" s="7"/>
      <c r="F34" s="5">
        <f>SUM(F9:F32)</f>
        <v>0</v>
      </c>
      <c r="G34" s="32" t="s">
        <v>2</v>
      </c>
    </row>
    <row r="35" spans="1:7" ht="16.5" customHeight="1">
      <c r="A35" s="108" t="s">
        <v>214</v>
      </c>
      <c r="B35" s="109"/>
      <c r="C35" s="110" t="s">
        <v>106</v>
      </c>
      <c r="D35" s="110" t="s">
        <v>6</v>
      </c>
      <c r="E35" s="110" t="s">
        <v>0</v>
      </c>
      <c r="F35" s="110" t="s">
        <v>1</v>
      </c>
      <c r="G35" s="111" t="s">
        <v>7</v>
      </c>
    </row>
    <row r="36" spans="1:7">
      <c r="A36" s="106" t="s">
        <v>215</v>
      </c>
      <c r="B36" s="107"/>
      <c r="C36" s="95">
        <v>0</v>
      </c>
      <c r="D36" s="95">
        <v>0</v>
      </c>
      <c r="E36" s="131">
        <v>300000</v>
      </c>
      <c r="F36" s="94">
        <v>0</v>
      </c>
      <c r="G36" s="93" t="s">
        <v>170</v>
      </c>
    </row>
    <row r="37" spans="1:7">
      <c r="A37" s="9" t="s">
        <v>216</v>
      </c>
      <c r="B37" s="154"/>
      <c r="C37" s="9"/>
      <c r="D37" s="9"/>
      <c r="E37" s="9">
        <v>250000</v>
      </c>
      <c r="F37" s="9">
        <v>0</v>
      </c>
      <c r="G37" s="93" t="s">
        <v>170</v>
      </c>
    </row>
    <row r="38" spans="1:7">
      <c r="A38" s="9" t="s">
        <v>217</v>
      </c>
      <c r="B38" s="105"/>
      <c r="C38" s="95">
        <v>0</v>
      </c>
      <c r="D38" s="95">
        <v>0</v>
      </c>
      <c r="E38" s="103">
        <v>220000</v>
      </c>
      <c r="F38" s="132">
        <f>D38*E38</f>
        <v>0</v>
      </c>
      <c r="G38" s="93" t="s">
        <v>170</v>
      </c>
    </row>
    <row r="39" spans="1:7">
      <c r="A39" s="101" t="s">
        <v>128</v>
      </c>
      <c r="B39" s="102"/>
      <c r="C39" s="95">
        <v>0</v>
      </c>
      <c r="D39" s="95">
        <v>0</v>
      </c>
      <c r="E39" s="103">
        <v>180000</v>
      </c>
      <c r="F39" s="94">
        <f>C39*E39</f>
        <v>0</v>
      </c>
      <c r="G39" s="93" t="s">
        <v>170</v>
      </c>
    </row>
    <row r="40" spans="1:7" s="16" customFormat="1" ht="16.5" customHeight="1">
      <c r="A40" s="101" t="s">
        <v>218</v>
      </c>
      <c r="B40" s="102"/>
      <c r="C40" s="95">
        <v>0</v>
      </c>
      <c r="D40" s="95">
        <v>0</v>
      </c>
      <c r="E40" s="94">
        <v>300000</v>
      </c>
      <c r="F40" s="94">
        <f>D40*E40</f>
        <v>0</v>
      </c>
      <c r="G40" s="93" t="s">
        <v>170</v>
      </c>
    </row>
    <row r="41" spans="1:7" s="16" customFormat="1" ht="16.5" customHeight="1">
      <c r="A41" s="127" t="s">
        <v>219</v>
      </c>
      <c r="B41" s="128" t="s">
        <v>2</v>
      </c>
      <c r="C41" s="95">
        <v>0</v>
      </c>
      <c r="D41" s="95">
        <v>0</v>
      </c>
      <c r="E41" s="94">
        <v>300000</v>
      </c>
      <c r="F41" s="132">
        <f t="shared" ref="F41" si="3">D41*E41</f>
        <v>0</v>
      </c>
      <c r="G41" s="93" t="s">
        <v>170</v>
      </c>
    </row>
    <row r="42" spans="1:7" ht="17" thickBot="1">
      <c r="A42" s="116"/>
      <c r="B42" s="117"/>
      <c r="C42" s="118"/>
      <c r="D42" s="118"/>
      <c r="E42" s="119" t="s">
        <v>2</v>
      </c>
      <c r="F42" s="120">
        <f>SUM(F38:F41)</f>
        <v>0</v>
      </c>
      <c r="G42" s="121"/>
    </row>
    <row r="43" spans="1:7">
      <c r="A43" s="108" t="s">
        <v>223</v>
      </c>
      <c r="B43" s="109"/>
      <c r="C43" s="110" t="s">
        <v>106</v>
      </c>
      <c r="D43" s="110" t="s">
        <v>6</v>
      </c>
      <c r="E43" s="110" t="s">
        <v>0</v>
      </c>
      <c r="F43" s="110" t="s">
        <v>1</v>
      </c>
      <c r="G43" s="111" t="s">
        <v>7</v>
      </c>
    </row>
    <row r="44" spans="1:7">
      <c r="A44" s="101" t="s">
        <v>224</v>
      </c>
      <c r="B44" s="102"/>
      <c r="C44" s="95">
        <v>1</v>
      </c>
      <c r="D44" s="95">
        <v>0</v>
      </c>
      <c r="E44" s="94">
        <v>200000</v>
      </c>
      <c r="F44" s="94">
        <v>0</v>
      </c>
      <c r="G44" s="147"/>
    </row>
    <row r="45" spans="1:7">
      <c r="A45" s="101" t="s">
        <v>225</v>
      </c>
      <c r="B45" s="154"/>
      <c r="C45" s="9"/>
      <c r="D45" s="9"/>
      <c r="E45" s="94">
        <v>150000</v>
      </c>
      <c r="F45" s="94">
        <v>0</v>
      </c>
      <c r="G45" s="93" t="s">
        <v>2</v>
      </c>
    </row>
    <row r="46" spans="1:7">
      <c r="A46" s="101" t="s">
        <v>226</v>
      </c>
      <c r="B46" s="102"/>
      <c r="C46" s="95">
        <v>0</v>
      </c>
      <c r="D46" s="95">
        <v>0</v>
      </c>
      <c r="E46" s="94">
        <v>650000</v>
      </c>
      <c r="F46" s="94">
        <f>C46*E46</f>
        <v>0</v>
      </c>
      <c r="G46" s="147"/>
    </row>
    <row r="47" spans="1:7">
      <c r="A47" s="101" t="s">
        <v>227</v>
      </c>
      <c r="B47" s="102"/>
      <c r="C47" s="95">
        <v>1</v>
      </c>
      <c r="D47" s="95">
        <v>0</v>
      </c>
      <c r="E47" s="94">
        <v>450000</v>
      </c>
      <c r="F47" s="94">
        <v>0</v>
      </c>
      <c r="G47" s="147" t="s">
        <v>2</v>
      </c>
    </row>
    <row r="48" spans="1:7">
      <c r="A48" s="101" t="s">
        <v>228</v>
      </c>
      <c r="B48" s="102"/>
      <c r="C48" s="95">
        <v>0</v>
      </c>
      <c r="D48" s="95">
        <v>0</v>
      </c>
      <c r="E48" s="94">
        <v>450000</v>
      </c>
      <c r="F48" s="94">
        <f>D48*E48</f>
        <v>0</v>
      </c>
      <c r="G48" s="93" t="s">
        <v>2</v>
      </c>
    </row>
    <row r="49" spans="1:7" ht="17">
      <c r="A49" s="127" t="s">
        <v>229</v>
      </c>
      <c r="B49" s="128" t="s">
        <v>2</v>
      </c>
      <c r="C49" s="95">
        <v>0</v>
      </c>
      <c r="D49" s="95">
        <v>0</v>
      </c>
      <c r="E49" s="94">
        <v>580000</v>
      </c>
      <c r="F49" s="132">
        <f t="shared" ref="F49" si="4">D49*E49</f>
        <v>0</v>
      </c>
      <c r="G49" s="93" t="s">
        <v>2</v>
      </c>
    </row>
    <row r="50" spans="1:7" ht="17">
      <c r="A50" s="127" t="s">
        <v>230</v>
      </c>
      <c r="B50" s="128" t="s">
        <v>2</v>
      </c>
      <c r="C50" s="95">
        <v>0</v>
      </c>
      <c r="D50" s="95">
        <v>0</v>
      </c>
      <c r="E50" s="94">
        <v>150000</v>
      </c>
      <c r="F50" s="132">
        <f t="shared" ref="F50" si="5">D50*E50</f>
        <v>0</v>
      </c>
      <c r="G50" s="93" t="s">
        <v>2</v>
      </c>
    </row>
    <row r="51" spans="1:7">
      <c r="A51" s="116"/>
      <c r="B51" s="117"/>
      <c r="C51" s="118"/>
      <c r="D51" s="118"/>
      <c r="E51" s="119" t="s">
        <v>2</v>
      </c>
      <c r="F51" s="120">
        <f>SUM(F44:F50)</f>
        <v>0</v>
      </c>
      <c r="G51" s="121"/>
    </row>
    <row r="52" spans="1:7">
      <c r="A52" s="112" t="s">
        <v>162</v>
      </c>
      <c r="B52" s="113" t="s">
        <v>176</v>
      </c>
      <c r="C52" s="114"/>
      <c r="D52" s="114"/>
      <c r="E52" s="115"/>
      <c r="F52" s="115" t="s">
        <v>2</v>
      </c>
      <c r="G52" s="112" t="s">
        <v>163</v>
      </c>
    </row>
    <row r="53" spans="1:7">
      <c r="A53" s="96" t="s">
        <v>158</v>
      </c>
      <c r="B53" s="97" t="s">
        <v>2</v>
      </c>
      <c r="C53" s="98">
        <v>0</v>
      </c>
      <c r="D53" s="98">
        <v>0</v>
      </c>
      <c r="E53" s="99">
        <v>0</v>
      </c>
      <c r="F53" s="99">
        <f t="shared" ref="F53:F56" si="6">C53*D53*E53</f>
        <v>0</v>
      </c>
      <c r="G53" s="100" t="s">
        <v>160</v>
      </c>
    </row>
    <row r="54" spans="1:7">
      <c r="A54" s="96" t="s">
        <v>154</v>
      </c>
      <c r="B54" s="97" t="s">
        <v>2</v>
      </c>
      <c r="C54" s="98">
        <v>0</v>
      </c>
      <c r="D54" s="98">
        <v>0</v>
      </c>
      <c r="E54" s="99">
        <v>0</v>
      </c>
      <c r="F54" s="99">
        <f t="shared" si="6"/>
        <v>0</v>
      </c>
      <c r="G54" s="100" t="s">
        <v>161</v>
      </c>
    </row>
    <row r="55" spans="1:7" ht="16.5" customHeight="1">
      <c r="A55" s="96" t="s">
        <v>155</v>
      </c>
      <c r="B55" s="97" t="s">
        <v>2</v>
      </c>
      <c r="C55" s="98">
        <v>0</v>
      </c>
      <c r="D55" s="98">
        <v>0</v>
      </c>
      <c r="E55" s="99">
        <v>0</v>
      </c>
      <c r="F55" s="99">
        <f t="shared" si="6"/>
        <v>0</v>
      </c>
      <c r="G55" s="100" t="s">
        <v>159</v>
      </c>
    </row>
    <row r="56" spans="1:7" ht="17" thickBot="1">
      <c r="A56" s="96" t="s">
        <v>156</v>
      </c>
      <c r="B56" s="97" t="s">
        <v>2</v>
      </c>
      <c r="C56" s="98">
        <v>0</v>
      </c>
      <c r="D56" s="98">
        <v>0</v>
      </c>
      <c r="E56" s="99">
        <v>0</v>
      </c>
      <c r="F56" s="99">
        <f t="shared" si="6"/>
        <v>0</v>
      </c>
      <c r="G56" s="96" t="s">
        <v>157</v>
      </c>
    </row>
    <row r="57" spans="1:7" ht="17" thickBot="1">
      <c r="A57" s="36" t="s">
        <v>164</v>
      </c>
      <c r="B57" s="80"/>
      <c r="C57" s="37"/>
      <c r="D57" s="37"/>
      <c r="E57" s="38"/>
      <c r="F57" s="39">
        <f>F34+F42</f>
        <v>0</v>
      </c>
      <c r="G57" s="6" t="s">
        <v>122</v>
      </c>
    </row>
    <row r="58" spans="1:7">
      <c r="A58" s="3" t="s">
        <v>123</v>
      </c>
      <c r="B58" s="79"/>
      <c r="C58" s="31"/>
      <c r="D58" s="23"/>
      <c r="E58" s="7"/>
      <c r="F58" s="5">
        <f>F57*1.19-F57</f>
        <v>0</v>
      </c>
      <c r="G58" s="6"/>
    </row>
    <row r="59" spans="1:7">
      <c r="A59" s="81" t="s">
        <v>171</v>
      </c>
      <c r="B59" s="82"/>
      <c r="C59" s="83"/>
      <c r="D59" s="83"/>
      <c r="E59" s="84"/>
      <c r="F59" s="85">
        <f>F57+F58</f>
        <v>0</v>
      </c>
      <c r="G59" s="6"/>
    </row>
    <row r="60" spans="1:7">
      <c r="A60" s="3"/>
      <c r="B60" s="79"/>
      <c r="C60" s="31"/>
      <c r="D60" s="31"/>
      <c r="E60" s="4"/>
      <c r="F60" s="4"/>
      <c r="G60" s="6"/>
    </row>
    <row r="61" spans="1:7">
      <c r="A61" s="183" t="s">
        <v>243</v>
      </c>
      <c r="B61" s="79"/>
      <c r="D61" s="23"/>
      <c r="E61" s="7"/>
      <c r="F61" s="4"/>
      <c r="G61" s="6"/>
    </row>
    <row r="62" spans="1:7">
      <c r="A62" s="184" t="s">
        <v>236</v>
      </c>
      <c r="B62" s="185">
        <f>(E13+E17+E31)*2+E13+180000/16</f>
        <v>284250</v>
      </c>
      <c r="C62" s="186">
        <f>B62*0.8</f>
        <v>227400</v>
      </c>
      <c r="D62" s="184" t="s">
        <v>239</v>
      </c>
      <c r="E62" s="187"/>
      <c r="F62" s="185"/>
      <c r="G62" s="188"/>
    </row>
    <row r="63" spans="1:7">
      <c r="A63" s="184" t="s">
        <v>237</v>
      </c>
      <c r="B63" s="185">
        <f>(E13+E17+E32/2)*2+E13+180000/16</f>
        <v>204250</v>
      </c>
      <c r="C63" s="186">
        <f>B63*0.8</f>
        <v>163400</v>
      </c>
      <c r="D63" s="184" t="s">
        <v>239</v>
      </c>
      <c r="E63" s="185"/>
      <c r="F63" s="185"/>
      <c r="G63" s="188"/>
    </row>
    <row r="64" spans="1:7">
      <c r="A64" s="184" t="s">
        <v>238</v>
      </c>
      <c r="B64" s="185">
        <f>(E13+E17+E33/3)*2+E13+180000/16</f>
        <v>191250</v>
      </c>
      <c r="C64" s="186">
        <f t="shared" ref="C63:C64" si="7">B64*0.8</f>
        <v>153000</v>
      </c>
      <c r="D64" s="184" t="s">
        <v>239</v>
      </c>
      <c r="E64" s="185"/>
      <c r="F64" s="185"/>
      <c r="G64" s="188"/>
    </row>
    <row r="65" spans="1:7">
      <c r="A65" s="3"/>
      <c r="B65" s="79"/>
      <c r="C65" s="31"/>
      <c r="D65" s="23"/>
      <c r="E65" s="7"/>
      <c r="F65" s="4"/>
      <c r="G65" s="6"/>
    </row>
    <row r="66" spans="1:7">
      <c r="A66" s="3"/>
      <c r="B66" s="79"/>
      <c r="C66" s="31"/>
      <c r="D66" s="23"/>
      <c r="E66" s="7"/>
      <c r="F66" s="4"/>
      <c r="G66" s="6"/>
    </row>
    <row r="67" spans="1:7">
      <c r="A67" s="3"/>
      <c r="B67" s="79"/>
      <c r="C67" s="31"/>
      <c r="D67" s="23"/>
      <c r="E67" s="7"/>
      <c r="F67" s="4"/>
      <c r="G67" s="6"/>
    </row>
    <row r="68" spans="1:7" ht="17">
      <c r="A68" s="133" t="s">
        <v>131</v>
      </c>
      <c r="B68"/>
      <c r="E68" s="75"/>
      <c r="F68" s="75"/>
      <c r="G68" s="75"/>
    </row>
    <row r="69" spans="1:7">
      <c r="A69" s="135" t="s">
        <v>187</v>
      </c>
      <c r="B69"/>
    </row>
    <row r="70" spans="1:7">
      <c r="A70" s="135" t="s">
        <v>188</v>
      </c>
      <c r="B70"/>
    </row>
    <row r="72" spans="1:7">
      <c r="A72" s="133" t="s">
        <v>197</v>
      </c>
      <c r="B72"/>
    </row>
    <row r="73" spans="1:7">
      <c r="A73" s="134" t="s">
        <v>198</v>
      </c>
      <c r="B73"/>
    </row>
    <row r="74" spans="1:7">
      <c r="A74" s="135" t="s">
        <v>183</v>
      </c>
      <c r="B74"/>
    </row>
    <row r="75" spans="1:7">
      <c r="A75" s="135" t="s">
        <v>184</v>
      </c>
      <c r="B75"/>
    </row>
    <row r="76" spans="1:7">
      <c r="A76" s="133" t="s">
        <v>182</v>
      </c>
      <c r="B76"/>
    </row>
    <row r="77" spans="1:7">
      <c r="A77" s="135" t="s">
        <v>199</v>
      </c>
      <c r="B77"/>
    </row>
    <row r="78" spans="1:7">
      <c r="A78" s="133" t="s">
        <v>185</v>
      </c>
      <c r="B78"/>
    </row>
    <row r="79" spans="1:7">
      <c r="A79" s="135" t="s">
        <v>200</v>
      </c>
      <c r="B79"/>
    </row>
    <row r="80" spans="1:7">
      <c r="A80" s="135" t="s">
        <v>201</v>
      </c>
      <c r="B80"/>
    </row>
    <row r="81" spans="1:6">
      <c r="A81" s="135" t="s">
        <v>202</v>
      </c>
      <c r="B81"/>
    </row>
    <row r="82" spans="1:6">
      <c r="A82" s="135" t="s">
        <v>203</v>
      </c>
      <c r="B82"/>
    </row>
    <row r="83" spans="1:6">
      <c r="A83" s="134"/>
      <c r="B83"/>
    </row>
    <row r="84" spans="1:6">
      <c r="A84" s="134" t="s">
        <v>204</v>
      </c>
      <c r="B84" s="134"/>
      <c r="C84" s="134"/>
      <c r="D84" s="134"/>
      <c r="E84" s="134"/>
      <c r="F84" s="134"/>
    </row>
    <row r="85" spans="1:6">
      <c r="A85" s="151"/>
      <c r="B85"/>
    </row>
    <row r="86" spans="1:6">
      <c r="A86" s="152" t="s">
        <v>205</v>
      </c>
      <c r="B86"/>
    </row>
    <row r="87" spans="1:6" ht="16" customHeight="1">
      <c r="A87" s="157" t="s">
        <v>206</v>
      </c>
      <c r="B87" s="157"/>
      <c r="C87" s="157"/>
      <c r="D87" s="157"/>
      <c r="E87" s="157"/>
      <c r="F87" s="157"/>
    </row>
    <row r="88" spans="1:6">
      <c r="A88" s="134"/>
      <c r="B88"/>
    </row>
    <row r="89" spans="1:6">
      <c r="A89" s="133" t="s">
        <v>186</v>
      </c>
      <c r="B89"/>
    </row>
    <row r="90" spans="1:6">
      <c r="A90" s="134"/>
      <c r="B90"/>
    </row>
    <row r="91" spans="1:6">
      <c r="A91" s="134" t="s">
        <v>132</v>
      </c>
      <c r="B91" s="134" t="s">
        <v>133</v>
      </c>
    </row>
    <row r="92" spans="1:6">
      <c r="A92" s="134" t="s">
        <v>134</v>
      </c>
      <c r="B92"/>
      <c r="D92" s="134" t="s">
        <v>135</v>
      </c>
    </row>
    <row r="93" spans="1:6">
      <c r="A93" s="134" t="s">
        <v>136</v>
      </c>
      <c r="B93" s="134" t="s">
        <v>207</v>
      </c>
    </row>
    <row r="94" spans="1:6">
      <c r="A94" s="134" t="s">
        <v>137</v>
      </c>
      <c r="B94"/>
      <c r="D94" s="134" t="s">
        <v>138</v>
      </c>
    </row>
    <row r="95" spans="1:6">
      <c r="A95" s="134" t="s">
        <v>139</v>
      </c>
      <c r="B95"/>
      <c r="D95" s="134" t="s">
        <v>140</v>
      </c>
    </row>
    <row r="96" spans="1:6">
      <c r="A96" s="134" t="s">
        <v>141</v>
      </c>
      <c r="B96"/>
      <c r="C96" s="134" t="s">
        <v>142</v>
      </c>
    </row>
    <row r="97" spans="1:4">
      <c r="A97" s="134" t="s">
        <v>5</v>
      </c>
      <c r="B97"/>
      <c r="D97" s="134">
        <v>29539311</v>
      </c>
    </row>
    <row r="98" spans="1:4">
      <c r="A98" s="153" t="s">
        <v>208</v>
      </c>
      <c r="B98"/>
    </row>
  </sheetData>
  <mergeCells count="1">
    <mergeCell ref="A87:F87"/>
  </mergeCells>
  <phoneticPr fontId="7" type="noConversion"/>
  <hyperlinks>
    <hyperlink ref="A98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39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68"/>
      <c r="B1" s="168"/>
      <c r="C1" s="168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68"/>
      <c r="B2" s="168"/>
      <c r="C2" s="168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68"/>
      <c r="B3" s="168"/>
      <c r="C3" s="168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68"/>
      <c r="B4" s="168"/>
      <c r="C4" s="168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69" t="s">
        <v>109</v>
      </c>
      <c r="D6" s="170"/>
      <c r="E6" s="171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9" t="s">
        <v>110</v>
      </c>
      <c r="D7" s="160"/>
      <c r="E7" s="161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9" t="s">
        <v>110</v>
      </c>
      <c r="D8" s="160"/>
      <c r="E8" s="161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2" t="s">
        <v>96</v>
      </c>
      <c r="D9" s="163"/>
      <c r="E9" s="164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9" t="s">
        <v>110</v>
      </c>
      <c r="D10" s="160"/>
      <c r="E10" s="161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9" t="s">
        <v>110</v>
      </c>
      <c r="D11" s="160"/>
      <c r="E11" s="161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2" t="s">
        <v>97</v>
      </c>
      <c r="D12" s="173"/>
      <c r="E12" s="174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5" t="s">
        <v>108</v>
      </c>
      <c r="D13" s="176"/>
      <c r="E13" s="177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8" t="s">
        <v>112</v>
      </c>
      <c r="D15" s="170"/>
      <c r="E15" s="171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9" t="s">
        <v>94</v>
      </c>
      <c r="D16" s="180"/>
      <c r="E16" s="181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9" t="s">
        <v>110</v>
      </c>
      <c r="D17" s="160"/>
      <c r="E17" s="161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9" t="s">
        <v>110</v>
      </c>
      <c r="D18" s="160"/>
      <c r="E18" s="161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2" t="s">
        <v>96</v>
      </c>
      <c r="D19" s="163"/>
      <c r="E19" s="164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9" t="s">
        <v>110</v>
      </c>
      <c r="D20" s="160"/>
      <c r="E20" s="161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9" t="s">
        <v>110</v>
      </c>
      <c r="D21" s="160"/>
      <c r="E21" s="161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2" t="s">
        <v>97</v>
      </c>
      <c r="D22" s="173"/>
      <c r="E22" s="174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5" t="s">
        <v>108</v>
      </c>
      <c r="D23" s="176"/>
      <c r="E23" s="177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8" t="s">
        <v>113</v>
      </c>
      <c r="D25" s="170"/>
      <c r="E25" s="171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9" t="s">
        <v>94</v>
      </c>
      <c r="D26" s="180"/>
      <c r="E26" s="181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9" t="s">
        <v>110</v>
      </c>
      <c r="D27" s="160"/>
      <c r="E27" s="161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9" t="s">
        <v>110</v>
      </c>
      <c r="D28" s="160"/>
      <c r="E28" s="161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2" t="s">
        <v>96</v>
      </c>
      <c r="D29" s="163"/>
      <c r="E29" s="164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9" t="s">
        <v>110</v>
      </c>
      <c r="D30" s="160"/>
      <c r="E30" s="161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9" t="s">
        <v>110</v>
      </c>
      <c r="D31" s="160"/>
      <c r="E31" s="161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65"/>
      <c r="B32" s="165"/>
      <c r="C32" s="165"/>
      <c r="D32" s="165"/>
      <c r="E32" s="165"/>
      <c r="F32" s="165"/>
      <c r="G32" s="165"/>
      <c r="H32" s="165"/>
      <c r="I32" s="165"/>
      <c r="J32" s="54"/>
      <c r="K32" s="54"/>
      <c r="L32" s="54"/>
      <c r="M32" s="54"/>
      <c r="N32" s="54"/>
    </row>
    <row r="33" spans="1:14" s="55" customFormat="1" ht="15" customHeight="1">
      <c r="A33" s="166" t="s">
        <v>114</v>
      </c>
      <c r="B33" s="166"/>
      <c r="C33" s="166"/>
      <c r="D33" s="166"/>
      <c r="E33" s="166"/>
      <c r="F33" s="166"/>
      <c r="G33" s="166"/>
      <c r="H33" s="166"/>
      <c r="I33" s="166"/>
      <c r="J33" s="54"/>
      <c r="K33" s="54"/>
      <c r="L33" s="54"/>
      <c r="M33" s="54"/>
      <c r="N33" s="54"/>
    </row>
    <row r="34" spans="1:14" s="55" customFormat="1" ht="15" customHeight="1">
      <c r="A34" s="165"/>
      <c r="B34" s="165"/>
      <c r="C34" s="165"/>
      <c r="D34" s="165"/>
      <c r="E34" s="165"/>
      <c r="F34" s="165"/>
      <c r="G34" s="165"/>
      <c r="H34" s="165"/>
      <c r="I34" s="165"/>
      <c r="J34" s="54"/>
      <c r="K34" s="54"/>
      <c r="L34" s="54"/>
      <c r="M34" s="54"/>
      <c r="N34" s="54"/>
    </row>
    <row r="35" spans="1:14" s="55" customFormat="1" ht="15" customHeight="1">
      <c r="A35" s="165"/>
      <c r="B35" s="165"/>
      <c r="C35" s="165"/>
      <c r="D35" s="165"/>
      <c r="E35" s="165"/>
      <c r="F35" s="165"/>
      <c r="G35" s="165"/>
      <c r="H35" s="165"/>
      <c r="I35" s="165"/>
      <c r="J35" s="54"/>
      <c r="K35" s="54"/>
      <c r="L35" s="54"/>
      <c r="M35" s="54"/>
      <c r="N35" s="54"/>
    </row>
    <row r="36" spans="1:14" s="55" customFormat="1" ht="15" customHeight="1">
      <c r="A36" s="165"/>
      <c r="B36" s="165"/>
      <c r="C36" s="165"/>
      <c r="D36" s="165"/>
      <c r="E36" s="165"/>
      <c r="F36" s="165"/>
      <c r="G36" s="165"/>
      <c r="H36" s="165"/>
      <c r="I36" s="165"/>
      <c r="J36" s="54"/>
      <c r="K36" s="54"/>
      <c r="L36" s="54"/>
      <c r="M36" s="54"/>
      <c r="N36" s="54"/>
    </row>
    <row r="37" spans="1:14" s="55" customFormat="1" ht="15" customHeight="1">
      <c r="A37" s="165"/>
      <c r="B37" s="165"/>
      <c r="C37" s="165"/>
      <c r="D37" s="165"/>
      <c r="E37" s="165"/>
      <c r="F37" s="165"/>
      <c r="G37" s="165"/>
      <c r="H37" s="165"/>
      <c r="I37" s="165"/>
      <c r="J37" s="54"/>
      <c r="K37" s="54"/>
      <c r="L37" s="54"/>
      <c r="M37" s="54"/>
      <c r="N37" s="54"/>
    </row>
    <row r="38" spans="1:14" s="55" customFormat="1" ht="15" customHeight="1">
      <c r="A38" s="165"/>
      <c r="B38" s="165"/>
      <c r="C38" s="165"/>
      <c r="D38" s="165"/>
      <c r="E38" s="165"/>
      <c r="F38" s="165"/>
      <c r="G38" s="165"/>
      <c r="H38" s="165"/>
      <c r="I38" s="165"/>
      <c r="J38" s="54"/>
      <c r="K38" s="54"/>
      <c r="L38" s="54"/>
      <c r="M38" s="54"/>
      <c r="N38" s="54"/>
    </row>
    <row r="39" spans="1:14" s="55" customFormat="1" ht="15" customHeight="1">
      <c r="A39" s="165"/>
      <c r="B39" s="165"/>
      <c r="C39" s="165"/>
      <c r="D39" s="165"/>
      <c r="E39" s="165"/>
      <c r="F39" s="165"/>
      <c r="G39" s="165"/>
      <c r="H39" s="165"/>
      <c r="I39" s="165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67" t="s">
        <v>98</v>
      </c>
      <c r="B44" s="167"/>
      <c r="C44" s="167"/>
      <c r="D44" s="167"/>
      <c r="E44" s="167"/>
      <c r="F44" s="167"/>
      <c r="G44" s="167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68"/>
      <c r="B45" s="168"/>
      <c r="C45" s="168"/>
      <c r="D45" s="168"/>
      <c r="E45" s="168"/>
      <c r="F45" s="168"/>
      <c r="G45" s="168"/>
      <c r="H45" s="35"/>
      <c r="I45" s="22"/>
      <c r="J45" s="22"/>
      <c r="K45" s="22"/>
      <c r="L45" s="22"/>
      <c r="M45" s="22"/>
      <c r="N45" s="22"/>
    </row>
    <row r="46" spans="1:14">
      <c r="A46" s="158" t="s">
        <v>100</v>
      </c>
      <c r="B46" s="158"/>
      <c r="C46" s="158"/>
      <c r="D46" s="158"/>
      <c r="E46" s="158"/>
      <c r="F46" s="158"/>
      <c r="G46" s="158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148</v>
      </c>
    </row>
    <row r="3" spans="1:1" ht="28" customHeight="1" thickBot="1">
      <c r="A3" s="89" t="s">
        <v>149</v>
      </c>
    </row>
    <row r="4" spans="1:1" ht="18">
      <c r="A4" s="90" t="s">
        <v>150</v>
      </c>
    </row>
    <row r="5" spans="1:1" ht="41" customHeight="1">
      <c r="A5" s="91" t="s">
        <v>151</v>
      </c>
    </row>
    <row r="6" spans="1:1" ht="33" customHeight="1" thickBot="1">
      <c r="A6" s="89" t="s">
        <v>153</v>
      </c>
    </row>
    <row r="7" spans="1:1" ht="29" customHeight="1" thickBot="1">
      <c r="A7" s="9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2020-03-04T00:24:47Z</dcterms:modified>
</cp:coreProperties>
</file>