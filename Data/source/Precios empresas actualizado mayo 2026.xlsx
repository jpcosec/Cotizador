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" sheetId="1" r:id="rId5"/>
    <sheet state="visible" name="Teambuilding y actividades" sheetId="2" r:id="rId6"/>
    <sheet state="visible" name="Capacidades maximas Salones y m" sheetId="3" r:id="rId7"/>
    <sheet state="visible" name="Cotizacion Tipo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tc={017b53d8-2351-41e9-b13d-3b9fc7adf795}</author>
    <author>tc={12a6971b-00dd-4f9e-8512-4a745967c780}</author>
    <author>tc={2055b566-721f-4b2b-b55e-efeb49764e8b}</author>
    <author>tc={25585dde-b5ff-4756-b2b3-0e17fd00d9e5}</author>
    <author>tc={3dd7ba62-8282-4acc-bce2-5ed808e0a388}</author>
    <author>tc={4356150a-9e6d-421e-9437-f57f8a6e26a9}</author>
    <author>tc={4ae3d6b3-3170-4aab-a5b6-d4ff14f76a51}</author>
    <author>tc={4b7cca99-3cd4-4684-9428-e405fc5a49bb}</author>
    <author>tc={68051f6a-9aa0-4ba6-a02f-e00913550392}</author>
    <author>tc={6b2d2cf1-f0a3-423e-8f88-4cdcc0b782b7}</author>
    <author>tc={75c51d5a-71c0-48cc-ab8a-418f6dbaef8d}</author>
    <author>tc={7c9b88b7-2ca5-4c01-9016-9d862be31103}</author>
    <author>tc={8adb33ef-7d3c-4873-8d8e-37e11c3c3af8}</author>
    <author>tc={b6493923-83e4-44e2-a26a-86c02a59d3f6}</author>
    <author>tc={ba902dcf-e3e4-428d-88a8-b4411680a84b}</author>
    <author>tc={d56947ee-147d-47a1-9dde-5ced77abefef}</author>
    <author>tc={f09ed3bd-2b8c-4a6c-9cb4-41bd35f28aa4}</author>
  </authors>
  <commentList>
    <comment authorId="0" xr:uid="{017b53d8-2351-41e9-b13d-3b9fc7adf79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tenemos la actividad de la pizza (se elimina este ?)
</t>
      </text>
    </comment>
    <comment authorId="1" xr:uid="{12a6971b-00dd-4f9e-8512-4a745967c780}" ref="A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ticket de cerveza
Reply:
	agregar precio de fogon
Marcado como resuelto
</t>
      </text>
    </comment>
    <comment authorId="2" xr:uid="{2055b566-721f-4b2b-b55e-efeb49764e8b}" ref="A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ticket de cerveza
</t>
      </text>
    </comment>
    <comment authorId="3" xr:uid="{25585dde-b5ff-4756-b2b3-0e17fd00d9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SAHNE NUSS
</t>
      </text>
    </comment>
    <comment authorId="4" xr:uid="{3dd7ba62-8282-4acc-bce2-5ed808e0a388}" ref="G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REPITE MIX DE QUESOS
</t>
      </text>
    </comment>
    <comment authorId="5" xr:uid="{4356150a-9e6d-421e-9437-f57f8a6e26a9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Poner 1 top de masa de hoja, 1 mini muffin o 1 galleta
</t>
      </text>
    </comment>
    <comment authorId="6" xr:uid="{4ae3d6b3-3170-4aab-a5b6-d4ff14f76a51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fogon
</t>
      </text>
    </comment>
    <comment authorId="7" xr:uid="{4b7cca99-3cd4-4684-9428-e405fc5a49bb}" ref="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Precio Fogon ($100.000)
</t>
      </text>
    </comment>
    <comment authorId="8" xr:uid="{68051f6a-9aa0-4ba6-a02f-e00913550392}" ref="G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Viernes de hambuurguesas
</t>
      </text>
    </comment>
    <comment authorId="9" xr:uid="{6b2d2cf1-f0a3-423e-8f88-4cdcc0b782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carne la hace el hotel no el evento
</t>
      </text>
    </comment>
    <comment authorId="10" xr:uid="{75c51d5a-71c0-48cc-ab8a-418f6dbaef8d}" ref="A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alhorno?
</t>
      </text>
    </comment>
    <comment authorId="11" xr:uid="{7c9b88b7-2ca5-4c01-9016-9d862be31103}" ref="G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 lomito
</t>
      </text>
    </comment>
    <comment authorId="12" xr:uid="{8adb33ef-7d3c-4873-8d8e-37e11c3c3af8}" ref="G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Bizcocho de vainilla relleno de dulce de leche y nuez, cubierta con crema chantilly
</t>
      </text>
    </comment>
    <comment authorId="13" xr:uid="{b6493923-83e4-44e2-a26a-86c02a59d3f6}" ref="G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agua
</t>
      </text>
    </comment>
    <comment authorId="14" xr:uid="{ba902dcf-e3e4-428d-88a8-b4411680a84b}" ref="G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bizcocho de zanahoria*
</t>
      </text>
    </comment>
    <comment authorId="15" xr:uid="{d56947ee-147d-47a1-9dde-5ced77abefef}" ref="A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agrgar ticket de cerveza
</t>
      </text>
    </comment>
    <comment authorId="16" xr:uid="{f09ed3bd-2b8c-4a6c-9cb4-41bd35f28a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claridad del espacio fisico del karaoke o dj incluyendo el salon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tc={2dbd5642-1b4c-4cb4-89f0-e79330c376b7}</author>
    <author>tc={519e725f-ccb4-4276-b0cd-2b1e1ffc4a1e}</author>
  </authors>
  <commentList>
    <comment authorId="0" ref="A3">
      <text>
        <t xml:space="preserve">escenario chinook 7,33 de largo / 3,92 de ancho/ altura 50  cm</t>
      </text>
    </comment>
    <comment authorId="0" ref="B3">
      <text>
        <t xml:space="preserve">320 con pasillos bien definidos al centro, atrás, costados y sin sillas detrás de los pilares.
350 sólo pasillo central y trasero</t>
      </text>
    </comment>
    <comment authorId="0" ref="C3">
      <text>
        <t xml:space="preserve">168, 28 mesas c/6 sillas, pasillos bien definidos entre mesas y mesones para coffee break y/o bares.
</t>
      </text>
    </comment>
    <comment authorId="0" ref="D3">
      <text>
        <t xml:space="preserve">72 mesas rectangulares c/3 sillas</t>
      </text>
    </comment>
    <comment authorId="0" ref="E3">
      <text>
        <t xml:space="preserve">Mesas por el perímetro del salón, con los pilares dentro de la U</t>
      </text>
    </comment>
    <comment authorId="0" ref="B4">
      <text>
        <t xml:space="preserve">70 con pasillos bien definidos al centro, atrás y costados. </t>
      </text>
    </comment>
    <comment authorId="0" ref="C4">
      <text>
        <t xml:space="preserve">8 mesas redondas con 6 sillas.</t>
      </text>
    </comment>
    <comment authorId="0" ref="D4">
      <text>
        <t xml:space="preserve">36 con 3 sillas por mesa
44 con sillas en las patas de las mesas</t>
      </text>
    </comment>
    <comment authorId="0" ref="E4">
      <text>
        <t xml:space="preserve">30 con 3 sillas por mesa
39 con sillas en las patas de las mesas</t>
      </text>
    </comment>
    <comment authorId="0" ref="F4">
      <text>
        <t xml:space="preserve">34 con 3 sillas por mesa
40 con sillas en las patas de las mesas</t>
      </text>
    </comment>
    <comment authorId="0" ref="B5">
      <text>
        <t xml:space="preserve">70 con pasillos bien definidos al centro, atrás y costados. </t>
      </text>
    </comment>
    <comment authorId="0" ref="C5">
      <text>
        <t xml:space="preserve">8 mesas redondas con 6 sillas.</t>
      </text>
    </comment>
    <comment authorId="0" ref="D5">
      <text>
        <t xml:space="preserve">36 con 3 sillas por mesa
44 con sillas en las patas de las mesas</t>
      </text>
    </comment>
    <comment authorId="0" ref="E5">
      <text>
        <t xml:space="preserve">30 con 3 sillas por mesa
39 con sillas en las patas de las mesas</t>
      </text>
    </comment>
    <comment authorId="0" ref="F5">
      <text>
        <t xml:space="preserve">34 con 3 sillas por mesa
40 con sillas en las patas de las mesas</t>
      </text>
    </comment>
    <comment authorId="0" ref="C6">
      <text>
        <t xml:space="preserve">17 mesas redondas con 6 sillas</t>
      </text>
    </comment>
    <comment authorId="0" ref="D6">
      <text>
        <t xml:space="preserve">75 con 3 sillas por mesa, contemplando COFFEE
99 con sillas en las patas de las mesas SIN COFFEE</t>
      </text>
    </comment>
    <comment authorId="0" ref="E6">
      <text>
        <t xml:space="preserve">74 con 3 sillas por mesa
89 con sillas en las patas de las mesas</t>
      </text>
    </comment>
    <comment authorId="0" ref="F6">
      <text>
        <t xml:space="preserve">64 con 3 sillas por mesa
82 con sillas en las patas de las mesas</t>
      </text>
    </comment>
    <comment authorId="0" ref="B7">
      <text>
        <t xml:space="preserve">80 con pasillos bien definidos al centro, atrás y costados.</t>
      </text>
    </comment>
    <comment authorId="0" ref="C7">
      <text>
        <t xml:space="preserve">9 mesas redondas con 6 sillas.</t>
      </text>
    </comment>
    <comment authorId="0" ref="D7">
      <text>
        <t xml:space="preserve">36 con 3 sillas por mesa
55 con sillas en las patas de las mesas</t>
      </text>
    </comment>
    <comment authorId="0" ref="E7">
      <text>
        <t xml:space="preserve">30 con 3 sillas por mesa
35 con sillas en las patas de las mesas</t>
      </text>
    </comment>
    <comment authorId="0" ref="F7">
      <text>
        <t xml:space="preserve">36 con 3 sillas por mesa
48 con sillas en las patas de las mesas</t>
      </text>
    </comment>
    <comment authorId="0" ref="B8">
      <text>
        <t xml:space="preserve">90 con pasillos bien definidos al centro, atrás y costados.</t>
      </text>
    </comment>
    <comment authorId="0" ref="C8">
      <text>
        <t xml:space="preserve">9 mesas redondas con 6 sillas.</t>
      </text>
    </comment>
    <comment authorId="0" ref="D8">
      <text>
        <t xml:space="preserve">36 con 3 sillas por mesa
55 con sillas en las patas de las mesas</t>
      </text>
    </comment>
    <comment authorId="0" ref="E8">
      <text>
        <t xml:space="preserve">30 con 3 sillas por mesa
35 con sillas en las patas de las mesas</t>
      </text>
    </comment>
    <comment authorId="0" ref="F8">
      <text>
        <t xml:space="preserve">36 con 3 sillas por mesa
48 con sillas en las patas de las mesas</t>
      </text>
    </comment>
    <comment authorId="0" ref="C9">
      <text>
        <t xml:space="preserve">24 mesas redondas de 6 a 7 sillas
con espacio de tránsito para el bufet, bar y parrilla</t>
      </text>
    </comment>
    <comment authorId="0" ref="C10">
      <text>
        <t xml:space="preserve">30 mesas redondas de 6 a 7 sillas
con espacio de tránsito para el bufet, bar y parrilla</t>
      </text>
    </comment>
    <comment authorId="0" ref="F11">
      <text>
        <t xml:space="preserve">16 en una gran mesa (cuatro mesas juntas)
28 en cuatro mesas separadas (7 personas por mesa, para que nadie le de la espalda al presentador)</t>
      </text>
    </comment>
    <comment authorId="1" xr:uid="{2dbd5642-1b4c-4cb4-89f0-e79330c376b7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 37 apretado
</t>
      </text>
    </comment>
    <comment authorId="2" xr:uid="{519e725f-ccb4-4276-b0cd-2b1e1ffc4a1e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max 37 apretado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tc={97860f59-8412-4092-966e-a8ebdacfc69a}</author>
    <author>tc={ceb81b42-a521-4382-9a52-eb96dc5e1503}</author>
  </authors>
  <commentList>
    <comment authorId="0" xr:uid="{97860f59-8412-4092-966e-a8ebdacfc69a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Agregar que el coffe en el salón tiene costo adicional
</t>
      </text>
    </comment>
    <comment authorId="1" xr:uid="{ceb81b42-a521-4382-9a52-eb96dc5e1503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bebida o agua
</t>
      </text>
    </comment>
  </commentList>
</comments>
</file>

<file path=xl/sharedStrings.xml><?xml version="1.0" encoding="utf-8"?>
<sst xmlns="http://schemas.openxmlformats.org/spreadsheetml/2006/main" count="687" uniqueCount="483">
  <si>
    <t>Arriendo de salones, audios y comedores</t>
  </si>
  <si>
    <t>Hora</t>
  </si>
  <si>
    <t>Uds</t>
  </si>
  <si>
    <t>Nº Pax</t>
  </si>
  <si>
    <t>Valor neto</t>
  </si>
  <si>
    <t>TOTAL</t>
  </si>
  <si>
    <t>Detalle de servicios.</t>
  </si>
  <si>
    <t xml:space="preserve">Salon Chinook uso diurno, hasta 320 personas </t>
  </si>
  <si>
    <t>8:30-19:30</t>
  </si>
  <si>
    <r>
      <rPr>
        <rFont val="Calibri"/>
        <color theme="1"/>
        <sz val="12.0"/>
      </rPr>
      <t xml:space="preserve">Equipado con papelógrafo, aire acondicionado y calefacción, 8 h Día. Incluye arranque trifasico para productoras </t>
    </r>
    <r>
      <rPr>
        <rFont val="Calibri"/>
        <b/>
        <color theme="1"/>
        <sz val="12.0"/>
      </rPr>
      <t>(Definir montaje)</t>
    </r>
  </si>
  <si>
    <t xml:space="preserve">Salon Coho uso diurno, hasta 120 personas </t>
  </si>
  <si>
    <r>
      <rPr>
        <rFont val="Calibri"/>
        <color theme="1"/>
        <sz val="12.0"/>
      </rPr>
      <t xml:space="preserve">Equipado con papelógrafo, aire acondicionado y calefacción, 8 h Día. </t>
    </r>
    <r>
      <rPr>
        <rFont val="Calibri"/>
        <b/>
        <color theme="1"/>
        <sz val="12.0"/>
      </rPr>
      <t>( Definir montaje)</t>
    </r>
  </si>
  <si>
    <t xml:space="preserve">Salon Fario uso diurno, hasta 70 personas </t>
  </si>
  <si>
    <r>
      <rPr>
        <rFont val="Calibri"/>
        <color theme="1"/>
        <sz val="12.0"/>
      </rPr>
      <t xml:space="preserve">Equipado con papelógrafo, aire acondicionado y calefacción, 8 h Día. </t>
    </r>
    <r>
      <rPr>
        <rFont val="Calibri"/>
        <b/>
        <color theme="1"/>
        <sz val="12.0"/>
      </rPr>
      <t>( Definir montaje)</t>
    </r>
  </si>
  <si>
    <t xml:space="preserve">Salón Arcoiris uso diurno, hasta 70 personas </t>
  </si>
  <si>
    <r>
      <rPr>
        <rFont val="Calibri"/>
        <color theme="1"/>
        <sz val="12.0"/>
      </rPr>
      <t xml:space="preserve">Equipado con papelógrafo, aire acondicionado y calefacción, 8 h Día. </t>
    </r>
    <r>
      <rPr>
        <rFont val="Calibri"/>
        <b/>
        <color theme="1"/>
        <sz val="12.0"/>
      </rPr>
      <t>( Definir montaje)</t>
    </r>
  </si>
  <si>
    <t>Directorio uso diurno para 16 personas, mesa imperial</t>
  </si>
  <si>
    <t>Equipado con TV, papelógrafo, aire acondicionado y calefacción, 8 h Día.</t>
  </si>
  <si>
    <t xml:space="preserve">Domo para 240 personas </t>
  </si>
  <si>
    <t>Domo rústico incluye arranque trifasico para productoras.</t>
  </si>
  <si>
    <t>Cambios de montaje  Chinook durante el arriendo de salon.</t>
  </si>
  <si>
    <t>Cambio de montaje durante la jornada de trabajo</t>
  </si>
  <si>
    <t>Cambios de montaje Coho durante el arriendo de salon.</t>
  </si>
  <si>
    <t>Cambios de montaje  Farios y Arcoiris durante el arriendo de salon.</t>
  </si>
  <si>
    <t>Comedor VIP y terraza (2do piso) para 80 personas 8 horas uso diurno</t>
  </si>
  <si>
    <t>Comedor en 2do piso con terraza para servicios de alimentacion exclusivos. Posee una terraza exclusiva.</t>
  </si>
  <si>
    <t>Comedor truchita o ex poo y terraza para 35 personas, 8 horas uso diurno</t>
  </si>
  <si>
    <t>Comedor exclusivo para maximo  35 personas</t>
  </si>
  <si>
    <t>Arriendo pergola con parrilla para 16 personas, 8 horas uso diurno</t>
  </si>
  <si>
    <t>Pergola exclusiva con parrilla</t>
  </si>
  <si>
    <t>Comedor VIP y terraza (2do piso) para 70 personas 1,5 hrs / AM O PM (ALMUERZO O CENA)</t>
  </si>
  <si>
    <t>Comedor truchita o ex pool y terraza para 35 personas 1,5 horas / AM O PM (ALMUERZO O CENA)</t>
  </si>
  <si>
    <t>Arriendo pergola con parrilla para 16 personas, 4 horas</t>
  </si>
  <si>
    <t>Arriendo pergola picadero solo con autorizacion, 2 dias antes.</t>
  </si>
  <si>
    <t>Arriendo por una pergola techada en el sector del picadero.</t>
  </si>
  <si>
    <t>Tecnica para salones uso diurno.</t>
  </si>
  <si>
    <t xml:space="preserve"> </t>
  </si>
  <si>
    <t>Data, amplificacion, 2 microfonos para uso en el dia.</t>
  </si>
  <si>
    <t>Audio 4 horas en la noche</t>
  </si>
  <si>
    <t>Data, amplificacion, 2 microfonos para uso noche.</t>
  </si>
  <si>
    <t>Amplificacion exterior</t>
  </si>
  <si>
    <t>2 parlantes con microfono ubicado en exteriores cercanos a algun punto electrico.</t>
  </si>
  <si>
    <t>Microfono inalambrico adicional</t>
  </si>
  <si>
    <t>Microfono solapa adicional</t>
  </si>
  <si>
    <t>Operador para audio 8 hrs</t>
  </si>
  <si>
    <t>8:30-18:30</t>
  </si>
  <si>
    <t>Operador de audio para salon diurno. Se debe agregar tecnica que desee operar.</t>
  </si>
  <si>
    <t>Papelografo adicional para el salon</t>
  </si>
  <si>
    <t>Total en el hotel 8</t>
  </si>
  <si>
    <t>Coffes y servicios relacionado a salones</t>
  </si>
  <si>
    <t>Coffee Básico</t>
  </si>
  <si>
    <t>Café, té, agua, jugo de pulpa, 1 tapadito, 1 top de masa de hoja+ 1 mini muffin o 1 galleta</t>
  </si>
  <si>
    <t xml:space="preserve">Coffee Intermedio  </t>
  </si>
  <si>
    <t>Café, té, agua, jugo de pulpa, 1 tapadito, 1 mini muffin, 1 facturita, 1 galleta y  una fruta.</t>
  </si>
  <si>
    <t>Coffe Full</t>
  </si>
  <si>
    <t>Café de grano, té, jugo de pulpa, 2 tapaditos, 2 mini muffin , 2 galletas, 1 facturita y una brocheta de fruta.</t>
  </si>
  <si>
    <t>Coffe Light</t>
  </si>
  <si>
    <t>Café, té, agua, jugo de pulpa, yogurt natural con granola y fruta, 1 tapadito integral, una brocheta de fruta</t>
  </si>
  <si>
    <t>Adicionar coffe dentro del Salon</t>
  </si>
  <si>
    <t>Servicios de coffe ubicados dentro del salon.</t>
  </si>
  <si>
    <t>Maquina Cafe Milano con carga para 120 cafes app. ( autoservicio)</t>
  </si>
  <si>
    <t>Maquina auto servicio que entrega app. 120 unidades entre Cafe, capuchinos, mocachino, late, expresos, americano, agua caliente chocolate.</t>
  </si>
  <si>
    <t xml:space="preserve">1 tapadito </t>
  </si>
  <si>
    <t>1 medialuna</t>
  </si>
  <si>
    <t>Galletas de mantequilla  3 por persona</t>
  </si>
  <si>
    <t>Cafe de grano en percoladora o té en salon 8 hrs</t>
  </si>
  <si>
    <t>valor por persona</t>
  </si>
  <si>
    <t>Dispensador de agua 20 Lts en salon</t>
  </si>
  <si>
    <t>Dispensador de agua  20 lts con vasos en salón</t>
  </si>
  <si>
    <t>Recarga de bidon de 20 Lts para dispensador de agua</t>
  </si>
  <si>
    <t>Recarga de bidon de agua de 20 litros y vasos.</t>
  </si>
  <si>
    <t>Cafe de grano en percoladora, té y agua fria /caliente en salon  por 8 horas.</t>
  </si>
  <si>
    <t xml:space="preserve">valor por persona </t>
  </si>
  <si>
    <t>Servicios para fiestas</t>
  </si>
  <si>
    <t>Luces perimetrales salon chinook o vip</t>
  </si>
  <si>
    <t>12 Luces decorativas perimetrales para una fiesta o karaoke.</t>
  </si>
  <si>
    <t>DJ y/o Karaoke por 4 hrs para grupos menores 50 Pax</t>
  </si>
  <si>
    <t>21:00- 1:00</t>
  </si>
  <si>
    <t>Dj y karaoke por 4 horas,( agregar salon)</t>
  </si>
  <si>
    <r>
      <rPr>
        <rFont val="Calibri"/>
        <b/>
        <color theme="1"/>
        <sz val="12.0"/>
      </rPr>
      <t xml:space="preserve">Hora extra </t>
    </r>
    <r>
      <rPr>
        <rFont val="Calibri"/>
        <color theme="1"/>
        <sz val="12.0"/>
      </rPr>
      <t>DJ y/o Karaoke por 4 hrs para grupos menores 50 Pax</t>
    </r>
  </si>
  <si>
    <t xml:space="preserve">hora extra </t>
  </si>
  <si>
    <t>DJ y/o Karaoke para grupos mayores a 50 Pax</t>
  </si>
  <si>
    <r>
      <rPr>
        <rFont val="Calibri"/>
        <b/>
        <color theme="1"/>
        <sz val="12.0"/>
      </rPr>
      <t>Hora extra</t>
    </r>
    <r>
      <rPr>
        <rFont val="Calibri"/>
        <color theme="1"/>
        <sz val="12.0"/>
      </rPr>
      <t xml:space="preserve"> DJ y/o Karaoke para grupos mayores a 50 Pax</t>
    </r>
  </si>
  <si>
    <t>Salon chinook con fogata, hasta 300 personas, 4 horas noche</t>
  </si>
  <si>
    <t>Salon para fiestas y karaokes con terraza exclusiva . Incluye fogata en terraza y tiene arranque trifasico para productoras</t>
  </si>
  <si>
    <t>Salon chinook con fogata, hasta 300 personas</t>
  </si>
  <si>
    <t>19:00.1:00</t>
  </si>
  <si>
    <t xml:space="preserve">Salon para fiestas y karaokes con terraza exclusiva . Incluye fogata en terraza y tiene arranque trifasico para productoras. </t>
  </si>
  <si>
    <t>Comedor VIP con fogata, 2 piso hasta 70 personas, 4 horas noche</t>
  </si>
  <si>
    <t>Comedor en 2do piso con terraza para fiestas o Karaokes exclusivos, incluye fogata en terraza</t>
  </si>
  <si>
    <t>Comedor VIP con fogata, 2 piso hasta 70 personas</t>
  </si>
  <si>
    <t>Espacio del Bar para karaoke, hasta 50 personas por 4 hrs noche</t>
  </si>
  <si>
    <t>Espacio del bar principal del hotel para la realizacion de karaokes</t>
  </si>
  <si>
    <t>Domo para fiestas con fogata, hasta 250 personas, 4 horas noche</t>
  </si>
  <si>
    <t>Domo para fiestas y karaokes con amplios jardines.Incluye fogata y tiene arranque trifasico para productoras.</t>
  </si>
  <si>
    <t>Lounge en terrazas con sillones y mesas y fogones, hasta 100 pax. Valor por persona</t>
  </si>
  <si>
    <t>Lugares: Terraza chinook, terraza comedor  chico( ex pool), terraza comedor 2do piso y Domo. Valor por persona</t>
  </si>
  <si>
    <t>Bebidas  y Bar</t>
  </si>
  <si>
    <t>Ticket de trago</t>
  </si>
  <si>
    <r>
      <rPr>
        <rFont val="Calibri"/>
        <b/>
        <color theme="1"/>
        <sz val="12.0"/>
      </rPr>
      <t>1 trago pp a escoger entre:</t>
    </r>
    <r>
      <rPr>
        <rFont val="Calibri"/>
        <color theme="1"/>
        <sz val="12.0"/>
      </rPr>
      <t xml:space="preserve"> Piscola ( Mistral 35), Roncola (Havanna),  vodka (wyborowa), Whisky( Ballantines finest 3 años), Gin beefeter, Ramazzotti,  Daiquiri, Pisco sour, Kir Royal, Piña Colada con y sin alcohol, Copa de vino castillo molina( blanco y tinto) , copa de espumante Viña Mar Brut, cervezas en botella tales como Sol, Heineken con y sin alcohol,  Austral y Kunstmann. Las bebidas son de marcas CCU.</t>
    </r>
  </si>
  <si>
    <t>Ticket de cerveza</t>
  </si>
  <si>
    <t>Ticket de cerveza en botella tales como: Sol, Heineken, Austral o Kunstmann.</t>
  </si>
  <si>
    <t>Ticket de trago Vip</t>
  </si>
  <si>
    <t>Piscola ( Mistral Nobel o 3R doble destilado), Roncola (Havanna reserva), Vodka( Absolut), Whisky (ballantines 7 años),Gin Kantal, Tequila Olmeca, Ramazzotti,  Daiquiri, Pisco sour, Kir Royal, Piña Colada, Vino  Gran Tarapacá( blanco y tinto) , Espumante Viña Mar Brut, cervezas en botella tales como Sol, Heineken,  Austral, Kunstmann botella y Barril Schop Kunstmann. Las bebidas son de marcas CCU.</t>
  </si>
  <si>
    <t>Bar abierto 4 horas, valor por persona</t>
  </si>
  <si>
    <t xml:space="preserve">Piscola ( Mistra 35), Roncola (Havanna),  vodka (wyborowa), Whisky( Ballantines finest 3 años), Gin beefeter, Ramazzotti,  Daiquiri, Pisco sour, Kir Royal, Piña Colada( con y sin alcohol), Copa de vino castillo molina( blanco y tinto) , copa de espumante Viña Mar Brut, cervezas en botella tales como Sol, Heineken con y sin alcohol,  Austral y Kunstmann. Las bebidas son de marcas CCU. </t>
  </si>
  <si>
    <r>
      <rPr>
        <rFont val="Calibri"/>
        <b/>
        <color theme="1"/>
        <sz val="12.0"/>
      </rPr>
      <t>Hora extra</t>
    </r>
    <r>
      <rPr>
        <rFont val="Calibri"/>
        <color theme="1"/>
        <sz val="12.0"/>
      </rPr>
      <t xml:space="preserve"> Bar abierto por persona</t>
    </r>
  </si>
  <si>
    <t>extensión de 1 hora para el bar abierto</t>
  </si>
  <si>
    <t>Bar abierto sin alcohol 4 horas, valor por persona</t>
  </si>
  <si>
    <t>Mocktails tales como Piña colada, Chardonnay sour , San Francisco (Mocktail en base a jugo de naranja), Paloma (Mocktail en base a pomelo), Cerveza sin alcohol (Heineken 0.0), Limonada, Jugos naturales, Vino blanco sin alcohol, Sangria sin alcohol. Las bebidas son de marcas CCU.</t>
  </si>
  <si>
    <r>
      <rPr>
        <rFont val="Calibri"/>
        <b/>
        <color theme="1"/>
        <sz val="12.0"/>
      </rPr>
      <t>Hora extra</t>
    </r>
    <r>
      <rPr>
        <rFont val="Calibri"/>
        <color theme="1"/>
        <sz val="12.0"/>
      </rPr>
      <t xml:space="preserve"> Bar abierto sin alcohol por persona</t>
    </r>
  </si>
  <si>
    <t>Bar abierto VIP  4 horas, valor por persona</t>
  </si>
  <si>
    <r>
      <rPr>
        <rFont val="Calibri"/>
        <b/>
        <color theme="1"/>
        <sz val="12.0"/>
      </rPr>
      <t>Hora extra</t>
    </r>
    <r>
      <rPr>
        <rFont val="Calibri"/>
        <color theme="1"/>
        <sz val="12.0"/>
      </rPr>
      <t xml:space="preserve"> Bar abierto Vip por persona</t>
    </r>
  </si>
  <si>
    <t>Bar Abierto de bebidas en vaso por 4 horas, por persona</t>
  </si>
  <si>
    <t>Botellas de 3 litros CCU servido en vaso desechable (ver tamaño)</t>
  </si>
  <si>
    <t>Bar Abierto de bebidas en vaso por 8 horas, por persona</t>
  </si>
  <si>
    <t xml:space="preserve">Bebidas </t>
  </si>
  <si>
    <t>Lata de bebida o agua  ccu</t>
  </si>
  <si>
    <t>Ticket de bebida o agua</t>
  </si>
  <si>
    <t>Lata de bebida o agua ccu</t>
  </si>
  <si>
    <t>Barril de cerveza kuntsman torobayo 30L</t>
  </si>
  <si>
    <t>Barril de cerveza torobayo exclusivo</t>
  </si>
  <si>
    <t>Bebestibles adicionales en Salón (Bebidas, Jugos Naturales, Agua Mineral)</t>
  </si>
  <si>
    <t>ver listado de bar</t>
  </si>
  <si>
    <t>Visitar QR para mayor detalles ( https://gour.media/san-francisco-lodge/ )</t>
  </si>
  <si>
    <t>Vino Castillo Molina</t>
  </si>
  <si>
    <t>Se recomienda 1 botella para 5 personas</t>
  </si>
  <si>
    <t>Vino Lapostolle</t>
  </si>
  <si>
    <t>Vino Marques Casa Concha</t>
  </si>
  <si>
    <t>Cambios de horas y lugar en servicios de alimentacion</t>
  </si>
  <si>
    <t>Cambio de horario del desayuno 1 hora, minimo 30 personas</t>
  </si>
  <si>
    <t>7:30- 8:30 o 10:00- 11:00</t>
  </si>
  <si>
    <t>valor por persona, se adelanta o se extiende el desayuno por una hora</t>
  </si>
  <si>
    <t>Cambio de horario del desayuno por media hora , minimo 30 personas</t>
  </si>
  <si>
    <t>8:00-8:30 o 10:00- 10:30</t>
  </si>
  <si>
    <t>valor por persona, se adelanta o se extiende el desayuno por media hora</t>
  </si>
  <si>
    <t>Cambio de horario de almuerzo por media hora, minimo 30 personas</t>
  </si>
  <si>
    <t>13:00-13:30 o 15:00-15:30</t>
  </si>
  <si>
    <t>valor por persona, se adelanta o se extiende el almuerzo por media hora.</t>
  </si>
  <si>
    <t xml:space="preserve">Extension media hora horario de cena </t>
  </si>
  <si>
    <t>21:00-21:30</t>
  </si>
  <si>
    <t>valor por persona para extension de servicios de cena por media hora hasta las 21:30</t>
  </si>
  <si>
    <t>Cambio de lugar de servicio de alimentacion</t>
  </si>
  <si>
    <t>Valor por persona, se debe reservar adicionalmente el salon ( chinook, salon truchita o comedor vip)</t>
  </si>
  <si>
    <t>Alimentacion y banqueteria</t>
  </si>
  <si>
    <t>Desayuno</t>
  </si>
  <si>
    <t>8:30-10:00</t>
  </si>
  <si>
    <t>Tipos de Café, Chocolate, té, leche, jugo, yogurt, cereales, Fruta, jamón, quesos, huevos, tocino, chorizo, verduras asadas, mermeladas, mantequilla, distintos tipos de panes, minipastelitos, queques, croissant.</t>
  </si>
  <si>
    <t>Desayuno incluido por alojamiento</t>
  </si>
  <si>
    <t>Almuerzo Sugerencias del chef  en formato Buffet, mas de 30 pasajeros. Menos de 30 es carta</t>
  </si>
  <si>
    <t>13:30- 15:00</t>
  </si>
  <si>
    <t>Buffet tenedor libre con variedad de ensaladas, guarniciones y acompañamientos calientes. No incluye bebidas ni aperitivos. Si en el hotel hay menos de 30 personas el servicio a la carta, si contamos con mas de 30 personas será buffet.  Horario almuerzo desde 13:30 hasta 15:00 hrs</t>
  </si>
  <si>
    <t>Cena Sugerencias del chef  en formato Buffet, mas de 30 pasajeros. Menos de 30 es carta</t>
  </si>
  <si>
    <t>19:30- 21:00</t>
  </si>
  <si>
    <t>Buffet tenedor libre con opciones de Pizzas, fondos con carnes, acompañamientos, Salad bar, salsas, dressing, postres, sopas, inc café. . Horario cena desde 19:30 hasta 21:00.. Si en el hotel hay menos de 30 personas el servicio a la carta, si es mas de 30 personas será buffet.</t>
  </si>
  <si>
    <t>Almuerzo o cena a la carta</t>
  </si>
  <si>
    <t>Servicio de alimentacion a la carta, servido a la mesa. Es un menú único que debe elergirse con una semana de anticipación. Se sugiere agregar vinos para acompañar la comida</t>
  </si>
  <si>
    <t>Almuerzo o cena a la carta VIP</t>
  </si>
  <si>
    <t>Cena o Almuerzo parrilla, minimo 30 pax</t>
  </si>
  <si>
    <t>19:30-21:00</t>
  </si>
  <si>
    <t>Preparacion de carnes de vacuno, cerdo, chorizos y prietas la parrilla,  mas acompañamientos, ensaladas y postre y café.No incluye bebidas ni aperitivos</t>
  </si>
  <si>
    <t>Cena o Almuerzo parrilla, menos de 30 pax</t>
  </si>
  <si>
    <t>Preparacion de carnes, verduras y frutas a la parrilla,  mas acompañamientos, ensaladas y postre y café.No incluye bebidas ni aperitivos</t>
  </si>
  <si>
    <t xml:space="preserve">Once </t>
  </si>
  <si>
    <t>17:00 - 18:00</t>
  </si>
  <si>
    <t>Bebida o agua con Hamburguesa lechuga tomate y helado.</t>
  </si>
  <si>
    <t>Hamburguesa+ Bebida</t>
  </si>
  <si>
    <t>Bebida o agua con Hamburguesa lechuga tomate</t>
  </si>
  <si>
    <t xml:space="preserve">Box lunch (Como una Once en cajitas individuales para que se la puedan llevar) </t>
  </si>
  <si>
    <t>Muffin o dos facturas, hamburguesa, una fruta, 1 bebida</t>
  </si>
  <si>
    <t>Cata de vinos con somelier, minimo 10 personas y hasta 40.  Duración 1 hora</t>
  </si>
  <si>
    <t>$300.000 fijo mas $24.000 por persona</t>
  </si>
  <si>
    <t>Cata de 4 vinos  reserva boutique, de la zona, con maridaje de quesos y encurtidos.</t>
  </si>
  <si>
    <t>Tabla de Queso 6 Pax</t>
  </si>
  <si>
    <t>Queso mantecoso, queso azul, queso cabra, camembert, esferas queso crema con ciboulette y mix frutos secos.</t>
  </si>
  <si>
    <t>Tabla Fiambres 6 Pax</t>
  </si>
  <si>
    <t>Jamon pierna, jamon serrano, salame, mix frutos secos</t>
  </si>
  <si>
    <t>Tabla Mixta Quesos y Fiambres 6 pax</t>
  </si>
  <si>
    <t>Jamon pierna, jamon serrano, salame, queso mantecoso, queso cabra, camembert, esferas queso crema y mix frutos secos.</t>
  </si>
  <si>
    <t xml:space="preserve">Tabla Mix Tapaditos, Quiches y Mini Empanadas 6 pax </t>
  </si>
  <si>
    <t>6 tapaditos salmon queso crema, 6 tapaditos Jamon serrano pesto aceituna, 6 mini quiches, 6 empanadas mini pino y empanadas napolitana.</t>
  </si>
  <si>
    <t>Tabla vegana 6 pax</t>
  </si>
  <si>
    <t>1 champiñon relleno, hummus, queso vegano especiado, crudites( bastones de verduras), grissinis de ajo, focaccia palmito, vegetales tempura, 1 brusqueta de rucula con tomate confit.</t>
  </si>
  <si>
    <t>Coctail basico, minimo 15 pasajeros.</t>
  </si>
  <si>
    <t>1 Bebestible por persona entre: Pisco sour, espumante, vino,  bebida o cerveza, 1 empanadita, 1 bruscheta queso crema tomate confit y reduccion de aceto, mix de quesos, brusqueta pesto con jamón serrano, queso azul frito con mermelada de frambuesa, y brocheta de fruta .</t>
  </si>
  <si>
    <t>Coctail Intermedio,                            Minimo 15 pasajeros.</t>
  </si>
  <si>
    <t>Tragos(2 p/p entre)Vino tinto, Blanco, espumante, pisco sour, bebidas,  cerveza, 1 empanaditas de Pino, 1empanadita de queso, queso crema /aceitunas,  1 bruschetas jamón serrano, 1 bruschetas de Salmón, 1 brocheta mediterranea,  frutos secos o quesos.</t>
  </si>
  <si>
    <t>Coctail chileno, minimo 15 pasajeros.</t>
  </si>
  <si>
    <t>1 Bebestible por persona entre: Pisco sour, espumante, vino,  bebida o cerveza. 1 empanadita de pino y 1 de queso, 1 bruscheta de prieta nogada, 1 mini anticucho, chorizo envuelto en masa de  hoja, chupe de camarón, mix de quesos y frutos secos.</t>
  </si>
  <si>
    <t>Cordero a la espada (Cordero con pan amasado y salsas para 20 pax)</t>
  </si>
  <si>
    <t>Cordero a la espada para picoteo, acompañado de panes amasados con distintas salsas tales como pebre, lactonesa ajo merkén y criolla.</t>
  </si>
  <si>
    <t>Pierna de cerdo 16 hrs al horno, con amasado y 3 salsas para picoteo</t>
  </si>
  <si>
    <t xml:space="preserve">Recomendado para  maximo 50 personas </t>
  </si>
  <si>
    <t>Empanadas coctel( pino, queso y napolitana)</t>
  </si>
  <si>
    <t>Empanada pino, queso, napolitana, valor unitario</t>
  </si>
  <si>
    <t>Servicio de trasnoche Consome 250cc con 2 tapaditos</t>
  </si>
  <si>
    <t>Fijo 50.000 mas 10.000 por persona</t>
  </si>
  <si>
    <t xml:space="preserve">Punto de hidratación </t>
  </si>
  <si>
    <t>1 barra de ceral, 1 agua mineral y 1 fruta de estación</t>
  </si>
  <si>
    <t>1 fruta de estación</t>
  </si>
  <si>
    <t xml:space="preserve">1 barra de cereal </t>
  </si>
  <si>
    <t>Torta Chocolate 16 pax</t>
  </si>
  <si>
    <t>Torta de chocolate envuelta en chips de chocolate.</t>
  </si>
  <si>
    <t>Torta Carrotcake 14 pax</t>
  </si>
  <si>
    <t>Esponjoso de zanahoria nuez, rellena frosting de queso crema</t>
  </si>
  <si>
    <t>Cheesecake de Oreo 14 pax</t>
  </si>
  <si>
    <t>Imperdible cheesecake Oreo</t>
  </si>
  <si>
    <t>Torta San Francisco manjar nuez 15 pax</t>
  </si>
  <si>
    <t>Esponjoso de chocolate rellena de dulce de leche y crema chantilly</t>
  </si>
  <si>
    <t>Trozo de torta servidas en comedores:</t>
  </si>
  <si>
    <t>Trozo de torta de Chocolate + estacion cafe o té en comedor</t>
  </si>
  <si>
    <t>Trozo servido a la mesa en el comedor con estacion de té y cafe disponible para autoservicio.</t>
  </si>
  <si>
    <t>Trozo de torta Carrot Cake + estacion cafe o té en comedor</t>
  </si>
  <si>
    <t>Trozo de Cheese Cake Oreo + estacion cafe o té en comedor</t>
  </si>
  <si>
    <t>Spa</t>
  </si>
  <si>
    <t>Masajista exclusiva, para masajes relax 30 minutos</t>
  </si>
  <si>
    <t>Horario de 10:30 a 20:00, puede hacer maximo 10 masajes de relajación por dia.</t>
  </si>
  <si>
    <t>Masajes de relajacion de media hora</t>
  </si>
  <si>
    <t>Horario de los masajes debe coordinarse previamente al evento. Minimo 3 dias de anticipacion</t>
  </si>
  <si>
    <t>Gorros de piscinas  lycra</t>
  </si>
  <si>
    <t xml:space="preserve">Gorro lycra </t>
  </si>
  <si>
    <t>Gorros de piscinas  latex</t>
  </si>
  <si>
    <t xml:space="preserve">Gorro Latex </t>
  </si>
  <si>
    <t>Piscina temperada nocturna exclusiva por 1 hora</t>
  </si>
  <si>
    <t>20:00- 21:00</t>
  </si>
  <si>
    <t>Piscina temperada nocturna exclusiva por 1 hora de 20:00 a 21:00</t>
  </si>
  <si>
    <t>Alojamiento</t>
  </si>
  <si>
    <t>Habitación single hotel B&amp;B</t>
  </si>
  <si>
    <t>Desayuno, cabalgatas, canopy, kayak, botes, standup paddle, canchas tenis, pesca con mosca y piscina temperada</t>
  </si>
  <si>
    <t>Habitación Doble hotel B&amp;B</t>
  </si>
  <si>
    <t>Habitación Triple hotel B&amp;B</t>
  </si>
  <si>
    <t>Habitación Cuadruple hotel  B&amp;B</t>
  </si>
  <si>
    <t>Habitación Quintuple hotel B&amp;B</t>
  </si>
  <si>
    <t>Valor 6 pasajeros, en cabaña B&amp;B</t>
  </si>
  <si>
    <t>Valor 7 pasajeros, en cabaña B&amp;B</t>
  </si>
  <si>
    <t>Valor 8 pasajeros, en cabaña B&amp;B</t>
  </si>
  <si>
    <t>Valor Pax adicional en la misma habitacion</t>
  </si>
  <si>
    <t>Check in de habitaciones desde las 4 PM.Incluye: desayuno, cabalgatas, canopy, kayak, botes, standup paddle, canchas tenis, minigolf, baby, pesca con mosca y piscina temperada</t>
  </si>
  <si>
    <t>Early check in, por habitacion de hotel</t>
  </si>
  <si>
    <t>Check in anticipado desde las 12:00, segun disponibilidad.</t>
  </si>
  <si>
    <t>Late check out, por habitacion de hotel</t>
  </si>
  <si>
    <t>Check out hasta las 16:00, segun disponibilidad</t>
  </si>
  <si>
    <t>Early check in, por cabaña</t>
  </si>
  <si>
    <t>Late check out, por cabaña</t>
  </si>
  <si>
    <t>Traslado de maletas, entrega y retiro fuera de las habitaciones, valor por persona</t>
  </si>
  <si>
    <t>Productos o regalos en las habitaciones, valor por persona</t>
  </si>
  <si>
    <t>Regalos, aguas o algun detalle en las habitaciones, precio por persona</t>
  </si>
  <si>
    <t xml:space="preserve">Otros articulos </t>
  </si>
  <si>
    <t>1 Ramo de flores, 6 rosas, rojas, blancas, rosadas, amarilla</t>
  </si>
  <si>
    <t>encargar hasta 72 horas antes</t>
  </si>
  <si>
    <t xml:space="preserve">Resma de Hojas </t>
  </si>
  <si>
    <t xml:space="preserve">Lapices azul Pasta </t>
  </si>
  <si>
    <t xml:space="preserve">Corrector lapiz </t>
  </si>
  <si>
    <t xml:space="preserve">Plumones permanente </t>
  </si>
  <si>
    <t xml:space="preserve">Plumones de pizarra </t>
  </si>
  <si>
    <t xml:space="preserve">Fotocopias o impresion color </t>
  </si>
  <si>
    <t xml:space="preserve">hoja de color tamaño carta </t>
  </si>
  <si>
    <t>Fotocopias o impresion negro</t>
  </si>
  <si>
    <t xml:space="preserve">hoja en blanco y negro tamaño carta </t>
  </si>
  <si>
    <t>Almuerzos productoras o choferes en buffet</t>
  </si>
  <si>
    <t xml:space="preserve">Exclusivo solo a los que traen a las empresas </t>
  </si>
  <si>
    <t xml:space="preserve">Actividades </t>
  </si>
  <si>
    <t>Guias exclusivos para caminatas</t>
  </si>
  <si>
    <t>1 guia cada 20 o 25 personas.( Ideal minimo dos para abrir y cerrar el grupo para caminatas)</t>
  </si>
  <si>
    <t>Caminata "la tenca" de forma exclusiva, 1,5 horas</t>
  </si>
  <si>
    <t>200.000+ 5.000 por persona</t>
  </si>
  <si>
    <t>Caminata por circuito la tenca, entremedio de bosques y arroyos del lugar. Es un recorrido por los alrededores del hotel. Tiene una dificultad baja, duracion 1,5 horas y una distancia de 2,3 kilometros. Incluye un agua por persona</t>
  </si>
  <si>
    <t>Caminata al mirador exclusiva.  Dificultad media, duracion: 1 hora</t>
  </si>
  <si>
    <t>Caminata a un mirador donde se puede observar el valle del aconcagua. Circuito ubicado al frente del hotel y es de dificultad media, dura 1 hora y tiene una distancia de 2 kilometros. Caminata incluyeun agua por persona</t>
  </si>
  <si>
    <t>Fogon pequeño (Fogata pequeña)</t>
  </si>
  <si>
    <t>Fogata chica en calderos o pergola. Duración 2.5 horas.</t>
  </si>
  <si>
    <t>Fogata grande</t>
  </si>
  <si>
    <t>Fogata grande en actividad de luz. Duración 2.5 horas.</t>
  </si>
  <si>
    <t>Clase de pesca con mosca 3 horas(9 am a 12pm)</t>
  </si>
  <si>
    <t xml:space="preserve">Arriendo de Caña </t>
  </si>
  <si>
    <t>Solo caña  todo el dia, las moscas tienen un valor adicional.</t>
  </si>
  <si>
    <t>Paseos a Caballo exclusivos, minimo 4 pasajeros, duracion 3-4 horas. Maximo 20 personas</t>
  </si>
  <si>
    <t>Paseo comienza con una clinica intruductoria y luego practica, donde conoceran el cajón de san francisco y sus bondades. Paseo incluye un agua por persona</t>
  </si>
  <si>
    <t>Paseo a caballo Vertiente del toro</t>
  </si>
  <si>
    <t>$109.000</t>
  </si>
  <si>
    <t>4 horas + induccion Almuerzo+cena+ activiades</t>
  </si>
  <si>
    <t>Paseo a caballo Altos del Guindo</t>
  </si>
  <si>
    <t>$119.000</t>
  </si>
  <si>
    <t>5 horas + induccion Almuerzo+cena+ activiades</t>
  </si>
  <si>
    <t>Safari ecuestre en tractor, maximo 15 personas. duracion 3 horas</t>
  </si>
  <si>
    <t>200.000+ 55.000pp</t>
  </si>
  <si>
    <t>4 horas, paseo en tractor a ver las yeguas en potrero + apertivo campestre con chorizos a la parrilla y pebre.</t>
  </si>
  <si>
    <t>Uso de actividades</t>
  </si>
  <si>
    <t xml:space="preserve">Ver horarios publicados en recepción </t>
  </si>
  <si>
    <t>$945,360</t>
  </si>
  <si>
    <t>Cabalgatas, canopy, kayak, botes, stand up paddle, cancha de tenis, minigolf, piscina temperada, piscina exterior, camillas de cuarzo, circuitos de trekking etc..</t>
  </si>
  <si>
    <t>Uso de actividades por cortesía</t>
  </si>
  <si>
    <t>Yoga</t>
  </si>
  <si>
    <t>200.000 + 5.000 pesos por persona</t>
  </si>
  <si>
    <t>Yoga, actividades de respiracion y relajacion por 1 hora, incluye un agua mineral por persona</t>
  </si>
  <si>
    <t>Laguna Kayak, 2 horas</t>
  </si>
  <si>
    <t>Arriendo de kayak o SUP  ( valor unitario), 2 horas</t>
  </si>
  <si>
    <t>Incluye chaleco salvavidas y un guia.</t>
  </si>
  <si>
    <t>Canopy exclusivo por 2 horas</t>
  </si>
  <si>
    <t>Cancha de Futbol por 2 horas</t>
  </si>
  <si>
    <t>Teambuilding</t>
  </si>
  <si>
    <t>Paintball</t>
  </si>
  <si>
    <t>1.000.000+ 35.000 por persona</t>
  </si>
  <si>
    <t>Juego de paintball, incluye un agua por persona. Duracion aproximada 2 horas. Inlcuye primera carga de pelotas, con posibilidad de recarga por 15.000+ iva por persona</t>
  </si>
  <si>
    <t>Busqueda de tesoro</t>
  </si>
  <si>
    <t>500.000+ 15.000 por persona</t>
  </si>
  <si>
    <t>duracion actividad 2,5 horas</t>
  </si>
  <si>
    <t>Actividad de la luz</t>
  </si>
  <si>
    <t>21:30- 23:00</t>
  </si>
  <si>
    <t>duracion actividad 1,5 horas aprox</t>
  </si>
  <si>
    <t>Alianzas</t>
  </si>
  <si>
    <t>Duracion 2 horas aprox</t>
  </si>
  <si>
    <t>El herido</t>
  </si>
  <si>
    <t>Duracion 2,5 horas aprox</t>
  </si>
  <si>
    <t>El Naufrago, La balsa</t>
  </si>
  <si>
    <t>1.000.000 + 20.000 por persona</t>
  </si>
  <si>
    <t>duracion 2 horas aprox</t>
  </si>
  <si>
    <t>El Naufrago Full</t>
  </si>
  <si>
    <t>Conquistando la Cumbre</t>
  </si>
  <si>
    <t>Tiro con Arco</t>
  </si>
  <si>
    <t>300.000+ 15.000 por persona</t>
  </si>
  <si>
    <t>Mision y Vision</t>
  </si>
  <si>
    <t>Fabrica de sal</t>
  </si>
  <si>
    <t>duracion 1 hora aprox</t>
  </si>
  <si>
    <t>Cocinando Equipos</t>
  </si>
  <si>
    <t>750.000 + 55.000 por persona</t>
  </si>
  <si>
    <t>Gran Chef</t>
  </si>
  <si>
    <t>750.000+30.000 por persona</t>
  </si>
  <si>
    <t>Cada grupo debe preparar los mejores platos</t>
  </si>
  <si>
    <t>Parrillando en Equipo</t>
  </si>
  <si>
    <t>500.000+ 65.000 por persona</t>
  </si>
  <si>
    <t>Karaoke con copas y tapas</t>
  </si>
  <si>
    <t>650.000+ 46.800 por persona</t>
  </si>
  <si>
    <t>Cordero &amp; Vinos</t>
  </si>
  <si>
    <t>500.000+ 50.000 por persona</t>
  </si>
  <si>
    <t>Cata de Vinos</t>
  </si>
  <si>
    <t>300.000+ 24.000 por persona</t>
  </si>
  <si>
    <t>Taller de Pizzas &amp; Birra</t>
  </si>
  <si>
    <t>600.000+ 30.000 por persona</t>
  </si>
  <si>
    <t>Taller de brasas y tinto, sabores al fuego</t>
  </si>
  <si>
    <t>650.000+ 45.000 por persona</t>
  </si>
  <si>
    <t>Teambuilding, actividades de pausa</t>
  </si>
  <si>
    <t>Los Neumaticos</t>
  </si>
  <si>
    <t>150.000 + 3.000 por persona</t>
  </si>
  <si>
    <t>actividades de pausa de 15- 30 minutos aprox. cada una</t>
  </si>
  <si>
    <t>Totem</t>
  </si>
  <si>
    <t>La estrella</t>
  </si>
  <si>
    <t>Tirar la cuerda</t>
  </si>
  <si>
    <t>El equilibrio</t>
  </si>
  <si>
    <t>El Enredo</t>
  </si>
  <si>
    <t>Baile Entretenido</t>
  </si>
  <si>
    <t xml:space="preserve">Gimnasia de Pausa </t>
  </si>
  <si>
    <t>La Bolita</t>
  </si>
  <si>
    <t>Ula Ula</t>
  </si>
  <si>
    <t xml:space="preserve">Carrera de Sacos </t>
  </si>
  <si>
    <t>Bob Esponja</t>
  </si>
  <si>
    <t>Salones</t>
  </si>
  <si>
    <t>Auditorio</t>
  </si>
  <si>
    <t>Mesas redondas de trabajo</t>
  </si>
  <si>
    <t>Escuela</t>
  </si>
  <si>
    <t>U c/mesas</t>
  </si>
  <si>
    <t>Imperial</t>
  </si>
  <si>
    <t>Medidas Salón</t>
  </si>
  <si>
    <t>Área(mts2)</t>
  </si>
  <si>
    <t>Chinook</t>
  </si>
  <si>
    <t>320 - 350</t>
  </si>
  <si>
    <t>-</t>
  </si>
  <si>
    <t>21 x 15</t>
  </si>
  <si>
    <t>Tarima chinook mide  4,1 x 7,4</t>
  </si>
  <si>
    <t>Arcoiris 1</t>
  </si>
  <si>
    <t>11,9 x 6,8</t>
  </si>
  <si>
    <t>Arcoiris 2</t>
  </si>
  <si>
    <t>11,8 x 6,7</t>
  </si>
  <si>
    <t>Coho</t>
  </si>
  <si>
    <t>19,5 x 6,7</t>
  </si>
  <si>
    <t>Fario 1</t>
  </si>
  <si>
    <t>11,3 x 8,1</t>
  </si>
  <si>
    <t>Fario 2</t>
  </si>
  <si>
    <t>Quincho(fiesta uso recomendado)</t>
  </si>
  <si>
    <t>Domo</t>
  </si>
  <si>
    <t>Diametro 19 metros</t>
  </si>
  <si>
    <t>Tarima domo mide 1,5 x 7,5</t>
  </si>
  <si>
    <t>Directorio</t>
  </si>
  <si>
    <t>NA</t>
  </si>
  <si>
    <t>16 - 28</t>
  </si>
  <si>
    <t>10,8 x 5,9</t>
  </si>
  <si>
    <t>VIP</t>
  </si>
  <si>
    <r>
      <rPr>
        <color rgb="FF1155CC"/>
        <u/>
      </rPr>
      <t>Presupuesto Valorizado</t>
    </r>
  </si>
  <si>
    <t>Cotización de servicios.</t>
  </si>
  <si>
    <t>Detalles Importantes:</t>
  </si>
  <si>
    <t>Nombre:</t>
  </si>
  <si>
    <t>*Almuerzo/Cena recomendaciones del chef formato buffet sobre 30 personas</t>
  </si>
  <si>
    <t>E Mail</t>
  </si>
  <si>
    <t>*Formato de pago: Contado o Crédito</t>
  </si>
  <si>
    <t>Fecha:</t>
  </si>
  <si>
    <t>17-19 Diciembre</t>
  </si>
  <si>
    <t>Nº Pasajeros</t>
  </si>
  <si>
    <t>*Alergias alimentarias</t>
  </si>
  <si>
    <t>Atiende:</t>
  </si>
  <si>
    <t>Telefono</t>
  </si>
  <si>
    <t>* La entrega de habitaciones es a las 16:00 y el check out es a las 12:00hrs</t>
  </si>
  <si>
    <t>*Observaciones adicionales</t>
  </si>
  <si>
    <t>Dia 1</t>
  </si>
  <si>
    <t>Valor</t>
  </si>
  <si>
    <t>Total</t>
  </si>
  <si>
    <t>Cena Sugerencias del chef  en formato Buffet, mas de 30 pasajeros</t>
  </si>
  <si>
    <t>Buffet tenedor libre con variedades de ensaladas, guarnisiones y acompañamientos calientes . Horario cena desde 19:30 hasta 21:00. No incluye bebidas ni aperitivos. Si en el hotel hay menos de 30 personas el servicio a la carta, si es mas de 30 personas será buffet.</t>
  </si>
  <si>
    <t>Lata de bebida  ccu</t>
  </si>
  <si>
    <t>1 trago por persona entre: Piscola (Mistral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</si>
  <si>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Habitación single hotel</t>
  </si>
  <si>
    <t>Check in de habitaciones desde las 4 PM.Incluye: desayuno, cabalgatas, canopy, kayak, botes, standup paddle, canchas tenis, baby futbol y piscina temperada/exterior (previa confirmación de horarios)</t>
  </si>
  <si>
    <t>Dia 2</t>
  </si>
  <si>
    <t>Café, té, leche, yogurt, jamón, queso, huevos, mermeladas, mantequilla, panes, minipastelitos y cereales</t>
  </si>
  <si>
    <t>Naufrago para 12 personas / 3 grupos/ al azar / colores al azar</t>
  </si>
  <si>
    <t>10:00-12:00</t>
  </si>
  <si>
    <t>Según PDF enviado</t>
  </si>
  <si>
    <t>Almuerzo Sugerencias del chef  en formato Buffet, mas de 30 pasajeros</t>
  </si>
  <si>
    <r>
      <rPr>
        <rFont val="Calibri"/>
        <color theme="1"/>
        <sz val="12.0"/>
      </rPr>
      <t xml:space="preserve">Equipado con telón, papelógrafo, aire acondicionado y calefacción, 8 h Día. </t>
    </r>
    <r>
      <rPr>
        <rFont val="Calibri"/>
        <b/>
        <color theme="1"/>
        <sz val="12.0"/>
      </rPr>
      <t>(  ESCUELA)</t>
    </r>
  </si>
  <si>
    <t>Salon chinook, hasta 300 personas, 4 horas noche</t>
  </si>
  <si>
    <t xml:space="preserve">Salon para fiestas y karaokes con terraza exclusiva </t>
  </si>
  <si>
    <t>DJ por 4 horas para grupos menores a  35 pax</t>
  </si>
  <si>
    <t>Dj por 4 horas, incluye espacio fisico para realizar la actividad</t>
  </si>
  <si>
    <t>Dia 3</t>
  </si>
  <si>
    <t>Paintball para 12 personas</t>
  </si>
  <si>
    <t>10:00-11:30</t>
  </si>
  <si>
    <t>Según PDF enviado / 100 bolas de pintura por persona</t>
  </si>
  <si>
    <t>Total  evento neto</t>
  </si>
  <si>
    <t>Valor no incluye propinas.</t>
  </si>
  <si>
    <t>IVA</t>
  </si>
  <si>
    <t>Total evento con IVA</t>
  </si>
  <si>
    <t>Importante:</t>
  </si>
  <si>
    <t>· Para reserva de fecha solicitamos 50% del valor del programa.</t>
  </si>
  <si>
    <t>· Se puede cancelar el evento 15 dias antes sin complicaciones ni recargos.</t>
  </si>
  <si>
    <t>·  La cancelación del evento, una vez confirmado, ocasionará penalizacion si se realiza con menos de 15 días de anticipación.</t>
  </si>
  <si>
    <t>· Se puede realizar cambios de fecha hasta 7 dias antes del evento.</t>
  </si>
  <si>
    <t>· Las modificaciones de asistentes y servicios se deben realizar con minimo de 72 hrs de anticipación, luego se paga por lo reservado. Sin posibilidad de bajas o cambios.</t>
  </si>
  <si>
    <t>· Se deberá definir los horarios de los servicios y montajes de salones a más tardar 48 horas antes de iniciado el evento.</t>
  </si>
  <si>
    <t>·  Cualquier consumo adicional se cancela al momento del check-out, cada consumo debe tener autorización del encargado del evento, siempre y cuando se deje garantia o tengan credito aprobado. De lo contrario se pagan en el momento.</t>
  </si>
  <si>
    <t>·  Se prohibe ingresar alimentos y bebidas al recinto.</t>
  </si>
  <si>
    <t>·  El valor del descorche que se cobrará por ingreso a areas comunes y restoran es $15.000+IVA por botella.</t>
  </si>
  <si>
    <t>· El valor del descorche no declarado es de $45.000+IVA por botella.</t>
  </si>
  <si>
    <t>·  La entrega de habitaciones es a las 16:00 hrs el día de llegada y 12:00 hrs el día de salida / solo programa con alojamiento</t>
  </si>
  <si>
    <t>·  Se prohiben las fiestas en la habitaciones o en áreas comunes sin autorizacion de la Gerencia o Vendedora a Cargo. Existen multas asociadas por ruidos molestos en habitaciones.</t>
  </si>
  <si>
    <t>·  La empresa contratante deberá pagar por daños a las habitaciones o mobiliario. Esto es valor de la reparación o reposición mas los dias de no uso o no arriendo del bien o locacion.</t>
  </si>
  <si>
    <t>·  Se entiende que la empresa contratante, conoce y acepta cada uno de estos Itemes.</t>
  </si>
  <si>
    <t>Para Formalización y forma de pago:</t>
  </si>
  <si>
    <t>Pago Contado:</t>
  </si>
  <si>
    <t>·  Orden de compra indicando forma de pago abono y datos de la empresa.</t>
  </si>
  <si>
    <t>·  Se solicita un abono del 50% del total del Evento para efectuar reserva.</t>
  </si>
  <si>
    <t>·  Saldo restante se cancela directamente en el Lodge antes que comience el evento.</t>
  </si>
  <si>
    <t>·  Los extras se cancelan al check out, siempre y cuando se deje garantia para cargar a la habitación</t>
  </si>
  <si>
    <t>Para órdenes de compra y pagos</t>
  </si>
  <si>
    <t>Cuenta corriente:</t>
  </si>
  <si>
    <t>Nº620024-9.</t>
  </si>
  <si>
    <t>Banco</t>
  </si>
  <si>
    <t>Santander</t>
  </si>
  <si>
    <t>Razón Social:</t>
  </si>
  <si>
    <t>Aventuras Andinas LTDA.</t>
  </si>
  <si>
    <t>Rut:</t>
  </si>
  <si>
    <t>76.666.800-3</t>
  </si>
  <si>
    <t>Giro:</t>
  </si>
  <si>
    <t>Hoteleria y Turismo</t>
  </si>
  <si>
    <t>Dirección:</t>
  </si>
  <si>
    <t>Camino a la canabina s/n San Esteban, los andes,  v region.</t>
  </si>
  <si>
    <t>Fono:</t>
  </si>
  <si>
    <t>569 32472051</t>
  </si>
  <si>
    <r>
      <rPr>
        <rFont val="Calibri, sans-serif"/>
        <color rgb="FF1155CC"/>
        <sz val="11.0"/>
        <u/>
      </rPr>
      <t>Copiar abonos o transferencias a</t>
    </r>
    <r>
      <rPr>
        <rFont val="Calibri, sans-serif"/>
        <sz val="11.0"/>
      </rPr>
      <t xml:space="preserve"> sf@sflodge.cl y correo de la vendedora.</t>
    </r>
  </si>
  <si>
    <t>Empresas por el día sin alojamiento sin Crédito, sin OC.</t>
  </si>
  <si>
    <t>Al no tener crédito, si necesitan tener consumos extras, deben dejar garantía. Un porcentaje de garantía del total del programa,</t>
  </si>
  <si>
    <t>y los consumos deben ser autorizados y firmados por el encargado de la empresa. En caso de que no  se deje garantía,</t>
  </si>
  <si>
    <t>se deberá pagar los consumos en el momento que se soliciten.</t>
  </si>
  <si>
    <t>Tabla de garantía</t>
  </si>
  <si>
    <t>10% del evento en caso de eventos mayores a $10.000.000.</t>
  </si>
  <si>
    <t>15% en eventos de 10 a 5 millones.</t>
  </si>
  <si>
    <t>20% en eventos de 5 millones a 1 millón y en eventos más pequeños un 25%.</t>
  </si>
  <si>
    <t>Devolución de garantías</t>
  </si>
  <si>
    <t>La Garantía, es un monto que se retiene de la tarjeta de crédito(transbank)</t>
  </si>
  <si>
    <t>y se reintegra a la tarjeta según el acuerdo que tenga el banco generador de la tarjeta con transbank en 36, 48 o 72 horas hábiles.</t>
  </si>
  <si>
    <t>Forma de Pago.</t>
  </si>
  <si>
    <t>La forma de pago de facturas generadas por eventos realizados o extras generados a raíz  de dichos eventos,</t>
  </si>
  <si>
    <t>deberán ser pagadas vía transferencia o Deposito a la Cta. Cte. de Aventuras Andinas Ltda,</t>
  </si>
  <si>
    <t>rut 76666800-3, Nº 620024-9 del Banco Santander. En caso de atrasos los gastos de cobranza del Lodge ascienden a</t>
  </si>
  <si>
    <t>$200.000, que implican un chofer y una camioneta para traslado de personal de cobranzas por día y se cobrará el interes maximo convencional por mora.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</si>
</sst>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&quot;$&quot;#,##0;[Red]&quot;$&quot;\-#,##0"/>
    <numFmt numFmtId="166" formatCode="&quot;$&quot;#,##0"/>
  </numFmts>
  <fonts count="29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434343"/>
      <name val="Calibri"/>
    </font>
    <font>
      <sz val="12.0"/>
      <color rgb="FF000000"/>
      <name val="Calibri"/>
    </font>
    <font>
      <color theme="1"/>
      <name val="Arial"/>
    </font>
    <font>
      <b/>
      <sz val="12.0"/>
      <color rgb="FF434343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</font>
    <font>
      <i/>
      <color theme="1"/>
      <name val="Arial"/>
    </font>
    <font>
      <b/>
      <sz val="11.0"/>
      <color theme="1"/>
      <name val="Helvetica"/>
    </font>
    <font>
      <sz val="11.0"/>
      <color theme="1"/>
      <name val="Helvetica"/>
    </font>
    <font>
      <u/>
      <color rgb="FF0000FF"/>
    </font>
    <font>
      <sz val="14.0"/>
      <color rgb="FF000000"/>
      <name val="Calibri"/>
    </font>
    <font>
      <b/>
      <sz val="16.0"/>
      <color rgb="FF000000"/>
      <name val="Calibri"/>
    </font>
    <font/>
    <font>
      <color rgb="FF000000"/>
      <name val="Calibri"/>
    </font>
    <font>
      <b/>
      <color rgb="FF000000"/>
      <name val="Calibri"/>
    </font>
    <font>
      <color rgb="FFFF0000"/>
      <name val="Calibri"/>
    </font>
    <font>
      <u/>
      <sz val="12.0"/>
      <color rgb="FF0000FF"/>
      <name val="Calibri"/>
    </font>
    <font>
      <u/>
      <color rgb="FF0000FF"/>
      <name val="Calibri"/>
    </font>
    <font>
      <color rgb="FF538DD5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u/>
      <sz val="11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8DB4E2"/>
        <bgColor rgb="FF8DB4E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92CDDC"/>
        <bgColor rgb="FF92CDD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</border>
    <border>
      <left style="hair">
        <color rgb="FFD3D3D3"/>
      </left>
      <top style="hair">
        <color rgb="FFD3D3D3"/>
      </top>
      <bottom style="hair">
        <color rgb="FFD3D3D3"/>
      </bottom>
    </border>
    <border>
      <top style="hair">
        <color rgb="FFD3D3D3"/>
      </top>
      <bottom style="hair">
        <color rgb="FFD3D3D3"/>
      </bottom>
    </border>
    <border>
      <right style="hair">
        <color rgb="FFD3D3D3"/>
      </right>
      <top style="hair">
        <color rgb="FFD3D3D3"/>
      </top>
      <bottom style="hair">
        <color rgb="FFD3D3D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164" xfId="0" applyAlignment="1" applyBorder="1" applyFill="1" applyFont="1" applyNumberFormat="1">
      <alignment horizontal="center" readingOrder="0" shrinkToFit="0" vertical="bottom" wrapText="0"/>
    </xf>
    <xf borderId="2" fillId="3" fontId="2" numFmtId="3" xfId="0" applyAlignment="1" applyBorder="1" applyFont="1" applyNumberFormat="1">
      <alignment horizontal="center" readingOrder="0" shrinkToFit="0" vertical="bottom" wrapText="0"/>
    </xf>
    <xf borderId="1" fillId="2" fontId="1" numFmtId="164" xfId="0" applyAlignment="1" applyBorder="1" applyFont="1" applyNumberFormat="1">
      <alignment horizontal="center" vertical="bottom"/>
    </xf>
    <xf borderId="1" fillId="2" fontId="1" numFmtId="21" xfId="0" applyAlignment="1" applyBorder="1" applyFont="1" applyNumberFormat="1">
      <alignment horizontal="center" vertical="bottom"/>
    </xf>
    <xf borderId="0" fillId="4" fontId="3" numFmtId="164" xfId="0" applyAlignment="1" applyFill="1" applyFont="1" applyNumberFormat="1">
      <alignment vertical="bottom"/>
    </xf>
    <xf borderId="0" fillId="4" fontId="3" numFmtId="0" xfId="0" applyAlignment="1" applyFont="1">
      <alignment vertical="bottom"/>
    </xf>
    <xf borderId="0" fillId="4" fontId="3" numFmtId="0" xfId="0" applyFont="1"/>
    <xf borderId="1" fillId="4" fontId="3" numFmtId="0" xfId="0" applyAlignment="1" applyBorder="1" applyFont="1">
      <alignment readingOrder="0" vertical="bottom"/>
    </xf>
    <xf borderId="1" fillId="4" fontId="3" numFmtId="3" xfId="0" applyAlignment="1" applyBorder="1" applyFont="1" applyNumberFormat="1">
      <alignment horizontal="right" readingOrder="0" vertical="bottom"/>
    </xf>
    <xf borderId="1" fillId="4" fontId="3" numFmtId="165" xfId="0" applyAlignment="1" applyBorder="1" applyFont="1" applyNumberFormat="1">
      <alignment horizontal="right" vertical="bottom"/>
    </xf>
    <xf borderId="1" fillId="4" fontId="3" numFmtId="164" xfId="0" applyAlignment="1" applyBorder="1" applyFont="1" applyNumberFormat="1">
      <alignment readingOrder="0" shrinkToFit="0" vertical="bottom" wrapText="1"/>
    </xf>
    <xf borderId="1" fillId="5" fontId="3" numFmtId="165" xfId="0" applyAlignment="1" applyBorder="1" applyFill="1" applyFont="1" applyNumberForma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3" numFmtId="164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readingOrder="0" shrinkToFit="0" vertical="bottom" wrapText="1"/>
    </xf>
    <xf borderId="1" fillId="0" fontId="3" numFmtId="165" xfId="0" applyAlignment="1" applyBorder="1" applyFont="1" applyNumberFormat="1">
      <alignment horizontal="right" vertical="bottom"/>
    </xf>
    <xf borderId="1" fillId="4" fontId="4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4" fontId="1" numFmtId="164" xfId="0" applyAlignment="1" applyBorder="1" applyFont="1" applyNumberFormat="1">
      <alignment horizontal="right" vertical="bottom"/>
    </xf>
    <xf borderId="1" fillId="4" fontId="1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vertical="bottom"/>
    </xf>
    <xf borderId="1" fillId="0" fontId="3" numFmtId="164" xfId="0" applyAlignment="1" applyBorder="1" applyFont="1" applyNumberFormat="1">
      <alignment shrinkToFit="0" vertical="bottom" wrapText="1"/>
    </xf>
    <xf borderId="1" fillId="0" fontId="3" numFmtId="3" xfId="0" applyAlignment="1" applyBorder="1" applyFont="1" applyNumberFormat="1">
      <alignment horizontal="right" readingOrder="0" vertical="bottom"/>
    </xf>
    <xf borderId="1" fillId="4" fontId="3" numFmtId="21" xfId="0" applyAlignment="1" applyBorder="1" applyFont="1" applyNumberFormat="1">
      <alignment vertical="bottom"/>
    </xf>
    <xf borderId="1" fillId="4" fontId="3" numFmtId="165" xfId="0" applyAlignment="1" applyBorder="1" applyFont="1" applyNumberFormat="1">
      <alignment horizontal="right" readingOrder="0" vertical="bottom"/>
    </xf>
    <xf borderId="1" fillId="4" fontId="3" numFmtId="0" xfId="0" applyAlignment="1" applyBorder="1" applyFont="1">
      <alignment vertical="bottom"/>
    </xf>
    <xf borderId="1" fillId="4" fontId="3" numFmtId="164" xfId="0" applyAlignment="1" applyBorder="1" applyFont="1" applyNumberFormat="1">
      <alignment readingOrder="0" vertical="bottom"/>
    </xf>
    <xf borderId="1" fillId="4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shrinkToFit="0" vertical="bottom" wrapText="1"/>
    </xf>
    <xf borderId="1" fillId="4" fontId="3" numFmtId="164" xfId="0" applyAlignment="1" applyBorder="1" applyFont="1" applyNumberFormat="1">
      <alignment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1"/>
    </xf>
    <xf borderId="1" fillId="4" fontId="3" numFmtId="0" xfId="0" applyAlignment="1" applyBorder="1" applyFont="1">
      <alignment vertical="bottom"/>
    </xf>
    <xf borderId="1" fillId="5" fontId="3" numFmtId="165" xfId="0" applyAlignment="1" applyBorder="1" applyFont="1" applyNumberFormat="1">
      <alignment horizontal="right" readingOrder="0" vertical="bottom"/>
    </xf>
    <xf borderId="1" fillId="4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vertical="bottom"/>
    </xf>
    <xf borderId="2" fillId="4" fontId="3" numFmtId="21" xfId="0" applyAlignment="1" applyBorder="1" applyFont="1" applyNumberFormat="1">
      <alignment vertical="bottom"/>
    </xf>
    <xf borderId="2" fillId="4" fontId="3" numFmtId="165" xfId="0" applyAlignment="1" applyBorder="1" applyFont="1" applyNumberFormat="1">
      <alignment horizontal="right" readingOrder="0" vertical="bottom"/>
    </xf>
    <xf borderId="2" fillId="0" fontId="3" numFmtId="165" xfId="0" applyAlignment="1" applyBorder="1" applyFont="1" applyNumberFormat="1">
      <alignment horizontal="right" readingOrder="0" vertical="bottom"/>
    </xf>
    <xf borderId="2" fillId="4" fontId="3" numFmtId="0" xfId="0" applyAlignment="1" applyBorder="1" applyFont="1">
      <alignment readingOrder="0" vertical="bottom"/>
    </xf>
    <xf borderId="1" fillId="4" fontId="4" numFmtId="0" xfId="0" applyAlignment="1" applyBorder="1" applyFont="1">
      <alignment shrinkToFit="0" vertical="bottom" wrapText="1"/>
    </xf>
    <xf borderId="1" fillId="4" fontId="5" numFmtId="0" xfId="0" applyAlignment="1" applyBorder="1" applyFont="1">
      <alignment readingOrder="0" shrinkToFit="0" vertical="bottom" wrapText="1"/>
    </xf>
    <xf borderId="1" fillId="4" fontId="5" numFmtId="164" xfId="0" applyAlignment="1" applyBorder="1" applyFont="1" applyNumberFormat="1">
      <alignment horizontal="right" vertical="bottom"/>
    </xf>
    <xf borderId="1" fillId="4" fontId="5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Font="1"/>
    <xf borderId="1" fillId="0" fontId="5" numFmtId="0" xfId="0" applyAlignment="1" applyBorder="1" applyFont="1">
      <alignment readingOrder="0" shrinkToFit="0" vertical="bottom" wrapText="1"/>
    </xf>
    <xf borderId="2" fillId="4" fontId="3" numFmtId="164" xfId="0" applyAlignment="1" applyBorder="1" applyFont="1" applyNumberFormat="1">
      <alignment readingOrder="0" shrinkToFit="0" vertical="bottom" wrapText="1"/>
    </xf>
    <xf borderId="2" fillId="4" fontId="3" numFmtId="164" xfId="0" applyAlignment="1" applyBorder="1" applyFont="1" applyNumberFormat="1">
      <alignment shrinkToFit="0" vertical="bottom" wrapText="1"/>
    </xf>
    <xf borderId="3" fillId="0" fontId="3" numFmtId="0" xfId="0" applyAlignment="1" applyBorder="1" applyFont="1">
      <alignment readingOrder="0" vertical="bottom"/>
    </xf>
    <xf borderId="4" fillId="0" fontId="3" numFmtId="165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4" fontId="3" numFmtId="0" xfId="0" applyAlignment="1" applyBorder="1" applyFont="1">
      <alignment readingOrder="0" vertical="bottom"/>
    </xf>
    <xf borderId="4" fillId="4" fontId="3" numFmtId="164" xfId="0" applyAlignment="1" applyBorder="1" applyFont="1" applyNumberFormat="1">
      <alignment readingOrder="0"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3" numFmtId="164" xfId="0" applyAlignment="1" applyBorder="1" applyFont="1" applyNumberFormat="1">
      <alignment readingOrder="0" vertical="bottom"/>
    </xf>
    <xf borderId="1" fillId="0" fontId="6" numFmtId="164" xfId="0" applyAlignment="1" applyBorder="1" applyFont="1" applyNumberFormat="1">
      <alignment readingOrder="0" vertical="bottom"/>
    </xf>
    <xf borderId="1" fillId="4" fontId="3" numFmtId="3" xfId="0" applyAlignment="1" applyBorder="1" applyFont="1" applyNumberFormat="1">
      <alignment horizontal="right"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4" fillId="0" fontId="3" numFmtId="21" xfId="0" applyAlignment="1" applyBorder="1" applyFont="1" applyNumberForma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3" numFmtId="164" xfId="0" applyAlignment="1" applyBorder="1" applyFont="1" applyNumberFormat="1">
      <alignment vertical="bottom"/>
    </xf>
    <xf borderId="1" fillId="6" fontId="7" numFmtId="0" xfId="0" applyAlignment="1" applyBorder="1" applyFill="1" applyFont="1">
      <alignment horizontal="center" readingOrder="0" shrinkToFit="0" vertical="bottom" wrapText="1"/>
    </xf>
    <xf borderId="1" fillId="4" fontId="1" numFmtId="21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  <xf borderId="1" fillId="4" fontId="5" numFmtId="0" xfId="0" applyAlignment="1" applyBorder="1" applyFont="1">
      <alignment shrinkToFit="0" vertical="bottom" wrapText="1"/>
    </xf>
    <xf borderId="1" fillId="4" fontId="3" numFmtId="164" xfId="0" applyAlignment="1" applyBorder="1" applyFont="1" applyNumberFormat="1">
      <alignment horizontal="right" vertical="bottom"/>
    </xf>
    <xf borderId="1" fillId="7" fontId="3" numFmtId="164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1" fillId="8" fontId="7" numFmtId="0" xfId="0" applyAlignment="1" applyBorder="1" applyFill="1" applyFont="1">
      <alignment horizontal="center"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1" numFmtId="164" xfId="0" applyAlignment="1" applyBorder="1" applyFont="1" applyNumberFormat="1">
      <alignment horizontal="right" vertical="bottom"/>
    </xf>
    <xf borderId="1" fillId="4" fontId="7" numFmtId="0" xfId="0" applyAlignment="1" applyBorder="1" applyFont="1">
      <alignment horizontal="center" readingOrder="0" shrinkToFit="0" vertical="bottom" wrapText="1"/>
    </xf>
    <xf borderId="1" fillId="4" fontId="1" numFmtId="164" xfId="0" applyAlignment="1" applyBorder="1" applyFont="1" applyNumberFormat="1">
      <alignment horizontal="right" shrinkToFit="0" vertical="bottom" wrapText="1"/>
    </xf>
    <xf borderId="1" fillId="4" fontId="1" numFmtId="164" xfId="0" applyAlignment="1" applyBorder="1" applyFont="1" applyNumberFormat="1">
      <alignment horizontal="center" shrinkToFit="0" vertical="bottom" wrapText="1"/>
    </xf>
    <xf borderId="1" fillId="4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shrinkToFit="0" wrapText="1"/>
    </xf>
    <xf borderId="1" fillId="4" fontId="3" numFmtId="0" xfId="0" applyAlignment="1" applyBorder="1" applyFont="1">
      <alignment shrinkToFit="0" vertical="bottom" wrapText="1"/>
    </xf>
    <xf borderId="1" fillId="4" fontId="3" numFmtId="164" xfId="0" applyAlignment="1" applyBorder="1" applyFont="1" applyNumberFormat="1">
      <alignment horizontal="right" readingOrder="0" vertical="bottom"/>
    </xf>
    <xf borderId="1" fillId="0" fontId="3" numFmtId="21" xfId="0" applyAlignment="1" applyBorder="1" applyFont="1" applyNumberFormat="1">
      <alignment vertical="bottom"/>
    </xf>
    <xf borderId="1" fillId="7" fontId="1" numFmtId="164" xfId="0" applyAlignment="1" applyBorder="1" applyFont="1" applyNumberFormat="1">
      <alignment horizontal="right" readingOrder="0" vertical="bottom"/>
    </xf>
    <xf borderId="1" fillId="7" fontId="3" numFmtId="165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shrinkToFit="0" wrapText="1"/>
    </xf>
    <xf borderId="1" fillId="0" fontId="3" numFmtId="21" xfId="0" applyBorder="1" applyFont="1" applyNumberFormat="1"/>
    <xf borderId="1" fillId="0" fontId="3" numFmtId="3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right"/>
    </xf>
    <xf borderId="1" fillId="4" fontId="3" numFmtId="0" xfId="0" applyAlignment="1" applyBorder="1" applyFont="1">
      <alignment shrinkToFit="0" vertical="bottom" wrapText="1"/>
    </xf>
    <xf borderId="1" fillId="0" fontId="3" numFmtId="3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shrinkToFit="0" vertical="bottom" wrapText="1"/>
    </xf>
    <xf borderId="1" fillId="7" fontId="3" numFmtId="164" xfId="0" applyAlignment="1" applyBorder="1" applyFont="1" applyNumberFormat="1">
      <alignment horizontal="right" readingOrder="0" vertical="bottom"/>
    </xf>
    <xf borderId="0" fillId="4" fontId="4" numFmtId="0" xfId="0" applyAlignment="1" applyFont="1">
      <alignment horizontal="left" readingOrder="0"/>
    </xf>
    <xf borderId="1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readingOrder="0" shrinkToFit="0" vertical="bottom" wrapText="1"/>
    </xf>
    <xf borderId="6" fillId="6" fontId="7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4" fontId="1" numFmtId="0" xfId="0" applyAlignment="1" applyBorder="1" applyFont="1">
      <alignment readingOrder="0" vertical="bottom"/>
    </xf>
    <xf borderId="1" fillId="4" fontId="1" numFmtId="165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readingOrder="0" shrinkToFit="0" vertical="bottom" wrapText="1"/>
    </xf>
    <xf borderId="1" fillId="6" fontId="1" numFmtId="0" xfId="0" applyAlignment="1" applyBorder="1" applyFont="1">
      <alignment horizontal="center" readingOrder="0" vertical="bottom"/>
    </xf>
    <xf borderId="0" fillId="6" fontId="1" numFmtId="0" xfId="0" applyAlignment="1" applyFont="1">
      <alignment horizontal="center" vertical="bottom"/>
    </xf>
    <xf borderId="0" fillId="6" fontId="1" numFmtId="0" xfId="0" applyAlignment="1" applyFont="1">
      <alignment horizontal="center"/>
    </xf>
    <xf borderId="1" fillId="0" fontId="5" numFmtId="0" xfId="0" applyAlignment="1" applyBorder="1" applyFont="1">
      <alignment horizontal="left" readingOrder="0" shrinkToFit="0" vertical="bottom" wrapText="0"/>
    </xf>
    <xf borderId="2" fillId="0" fontId="5" numFmtId="21" xfId="0" applyAlignment="1" applyBorder="1" applyFont="1" applyNumberFormat="1">
      <alignment horizontal="center" shrinkToFit="0" vertical="bottom" wrapText="0"/>
    </xf>
    <xf borderId="2" fillId="5" fontId="5" numFmtId="165" xfId="0" applyAlignment="1" applyBorder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vertical="bottom"/>
    </xf>
    <xf borderId="2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horizontal="left" readingOrder="0" shrinkToFit="0" vertical="bottom" wrapText="0"/>
    </xf>
    <xf borderId="8" fillId="0" fontId="5" numFmtId="21" xfId="0" applyAlignment="1" applyBorder="1" applyFont="1" applyNumberFormat="1">
      <alignment horizontal="center" shrinkToFit="0" vertical="bottom" wrapText="0"/>
    </xf>
    <xf borderId="8" fillId="5" fontId="5" numFmtId="165" xfId="0" applyAlignment="1" applyBorder="1" applyFont="1" applyNumberFormat="1">
      <alignment horizontal="right" readingOrder="0" shrinkToFit="0" vertical="bottom" wrapText="0"/>
    </xf>
    <xf borderId="8" fillId="0" fontId="3" numFmtId="0" xfId="0" applyAlignment="1" applyBorder="1" applyFont="1">
      <alignment vertical="bottom"/>
    </xf>
    <xf borderId="0" fillId="5" fontId="3" numFmtId="165" xfId="0" applyAlignment="1" applyFont="1" applyNumberFormat="1">
      <alignment horizontal="right" readingOrder="0" vertical="bottom"/>
    </xf>
    <xf borderId="9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left" readingOrder="0" shrinkToFit="0" vertical="bottom" wrapText="0"/>
    </xf>
    <xf borderId="9" fillId="0" fontId="5" numFmtId="0" xfId="0" applyAlignment="1" applyBorder="1" applyFont="1">
      <alignment horizontal="left" readingOrder="0" shrinkToFit="0" vertical="bottom" wrapText="0"/>
    </xf>
    <xf borderId="8" fillId="4" fontId="3" numFmtId="21" xfId="0" applyAlignment="1" applyBorder="1" applyFont="1" applyNumberFormat="1">
      <alignment vertical="bottom"/>
    </xf>
    <xf borderId="7" fillId="4" fontId="3" numFmtId="0" xfId="0" applyAlignment="1" applyBorder="1" applyFont="1">
      <alignment readingOrder="0" vertical="bottom"/>
    </xf>
    <xf borderId="5" fillId="4" fontId="3" numFmtId="0" xfId="0" applyAlignment="1" applyBorder="1" applyFont="1">
      <alignment vertical="bottom"/>
    </xf>
    <xf borderId="4" fillId="4" fontId="3" numFmtId="21" xfId="0" applyAlignment="1" applyBorder="1" applyFont="1" applyNumberFormat="1">
      <alignment vertical="bottom"/>
    </xf>
    <xf borderId="4" fillId="4" fontId="3" numFmtId="165" xfId="0" applyAlignment="1" applyBorder="1" applyFont="1" applyNumberFormat="1">
      <alignment horizontal="right" vertical="bottom"/>
    </xf>
    <xf borderId="4" fillId="4" fontId="3" numFmtId="0" xfId="0" applyAlignment="1" applyBorder="1" applyFont="1">
      <alignment shrinkToFit="0" vertical="bottom" wrapText="1"/>
    </xf>
    <xf borderId="1" fillId="7" fontId="3" numFmtId="165" xfId="0" applyAlignment="1" applyBorder="1" applyFont="1" applyNumberFormat="1">
      <alignment horizontal="right" vertical="bottom"/>
    </xf>
    <xf borderId="1" fillId="7" fontId="3" numFmtId="164" xfId="0" applyAlignment="1" applyBorder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1" fillId="4" fontId="1" numFmtId="0" xfId="0" applyAlignment="1" applyBorder="1" applyFont="1">
      <alignment horizontal="center" readingOrder="0" vertical="bottom"/>
    </xf>
    <xf borderId="0" fillId="6" fontId="3" numFmtId="0" xfId="0" applyAlignment="1" applyFont="1">
      <alignment vertical="bottom"/>
    </xf>
    <xf borderId="0" fillId="6" fontId="3" numFmtId="0" xfId="0" applyFont="1"/>
    <xf borderId="1" fillId="4" fontId="1" numFmtId="164" xfId="0" applyAlignment="1" applyBorder="1" applyFont="1" applyNumberFormat="1">
      <alignment vertical="bottom"/>
    </xf>
    <xf borderId="1" fillId="4" fontId="3" numFmtId="3" xfId="0" applyAlignment="1" applyBorder="1" applyFont="1" applyNumberFormat="1">
      <alignment vertical="bottom"/>
    </xf>
    <xf borderId="0" fillId="4" fontId="3" numFmtId="3" xfId="0" applyAlignment="1" applyFont="1" applyNumberFormat="1">
      <alignment vertical="bottom"/>
    </xf>
    <xf borderId="1" fillId="6" fontId="8" numFmtId="0" xfId="0" applyAlignment="1" applyBorder="1" applyFont="1">
      <alignment horizontal="center" readingOrder="0" shrinkToFit="0" vertical="bottom" wrapText="1"/>
    </xf>
    <xf borderId="1" fillId="3" fontId="9" numFmtId="164" xfId="0" applyAlignment="1" applyBorder="1" applyFont="1" applyNumberFormat="1">
      <alignment horizontal="center" readingOrder="0" shrinkToFit="0" vertical="bottom" wrapText="0"/>
    </xf>
    <xf borderId="2" fillId="3" fontId="9" numFmtId="3" xfId="0" applyAlignment="1" applyBorder="1" applyFont="1" applyNumberFormat="1">
      <alignment horizontal="center" readingOrder="0" shrinkToFit="0" vertical="bottom" wrapText="0"/>
    </xf>
    <xf borderId="2" fillId="3" fontId="9" numFmtId="164" xfId="0" applyAlignment="1" applyBorder="1" applyFont="1" applyNumberFormat="1">
      <alignment horizontal="center" readingOrder="0" shrinkToFit="0" vertical="bottom" wrapText="0"/>
    </xf>
    <xf borderId="1" fillId="4" fontId="6" numFmtId="21" xfId="0" applyAlignment="1" applyBorder="1" applyFont="1" applyNumberFormat="1">
      <alignment vertical="bottom"/>
    </xf>
    <xf borderId="1" fillId="4" fontId="3" numFmtId="3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 shrinkToFit="0" vertical="bottom" wrapText="0"/>
    </xf>
    <xf borderId="1" fillId="0" fontId="5" numFmtId="3" xfId="0" applyAlignment="1" applyBorder="1" applyFont="1" applyNumberFormat="1">
      <alignment horizontal="right" readingOrder="0" shrinkToFit="0" vertical="bottom" wrapText="0"/>
    </xf>
    <xf borderId="1" fillId="0" fontId="5" numFmtId="164" xfId="0" applyAlignment="1" applyBorder="1" applyFont="1" applyNumberFormat="1">
      <alignment readingOrder="0" shrinkToFit="0" vertical="bottom" wrapText="0"/>
    </xf>
    <xf borderId="1" fillId="0" fontId="5" numFmtId="164" xfId="0" applyAlignment="1" applyBorder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0" fillId="4" fontId="6" numFmtId="0" xfId="0" applyAlignment="1" applyFont="1">
      <alignment vertical="bottom"/>
    </xf>
    <xf borderId="0" fillId="4" fontId="10" numFmtId="0" xfId="0" applyFont="1"/>
    <xf borderId="5" fillId="0" fontId="5" numFmtId="0" xfId="0" applyAlignment="1" applyBorder="1" applyFont="1">
      <alignment horizontal="left" readingOrder="0" shrinkToFit="0" wrapText="0"/>
    </xf>
    <xf borderId="4" fillId="0" fontId="11" numFmtId="164" xfId="0" applyAlignment="1" applyBorder="1" applyFont="1" applyNumberFormat="1">
      <alignment horizontal="center" shrinkToFit="0" wrapText="1"/>
    </xf>
    <xf borderId="4" fillId="0" fontId="11" numFmtId="164" xfId="0" applyAlignment="1" applyBorder="1" applyFont="1" applyNumberFormat="1">
      <alignment horizontal="center" readingOrder="0" shrinkToFit="0" wrapText="0"/>
    </xf>
    <xf borderId="4" fillId="4" fontId="11" numFmtId="164" xfId="0" applyAlignment="1" applyBorder="1" applyFont="1" applyNumberFormat="1">
      <alignment horizontal="center" readingOrder="0" shrinkToFit="0" wrapText="0"/>
    </xf>
    <xf borderId="4" fillId="4" fontId="11" numFmtId="0" xfId="0" applyAlignment="1" applyBorder="1" applyFont="1">
      <alignment horizontal="left" readingOrder="0"/>
    </xf>
    <xf borderId="10" fillId="0" fontId="11" numFmtId="164" xfId="0" applyAlignment="1" applyBorder="1" applyFont="1" applyNumberFormat="1">
      <alignment horizontal="center" shrinkToFit="0" wrapText="1"/>
    </xf>
    <xf borderId="0" fillId="0" fontId="6" numFmtId="164" xfId="0" applyAlignment="1" applyFont="1" applyNumberFormat="1">
      <alignment readingOrder="0" vertical="bottom"/>
    </xf>
    <xf borderId="0" fillId="0" fontId="6" numFmtId="164" xfId="0" applyAlignment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vertical="bottom"/>
    </xf>
    <xf borderId="1" fillId="0" fontId="3" numFmtId="164" xfId="0" applyAlignment="1" applyBorder="1" applyFont="1" applyNumberFormat="1">
      <alignment readingOrder="0" vertical="bottom"/>
    </xf>
    <xf borderId="1" fillId="0" fontId="3" numFmtId="164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1" fillId="9" fontId="6" numFmtId="0" xfId="0" applyAlignment="1" applyBorder="1" applyFill="1" applyFont="1">
      <alignment horizontal="center" vertical="bottom"/>
    </xf>
    <xf borderId="1" fillId="9" fontId="6" numFmtId="1" xfId="0" applyAlignment="1" applyBorder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6" numFmtId="1" xfId="0" applyAlignment="1" applyFont="1" applyNumberFormat="1">
      <alignment vertical="bottom"/>
    </xf>
    <xf borderId="1" fillId="10" fontId="6" numFmtId="0" xfId="0" applyAlignment="1" applyBorder="1" applyFill="1" applyFont="1">
      <alignment vertical="bottom"/>
    </xf>
    <xf borderId="1" fillId="10" fontId="6" numFmtId="0" xfId="0" applyAlignment="1" applyBorder="1" applyFont="1">
      <alignment horizontal="center" vertical="bottom"/>
    </xf>
    <xf borderId="1" fillId="10" fontId="6" numFmtId="0" xfId="0" applyAlignment="1" applyBorder="1" applyFont="1">
      <alignment horizontal="center" readingOrder="0" vertical="bottom"/>
    </xf>
    <xf borderId="1" fillId="10" fontId="6" numFmtId="1" xfId="0" applyAlignment="1" applyBorder="1" applyFont="1" applyNumberFormat="1">
      <alignment horizontal="center" vertical="bottom"/>
    </xf>
    <xf borderId="1" fillId="11" fontId="6" numFmtId="0" xfId="0" applyAlignment="1" applyBorder="1" applyFill="1" applyFont="1">
      <alignment vertical="bottom"/>
    </xf>
    <xf borderId="1" fillId="11" fontId="6" numFmtId="0" xfId="0" applyAlignment="1" applyBorder="1" applyFont="1">
      <alignment horizontal="center" readingOrder="0" vertical="bottom"/>
    </xf>
    <xf borderId="1" fillId="11" fontId="6" numFmtId="0" xfId="0" applyAlignment="1" applyBorder="1" applyFont="1">
      <alignment horizontal="center" vertical="bottom"/>
    </xf>
    <xf borderId="1" fillId="11" fontId="6" numFmtId="1" xfId="0" applyAlignment="1" applyBorder="1" applyFont="1" applyNumberFormat="1">
      <alignment horizontal="center" vertical="bottom"/>
    </xf>
    <xf borderId="1" fillId="11" fontId="6" numFmtId="1" xfId="0" applyAlignment="1" applyBorder="1" applyFont="1" applyNumberFormat="1">
      <alignment vertical="bottom"/>
    </xf>
    <xf borderId="1" fillId="11" fontId="6" numFmtId="0" xfId="0" applyAlignment="1" applyBorder="1" applyFont="1">
      <alignment readingOrder="0" vertical="bottom"/>
    </xf>
    <xf borderId="1" fillId="11" fontId="13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readingOrder="0" shrinkToFit="0" wrapText="0"/>
    </xf>
    <xf borderId="0" fillId="0" fontId="10" numFmtId="0" xfId="0" applyAlignment="1" applyFont="1">
      <alignment horizontal="center"/>
    </xf>
    <xf borderId="0" fillId="0" fontId="10" numFmtId="3" xfId="0" applyFont="1" applyNumberFormat="1"/>
    <xf borderId="11" fillId="4" fontId="5" numFmtId="0" xfId="0" applyAlignment="1" applyBorder="1" applyFont="1">
      <alignment horizontal="left" shrinkToFit="0" vertical="bottom" wrapText="0"/>
    </xf>
    <xf borderId="11" fillId="4" fontId="17" numFmtId="0" xfId="0" applyAlignment="1" applyBorder="1" applyFont="1">
      <alignment horizontal="center" shrinkToFit="0" vertical="bottom" wrapText="0"/>
    </xf>
    <xf borderId="12" fillId="4" fontId="18" numFmtId="0" xfId="0" applyAlignment="1" applyBorder="1" applyFont="1">
      <alignment horizontal="left" readingOrder="0" shrinkToFit="0" wrapText="0"/>
    </xf>
    <xf borderId="13" fillId="0" fontId="19" numFmtId="0" xfId="0" applyBorder="1" applyFont="1"/>
    <xf borderId="14" fillId="0" fontId="19" numFmtId="0" xfId="0" applyBorder="1" applyFont="1"/>
    <xf borderId="11" fillId="4" fontId="5" numFmtId="3" xfId="0" applyAlignment="1" applyBorder="1" applyFont="1" applyNumberFormat="1">
      <alignment shrinkToFit="0" vertical="bottom" wrapText="0"/>
    </xf>
    <xf borderId="11" fillId="4" fontId="5" numFmtId="0" xfId="0" applyAlignment="1" applyBorder="1" applyFont="1">
      <alignment shrinkToFit="0" vertical="bottom" wrapText="0"/>
    </xf>
    <xf borderId="11" fillId="4" fontId="20" numFmtId="0" xfId="0" applyAlignment="1" applyBorder="1" applyFont="1">
      <alignment shrinkToFit="0" wrapText="0"/>
    </xf>
    <xf borderId="11" fillId="4" fontId="20" numFmtId="0" xfId="0" applyAlignment="1" applyBorder="1" applyFont="1">
      <alignment horizontal="center" shrinkToFit="0" wrapText="0"/>
    </xf>
    <xf borderId="11" fillId="4" fontId="20" numFmtId="3" xfId="0" applyAlignment="1" applyBorder="1" applyFont="1" applyNumberFormat="1">
      <alignment shrinkToFit="0" wrapText="0"/>
    </xf>
    <xf borderId="11" fillId="4" fontId="21" numFmtId="0" xfId="0" applyAlignment="1" applyBorder="1" applyFont="1">
      <alignment horizontal="left" readingOrder="0" shrinkToFit="0" wrapText="0"/>
    </xf>
    <xf borderId="11" fillId="4" fontId="20" numFmtId="0" xfId="0" applyAlignment="1" applyBorder="1" applyFont="1">
      <alignment horizontal="right" readingOrder="0" shrinkToFit="0" wrapText="0"/>
    </xf>
    <xf borderId="11" fillId="4" fontId="20" numFmtId="0" xfId="0" applyAlignment="1" applyBorder="1" applyFont="1">
      <alignment horizontal="center" readingOrder="0" shrinkToFit="0" wrapText="0"/>
    </xf>
    <xf borderId="11" fillId="4" fontId="20" numFmtId="0" xfId="0" applyAlignment="1" applyBorder="1" applyFont="1">
      <alignment horizontal="left" shrinkToFit="0" wrapText="0"/>
    </xf>
    <xf borderId="11" fillId="4" fontId="22" numFmtId="0" xfId="0" applyAlignment="1" applyBorder="1" applyFont="1">
      <alignment readingOrder="0" shrinkToFit="0" wrapText="0"/>
    </xf>
    <xf borderId="12" fillId="0" fontId="3" numFmtId="0" xfId="0" applyAlignment="1" applyBorder="1" applyFont="1">
      <alignment horizontal="center" readingOrder="0" shrinkToFit="0" wrapText="0"/>
    </xf>
    <xf borderId="11" fillId="4" fontId="23" numFmtId="3" xfId="0" applyAlignment="1" applyBorder="1" applyFont="1" applyNumberFormat="1">
      <alignment horizontal="left" shrinkToFit="0" wrapText="0"/>
    </xf>
    <xf borderId="11" fillId="4" fontId="20" numFmtId="0" xfId="0" applyAlignment="1" applyBorder="1" applyFont="1">
      <alignment horizontal="right" shrinkToFit="0" wrapText="0"/>
    </xf>
    <xf borderId="11" fillId="4" fontId="20" numFmtId="3" xfId="0" applyAlignment="1" applyBorder="1" applyFont="1" applyNumberFormat="1">
      <alignment readingOrder="0" shrinkToFit="0" wrapText="0"/>
    </xf>
    <xf borderId="11" fillId="4" fontId="21" numFmtId="0" xfId="0" applyAlignment="1" applyBorder="1" applyFont="1">
      <alignment horizontal="right" readingOrder="0" shrinkToFit="0" wrapText="0"/>
    </xf>
    <xf borderId="11" fillId="4" fontId="21" numFmtId="0" xfId="0" applyAlignment="1" applyBorder="1" applyFont="1">
      <alignment shrinkToFit="0" wrapText="0"/>
    </xf>
    <xf borderId="11" fillId="4" fontId="21" numFmtId="3" xfId="0" applyAlignment="1" applyBorder="1" applyFont="1" applyNumberFormat="1">
      <alignment readingOrder="0" shrinkToFit="0" wrapText="0"/>
    </xf>
    <xf borderId="11" fillId="4" fontId="22" numFmtId="0" xfId="0" applyAlignment="1" applyBorder="1" applyFont="1">
      <alignment readingOrder="0"/>
    </xf>
    <xf borderId="12" fillId="4" fontId="5" numFmtId="0" xfId="0" applyAlignment="1" applyBorder="1" applyFont="1">
      <alignment shrinkToFit="0" vertical="bottom" wrapText="0"/>
    </xf>
    <xf borderId="1" fillId="3" fontId="9" numFmtId="0" xfId="0" applyAlignment="1" applyBorder="1" applyFont="1">
      <alignment horizontal="center" readingOrder="0" shrinkToFit="0" vertical="bottom" wrapText="0"/>
    </xf>
    <xf borderId="2" fillId="3" fontId="9" numFmtId="0" xfId="0" applyAlignment="1" applyBorder="1" applyFont="1">
      <alignment horizontal="center" readingOrder="0" shrinkToFit="0" vertical="bottom" wrapText="0"/>
    </xf>
    <xf borderId="1" fillId="4" fontId="6" numFmtId="0" xfId="0" applyAlignment="1" applyBorder="1" applyFont="1">
      <alignment horizontal="center" readingOrder="0" vertical="bottom"/>
    </xf>
    <xf borderId="1" fillId="4" fontId="3" numFmtId="3" xfId="0" applyAlignment="1" applyBorder="1" applyFont="1" applyNumberFormat="1">
      <alignment horizontal="center" readingOrder="0" vertical="bottom"/>
    </xf>
    <xf borderId="1" fillId="4" fontId="6" numFmtId="3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3" xfId="0" applyAlignment="1" applyBorder="1" applyFont="1" applyNumberFormat="1">
      <alignment shrinkToFit="0" vertical="bottom" wrapText="1"/>
    </xf>
    <xf borderId="5" fillId="4" fontId="11" numFmtId="0" xfId="0" applyAlignment="1" applyBorder="1" applyFont="1">
      <alignment horizontal="left" readingOrder="0" shrinkToFit="0" wrapText="0"/>
    </xf>
    <xf borderId="4" fillId="4" fontId="11" numFmtId="0" xfId="0" applyAlignment="1" applyBorder="1" applyFont="1">
      <alignment horizontal="center" shrinkToFit="0" wrapText="0"/>
    </xf>
    <xf borderId="4" fillId="4" fontId="11" numFmtId="3" xfId="0" applyAlignment="1" applyBorder="1" applyFont="1" applyNumberFormat="1">
      <alignment horizontal="center" readingOrder="0" shrinkToFit="0" wrapText="0"/>
    </xf>
    <xf borderId="4" fillId="4" fontId="11" numFmtId="0" xfId="0" applyAlignment="1" applyBorder="1" applyFont="1">
      <alignment horizontal="left" readingOrder="0" vertical="bottom"/>
    </xf>
    <xf borderId="11" fillId="4" fontId="21" numFmtId="0" xfId="0" applyAlignment="1" applyBorder="1" applyFont="1">
      <alignment shrinkToFit="0" vertical="bottom" wrapText="0"/>
    </xf>
    <xf borderId="11" fillId="4" fontId="24" numFmtId="0" xfId="0" applyAlignment="1" applyBorder="1" applyFont="1">
      <alignment horizontal="center" shrinkToFit="0" vertical="bottom" wrapText="0"/>
    </xf>
    <xf borderId="11" fillId="4" fontId="21" numFmtId="3" xfId="0" applyAlignment="1" applyBorder="1" applyFont="1" applyNumberFormat="1">
      <alignment horizontal="center" shrinkToFit="0" vertical="bottom" wrapText="0"/>
    </xf>
    <xf borderId="11" fillId="4" fontId="11" numFmtId="3" xfId="0" applyAlignment="1" applyBorder="1" applyFont="1" applyNumberFormat="1">
      <alignment horizontal="center" readingOrder="0" shrinkToFit="0" wrapText="0"/>
    </xf>
    <xf borderId="11" fillId="4" fontId="25" numFmtId="0" xfId="0" applyAlignment="1" applyBorder="1" applyFont="1">
      <alignment shrinkToFit="0" vertical="bottom" wrapText="0"/>
    </xf>
    <xf borderId="1" fillId="4" fontId="3" numFmtId="165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shrinkToFit="0" vertical="bottom" wrapText="1"/>
    </xf>
    <xf borderId="5" fillId="4" fontId="11" numFmtId="0" xfId="0" applyAlignment="1" applyBorder="1" applyFont="1">
      <alignment horizontal="left" readingOrder="0"/>
    </xf>
    <xf borderId="4" fillId="4" fontId="11" numFmtId="0" xfId="0" applyAlignment="1" applyBorder="1" applyFont="1">
      <alignment horizontal="center" readingOrder="0"/>
    </xf>
    <xf borderId="4" fillId="4" fontId="11" numFmtId="3" xfId="0" applyAlignment="1" applyBorder="1" applyFont="1" applyNumberFormat="1">
      <alignment horizontal="center" readingOrder="0"/>
    </xf>
    <xf borderId="4" fillId="4" fontId="11" numFmtId="165" xfId="0" applyAlignment="1" applyBorder="1" applyFont="1" applyNumberFormat="1">
      <alignment horizontal="center" readingOrder="0" shrinkToFit="0" wrapText="0"/>
    </xf>
    <xf borderId="1" fillId="4" fontId="3" numFmtId="165" xfId="0" applyAlignment="1" applyBorder="1" applyFont="1" applyNumberFormat="1">
      <alignment horizontal="center" readingOrder="0" shrinkToFit="0" vertical="bottom" wrapText="1"/>
    </xf>
    <xf borderId="0" fillId="4" fontId="6" numFmtId="164" xfId="0" applyAlignment="1" applyFont="1" applyNumberFormat="1">
      <alignment vertical="bottom"/>
    </xf>
    <xf borderId="1" fillId="4" fontId="6" numFmtId="164" xfId="0" applyAlignment="1" applyBorder="1" applyFont="1" applyNumberFormat="1">
      <alignment readingOrder="0" vertical="bottom"/>
    </xf>
    <xf borderId="4" fillId="0" fontId="6" numFmtId="3" xfId="0" applyAlignment="1" applyBorder="1" applyFont="1" applyNumberFormat="1">
      <alignment vertical="bottom"/>
    </xf>
    <xf borderId="4" fillId="0" fontId="6" numFmtId="164" xfId="0" applyAlignment="1" applyBorder="1" applyFont="1" applyNumberFormat="1">
      <alignment vertical="bottom"/>
    </xf>
    <xf borderId="4" fillId="0" fontId="6" numFmtId="164" xfId="0" applyAlignment="1" applyBorder="1" applyFont="1" applyNumberFormat="1">
      <alignment readingOrder="0" vertical="bottom"/>
    </xf>
    <xf borderId="6" fillId="0" fontId="3" numFmtId="0" xfId="0" applyAlignment="1" applyBorder="1" applyFont="1">
      <alignment readingOrder="0" vertical="bottom"/>
    </xf>
    <xf borderId="2" fillId="4" fontId="6" numFmtId="3" xfId="0" applyAlignment="1" applyBorder="1" applyFont="1" applyNumberFormat="1">
      <alignment vertical="bottom"/>
    </xf>
    <xf borderId="2" fillId="4" fontId="6" numFmtId="164" xfId="0" applyAlignment="1" applyBorder="1" applyFont="1" applyNumberFormat="1">
      <alignment vertical="bottom"/>
    </xf>
    <xf borderId="8" fillId="4" fontId="11" numFmtId="0" xfId="0" applyAlignment="1" applyBorder="1" applyFont="1">
      <alignment horizontal="left" shrinkToFit="0" wrapText="0"/>
    </xf>
    <xf borderId="11" fillId="4" fontId="11" numFmtId="0" xfId="0" applyAlignment="1" applyBorder="1" applyFont="1">
      <alignment horizontal="center" shrinkToFit="0" wrapText="0"/>
    </xf>
    <xf borderId="11" fillId="4" fontId="11" numFmtId="3" xfId="0" applyAlignment="1" applyBorder="1" applyFont="1" applyNumberFormat="1">
      <alignment horizontal="center" shrinkToFit="0" wrapText="0"/>
    </xf>
    <xf borderId="11" fillId="4" fontId="11" numFmtId="165" xfId="0" applyAlignment="1" applyBorder="1" applyFont="1" applyNumberFormat="1">
      <alignment horizontal="center" shrinkToFit="0" wrapText="0"/>
    </xf>
    <xf borderId="11" fillId="4" fontId="11" numFmtId="165" xfId="0" applyAlignment="1" applyBorder="1" applyFont="1" applyNumberFormat="1">
      <alignment horizontal="center" readingOrder="0" shrinkToFit="0" wrapText="0"/>
    </xf>
    <xf borderId="11" fillId="4" fontId="11" numFmtId="0" xfId="0" applyAlignment="1" applyBorder="1" applyFont="1">
      <alignment horizontal="left"/>
    </xf>
    <xf borderId="2" fillId="3" fontId="9" numFmtId="165" xfId="0" applyAlignment="1" applyBorder="1" applyFont="1" applyNumberFormat="1">
      <alignment horizontal="center" readingOrder="0" shrinkToFit="0" vertical="bottom" wrapText="0"/>
    </xf>
    <xf borderId="4" fillId="4" fontId="11" numFmtId="165" xfId="0" applyAlignment="1" applyBorder="1" applyFont="1" applyNumberFormat="1">
      <alignment horizontal="center" readingOrder="0"/>
    </xf>
    <xf borderId="5" fillId="0" fontId="11" numFmtId="0" xfId="0" applyAlignment="1" applyBorder="1" applyFont="1">
      <alignment horizontal="left" readingOrder="0" shrinkToFit="0" wrapText="0"/>
    </xf>
    <xf borderId="1" fillId="4" fontId="9" numFmtId="0" xfId="0" applyAlignment="1" applyBorder="1" applyFont="1">
      <alignment horizontal="right" readingOrder="0" shrinkToFit="0" wrapText="0"/>
    </xf>
    <xf borderId="15" fillId="4" fontId="11" numFmtId="0" xfId="0" applyAlignment="1" applyBorder="1" applyFont="1">
      <alignment horizontal="center" shrinkToFit="0" wrapText="0"/>
    </xf>
    <xf borderId="15" fillId="4" fontId="11" numFmtId="0" xfId="0" applyAlignment="1" applyBorder="1" applyFont="1">
      <alignment horizontal="center" shrinkToFit="0" vertical="bottom" wrapText="0"/>
    </xf>
    <xf borderId="15" fillId="4" fontId="11" numFmtId="3" xfId="0" applyAlignment="1" applyBorder="1" applyFont="1" applyNumberFormat="1">
      <alignment horizontal="center" shrinkToFit="0" vertical="bottom" wrapText="0"/>
    </xf>
    <xf borderId="15" fillId="4" fontId="11" numFmtId="0" xfId="0" applyAlignment="1" applyBorder="1" applyFont="1">
      <alignment horizontal="right" shrinkToFit="0" vertical="bottom" wrapText="0"/>
    </xf>
    <xf borderId="2" fillId="4" fontId="11" numFmtId="3" xfId="0" applyAlignment="1" applyBorder="1" applyFont="1" applyNumberFormat="1">
      <alignment horizontal="right" readingOrder="0" shrinkToFit="0" vertical="bottom" wrapText="0"/>
    </xf>
    <xf borderId="11" fillId="4" fontId="9" numFmtId="0" xfId="0" applyAlignment="1" applyBorder="1" applyFont="1">
      <alignment horizontal="left" readingOrder="0" shrinkToFit="0" vertical="bottom" wrapText="0"/>
    </xf>
    <xf borderId="7" fillId="4" fontId="9" numFmtId="0" xfId="0" applyAlignment="1" applyBorder="1" applyFont="1">
      <alignment horizontal="right" readingOrder="0" shrinkToFit="0" vertical="bottom" wrapText="0"/>
    </xf>
    <xf borderId="11" fillId="4" fontId="11" numFmtId="0" xfId="0" applyAlignment="1" applyBorder="1" applyFont="1">
      <alignment horizontal="center" shrinkToFit="0" vertical="bottom" wrapText="0"/>
    </xf>
    <xf borderId="11" fillId="4" fontId="11" numFmtId="3" xfId="0" applyAlignment="1" applyBorder="1" applyFont="1" applyNumberFormat="1">
      <alignment horizontal="center" shrinkToFit="0" vertical="bottom" wrapText="0"/>
    </xf>
    <xf borderId="11" fillId="4" fontId="11" numFmtId="0" xfId="0" applyAlignment="1" applyBorder="1" applyFont="1">
      <alignment horizontal="right" shrinkToFit="0" vertical="bottom" wrapText="0"/>
    </xf>
    <xf borderId="8" fillId="4" fontId="11" numFmtId="3" xfId="0" applyAlignment="1" applyBorder="1" applyFont="1" applyNumberFormat="1">
      <alignment horizontal="right" readingOrder="0" shrinkToFit="0" vertical="bottom" wrapText="0"/>
    </xf>
    <xf borderId="11" fillId="4" fontId="11" numFmtId="0" xfId="0" applyAlignment="1" applyBorder="1" applyFont="1">
      <alignment shrinkToFit="0" vertical="bottom" wrapText="0"/>
    </xf>
    <xf borderId="1" fillId="12" fontId="9" numFmtId="0" xfId="0" applyAlignment="1" applyBorder="1" applyFill="1" applyFont="1">
      <alignment horizontal="right" readingOrder="0" shrinkToFit="0" vertical="bottom" wrapText="0"/>
    </xf>
    <xf borderId="15" fillId="12" fontId="9" numFmtId="0" xfId="0" applyAlignment="1" applyBorder="1" applyFont="1">
      <alignment horizontal="center" shrinkToFit="0" vertical="bottom" wrapText="0"/>
    </xf>
    <xf borderId="15" fillId="12" fontId="9" numFmtId="3" xfId="0" applyAlignment="1" applyBorder="1" applyFont="1" applyNumberFormat="1">
      <alignment horizontal="center" shrinkToFit="0" vertical="bottom" wrapText="0"/>
    </xf>
    <xf borderId="15" fillId="12" fontId="9" numFmtId="0" xfId="0" applyAlignment="1" applyBorder="1" applyFont="1">
      <alignment horizontal="right" shrinkToFit="0" vertical="bottom" wrapText="0"/>
    </xf>
    <xf borderId="2" fillId="12" fontId="9" numFmtId="3" xfId="0" applyAlignment="1" applyBorder="1" applyFont="1" applyNumberFormat="1">
      <alignment horizontal="right" readingOrder="0" shrinkToFit="0" vertical="bottom" wrapText="0"/>
    </xf>
    <xf borderId="11" fillId="4" fontId="26" numFmtId="0" xfId="0" applyAlignment="1" applyBorder="1" applyFont="1">
      <alignment horizontal="left" readingOrder="0" shrinkToFit="0" wrapText="0"/>
    </xf>
    <xf borderId="11" fillId="4" fontId="11" numFmtId="0" xfId="0" applyAlignment="1" applyBorder="1" applyFont="1">
      <alignment shrinkToFit="0" wrapText="0"/>
    </xf>
    <xf borderId="11" fillId="4" fontId="11" numFmtId="3" xfId="0" applyAlignment="1" applyBorder="1" applyFont="1" applyNumberFormat="1">
      <alignment shrinkToFit="0" wrapText="0"/>
    </xf>
    <xf borderId="12" fillId="4" fontId="27" numFmtId="0" xfId="0" applyAlignment="1" applyBorder="1" applyFont="1">
      <alignment horizontal="left" readingOrder="0" shrinkToFit="0" wrapText="1"/>
    </xf>
    <xf borderId="14" fillId="4" fontId="27" numFmtId="0" xfId="0" applyAlignment="1" applyBorder="1" applyFont="1">
      <alignment horizontal="left" readingOrder="0" shrinkToFit="0" wrapText="0"/>
    </xf>
    <xf borderId="13" fillId="4" fontId="27" numFmtId="0" xfId="0" applyAlignment="1" applyBorder="1" applyFont="1">
      <alignment horizontal="left" readingOrder="0" shrinkToFit="0" wrapText="0"/>
    </xf>
    <xf borderId="11" fillId="4" fontId="9" numFmtId="0" xfId="0" applyAlignment="1" applyBorder="1" applyFont="1">
      <alignment readingOrder="0" shrinkToFit="0" wrapText="0"/>
    </xf>
    <xf borderId="11" fillId="4" fontId="11" numFmtId="3" xfId="0" applyAlignment="1" applyBorder="1" applyFont="1" applyNumberFormat="1">
      <alignment shrinkToFit="0" vertical="bottom" wrapText="0"/>
    </xf>
    <xf borderId="11" fillId="4" fontId="11" numFmtId="3" xfId="0" applyAlignment="1" applyBorder="1" applyFont="1" applyNumberFormat="1">
      <alignment horizontal="left" shrinkToFit="0" wrapText="0"/>
    </xf>
    <xf borderId="12" fillId="4" fontId="11" numFmtId="0" xfId="0" applyAlignment="1" applyBorder="1" applyFont="1">
      <alignment horizontal="left" readingOrder="0" shrinkToFit="0" wrapText="0"/>
    </xf>
    <xf borderId="11" fillId="4" fontId="11" numFmtId="0" xfId="0" applyAlignment="1" applyBorder="1" applyFont="1">
      <alignment horizontal="left" readingOrder="0" shrinkToFit="0" wrapText="0"/>
    </xf>
    <xf borderId="11" fillId="4" fontId="11" numFmtId="0" xfId="0" applyAlignment="1" applyBorder="1" applyFont="1">
      <alignment horizontal="center" readingOrder="0" shrinkToFit="0" vertical="bottom" wrapText="0"/>
    </xf>
    <xf borderId="11" fillId="4" fontId="9" numFmtId="0" xfId="0" applyAlignment="1" applyBorder="1" applyFont="1">
      <alignment readingOrder="0" shrinkToFit="0" vertical="bottom" wrapText="0"/>
    </xf>
    <xf borderId="11" fillId="4" fontId="11" numFmtId="0" xfId="0" applyAlignment="1" applyBorder="1" applyFont="1">
      <alignment readingOrder="0" shrinkToFit="0" vertical="bottom" wrapText="0"/>
    </xf>
    <xf borderId="11" fillId="4" fontId="11" numFmtId="0" xfId="0" applyAlignment="1" applyBorder="1" applyFont="1">
      <alignment horizontal="center" readingOrder="0" shrinkToFit="0" wrapText="0"/>
    </xf>
    <xf borderId="12" fillId="4" fontId="11" numFmtId="0" xfId="0" applyAlignment="1" applyBorder="1" applyFont="1">
      <alignment horizontal="center" readingOrder="0" shrinkToFit="0" wrapText="0"/>
    </xf>
    <xf borderId="11" fillId="4" fontId="11" numFmtId="0" xfId="0" applyAlignment="1" applyBorder="1" applyFont="1">
      <alignment readingOrder="0" shrinkToFit="0" wrapText="0"/>
    </xf>
    <xf borderId="12" fillId="0" fontId="28" numFmtId="0" xfId="0" applyAlignment="1" applyBorder="1" applyFont="1">
      <alignment readingOrder="0" shrinkToFit="0" wrapText="0"/>
    </xf>
    <xf borderId="12" fillId="4" fontId="11" numFmtId="0" xfId="0" applyAlignment="1" applyBorder="1" applyFont="1">
      <alignment readingOrder="0" shrinkToFit="0" vertical="bottom" wrapText="0"/>
    </xf>
    <xf borderId="12" fillId="0" fontId="20" numFmtId="0" xfId="0" applyAlignment="1" applyBorder="1" applyFont="1">
      <alignment horizontal="center" readingOrder="0" shrinkToFit="0" vertical="bottom" wrapText="0"/>
    </xf>
    <xf borderId="12" fillId="4" fontId="5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EF SF Lodge" id="{47002398-d98a-4567-8fc8-3496eafa710c}" providerId="google-sheets"/>
  <x18tc:person displayName="Matias Correa" id="{4710aeb8-8125-437c-87b7-b783dbb5d77d}" providerId="google-sheets"/>
  <x18tc:person displayName="Sebastián Correa" id="{8ce58e77-7e77-40d8-b79f-a8c3816b52fd}" providerId="google-sheets"/>
  <x18tc:person displayName="Comedores y Salones San Francisco Lodge" id="{bbf4d643-6c8b-4fa4-8f38-fb35fd4f68d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8" dT="2025-04-01T21:17:33.00" personId="{4710aeb8-8125-437c-87b7-b783dbb5d77d}" id="{75c51d5a-71c0-48cc-ab8a-418f6dbaef8d}" done="1">
    <x18tc:text xml:space="preserve">alhorno?</x18tc:text>
  </x18tc:threadedComment>
  <x18tc:threadedComment ref="A44" dT="2025-05-28T22:19:55.00" personId="{4710aeb8-8125-437c-87b7-b783dbb5d77d}" id="{4b7cca99-3cd4-4684-9428-e405fc5a49bb}" done="1">
    <x18tc:text xml:space="preserve">Falta Precio Fogon ($100.000)</x18tc:text>
  </x18tc:threadedComment>
  <x18tc:threadedComment ref="G31" dT="2025-01-03T21:39:39.00" personId="{4710aeb8-8125-437c-87b7-b783dbb5d77d}" id="{4356150a-9e6d-421e-9437-f57f8a6e26a9}" done="1">
    <x18tc:text xml:space="preserve">Poner 1 top de masa de hoja, 1 mini muffin o 1 galleta</x18tc:text>
  </x18tc:threadedComment>
  <x18tc:threadedComment ref="A58" dT="2025-05-30T16:05:55.00" personId="{bbf4d643-6c8b-4fa4-8f38-fb35fd4f68d5}" id="{d56947ee-147d-47a1-9dde-5ced77abefef}" done="1">
    <x18tc:text xml:space="preserve">agrgar ticket de cerveza</x18tc:text>
  </x18tc:threadedComment>
  <x18tc:threadedComment ref="A1" dT="2025-05-09T13:31:23.00" personId="{47002398-d98a-4567-8fc8-3496eafa710c}" id="{017b53d8-2351-41e9-b13d-3b9fc7adf795}" done="1">
    <x18tc:text xml:space="preserve">tenemos la actividad de la pizza (se elimina este ?)</x18tc:text>
  </x18tc:threadedComment>
  <x18tc:threadedComment ref="G97" dT="2025-04-04T15:34:52.00" personId="{4710aeb8-8125-437c-87b7-b783dbb5d77d}" id="{7c9b88b7-2ca5-4c01-9016-9d862be31103}" done="1">
    <x18tc:text xml:space="preserve">eliminar lomito</x18tc:text>
  </x18tc:threadedComment>
  <x18tc:threadedComment ref="G118" dT="2025-04-01T21:22:44.00" personId="{4710aeb8-8125-437c-87b7-b783dbb5d77d}" id="{8adb33ef-7d3c-4873-8d8e-37e11c3c3af8}" done="0">
    <x18tc:text xml:space="preserve">Bizcocho de vainilla relleno de dulce de leche y nuez, cubierta con crema chantilly</x18tc:text>
  </x18tc:threadedComment>
  <x18tc:threadedComment ref="A58" dT="2025-05-30T16:05:12.00" personId="{bbf4d643-6c8b-4fa4-8f38-fb35fd4f68d5}" id="{2055b566-721f-4b2b-b55e-efeb49764e8b}" done="1">
    <x18tc:text xml:space="preserve">agregar ticket de cerveza</x18tc:text>
  </x18tc:threadedComment>
  <x18tc:threadedComment ref="G116" dT="2025-04-01T21:20:28.00" personId="{4710aeb8-8125-437c-87b7-b783dbb5d77d}" id="{ba902dcf-e3e4-428d-88a8-b4411680a84b}" done="1">
    <x18tc:text xml:space="preserve">bizcocho de zanahoria*</x18tc:text>
  </x18tc:threadedComment>
  <x18tc:threadedComment ref="A1" dT="2024-12-10T19:52:05.00" personId="{8ce58e77-7e77-40d8-b79f-a8c3816b52fd}" id="{f09ed3bd-2b8c-4a6c-9cb4-41bd35f28aa4}" done="1">
    <x18tc:text xml:space="preserve">no hay claridad del espacio fisico del karaoke o dj incluyendo el salon</x18tc:text>
  </x18tc:threadedComment>
  <x18tc:threadedComment ref="G70" dT="2024-12-16T20:09:52.00" personId="{4710aeb8-8125-437c-87b7-b783dbb5d77d}" id="{b6493923-83e4-44e2-a26a-86c02a59d3f6}" done="1">
    <x18tc:text xml:space="preserve">o agua</x18tc:text>
  </x18tc:threadedComment>
  <x18tc:threadedComment ref="G107" dT="2025-06-10T18:08:36.00" personId="{47002398-d98a-4567-8fc8-3496eafa710c}" id="{3dd7ba62-8282-4acc-bce2-5ed808e0a388}" done="1">
    <x18tc:text xml:space="preserve">SE REPITE MIX DE QUESOS</x18tc:text>
  </x18tc:threadedComment>
  <x18tc:threadedComment ref="A1" dT="2024-12-14T16:15:56.00" personId="{4710aeb8-8125-437c-87b7-b783dbb5d77d}" id="{25585dde-b5ff-4756-b2b3-0e17fd00d9e5}" done="1">
    <x18tc:text xml:space="preserve">SAHNE NUSS</x18tc:text>
  </x18tc:threadedComment>
  <x18tc:threadedComment ref="B58" dT="2025-05-30T16:06:09.00" personId="{bbf4d643-6c8b-4fa4-8f38-fb35fd4f68d5}" id="{4ae3d6b3-3170-4aab-a5b6-d4ff14f76a51}" done="1">
    <x18tc:text xml:space="preserve">agregar fogon</x18tc:text>
  </x18tc:threadedComment>
  <x18tc:threadedComment ref="A1" dT="2025-04-01T21:09:39.00" personId="{4710aeb8-8125-437c-87b7-b783dbb5d77d}" id="{6b2d2cf1-f0a3-423e-8f88-4cdcc0b782b7}" done="1">
    <x18tc:text xml:space="preserve">La carne la hace el hotel no el evento</x18tc:text>
  </x18tc:threadedComment>
  <x18tc:threadedComment ref="G90" dT="2025-04-01T21:06:57.00" personId="{4710aeb8-8125-437c-87b7-b783dbb5d77d}" id="{68051f6a-9aa0-4ba6-a02f-e00913550392}" done="1">
    <x18tc:text xml:space="preserve">Viernes de hambuurguesas</x18tc:text>
  </x18tc:threadedComment>
  <x18tc:threadedComment ref="A58" dT="2025-05-30T16:04:35.00" personId="{bbf4d643-6c8b-4fa4-8f38-fb35fd4f68d5}" id="{12a6971b-00dd-4f9e-8512-4a745967c780}" done="1">
    <x18tc:text xml:space="preserve">agregar ticket de cerveza</x18tc:text>
  </x18tc:threadedComment>
  <x18tc:threadedComment ref="A58" dT="2025-05-30T16:04:52.00" personId="{bbf4d643-6c8b-4fa4-8f38-fb35fd4f68d5}" id="{466a6461-3c54-4b8f-bd2e-e67fd4716003}" parentId="{12a6971b-00dd-4f9e-8512-4a745967c780}">
    <x18tc:text xml:space="preserve">agregar precio de fogon
Marcado como resuelto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" dT="2024-12-16T19:42:18.00" personId="{4710aeb8-8125-437c-87b7-b783dbb5d77d}" id="{2dbd5642-1b4c-4cb4-89f0-e79330c376b7}" done="1">
    <x18tc:text xml:space="preserve">max 37 apretado</x18tc:text>
  </x18tc:threadedComment>
  <x18tc:threadedComment ref="E4" dT="2024-12-16T19:42:07.00" personId="{4710aeb8-8125-437c-87b7-b783dbb5d77d}" id="{519e725f-ccb4-4276-b0cd-2b1e1ffc4a1e}" done="1">
    <x18tc:text xml:space="preserve">max 37 apretado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" dT="2024-12-14T16:14:16.00" personId="{4710aeb8-8125-437c-87b7-b783dbb5d77d}" id="{97860f59-8412-4092-966e-a8ebdacfc69a}" done="0">
    <x18tc:text xml:space="preserve">Agregar que el coffe en el salón tiene costo adicional</x18tc:text>
  </x18tc:threadedComment>
  <x18tc:threadedComment ref="G12" dT="2024-12-16T20:07:05.00" personId="{4710aeb8-8125-437c-87b7-b783dbb5d77d}" id="{ceb81b42-a521-4382-9a52-eb96dc5e1503}" done="1">
    <x18tc:text xml:space="preserve">bebida o agua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uc57bbdf4dc97ad436079d324ea2.previews.dropboxusercontent.com/p/xls_html/ACfNBgXoTzS_wolVt0iJyl--p0tOvhV_TSLbavohSaKBqipJcu22ZA1ZUv5rUI_ssP64W6lJuYgn7At_gh7jpESqMfI7ZYcmV72vQlFpcq3d_viAvE1FYmHuRiuUKA1jZXAEygft5HQZNuzG01SIA9fE5s5y2LVzyyeyLwe2xt9dTkhhis5nTpg2eX11zNBfNO1LaRJ2NGEHcSGeYRbn6o_510qnbL33E8XswQMxRIygYrWz-FtEzcxYXHjK9_vvUQ6psV3tne_5ld84uaQ0s7tIHkq7gR1RU9U2yayGYHyh1tQ3-gljxFpuyhOJtjIfPGM/p.html?is_prewarmed=true" TargetMode="External"/><Relationship Id="rId5" Type="http://schemas.openxmlformats.org/officeDocument/2006/relationships/hyperlink" Target="mailto:sf@sflodge.cl" TargetMode="External"/><Relationship Id="rId6" Type="http://schemas.openxmlformats.org/officeDocument/2006/relationships/drawing" Target="../drawings/drawing4.xml"/><Relationship Id="rId7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13"/>
    <col customWidth="1" min="2" max="2" width="20.13"/>
    <col customWidth="1" min="3" max="3" width="3.88"/>
    <col customWidth="1" min="4" max="4" width="6.13"/>
    <col customWidth="1" min="5" max="5" width="34.88"/>
    <col customWidth="1" min="6" max="6" width="8.5"/>
    <col customWidth="1" min="7" max="7" width="95.38"/>
    <col customWidth="1" min="8" max="8" width="1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  <c r="AD1" s="8"/>
    </row>
    <row r="2">
      <c r="A2" s="9" t="s">
        <v>7</v>
      </c>
      <c r="B2" s="9" t="s">
        <v>8</v>
      </c>
      <c r="C2" s="10">
        <v>1.0</v>
      </c>
      <c r="D2" s="10">
        <v>1.0</v>
      </c>
      <c r="E2" s="11">
        <f>350000*1.1</f>
        <v>385000</v>
      </c>
      <c r="F2" s="12">
        <f t="shared" ref="F2:F4" si="1">C2*D2*E2</f>
        <v>385000</v>
      </c>
      <c r="G2" s="12" t="s">
        <v>9</v>
      </c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  <c r="AD2" s="8"/>
    </row>
    <row r="3">
      <c r="A3" s="9" t="s">
        <v>10</v>
      </c>
      <c r="B3" s="9" t="s">
        <v>8</v>
      </c>
      <c r="C3" s="10">
        <v>1.0</v>
      </c>
      <c r="D3" s="10">
        <v>1.0</v>
      </c>
      <c r="E3" s="11">
        <f>300000*1.1</f>
        <v>330000</v>
      </c>
      <c r="F3" s="12">
        <f t="shared" si="1"/>
        <v>330000</v>
      </c>
      <c r="G3" s="12" t="s">
        <v>11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8"/>
    </row>
    <row r="4">
      <c r="A4" s="9" t="s">
        <v>12</v>
      </c>
      <c r="B4" s="9" t="s">
        <v>8</v>
      </c>
      <c r="C4" s="10">
        <v>1.0</v>
      </c>
      <c r="D4" s="10">
        <v>1.0</v>
      </c>
      <c r="E4" s="13">
        <f>220000*1.1</f>
        <v>242000</v>
      </c>
      <c r="F4" s="12">
        <f t="shared" si="1"/>
        <v>242000</v>
      </c>
      <c r="G4" s="12" t="s">
        <v>13</v>
      </c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8"/>
    </row>
    <row r="5">
      <c r="A5" s="14" t="s">
        <v>14</v>
      </c>
      <c r="B5" s="14" t="s">
        <v>8</v>
      </c>
      <c r="C5" s="10">
        <v>1.0</v>
      </c>
      <c r="D5" s="10">
        <v>1.0</v>
      </c>
      <c r="E5" s="15">
        <v>209000.0</v>
      </c>
      <c r="F5" s="12">
        <v>209000.0</v>
      </c>
      <c r="G5" s="12" t="s">
        <v>15</v>
      </c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8"/>
      <c r="AD5" s="18"/>
    </row>
    <row r="6">
      <c r="A6" s="9" t="s">
        <v>16</v>
      </c>
      <c r="B6" s="9" t="s">
        <v>8</v>
      </c>
      <c r="C6" s="10">
        <v>1.0</v>
      </c>
      <c r="D6" s="10">
        <v>1.0</v>
      </c>
      <c r="E6" s="11">
        <f>290000*1.1</f>
        <v>319000</v>
      </c>
      <c r="F6" s="12">
        <f t="shared" ref="F6:F7" si="2">C6*D6*E6</f>
        <v>319000</v>
      </c>
      <c r="G6" s="12" t="s">
        <v>17</v>
      </c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"/>
      <c r="AD6" s="8"/>
    </row>
    <row r="7">
      <c r="A7" s="9" t="s">
        <v>18</v>
      </c>
      <c r="B7" s="9" t="s">
        <v>8</v>
      </c>
      <c r="C7" s="10">
        <v>1.0</v>
      </c>
      <c r="D7" s="10">
        <v>1.0</v>
      </c>
      <c r="E7" s="11">
        <f>500000*1.1</f>
        <v>550000</v>
      </c>
      <c r="F7" s="12">
        <f t="shared" si="2"/>
        <v>550000</v>
      </c>
      <c r="G7" s="12" t="s">
        <v>19</v>
      </c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"/>
      <c r="AD7" s="8"/>
    </row>
    <row r="8">
      <c r="A8" s="14"/>
      <c r="B8" s="19"/>
      <c r="C8" s="10"/>
      <c r="D8" s="10"/>
      <c r="E8" s="15"/>
      <c r="F8" s="12"/>
      <c r="G8" s="20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8"/>
      <c r="AD8" s="18"/>
    </row>
    <row r="9">
      <c r="A9" s="14"/>
      <c r="B9" s="19"/>
      <c r="C9" s="10">
        <v>1.0</v>
      </c>
      <c r="D9" s="10">
        <v>1.0</v>
      </c>
      <c r="E9" s="15"/>
      <c r="F9" s="12"/>
      <c r="G9" s="20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8"/>
      <c r="AD9" s="18"/>
    </row>
    <row r="10">
      <c r="A10" s="14" t="s">
        <v>20</v>
      </c>
      <c r="B10" s="19"/>
      <c r="C10" s="10">
        <v>1.0</v>
      </c>
      <c r="D10" s="10">
        <v>1.0</v>
      </c>
      <c r="E10" s="15">
        <v>150000.0</v>
      </c>
      <c r="F10" s="12">
        <f t="shared" ref="F10:F12" si="3">C10*D10*E10</f>
        <v>150000</v>
      </c>
      <c r="G10" s="20" t="s">
        <v>21</v>
      </c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8"/>
      <c r="AD10" s="18"/>
    </row>
    <row r="11">
      <c r="A11" s="14" t="s">
        <v>22</v>
      </c>
      <c r="B11" s="19"/>
      <c r="C11" s="10">
        <v>1.0</v>
      </c>
      <c r="D11" s="10">
        <v>1.0</v>
      </c>
      <c r="E11" s="15">
        <v>100000.0</v>
      </c>
      <c r="F11" s="12">
        <f t="shared" si="3"/>
        <v>100000</v>
      </c>
      <c r="G11" s="20" t="s">
        <v>21</v>
      </c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8"/>
      <c r="AD11" s="18"/>
    </row>
    <row r="12">
      <c r="A12" s="14" t="s">
        <v>23</v>
      </c>
      <c r="B12" s="19"/>
      <c r="C12" s="10">
        <v>1.0</v>
      </c>
      <c r="D12" s="10">
        <v>1.0</v>
      </c>
      <c r="E12" s="15">
        <v>80000.0</v>
      </c>
      <c r="F12" s="12">
        <f t="shared" si="3"/>
        <v>80000</v>
      </c>
      <c r="G12" s="20" t="s">
        <v>21</v>
      </c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8"/>
      <c r="AD12" s="18"/>
    </row>
    <row r="13">
      <c r="A13" s="14"/>
      <c r="B13" s="19"/>
      <c r="C13" s="10"/>
      <c r="D13" s="10"/>
      <c r="E13" s="21"/>
      <c r="F13" s="12"/>
      <c r="G13" s="12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8"/>
      <c r="AD13" s="18"/>
    </row>
    <row r="14">
      <c r="A14" s="14" t="s">
        <v>24</v>
      </c>
      <c r="B14" s="19"/>
      <c r="C14" s="10">
        <v>1.0</v>
      </c>
      <c r="D14" s="10">
        <v>1.0</v>
      </c>
      <c r="E14" s="15">
        <v>365000.0</v>
      </c>
      <c r="F14" s="12">
        <f t="shared" ref="F14:F20" si="4">C14*D14*E14</f>
        <v>365000</v>
      </c>
      <c r="G14" s="12" t="s">
        <v>25</v>
      </c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/>
      <c r="AD14" s="18"/>
    </row>
    <row r="15">
      <c r="A15" s="14" t="s">
        <v>26</v>
      </c>
      <c r="B15" s="19"/>
      <c r="C15" s="10">
        <v>1.0</v>
      </c>
      <c r="D15" s="10">
        <v>1.0</v>
      </c>
      <c r="E15" s="15">
        <v>250000.0</v>
      </c>
      <c r="F15" s="12">
        <f t="shared" si="4"/>
        <v>250000</v>
      </c>
      <c r="G15" s="20" t="s">
        <v>27</v>
      </c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/>
      <c r="AD15" s="18"/>
    </row>
    <row r="16">
      <c r="A16" s="22" t="s">
        <v>28</v>
      </c>
      <c r="B16" s="19"/>
      <c r="C16" s="10">
        <v>1.0</v>
      </c>
      <c r="D16" s="10">
        <v>1.0</v>
      </c>
      <c r="E16" s="15">
        <v>250000.0</v>
      </c>
      <c r="F16" s="12">
        <f t="shared" si="4"/>
        <v>250000</v>
      </c>
      <c r="G16" s="23" t="s">
        <v>29</v>
      </c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/>
      <c r="AD16" s="18"/>
    </row>
    <row r="17">
      <c r="A17" s="14" t="s">
        <v>30</v>
      </c>
      <c r="B17" s="19"/>
      <c r="C17" s="10">
        <v>1.0</v>
      </c>
      <c r="D17" s="10">
        <v>1.0</v>
      </c>
      <c r="E17" s="15">
        <v>265000.0</v>
      </c>
      <c r="F17" s="12">
        <f t="shared" si="4"/>
        <v>265000</v>
      </c>
      <c r="G17" s="12" t="s">
        <v>25</v>
      </c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8"/>
      <c r="AD17" s="18"/>
    </row>
    <row r="18">
      <c r="A18" s="14" t="s">
        <v>31</v>
      </c>
      <c r="B18" s="19"/>
      <c r="C18" s="10">
        <v>1.0</v>
      </c>
      <c r="D18" s="10">
        <v>1.0</v>
      </c>
      <c r="E18" s="15">
        <v>150000.0</v>
      </c>
      <c r="F18" s="12">
        <f t="shared" si="4"/>
        <v>150000</v>
      </c>
      <c r="G18" s="20" t="s">
        <v>27</v>
      </c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8"/>
      <c r="AD18" s="18"/>
    </row>
    <row r="19">
      <c r="A19" s="22" t="s">
        <v>32</v>
      </c>
      <c r="B19" s="24"/>
      <c r="C19" s="10">
        <v>1.0</v>
      </c>
      <c r="D19" s="10">
        <v>1.0</v>
      </c>
      <c r="E19" s="25">
        <v>150000.0</v>
      </c>
      <c r="F19" s="12">
        <f t="shared" si="4"/>
        <v>150000</v>
      </c>
      <c r="G19" s="23" t="s">
        <v>29</v>
      </c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8"/>
      <c r="AD19" s="8"/>
    </row>
    <row r="20">
      <c r="A20" s="14" t="s">
        <v>33</v>
      </c>
      <c r="B20" s="19"/>
      <c r="C20" s="10">
        <v>1.0</v>
      </c>
      <c r="D20" s="10">
        <v>1.0</v>
      </c>
      <c r="E20" s="15">
        <v>100000.0</v>
      </c>
      <c r="F20" s="12">
        <f t="shared" si="4"/>
        <v>100000</v>
      </c>
      <c r="G20" s="20" t="s">
        <v>34</v>
      </c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8"/>
      <c r="AD20" s="18"/>
    </row>
    <row r="21">
      <c r="A21" s="26"/>
      <c r="B21" s="19"/>
      <c r="C21" s="10"/>
      <c r="D21" s="10"/>
      <c r="E21" s="21"/>
      <c r="F21" s="12"/>
      <c r="G21" s="27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8"/>
      <c r="AD21" s="18"/>
    </row>
    <row r="22">
      <c r="A22" s="14" t="s">
        <v>35</v>
      </c>
      <c r="B22" s="19" t="s">
        <v>36</v>
      </c>
      <c r="C22" s="28">
        <v>1.0</v>
      </c>
      <c r="D22" s="28">
        <v>1.0</v>
      </c>
      <c r="E22" s="21">
        <v>165000.0</v>
      </c>
      <c r="F22" s="20">
        <f>C22*D22*E22</f>
        <v>165000</v>
      </c>
      <c r="G22" s="20" t="s">
        <v>37</v>
      </c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8"/>
      <c r="AD22" s="18"/>
    </row>
    <row r="23">
      <c r="A23" s="9" t="s">
        <v>38</v>
      </c>
      <c r="B23" s="29"/>
      <c r="C23" s="10">
        <v>1.0</v>
      </c>
      <c r="D23" s="10">
        <v>1.0</v>
      </c>
      <c r="E23" s="30">
        <v>300000.0</v>
      </c>
      <c r="F23" s="12">
        <f>D23*E23</f>
        <v>300000</v>
      </c>
      <c r="G23" s="20" t="s">
        <v>39</v>
      </c>
      <c r="H23" s="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8"/>
      <c r="AD23" s="8"/>
    </row>
    <row r="24">
      <c r="A24" s="31" t="s">
        <v>40</v>
      </c>
      <c r="B24" s="29"/>
      <c r="C24" s="10">
        <v>1.0</v>
      </c>
      <c r="D24" s="10">
        <v>1.0</v>
      </c>
      <c r="E24" s="11">
        <v>200000.0</v>
      </c>
      <c r="F24" s="12">
        <f t="shared" ref="F24:F28" si="5">C24*D24*E24</f>
        <v>200000</v>
      </c>
      <c r="G24" s="32" t="s">
        <v>41</v>
      </c>
      <c r="H24" s="6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8"/>
      <c r="AD24" s="8"/>
    </row>
    <row r="25">
      <c r="A25" s="9" t="s">
        <v>42</v>
      </c>
      <c r="B25" s="29"/>
      <c r="C25" s="10">
        <v>1.0</v>
      </c>
      <c r="D25" s="10">
        <v>1.0</v>
      </c>
      <c r="E25" s="11">
        <v>50000.0</v>
      </c>
      <c r="F25" s="12">
        <f t="shared" si="5"/>
        <v>50000</v>
      </c>
      <c r="G25" s="33"/>
      <c r="H25" s="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"/>
      <c r="AD25" s="8"/>
    </row>
    <row r="26">
      <c r="A26" s="9" t="s">
        <v>43</v>
      </c>
      <c r="B26" s="29"/>
      <c r="C26" s="10">
        <v>1.0</v>
      </c>
      <c r="D26" s="10">
        <v>1.0</v>
      </c>
      <c r="E26" s="11">
        <v>50000.0</v>
      </c>
      <c r="F26" s="12">
        <f t="shared" si="5"/>
        <v>50000</v>
      </c>
      <c r="G26" s="33"/>
      <c r="H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8"/>
      <c r="AD26" s="8"/>
    </row>
    <row r="27">
      <c r="A27" s="9" t="s">
        <v>44</v>
      </c>
      <c r="B27" s="9" t="s">
        <v>45</v>
      </c>
      <c r="C27" s="10">
        <v>1.0</v>
      </c>
      <c r="D27" s="10">
        <v>1.0</v>
      </c>
      <c r="E27" s="30">
        <v>140000.0</v>
      </c>
      <c r="F27" s="12">
        <f t="shared" si="5"/>
        <v>140000</v>
      </c>
      <c r="G27" s="12" t="s">
        <v>46</v>
      </c>
      <c r="H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8"/>
      <c r="AD27" s="8"/>
    </row>
    <row r="28">
      <c r="A28" s="22" t="s">
        <v>47</v>
      </c>
      <c r="B28" s="24"/>
      <c r="C28" s="10">
        <v>1.0</v>
      </c>
      <c r="D28" s="10">
        <v>1.0</v>
      </c>
      <c r="E28" s="24">
        <v>30000.0</v>
      </c>
      <c r="F28" s="12">
        <f t="shared" si="5"/>
        <v>30000</v>
      </c>
      <c r="G28" s="34" t="s">
        <v>48</v>
      </c>
      <c r="H28" s="6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"/>
      <c r="AD28" s="8"/>
    </row>
    <row r="29">
      <c r="A29" s="9"/>
      <c r="B29" s="9"/>
      <c r="C29" s="10"/>
      <c r="D29" s="10"/>
      <c r="E29" s="30"/>
      <c r="F29" s="35"/>
      <c r="G29" s="12"/>
      <c r="H29" s="6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"/>
      <c r="AD29" s="8"/>
    </row>
    <row r="30">
      <c r="A30" s="1" t="s">
        <v>49</v>
      </c>
      <c r="B30" s="2" t="s">
        <v>1</v>
      </c>
      <c r="C30" s="3" t="s">
        <v>2</v>
      </c>
      <c r="D30" s="3" t="s">
        <v>3</v>
      </c>
      <c r="E30" s="4" t="s">
        <v>4</v>
      </c>
      <c r="F30" s="36"/>
      <c r="G30" s="36" t="s">
        <v>6</v>
      </c>
      <c r="H30" s="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8"/>
      <c r="AD30" s="8"/>
    </row>
    <row r="31">
      <c r="A31" s="37" t="s">
        <v>50</v>
      </c>
      <c r="B31" s="29"/>
      <c r="C31" s="10">
        <v>1.0</v>
      </c>
      <c r="D31" s="10">
        <v>1.0</v>
      </c>
      <c r="E31" s="38">
        <v>7656.0</v>
      </c>
      <c r="F31" s="12">
        <f t="shared" ref="F31:F33" si="6">C31*D31*E31</f>
        <v>7656</v>
      </c>
      <c r="G31" s="39" t="s">
        <v>51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8"/>
      <c r="AD31" s="18"/>
    </row>
    <row r="32">
      <c r="A32" s="40" t="s">
        <v>52</v>
      </c>
      <c r="B32" s="19"/>
      <c r="C32" s="10">
        <v>1.0</v>
      </c>
      <c r="D32" s="10">
        <v>1.0</v>
      </c>
      <c r="E32" s="13">
        <f>9450*1.1</f>
        <v>10395</v>
      </c>
      <c r="F32" s="12">
        <f t="shared" si="6"/>
        <v>10395</v>
      </c>
      <c r="G32" s="14" t="s">
        <v>53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8"/>
      <c r="AD32" s="18"/>
    </row>
    <row r="33">
      <c r="A33" s="37" t="s">
        <v>54</v>
      </c>
      <c r="B33" s="29"/>
      <c r="C33" s="10">
        <v>1.0</v>
      </c>
      <c r="D33" s="10">
        <v>1.0</v>
      </c>
      <c r="E33" s="11">
        <f>15000*1.1</f>
        <v>16500</v>
      </c>
      <c r="F33" s="12">
        <f t="shared" si="6"/>
        <v>16500</v>
      </c>
      <c r="G33" s="39" t="s">
        <v>55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8"/>
      <c r="AD33" s="18"/>
    </row>
    <row r="34">
      <c r="A34" s="9" t="s">
        <v>56</v>
      </c>
      <c r="B34" s="41"/>
      <c r="C34" s="10">
        <v>1.0</v>
      </c>
      <c r="D34" s="10">
        <v>1.0</v>
      </c>
      <c r="E34" s="42">
        <v>10395.0</v>
      </c>
      <c r="F34" s="12">
        <v>10395.0</v>
      </c>
      <c r="G34" s="14" t="s">
        <v>57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8"/>
      <c r="AD34" s="18"/>
    </row>
    <row r="35">
      <c r="A35" s="9" t="s">
        <v>58</v>
      </c>
      <c r="B35" s="41"/>
      <c r="C35" s="10">
        <v>1.0</v>
      </c>
      <c r="D35" s="10">
        <v>1.0</v>
      </c>
      <c r="E35" s="43">
        <v>3500.0</v>
      </c>
      <c r="F35" s="12">
        <f t="shared" ref="F35:F41" si="7">C35*D35*E35</f>
        <v>3500</v>
      </c>
      <c r="G35" s="44" t="s">
        <v>59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8"/>
      <c r="AD35" s="18"/>
    </row>
    <row r="36">
      <c r="A36" s="22" t="s">
        <v>60</v>
      </c>
      <c r="B36" s="24"/>
      <c r="C36" s="10">
        <v>1.0</v>
      </c>
      <c r="D36" s="10">
        <v>1.0</v>
      </c>
      <c r="E36" s="24">
        <v>200000.0</v>
      </c>
      <c r="F36" s="12">
        <f t="shared" si="7"/>
        <v>200000</v>
      </c>
      <c r="G36" s="23" t="s">
        <v>61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8"/>
      <c r="AD36" s="18"/>
    </row>
    <row r="37">
      <c r="A37" s="45" t="s">
        <v>62</v>
      </c>
      <c r="B37" s="24"/>
      <c r="C37" s="10">
        <v>1.0</v>
      </c>
      <c r="D37" s="10">
        <v>1.0</v>
      </c>
      <c r="E37" s="25">
        <v>2500.0</v>
      </c>
      <c r="F37" s="12">
        <f t="shared" si="7"/>
        <v>2500</v>
      </c>
      <c r="G37" s="34"/>
      <c r="H37" s="17"/>
      <c r="I37" s="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8"/>
      <c r="AD37" s="18"/>
    </row>
    <row r="38">
      <c r="A38" s="45" t="s">
        <v>63</v>
      </c>
      <c r="B38" s="24"/>
      <c r="C38" s="10">
        <v>1.0</v>
      </c>
      <c r="D38" s="10">
        <v>1.0</v>
      </c>
      <c r="E38" s="25">
        <v>1800.0</v>
      </c>
      <c r="F38" s="12">
        <f t="shared" si="7"/>
        <v>1800</v>
      </c>
      <c r="G38" s="40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8"/>
      <c r="AD38" s="18"/>
    </row>
    <row r="39">
      <c r="A39" s="45" t="s">
        <v>64</v>
      </c>
      <c r="B39" s="24"/>
      <c r="C39" s="10">
        <v>1.0</v>
      </c>
      <c r="D39" s="10">
        <v>1.0</v>
      </c>
      <c r="E39" s="24">
        <v>1500.0</v>
      </c>
      <c r="F39" s="12">
        <f t="shared" si="7"/>
        <v>1500</v>
      </c>
      <c r="G39" s="40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8"/>
      <c r="AD39" s="18"/>
    </row>
    <row r="40">
      <c r="A40" s="46" t="s">
        <v>65</v>
      </c>
      <c r="B40" s="47"/>
      <c r="C40" s="10">
        <v>1.0</v>
      </c>
      <c r="D40" s="10">
        <v>1.0</v>
      </c>
      <c r="E40" s="48">
        <v>7500.0</v>
      </c>
      <c r="F40" s="12">
        <f t="shared" si="7"/>
        <v>7500</v>
      </c>
      <c r="G40" s="40" t="s">
        <v>66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50"/>
      <c r="AD40" s="50"/>
    </row>
    <row r="41">
      <c r="A41" s="46" t="s">
        <v>67</v>
      </c>
      <c r="B41" s="47"/>
      <c r="C41" s="10">
        <v>1.0</v>
      </c>
      <c r="D41" s="10">
        <v>1.0</v>
      </c>
      <c r="E41" s="48">
        <v>60000.0</v>
      </c>
      <c r="F41" s="12">
        <f t="shared" si="7"/>
        <v>60000</v>
      </c>
      <c r="G41" s="51" t="s">
        <v>68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50"/>
      <c r="AD41" s="50"/>
    </row>
    <row r="42">
      <c r="A42" s="9" t="s">
        <v>69</v>
      </c>
      <c r="B42" s="44"/>
      <c r="C42" s="10">
        <v>1.0</v>
      </c>
      <c r="D42" s="10">
        <v>1.0</v>
      </c>
      <c r="E42" s="42">
        <v>40000.0</v>
      </c>
      <c r="F42" s="52">
        <v>40000.0</v>
      </c>
      <c r="G42" s="52" t="s">
        <v>70</v>
      </c>
      <c r="H42" s="6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8"/>
      <c r="AD42" s="8"/>
    </row>
    <row r="43">
      <c r="A43" s="9" t="s">
        <v>71</v>
      </c>
      <c r="B43" s="44"/>
      <c r="C43" s="10">
        <v>1.0</v>
      </c>
      <c r="D43" s="10">
        <v>1.0</v>
      </c>
      <c r="E43" s="42">
        <v>10000.0</v>
      </c>
      <c r="F43" s="53"/>
      <c r="G43" s="52" t="s">
        <v>72</v>
      </c>
      <c r="H43" s="6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8"/>
      <c r="AD43" s="8"/>
    </row>
    <row r="44">
      <c r="A44" s="1" t="s">
        <v>73</v>
      </c>
      <c r="B44" s="2" t="s">
        <v>1</v>
      </c>
      <c r="C44" s="3" t="s">
        <v>2</v>
      </c>
      <c r="D44" s="3" t="s">
        <v>3</v>
      </c>
      <c r="E44" s="4" t="s">
        <v>4</v>
      </c>
      <c r="F44" s="1" t="s">
        <v>5</v>
      </c>
      <c r="G44" s="36" t="s">
        <v>6</v>
      </c>
      <c r="H44" s="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8"/>
      <c r="AD44" s="8"/>
    </row>
    <row r="45">
      <c r="A45" s="9" t="s">
        <v>74</v>
      </c>
      <c r="B45" s="29"/>
      <c r="C45" s="10">
        <v>1.0</v>
      </c>
      <c r="D45" s="10">
        <v>1.0</v>
      </c>
      <c r="E45" s="11">
        <v>160000.0</v>
      </c>
      <c r="F45" s="12">
        <f t="shared" ref="F45:F56" si="8">C45*D45*E45</f>
        <v>160000</v>
      </c>
      <c r="G45" s="12" t="s">
        <v>75</v>
      </c>
      <c r="H45" s="6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8"/>
      <c r="AD45" s="8"/>
    </row>
    <row r="46">
      <c r="A46" s="54" t="s">
        <v>76</v>
      </c>
      <c r="B46" s="32" t="s">
        <v>77</v>
      </c>
      <c r="C46" s="10">
        <v>1.0</v>
      </c>
      <c r="D46" s="10">
        <v>1.0</v>
      </c>
      <c r="E46" s="55">
        <v>850000.0</v>
      </c>
      <c r="F46" s="12">
        <f t="shared" si="8"/>
        <v>850000</v>
      </c>
      <c r="G46" s="32" t="s">
        <v>78</v>
      </c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8"/>
      <c r="AD46" s="8"/>
    </row>
    <row r="47">
      <c r="A47" s="54" t="s">
        <v>79</v>
      </c>
      <c r="B47" s="32"/>
      <c r="C47" s="10">
        <v>1.0</v>
      </c>
      <c r="D47" s="10">
        <v>1.0</v>
      </c>
      <c r="E47" s="55">
        <f>850000/4*1.3</f>
        <v>276250</v>
      </c>
      <c r="F47" s="12">
        <f t="shared" si="8"/>
        <v>276250</v>
      </c>
      <c r="G47" s="32" t="s">
        <v>80</v>
      </c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8"/>
      <c r="AD47" s="8"/>
    </row>
    <row r="48">
      <c r="A48" s="56" t="s">
        <v>81</v>
      </c>
      <c r="B48" s="32" t="s">
        <v>77</v>
      </c>
      <c r="C48" s="10">
        <v>1.0</v>
      </c>
      <c r="D48" s="10">
        <v>1.0</v>
      </c>
      <c r="E48" s="55">
        <v>1200000.0</v>
      </c>
      <c r="F48" s="12">
        <f t="shared" si="8"/>
        <v>1200000</v>
      </c>
      <c r="G48" s="32" t="s">
        <v>78</v>
      </c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8"/>
      <c r="AD48" s="8"/>
    </row>
    <row r="49">
      <c r="A49" s="57" t="s">
        <v>82</v>
      </c>
      <c r="B49" s="58"/>
      <c r="C49" s="10">
        <v>1.0</v>
      </c>
      <c r="D49" s="10">
        <v>1.0</v>
      </c>
      <c r="E49" s="55">
        <f>1200000/4*1.3</f>
        <v>390000</v>
      </c>
      <c r="F49" s="12">
        <f t="shared" si="8"/>
        <v>390000</v>
      </c>
      <c r="G49" s="32" t="s">
        <v>80</v>
      </c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8"/>
      <c r="AD49" s="8"/>
    </row>
    <row r="50">
      <c r="A50" s="9" t="s">
        <v>83</v>
      </c>
      <c r="B50" s="32" t="s">
        <v>77</v>
      </c>
      <c r="C50" s="10">
        <v>1.0</v>
      </c>
      <c r="D50" s="10">
        <v>1.0</v>
      </c>
      <c r="E50" s="59">
        <v>500000.0</v>
      </c>
      <c r="F50" s="12">
        <f t="shared" si="8"/>
        <v>500000</v>
      </c>
      <c r="G50" s="60" t="s">
        <v>84</v>
      </c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8"/>
      <c r="AD50" s="8"/>
    </row>
    <row r="51">
      <c r="A51" s="9" t="s">
        <v>85</v>
      </c>
      <c r="B51" s="61" t="s">
        <v>86</v>
      </c>
      <c r="C51" s="10">
        <v>1.0</v>
      </c>
      <c r="D51" s="10">
        <v>1.0</v>
      </c>
      <c r="E51" s="59">
        <v>750000.0</v>
      </c>
      <c r="F51" s="59">
        <f t="shared" si="8"/>
        <v>750000</v>
      </c>
      <c r="G51" s="60" t="s">
        <v>87</v>
      </c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8"/>
      <c r="AD51" s="8"/>
    </row>
    <row r="52">
      <c r="A52" s="56" t="s">
        <v>88</v>
      </c>
      <c r="B52" s="32" t="s">
        <v>77</v>
      </c>
      <c r="C52" s="10">
        <v>1.0</v>
      </c>
      <c r="D52" s="10">
        <v>1.0</v>
      </c>
      <c r="E52" s="59">
        <v>360000.0</v>
      </c>
      <c r="F52" s="59">
        <f t="shared" si="8"/>
        <v>360000</v>
      </c>
      <c r="G52" s="60" t="s">
        <v>89</v>
      </c>
      <c r="H52" s="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8"/>
      <c r="AD52" s="8"/>
    </row>
    <row r="53">
      <c r="A53" s="56" t="s">
        <v>90</v>
      </c>
      <c r="B53" s="61" t="s">
        <v>86</v>
      </c>
      <c r="C53" s="62">
        <v>1.0</v>
      </c>
      <c r="D53" s="62">
        <v>1.0</v>
      </c>
      <c r="E53" s="59">
        <f>E52*1.5</f>
        <v>540000</v>
      </c>
      <c r="F53" s="59">
        <f t="shared" si="8"/>
        <v>540000</v>
      </c>
      <c r="G53" s="35" t="s">
        <v>25</v>
      </c>
      <c r="H53" s="63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>
      <c r="A54" s="56" t="s">
        <v>91</v>
      </c>
      <c r="B54" s="32" t="s">
        <v>77</v>
      </c>
      <c r="C54" s="10">
        <v>1.0</v>
      </c>
      <c r="D54" s="10">
        <v>1.0</v>
      </c>
      <c r="E54" s="59">
        <v>300000.0</v>
      </c>
      <c r="F54" s="12">
        <f t="shared" si="8"/>
        <v>300000</v>
      </c>
      <c r="G54" s="60" t="s">
        <v>92</v>
      </c>
      <c r="H54" s="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8"/>
      <c r="AD54" s="8"/>
    </row>
    <row r="55">
      <c r="A55" s="56" t="s">
        <v>93</v>
      </c>
      <c r="B55" s="32" t="s">
        <v>77</v>
      </c>
      <c r="C55" s="10">
        <v>1.0</v>
      </c>
      <c r="D55" s="10">
        <v>1.0</v>
      </c>
      <c r="E55" s="59">
        <v>600000.0</v>
      </c>
      <c r="F55" s="12">
        <f t="shared" si="8"/>
        <v>600000</v>
      </c>
      <c r="G55" s="60" t="s">
        <v>94</v>
      </c>
      <c r="H55" s="6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8"/>
      <c r="AD55" s="8"/>
    </row>
    <row r="56">
      <c r="A56" s="46" t="s">
        <v>95</v>
      </c>
      <c r="B56" s="24"/>
      <c r="C56" s="10">
        <v>1.0</v>
      </c>
      <c r="D56" s="10">
        <v>1.0</v>
      </c>
      <c r="E56" s="25">
        <v>8000.0</v>
      </c>
      <c r="F56" s="12">
        <f t="shared" si="8"/>
        <v>8000</v>
      </c>
      <c r="G56" s="23" t="s">
        <v>96</v>
      </c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8"/>
      <c r="AD56" s="18"/>
    </row>
    <row r="57">
      <c r="A57" s="65"/>
      <c r="B57" s="66"/>
      <c r="C57" s="10"/>
      <c r="D57" s="10"/>
      <c r="E57" s="67"/>
      <c r="F57" s="68"/>
      <c r="G57" s="68"/>
      <c r="H57" s="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8"/>
      <c r="AD57" s="8"/>
    </row>
    <row r="58">
      <c r="A58" s="69" t="s">
        <v>97</v>
      </c>
      <c r="B58" s="2" t="s">
        <v>1</v>
      </c>
      <c r="C58" s="3" t="s">
        <v>2</v>
      </c>
      <c r="D58" s="3" t="s">
        <v>3</v>
      </c>
      <c r="E58" s="4" t="s">
        <v>4</v>
      </c>
      <c r="F58" s="1" t="s">
        <v>5</v>
      </c>
      <c r="G58" s="36" t="s">
        <v>6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8"/>
      <c r="AD58" s="18"/>
    </row>
    <row r="59">
      <c r="A59" s="9" t="s">
        <v>98</v>
      </c>
      <c r="B59" s="29"/>
      <c r="C59" s="10">
        <v>1.0</v>
      </c>
      <c r="D59" s="10">
        <v>1.0</v>
      </c>
      <c r="E59" s="38">
        <v>6063.0</v>
      </c>
      <c r="F59" s="12">
        <f t="shared" ref="F59:F72" si="9">C59*D59*E59</f>
        <v>6063</v>
      </c>
      <c r="G59" s="39" t="s">
        <v>99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8"/>
      <c r="AD59" s="18"/>
    </row>
    <row r="60">
      <c r="A60" s="9" t="s">
        <v>100</v>
      </c>
      <c r="B60" s="29"/>
      <c r="C60" s="10">
        <v>1.0</v>
      </c>
      <c r="D60" s="10">
        <v>1.0</v>
      </c>
      <c r="E60" s="30">
        <v>4370.0</v>
      </c>
      <c r="F60" s="12">
        <f t="shared" si="9"/>
        <v>4370</v>
      </c>
      <c r="G60" s="39" t="s">
        <v>101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8"/>
      <c r="AD60" s="18"/>
    </row>
    <row r="61">
      <c r="A61" s="9" t="s">
        <v>102</v>
      </c>
      <c r="B61" s="29"/>
      <c r="C61" s="10">
        <v>1.0</v>
      </c>
      <c r="D61" s="10">
        <v>1.0</v>
      </c>
      <c r="E61" s="30">
        <v>6800.0</v>
      </c>
      <c r="F61" s="12">
        <f t="shared" si="9"/>
        <v>6800</v>
      </c>
      <c r="G61" s="39" t="s">
        <v>103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8"/>
      <c r="AD61" s="18"/>
    </row>
    <row r="62">
      <c r="A62" s="9" t="s">
        <v>104</v>
      </c>
      <c r="B62" s="29"/>
      <c r="C62" s="10">
        <v>1.0</v>
      </c>
      <c r="D62" s="10">
        <v>1.0</v>
      </c>
      <c r="E62" s="13">
        <f>28000*1.1</f>
        <v>30800</v>
      </c>
      <c r="F62" s="12">
        <f t="shared" si="9"/>
        <v>30800</v>
      </c>
      <c r="G62" s="39" t="s">
        <v>105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8"/>
      <c r="AD62" s="18"/>
    </row>
    <row r="63">
      <c r="A63" s="9" t="s">
        <v>106</v>
      </c>
      <c r="B63" s="29"/>
      <c r="C63" s="10">
        <v>1.0</v>
      </c>
      <c r="D63" s="10">
        <v>1.0</v>
      </c>
      <c r="E63" s="30">
        <f>E62/4*1.3</f>
        <v>10010</v>
      </c>
      <c r="F63" s="12">
        <f t="shared" si="9"/>
        <v>10010</v>
      </c>
      <c r="G63" s="39" t="s">
        <v>107</v>
      </c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8"/>
      <c r="AD63" s="18"/>
    </row>
    <row r="64">
      <c r="A64" s="9" t="s">
        <v>108</v>
      </c>
      <c r="B64" s="29"/>
      <c r="C64" s="10">
        <v>1.0</v>
      </c>
      <c r="D64" s="10">
        <v>1.0</v>
      </c>
      <c r="E64" s="30">
        <v>32000.0</v>
      </c>
      <c r="F64" s="12">
        <f t="shared" si="9"/>
        <v>32000</v>
      </c>
      <c r="G64" s="39" t="s">
        <v>109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8"/>
      <c r="AD64" s="18"/>
    </row>
    <row r="65">
      <c r="A65" s="9" t="s">
        <v>110</v>
      </c>
      <c r="B65" s="29"/>
      <c r="C65" s="10">
        <v>1.0</v>
      </c>
      <c r="D65" s="10">
        <v>1.0</v>
      </c>
      <c r="E65" s="30">
        <f>E64/4*1.3</f>
        <v>10400</v>
      </c>
      <c r="F65" s="12">
        <f t="shared" si="9"/>
        <v>10400</v>
      </c>
      <c r="G65" s="39" t="s">
        <v>107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8"/>
      <c r="AD65" s="18"/>
    </row>
    <row r="66">
      <c r="A66" s="9" t="s">
        <v>111</v>
      </c>
      <c r="B66" s="29"/>
      <c r="C66" s="10">
        <v>1.0</v>
      </c>
      <c r="D66" s="10">
        <v>1.0</v>
      </c>
      <c r="E66" s="30">
        <v>38000.0</v>
      </c>
      <c r="F66" s="12">
        <f t="shared" si="9"/>
        <v>38000</v>
      </c>
      <c r="G66" s="39" t="s">
        <v>103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8"/>
      <c r="AD66" s="18"/>
    </row>
    <row r="67">
      <c r="A67" s="9" t="s">
        <v>112</v>
      </c>
      <c r="B67" s="70"/>
      <c r="C67" s="10">
        <v>1.0</v>
      </c>
      <c r="D67" s="10">
        <v>1.0</v>
      </c>
      <c r="E67" s="30">
        <f>E66/4*1.3</f>
        <v>12350</v>
      </c>
      <c r="F67" s="12">
        <f t="shared" si="9"/>
        <v>12350</v>
      </c>
      <c r="G67" s="39" t="s">
        <v>107</v>
      </c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2"/>
      <c r="AD67" s="72"/>
    </row>
    <row r="68">
      <c r="A68" s="9" t="s">
        <v>113</v>
      </c>
      <c r="B68" s="70"/>
      <c r="C68" s="10">
        <v>1.0</v>
      </c>
      <c r="D68" s="10">
        <v>1.0</v>
      </c>
      <c r="E68" s="30">
        <v>12000.0</v>
      </c>
      <c r="F68" s="12">
        <f t="shared" si="9"/>
        <v>12000</v>
      </c>
      <c r="G68" s="39" t="s">
        <v>114</v>
      </c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2"/>
      <c r="AD68" s="72"/>
    </row>
    <row r="69">
      <c r="A69" s="9" t="s">
        <v>115</v>
      </c>
      <c r="B69" s="70"/>
      <c r="C69" s="10">
        <v>1.0</v>
      </c>
      <c r="D69" s="10">
        <v>1.0</v>
      </c>
      <c r="E69" s="30">
        <v>20000.0</v>
      </c>
      <c r="F69" s="12">
        <f t="shared" si="9"/>
        <v>20000</v>
      </c>
      <c r="G69" s="39" t="s">
        <v>114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8"/>
      <c r="AD69" s="18"/>
    </row>
    <row r="70">
      <c r="A70" s="9" t="s">
        <v>116</v>
      </c>
      <c r="B70" s="29"/>
      <c r="C70" s="10">
        <v>1.0</v>
      </c>
      <c r="D70" s="10">
        <v>1.0</v>
      </c>
      <c r="E70" s="13">
        <f>2900/1.19</f>
        <v>2436.97479</v>
      </c>
      <c r="F70" s="12">
        <f t="shared" si="9"/>
        <v>2436.97479</v>
      </c>
      <c r="G70" s="39" t="s">
        <v>117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8"/>
      <c r="AD70" s="18"/>
    </row>
    <row r="71">
      <c r="A71" s="9" t="s">
        <v>118</v>
      </c>
      <c r="B71" s="29"/>
      <c r="C71" s="10">
        <v>1.0</v>
      </c>
      <c r="D71" s="10">
        <v>1.0</v>
      </c>
      <c r="E71" s="13">
        <f>E70</f>
        <v>2436.97479</v>
      </c>
      <c r="F71" s="12">
        <f t="shared" si="9"/>
        <v>2436.97479</v>
      </c>
      <c r="G71" s="39" t="s">
        <v>119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8"/>
      <c r="AD71" s="18"/>
    </row>
    <row r="72">
      <c r="A72" s="73" t="s">
        <v>120</v>
      </c>
      <c r="B72" s="74"/>
      <c r="C72" s="10">
        <v>1.0</v>
      </c>
      <c r="D72" s="10">
        <v>1.0</v>
      </c>
      <c r="E72" s="75">
        <f>240000</f>
        <v>240000</v>
      </c>
      <c r="F72" s="12">
        <f t="shared" si="9"/>
        <v>240000</v>
      </c>
      <c r="G72" s="23" t="s">
        <v>121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8"/>
      <c r="AD72" s="18"/>
    </row>
    <row r="73">
      <c r="A73" s="73" t="s">
        <v>122</v>
      </c>
      <c r="B73" s="24"/>
      <c r="C73" s="10">
        <v>1.0</v>
      </c>
      <c r="D73" s="10">
        <v>1.0</v>
      </c>
      <c r="E73" s="24" t="s">
        <v>123</v>
      </c>
      <c r="F73" s="12"/>
      <c r="G73" s="23" t="s">
        <v>124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8"/>
      <c r="AD73" s="18"/>
    </row>
    <row r="74">
      <c r="A74" s="46" t="s">
        <v>125</v>
      </c>
      <c r="B74" s="66"/>
      <c r="C74" s="10">
        <v>1.0</v>
      </c>
      <c r="D74" s="10">
        <v>1.0</v>
      </c>
      <c r="E74" s="67">
        <f>15500/1.19</f>
        <v>13025.21008</v>
      </c>
      <c r="F74" s="12">
        <f t="shared" ref="F74:F76" si="10">C74*D74*E74</f>
        <v>13025.21008</v>
      </c>
      <c r="G74" s="60" t="s">
        <v>126</v>
      </c>
      <c r="H74" s="6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8"/>
      <c r="AD74" s="8"/>
    </row>
    <row r="75">
      <c r="A75" s="76" t="s">
        <v>127</v>
      </c>
      <c r="B75" s="66"/>
      <c r="C75" s="10">
        <v>1.0</v>
      </c>
      <c r="D75" s="10">
        <v>1.0</v>
      </c>
      <c r="E75" s="59">
        <v>19328.0</v>
      </c>
      <c r="F75" s="12">
        <f t="shared" si="10"/>
        <v>19328</v>
      </c>
      <c r="G75" s="60" t="s">
        <v>126</v>
      </c>
      <c r="H75" s="6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8"/>
      <c r="AD75" s="8"/>
    </row>
    <row r="76">
      <c r="A76" s="76" t="s">
        <v>128</v>
      </c>
      <c r="B76" s="66"/>
      <c r="C76" s="10">
        <v>1.0</v>
      </c>
      <c r="D76" s="10">
        <v>1.0</v>
      </c>
      <c r="E76" s="59">
        <f>24000/1.19</f>
        <v>20168.06723</v>
      </c>
      <c r="F76" s="12">
        <f t="shared" si="10"/>
        <v>20168.06723</v>
      </c>
      <c r="G76" s="60" t="s">
        <v>126</v>
      </c>
      <c r="H76" s="6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8"/>
      <c r="AD76" s="8"/>
    </row>
    <row r="77">
      <c r="A77" s="65"/>
      <c r="B77" s="66"/>
      <c r="C77" s="10"/>
      <c r="D77" s="10"/>
      <c r="E77" s="67"/>
      <c r="F77" s="68"/>
      <c r="G77" s="68"/>
      <c r="H77" s="6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8"/>
      <c r="AD77" s="8"/>
    </row>
    <row r="78">
      <c r="A78" s="65"/>
      <c r="B78" s="66"/>
      <c r="C78" s="10"/>
      <c r="D78" s="10"/>
      <c r="E78" s="67"/>
      <c r="F78" s="68"/>
      <c r="G78" s="68"/>
      <c r="H78" s="6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8"/>
      <c r="AD78" s="8"/>
    </row>
    <row r="79">
      <c r="A79" s="77" t="s">
        <v>129</v>
      </c>
      <c r="B79" s="2" t="s">
        <v>1</v>
      </c>
      <c r="C79" s="3" t="s">
        <v>2</v>
      </c>
      <c r="D79" s="3" t="s">
        <v>3</v>
      </c>
      <c r="E79" s="4" t="s">
        <v>4</v>
      </c>
      <c r="F79" s="36"/>
      <c r="G79" s="36" t="s">
        <v>6</v>
      </c>
      <c r="H79" s="6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8"/>
      <c r="AD79" s="8"/>
    </row>
    <row r="80">
      <c r="A80" s="22" t="s">
        <v>130</v>
      </c>
      <c r="B80" s="25" t="s">
        <v>131</v>
      </c>
      <c r="C80" s="10">
        <v>1.0</v>
      </c>
      <c r="D80" s="10">
        <v>1.0</v>
      </c>
      <c r="E80" s="67">
        <v>6500.0</v>
      </c>
      <c r="F80" s="12">
        <f t="shared" ref="F80:F84" si="11">C80*D80*E80</f>
        <v>6500</v>
      </c>
      <c r="G80" s="14" t="s">
        <v>132</v>
      </c>
      <c r="H80" s="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8"/>
      <c r="AD80" s="8"/>
    </row>
    <row r="81">
      <c r="A81" s="22" t="s">
        <v>133</v>
      </c>
      <c r="B81" s="25" t="s">
        <v>134</v>
      </c>
      <c r="C81" s="10">
        <v>1.0</v>
      </c>
      <c r="D81" s="10">
        <v>1.0</v>
      </c>
      <c r="E81" s="67">
        <v>4000.0</v>
      </c>
      <c r="F81" s="12">
        <f t="shared" si="11"/>
        <v>4000</v>
      </c>
      <c r="G81" s="14" t="s">
        <v>135</v>
      </c>
      <c r="H81" s="6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8"/>
      <c r="AD81" s="8"/>
    </row>
    <row r="82">
      <c r="A82" s="22" t="s">
        <v>136</v>
      </c>
      <c r="B82" s="25" t="s">
        <v>137</v>
      </c>
      <c r="C82" s="10">
        <v>1.0</v>
      </c>
      <c r="D82" s="10">
        <v>1.0</v>
      </c>
      <c r="E82" s="67">
        <v>6500.0</v>
      </c>
      <c r="F82" s="12">
        <f t="shared" si="11"/>
        <v>6500</v>
      </c>
      <c r="G82" s="14" t="s">
        <v>138</v>
      </c>
      <c r="H82" s="6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8"/>
      <c r="AD82" s="8"/>
    </row>
    <row r="83">
      <c r="A83" s="22" t="s">
        <v>139</v>
      </c>
      <c r="B83" s="25" t="s">
        <v>140</v>
      </c>
      <c r="C83" s="10">
        <v>1.0</v>
      </c>
      <c r="D83" s="10">
        <v>1.0</v>
      </c>
      <c r="E83" s="67">
        <v>8000.0</v>
      </c>
      <c r="F83" s="12">
        <f t="shared" si="11"/>
        <v>8000</v>
      </c>
      <c r="G83" s="14" t="s">
        <v>141</v>
      </c>
      <c r="H83" s="6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8"/>
      <c r="AD83" s="8"/>
    </row>
    <row r="84">
      <c r="A84" s="78" t="s">
        <v>142</v>
      </c>
      <c r="B84" s="79"/>
      <c r="C84" s="28">
        <v>1.0</v>
      </c>
      <c r="D84" s="28">
        <v>1.0</v>
      </c>
      <c r="E84" s="67">
        <v>10000.0</v>
      </c>
      <c r="F84" s="20">
        <f t="shared" si="11"/>
        <v>10000</v>
      </c>
      <c r="G84" s="23" t="s">
        <v>143</v>
      </c>
      <c r="H84" s="1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8"/>
      <c r="AD84" s="18"/>
    </row>
    <row r="85">
      <c r="A85" s="80"/>
      <c r="B85" s="81"/>
      <c r="C85" s="10"/>
      <c r="D85" s="10"/>
      <c r="E85" s="81"/>
      <c r="F85" s="82"/>
      <c r="G85" s="82"/>
      <c r="H85" s="6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8"/>
      <c r="AD85" s="8"/>
    </row>
    <row r="86">
      <c r="A86" s="77" t="s">
        <v>144</v>
      </c>
      <c r="B86" s="2" t="s">
        <v>1</v>
      </c>
      <c r="C86" s="3" t="s">
        <v>2</v>
      </c>
      <c r="D86" s="3" t="s">
        <v>3</v>
      </c>
      <c r="E86" s="4" t="s">
        <v>4</v>
      </c>
      <c r="F86" s="1" t="s">
        <v>5</v>
      </c>
      <c r="G86" s="36" t="s">
        <v>6</v>
      </c>
      <c r="H86" s="19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8"/>
      <c r="AD86" s="18"/>
    </row>
    <row r="87">
      <c r="A87" s="37" t="s">
        <v>145</v>
      </c>
      <c r="B87" s="9" t="s">
        <v>146</v>
      </c>
      <c r="C87" s="10">
        <v>1.0</v>
      </c>
      <c r="D87" s="10">
        <v>1.0</v>
      </c>
      <c r="E87" s="38">
        <v>13750.0</v>
      </c>
      <c r="F87" s="12">
        <f t="shared" ref="F87:F97" si="12">C87*D87*E87</f>
        <v>13750</v>
      </c>
      <c r="G87" s="39" t="s">
        <v>147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8"/>
      <c r="AD87" s="18"/>
    </row>
    <row r="88">
      <c r="A88" s="9" t="s">
        <v>148</v>
      </c>
      <c r="B88" s="9" t="s">
        <v>146</v>
      </c>
      <c r="C88" s="10">
        <v>1.0</v>
      </c>
      <c r="D88" s="10">
        <v>1.0</v>
      </c>
      <c r="E88" s="30">
        <v>0.0</v>
      </c>
      <c r="F88" s="12">
        <f t="shared" si="12"/>
        <v>0</v>
      </c>
      <c r="G88" s="39" t="s">
        <v>147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8"/>
      <c r="AD88" s="18"/>
    </row>
    <row r="89">
      <c r="A89" s="9" t="s">
        <v>149</v>
      </c>
      <c r="B89" s="83" t="s">
        <v>150</v>
      </c>
      <c r="C89" s="10">
        <v>1.0</v>
      </c>
      <c r="D89" s="10">
        <v>1.0</v>
      </c>
      <c r="E89" s="38">
        <v>27731.0</v>
      </c>
      <c r="F89" s="12">
        <f t="shared" si="12"/>
        <v>27731</v>
      </c>
      <c r="G89" s="84" t="s">
        <v>151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8"/>
      <c r="AD89" s="18"/>
    </row>
    <row r="90">
      <c r="A90" s="9" t="s">
        <v>152</v>
      </c>
      <c r="B90" s="83" t="s">
        <v>153</v>
      </c>
      <c r="C90" s="10">
        <v>1.0</v>
      </c>
      <c r="D90" s="10">
        <v>1.0</v>
      </c>
      <c r="E90" s="38">
        <v>27731.0</v>
      </c>
      <c r="F90" s="12">
        <f t="shared" si="12"/>
        <v>27731</v>
      </c>
      <c r="G90" s="39" t="s">
        <v>154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8"/>
      <c r="AD90" s="18"/>
    </row>
    <row r="91">
      <c r="A91" s="37" t="s">
        <v>155</v>
      </c>
      <c r="B91" s="83" t="s">
        <v>150</v>
      </c>
      <c r="C91" s="10">
        <v>1.0</v>
      </c>
      <c r="D91" s="10">
        <v>1.0</v>
      </c>
      <c r="E91" s="38">
        <v>38500.0</v>
      </c>
      <c r="F91" s="12">
        <f t="shared" si="12"/>
        <v>38500</v>
      </c>
      <c r="G91" s="39" t="s">
        <v>156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8"/>
      <c r="AD91" s="18"/>
    </row>
    <row r="92">
      <c r="A92" s="37" t="s">
        <v>157</v>
      </c>
      <c r="B92" s="83" t="s">
        <v>150</v>
      </c>
      <c r="C92" s="10">
        <v>1.0</v>
      </c>
      <c r="D92" s="10">
        <v>1.0</v>
      </c>
      <c r="E92" s="11">
        <v>45000.0</v>
      </c>
      <c r="F92" s="12">
        <f t="shared" si="12"/>
        <v>45000</v>
      </c>
      <c r="G92" s="23" t="s">
        <v>156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8"/>
      <c r="AD92" s="18"/>
    </row>
    <row r="93">
      <c r="A93" s="37" t="s">
        <v>158</v>
      </c>
      <c r="B93" s="9" t="s">
        <v>159</v>
      </c>
      <c r="C93" s="10">
        <v>1.0</v>
      </c>
      <c r="D93" s="10">
        <v>1.0</v>
      </c>
      <c r="E93" s="38">
        <v>38500.0</v>
      </c>
      <c r="F93" s="12">
        <f t="shared" si="12"/>
        <v>38500</v>
      </c>
      <c r="G93" s="23" t="s">
        <v>160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8"/>
      <c r="AD93" s="18"/>
    </row>
    <row r="94">
      <c r="A94" s="37" t="s">
        <v>161</v>
      </c>
      <c r="B94" s="9" t="s">
        <v>159</v>
      </c>
      <c r="C94" s="10">
        <v>1.0</v>
      </c>
      <c r="D94" s="10">
        <v>1.0</v>
      </c>
      <c r="E94" s="13">
        <v>45000.0</v>
      </c>
      <c r="F94" s="12">
        <f t="shared" si="12"/>
        <v>45000</v>
      </c>
      <c r="G94" s="85" t="s">
        <v>162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8"/>
      <c r="AD94" s="18"/>
    </row>
    <row r="95">
      <c r="A95" s="37" t="s">
        <v>163</v>
      </c>
      <c r="B95" s="83" t="s">
        <v>164</v>
      </c>
      <c r="C95" s="10">
        <v>1.0</v>
      </c>
      <c r="D95" s="10">
        <v>1.0</v>
      </c>
      <c r="E95" s="38">
        <v>10780.0</v>
      </c>
      <c r="F95" s="12">
        <f t="shared" si="12"/>
        <v>10780</v>
      </c>
      <c r="G95" s="39" t="s">
        <v>165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8"/>
      <c r="AD95" s="18"/>
    </row>
    <row r="96">
      <c r="A96" s="22" t="s">
        <v>166</v>
      </c>
      <c r="B96" s="24"/>
      <c r="C96" s="10">
        <v>1.0</v>
      </c>
      <c r="D96" s="10">
        <v>1.0</v>
      </c>
      <c r="E96" s="86">
        <v>7900.0</v>
      </c>
      <c r="F96" s="12">
        <f t="shared" si="12"/>
        <v>7900</v>
      </c>
      <c r="G96" s="39" t="s">
        <v>167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8"/>
      <c r="AD96" s="18"/>
    </row>
    <row r="97">
      <c r="A97" s="22" t="s">
        <v>168</v>
      </c>
      <c r="B97" s="24"/>
      <c r="C97" s="10">
        <v>1.0</v>
      </c>
      <c r="D97" s="10">
        <v>1.0</v>
      </c>
      <c r="E97" s="24">
        <v>12000.0</v>
      </c>
      <c r="F97" s="12">
        <f t="shared" si="12"/>
        <v>12000</v>
      </c>
      <c r="G97" s="39" t="s">
        <v>169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8"/>
      <c r="AD97" s="18"/>
    </row>
    <row r="98">
      <c r="A98" s="9" t="s">
        <v>170</v>
      </c>
      <c r="B98" s="29"/>
      <c r="C98" s="10">
        <v>1.0</v>
      </c>
      <c r="D98" s="10">
        <v>1.0</v>
      </c>
      <c r="E98" s="30" t="s">
        <v>171</v>
      </c>
      <c r="F98" s="12">
        <f>400000+C98*D98*24000</f>
        <v>424000</v>
      </c>
      <c r="G98" s="39" t="s">
        <v>172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8"/>
      <c r="AD98" s="18"/>
    </row>
    <row r="99">
      <c r="A99" s="14"/>
      <c r="B99" s="87"/>
      <c r="C99" s="28"/>
      <c r="D99" s="28"/>
      <c r="E99" s="30"/>
      <c r="F99" s="12"/>
      <c r="G99" s="39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8"/>
      <c r="AD99" s="18"/>
    </row>
    <row r="100">
      <c r="A100" s="45" t="s">
        <v>173</v>
      </c>
      <c r="B100" s="24"/>
      <c r="C100" s="10">
        <v>1.0</v>
      </c>
      <c r="D100" s="10">
        <v>1.0</v>
      </c>
      <c r="E100" s="88">
        <v>33000.0</v>
      </c>
      <c r="F100" s="12">
        <f t="shared" ref="F100:F103" si="13">C100*D100*E100</f>
        <v>33000</v>
      </c>
      <c r="G100" s="39" t="s">
        <v>174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8"/>
      <c r="AD100" s="18"/>
    </row>
    <row r="101">
      <c r="A101" s="45" t="s">
        <v>175</v>
      </c>
      <c r="B101" s="24"/>
      <c r="C101" s="10">
        <v>1.0</v>
      </c>
      <c r="D101" s="10">
        <v>1.0</v>
      </c>
      <c r="E101" s="88">
        <v>33000.0</v>
      </c>
      <c r="F101" s="12">
        <f t="shared" si="13"/>
        <v>33000</v>
      </c>
      <c r="G101" s="39" t="s">
        <v>176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8"/>
      <c r="AD101" s="18"/>
    </row>
    <row r="102">
      <c r="A102" s="45" t="s">
        <v>177</v>
      </c>
      <c r="B102" s="24"/>
      <c r="C102" s="10">
        <v>1.0</v>
      </c>
      <c r="D102" s="10">
        <v>1.0</v>
      </c>
      <c r="E102" s="88">
        <v>33000.0</v>
      </c>
      <c r="F102" s="12">
        <f t="shared" si="13"/>
        <v>33000</v>
      </c>
      <c r="G102" s="39" t="s">
        <v>178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8"/>
      <c r="AD102" s="18"/>
    </row>
    <row r="103">
      <c r="A103" s="45" t="s">
        <v>179</v>
      </c>
      <c r="B103" s="24"/>
      <c r="C103" s="10">
        <v>1.0</v>
      </c>
      <c r="D103" s="10">
        <v>1.0</v>
      </c>
      <c r="E103" s="88">
        <v>66000.0</v>
      </c>
      <c r="F103" s="12">
        <f t="shared" si="13"/>
        <v>66000</v>
      </c>
      <c r="G103" s="39" t="s">
        <v>180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8"/>
      <c r="AD103" s="18"/>
    </row>
    <row r="104">
      <c r="A104" s="14" t="s">
        <v>181</v>
      </c>
      <c r="B104" s="87"/>
      <c r="C104" s="28"/>
      <c r="D104" s="28"/>
      <c r="E104" s="89">
        <v>66000.0</v>
      </c>
      <c r="F104" s="20">
        <v>60000.0</v>
      </c>
      <c r="G104" s="23" t="s">
        <v>182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8"/>
      <c r="AD104" s="18"/>
    </row>
    <row r="105">
      <c r="A105" s="40" t="s">
        <v>183</v>
      </c>
      <c r="B105" s="87"/>
      <c r="C105" s="28">
        <v>1.0</v>
      </c>
      <c r="D105" s="28">
        <v>1.0</v>
      </c>
      <c r="E105" s="38">
        <v>14520.0</v>
      </c>
      <c r="F105" s="20">
        <f t="shared" ref="F105:F110" si="14">C105*D105*E105</f>
        <v>14520</v>
      </c>
      <c r="G105" s="23" t="s">
        <v>184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8"/>
      <c r="AD105" s="18"/>
    </row>
    <row r="106">
      <c r="A106" s="90" t="s">
        <v>185</v>
      </c>
      <c r="B106" s="91"/>
      <c r="C106" s="92">
        <v>1.0</v>
      </c>
      <c r="D106" s="92">
        <v>1.0</v>
      </c>
      <c r="E106" s="93">
        <f>15500*1.1*1.1</f>
        <v>18755</v>
      </c>
      <c r="F106" s="21">
        <f t="shared" si="14"/>
        <v>18755</v>
      </c>
      <c r="G106" s="94" t="s">
        <v>186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8"/>
      <c r="AD106" s="18"/>
    </row>
    <row r="107">
      <c r="A107" s="14" t="s">
        <v>187</v>
      </c>
      <c r="B107" s="87"/>
      <c r="C107" s="95">
        <v>1.0</v>
      </c>
      <c r="D107" s="95">
        <v>1.0</v>
      </c>
      <c r="E107" s="21">
        <f>15000</f>
        <v>15000</v>
      </c>
      <c r="F107" s="96">
        <f t="shared" si="14"/>
        <v>15000</v>
      </c>
      <c r="G107" s="23" t="s">
        <v>188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8"/>
      <c r="AD107" s="18"/>
    </row>
    <row r="108">
      <c r="A108" s="22" t="s">
        <v>189</v>
      </c>
      <c r="B108" s="24"/>
      <c r="C108" s="10">
        <v>1.0</v>
      </c>
      <c r="D108" s="10">
        <v>1.0</v>
      </c>
      <c r="E108" s="86">
        <v>380000.0</v>
      </c>
      <c r="F108" s="12">
        <f t="shared" si="14"/>
        <v>380000</v>
      </c>
      <c r="G108" s="23" t="s">
        <v>190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8"/>
      <c r="AD108" s="18"/>
    </row>
    <row r="109">
      <c r="A109" s="22" t="s">
        <v>191</v>
      </c>
      <c r="B109" s="24"/>
      <c r="C109" s="10">
        <v>1.0</v>
      </c>
      <c r="D109" s="10">
        <v>1.0</v>
      </c>
      <c r="E109" s="86">
        <v>380000.0</v>
      </c>
      <c r="F109" s="12">
        <f t="shared" si="14"/>
        <v>380000</v>
      </c>
      <c r="G109" s="23" t="s">
        <v>192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8"/>
      <c r="AD109" s="18"/>
    </row>
    <row r="110">
      <c r="A110" s="45" t="s">
        <v>193</v>
      </c>
      <c r="B110" s="74"/>
      <c r="C110" s="10">
        <v>1.0</v>
      </c>
      <c r="D110" s="10">
        <v>1.0</v>
      </c>
      <c r="E110" s="97">
        <v>1100.0</v>
      </c>
      <c r="F110" s="12">
        <f t="shared" si="14"/>
        <v>1100</v>
      </c>
      <c r="G110" s="23" t="s">
        <v>194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8"/>
      <c r="AD110" s="18"/>
    </row>
    <row r="111">
      <c r="A111" s="45" t="s">
        <v>195</v>
      </c>
      <c r="B111" s="24"/>
      <c r="C111" s="10">
        <v>1.0</v>
      </c>
      <c r="D111" s="10">
        <v>1.0</v>
      </c>
      <c r="E111" s="74" t="s">
        <v>196</v>
      </c>
      <c r="F111" s="12"/>
      <c r="G111" s="40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8"/>
      <c r="AD111" s="18"/>
    </row>
    <row r="112">
      <c r="A112" s="22" t="s">
        <v>197</v>
      </c>
      <c r="B112" s="74"/>
      <c r="C112" s="10">
        <v>1.0</v>
      </c>
      <c r="D112" s="10">
        <v>1.0</v>
      </c>
      <c r="E112" s="74">
        <v>6000.0</v>
      </c>
      <c r="F112" s="12">
        <f t="shared" ref="F112:F118" si="15">C112*D112*E112</f>
        <v>6000</v>
      </c>
      <c r="G112" s="98" t="s">
        <v>198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8"/>
      <c r="AD112" s="18"/>
    </row>
    <row r="113">
      <c r="A113" s="45" t="s">
        <v>199</v>
      </c>
      <c r="B113" s="24"/>
      <c r="C113" s="10">
        <v>1.0</v>
      </c>
      <c r="D113" s="10">
        <v>1.0</v>
      </c>
      <c r="E113" s="74">
        <v>1500.0</v>
      </c>
      <c r="F113" s="12">
        <f t="shared" si="15"/>
        <v>1500</v>
      </c>
      <c r="G113" s="40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8"/>
      <c r="AD113" s="18"/>
    </row>
    <row r="114">
      <c r="A114" s="45" t="s">
        <v>200</v>
      </c>
      <c r="B114" s="24"/>
      <c r="C114" s="10">
        <v>1.0</v>
      </c>
      <c r="D114" s="10">
        <v>1.0</v>
      </c>
      <c r="E114" s="86">
        <v>1500.0</v>
      </c>
      <c r="F114" s="12">
        <f t="shared" si="15"/>
        <v>1500</v>
      </c>
      <c r="G114" s="40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8"/>
      <c r="AD114" s="18"/>
    </row>
    <row r="115">
      <c r="A115" s="99" t="s">
        <v>201</v>
      </c>
      <c r="B115" s="24"/>
      <c r="C115" s="10">
        <v>1.0</v>
      </c>
      <c r="D115" s="10">
        <v>1.0</v>
      </c>
      <c r="E115" s="86">
        <v>53000.0</v>
      </c>
      <c r="F115" s="12">
        <f t="shared" si="15"/>
        <v>53000</v>
      </c>
      <c r="G115" s="14" t="s">
        <v>202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8"/>
      <c r="AD115" s="8"/>
    </row>
    <row r="116">
      <c r="A116" s="99" t="s">
        <v>203</v>
      </c>
      <c r="B116" s="24"/>
      <c r="C116" s="10">
        <v>1.0</v>
      </c>
      <c r="D116" s="10">
        <v>1.0</v>
      </c>
      <c r="E116" s="86">
        <v>53000.0</v>
      </c>
      <c r="F116" s="12">
        <f t="shared" si="15"/>
        <v>53000</v>
      </c>
      <c r="G116" s="40" t="s">
        <v>204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8"/>
      <c r="AD116" s="8"/>
    </row>
    <row r="117">
      <c r="A117" s="99" t="s">
        <v>205</v>
      </c>
      <c r="B117" s="24"/>
      <c r="C117" s="10">
        <v>1.0</v>
      </c>
      <c r="D117" s="10">
        <v>1.0</v>
      </c>
      <c r="E117" s="86">
        <v>53000.0</v>
      </c>
      <c r="F117" s="12">
        <f t="shared" si="15"/>
        <v>53000</v>
      </c>
      <c r="G117" s="14" t="s">
        <v>206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8"/>
      <c r="AD117" s="8"/>
    </row>
    <row r="118">
      <c r="A118" s="100" t="s">
        <v>207</v>
      </c>
      <c r="B118" s="24"/>
      <c r="C118" s="10">
        <v>1.0</v>
      </c>
      <c r="D118" s="10">
        <v>1.0</v>
      </c>
      <c r="E118" s="86">
        <v>53000.0</v>
      </c>
      <c r="F118" s="12">
        <f t="shared" si="15"/>
        <v>53000</v>
      </c>
      <c r="G118" s="40" t="s">
        <v>208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8"/>
      <c r="AD118" s="8"/>
    </row>
    <row r="119">
      <c r="A119" s="80" t="s">
        <v>209</v>
      </c>
      <c r="B119" s="74"/>
      <c r="C119" s="10"/>
      <c r="D119" s="10"/>
      <c r="E119" s="74"/>
      <c r="F119" s="85"/>
      <c r="G119" s="8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8"/>
      <c r="AD119" s="8"/>
    </row>
    <row r="120">
      <c r="A120" s="101" t="s">
        <v>210</v>
      </c>
      <c r="B120" s="74"/>
      <c r="C120" s="10">
        <v>1.0</v>
      </c>
      <c r="D120" s="10">
        <v>1.0</v>
      </c>
      <c r="E120" s="86">
        <v>7983.0</v>
      </c>
      <c r="F120" s="12">
        <f t="shared" ref="F120:F122" si="16">C120*D120*E120</f>
        <v>7983</v>
      </c>
      <c r="G120" s="39" t="s">
        <v>211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8"/>
      <c r="AD120" s="8"/>
    </row>
    <row r="121">
      <c r="A121" s="101" t="s">
        <v>212</v>
      </c>
      <c r="B121" s="74"/>
      <c r="C121" s="10">
        <v>1.0</v>
      </c>
      <c r="D121" s="10">
        <v>1.0</v>
      </c>
      <c r="E121" s="86">
        <v>7983.0</v>
      </c>
      <c r="F121" s="12">
        <f t="shared" si="16"/>
        <v>7983</v>
      </c>
      <c r="G121" s="39" t="s">
        <v>211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8"/>
      <c r="AD121" s="8"/>
    </row>
    <row r="122">
      <c r="A122" s="101" t="s">
        <v>213</v>
      </c>
      <c r="B122" s="74"/>
      <c r="C122" s="10">
        <v>1.0</v>
      </c>
      <c r="D122" s="10">
        <v>1.0</v>
      </c>
      <c r="E122" s="86">
        <v>7983.0</v>
      </c>
      <c r="F122" s="12">
        <f t="shared" si="16"/>
        <v>7983</v>
      </c>
      <c r="G122" s="39" t="s">
        <v>211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8"/>
      <c r="AD122" s="8"/>
    </row>
    <row r="123">
      <c r="A123" s="80"/>
      <c r="B123" s="74"/>
      <c r="C123" s="10"/>
      <c r="D123" s="10"/>
      <c r="E123" s="74"/>
      <c r="F123" s="85"/>
      <c r="G123" s="8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8"/>
      <c r="AD123" s="8"/>
    </row>
    <row r="124">
      <c r="A124" s="80"/>
      <c r="B124" s="74"/>
      <c r="C124" s="10"/>
      <c r="D124" s="10"/>
      <c r="E124" s="74"/>
      <c r="F124" s="85"/>
      <c r="G124" s="8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8"/>
      <c r="AD124" s="8"/>
    </row>
    <row r="125">
      <c r="A125" s="102" t="s">
        <v>214</v>
      </c>
      <c r="B125" s="2" t="s">
        <v>1</v>
      </c>
      <c r="C125" s="3" t="s">
        <v>2</v>
      </c>
      <c r="D125" s="3" t="s">
        <v>3</v>
      </c>
      <c r="E125" s="4" t="s">
        <v>4</v>
      </c>
      <c r="F125" s="1" t="s">
        <v>5</v>
      </c>
      <c r="G125" s="36" t="s">
        <v>6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8"/>
      <c r="AD125" s="18"/>
    </row>
    <row r="126">
      <c r="A126" s="22" t="s">
        <v>215</v>
      </c>
      <c r="B126" s="24"/>
      <c r="C126" s="10">
        <v>1.0</v>
      </c>
      <c r="D126" s="10">
        <v>1.0</v>
      </c>
      <c r="E126" s="24">
        <v>300000.0</v>
      </c>
      <c r="F126" s="12">
        <f t="shared" ref="F126:F130" si="17">C126*D126*E126</f>
        <v>300000</v>
      </c>
      <c r="G126" s="23" t="s">
        <v>216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8"/>
      <c r="AD126" s="18"/>
    </row>
    <row r="127">
      <c r="A127" s="37" t="s">
        <v>217</v>
      </c>
      <c r="B127" s="29" t="s">
        <v>36</v>
      </c>
      <c r="C127" s="10">
        <v>1.0</v>
      </c>
      <c r="D127" s="10">
        <v>1.0</v>
      </c>
      <c r="E127" s="11">
        <v>25210.0</v>
      </c>
      <c r="F127" s="12">
        <f t="shared" si="17"/>
        <v>25210</v>
      </c>
      <c r="G127" s="39" t="s">
        <v>218</v>
      </c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8"/>
      <c r="AD127" s="18"/>
    </row>
    <row r="128">
      <c r="A128" s="9" t="s">
        <v>219</v>
      </c>
      <c r="B128" s="29"/>
      <c r="C128" s="10">
        <v>1.0</v>
      </c>
      <c r="D128" s="10">
        <v>1.0</v>
      </c>
      <c r="E128" s="11">
        <v>3782.0</v>
      </c>
      <c r="F128" s="12">
        <f t="shared" si="17"/>
        <v>3782</v>
      </c>
      <c r="G128" s="85" t="s">
        <v>220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8"/>
      <c r="AD128" s="8"/>
    </row>
    <row r="129">
      <c r="A129" s="9" t="s">
        <v>221</v>
      </c>
      <c r="B129" s="29"/>
      <c r="C129" s="10">
        <v>1.0</v>
      </c>
      <c r="D129" s="10">
        <v>1.0</v>
      </c>
      <c r="E129" s="11">
        <v>2101.0</v>
      </c>
      <c r="F129" s="12">
        <f t="shared" si="17"/>
        <v>2101</v>
      </c>
      <c r="G129" s="85" t="s">
        <v>222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8"/>
      <c r="AD129" s="8"/>
    </row>
    <row r="130">
      <c r="A130" s="9" t="s">
        <v>223</v>
      </c>
      <c r="B130" s="9" t="s">
        <v>224</v>
      </c>
      <c r="C130" s="10">
        <v>1.0</v>
      </c>
      <c r="D130" s="10">
        <v>1.0</v>
      </c>
      <c r="E130" s="30">
        <v>150000.0</v>
      </c>
      <c r="F130" s="12">
        <f t="shared" si="17"/>
        <v>150000</v>
      </c>
      <c r="G130" s="9" t="s">
        <v>225</v>
      </c>
      <c r="H130" s="103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7"/>
      <c r="AC130" s="8"/>
      <c r="AD130" s="8"/>
    </row>
    <row r="131">
      <c r="A131" s="105"/>
      <c r="B131" s="70"/>
      <c r="C131" s="10"/>
      <c r="D131" s="10"/>
      <c r="E131" s="106"/>
      <c r="F131" s="107"/>
      <c r="G131" s="107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2"/>
      <c r="AD131" s="72"/>
    </row>
    <row r="132">
      <c r="A132" s="108" t="s">
        <v>226</v>
      </c>
      <c r="B132" s="2" t="s">
        <v>1</v>
      </c>
      <c r="C132" s="3" t="s">
        <v>2</v>
      </c>
      <c r="D132" s="3" t="s">
        <v>3</v>
      </c>
      <c r="E132" s="4" t="s">
        <v>4</v>
      </c>
      <c r="F132" s="1" t="s">
        <v>5</v>
      </c>
      <c r="G132" s="36" t="s">
        <v>6</v>
      </c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10"/>
      <c r="AD132" s="110"/>
    </row>
    <row r="133">
      <c r="A133" s="111" t="s">
        <v>227</v>
      </c>
      <c r="B133" s="112"/>
      <c r="C133" s="10">
        <v>1.0</v>
      </c>
      <c r="D133" s="10">
        <v>1.0</v>
      </c>
      <c r="E133" s="113">
        <v>132693.0</v>
      </c>
      <c r="F133" s="12">
        <f t="shared" ref="F133:F140" si="18">C133*D133*E133</f>
        <v>132693</v>
      </c>
      <c r="G133" s="114" t="s">
        <v>228</v>
      </c>
      <c r="H133" s="115"/>
      <c r="I133" s="116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7"/>
      <c r="AC133" s="18"/>
      <c r="AD133" s="18"/>
    </row>
    <row r="134">
      <c r="A134" s="118" t="s">
        <v>229</v>
      </c>
      <c r="B134" s="119"/>
      <c r="C134" s="10">
        <v>1.0</v>
      </c>
      <c r="D134" s="10">
        <v>1.0</v>
      </c>
      <c r="E134" s="120">
        <v>208141.0</v>
      </c>
      <c r="F134" s="12">
        <f t="shared" si="18"/>
        <v>208141</v>
      </c>
      <c r="G134" s="121" t="s">
        <v>228</v>
      </c>
      <c r="H134" s="115"/>
      <c r="I134" s="116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7"/>
      <c r="AC134" s="18"/>
      <c r="AD134" s="18"/>
    </row>
    <row r="135">
      <c r="A135" s="111" t="s">
        <v>230</v>
      </c>
      <c r="B135" s="112"/>
      <c r="C135" s="28">
        <v>1.0</v>
      </c>
      <c r="D135" s="28">
        <v>1.0</v>
      </c>
      <c r="E135" s="122">
        <v>284501.0</v>
      </c>
      <c r="F135" s="12">
        <f t="shared" si="18"/>
        <v>284501</v>
      </c>
      <c r="G135" s="123" t="s">
        <v>228</v>
      </c>
      <c r="H135" s="124"/>
      <c r="I135" s="116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7"/>
      <c r="AC135" s="18"/>
      <c r="AD135" s="18"/>
    </row>
    <row r="136">
      <c r="A136" s="118" t="s">
        <v>231</v>
      </c>
      <c r="B136" s="119"/>
      <c r="C136" s="10">
        <v>1.0</v>
      </c>
      <c r="D136" s="10">
        <v>1.0</v>
      </c>
      <c r="E136" s="122">
        <v>319227.0</v>
      </c>
      <c r="F136" s="12">
        <f t="shared" si="18"/>
        <v>319227</v>
      </c>
      <c r="G136" s="123" t="s">
        <v>228</v>
      </c>
      <c r="H136" s="125"/>
      <c r="I136" s="116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7"/>
      <c r="AC136" s="18"/>
      <c r="AD136" s="18"/>
    </row>
    <row r="137">
      <c r="A137" s="118" t="s">
        <v>232</v>
      </c>
      <c r="B137" s="126"/>
      <c r="C137" s="10">
        <v>1.0</v>
      </c>
      <c r="D137" s="10">
        <v>1.0</v>
      </c>
      <c r="E137" s="122">
        <v>376307.0</v>
      </c>
      <c r="F137" s="12">
        <f t="shared" si="18"/>
        <v>376307</v>
      </c>
      <c r="G137" s="123" t="s">
        <v>228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8"/>
      <c r="AD137" s="18"/>
    </row>
    <row r="138">
      <c r="A138" s="127" t="s">
        <v>233</v>
      </c>
      <c r="B138" s="126"/>
      <c r="C138" s="10">
        <v>1.0</v>
      </c>
      <c r="D138" s="10">
        <v>1.0</v>
      </c>
      <c r="E138" s="122">
        <v>433386.0</v>
      </c>
      <c r="F138" s="12">
        <f t="shared" si="18"/>
        <v>433386</v>
      </c>
      <c r="G138" s="123" t="s">
        <v>228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8"/>
      <c r="AD138" s="18"/>
    </row>
    <row r="139">
      <c r="A139" s="127" t="s">
        <v>234</v>
      </c>
      <c r="B139" s="126"/>
      <c r="C139" s="10">
        <v>1.0</v>
      </c>
      <c r="D139" s="10">
        <v>1.0</v>
      </c>
      <c r="E139" s="122">
        <v>490567.0</v>
      </c>
      <c r="F139" s="12">
        <f t="shared" si="18"/>
        <v>490567</v>
      </c>
      <c r="G139" s="123" t="s">
        <v>228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8"/>
      <c r="AD139" s="18"/>
    </row>
    <row r="140">
      <c r="A140" s="127" t="s">
        <v>235</v>
      </c>
      <c r="B140" s="126"/>
      <c r="C140" s="10">
        <v>1.0</v>
      </c>
      <c r="D140" s="10">
        <v>1.0</v>
      </c>
      <c r="E140" s="122">
        <v>547546.0</v>
      </c>
      <c r="F140" s="12">
        <f t="shared" si="18"/>
        <v>547546</v>
      </c>
      <c r="G140" s="123" t="s">
        <v>228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8"/>
      <c r="AD140" s="18"/>
    </row>
    <row r="141">
      <c r="A141" s="128"/>
      <c r="B141" s="129"/>
      <c r="C141" s="10"/>
      <c r="D141" s="10"/>
      <c r="E141" s="130"/>
      <c r="F141" s="12"/>
      <c r="G141" s="131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8"/>
      <c r="AD141" s="18"/>
    </row>
    <row r="142">
      <c r="A142" s="37" t="s">
        <v>236</v>
      </c>
      <c r="B142" s="29"/>
      <c r="C142" s="10">
        <v>1.0</v>
      </c>
      <c r="D142" s="10">
        <v>1.0</v>
      </c>
      <c r="E142" s="132">
        <f>39916*1.1*1.1</f>
        <v>48298.36</v>
      </c>
      <c r="F142" s="12">
        <f t="shared" ref="F142:F148" si="19">C142*D142*E142</f>
        <v>48298.36</v>
      </c>
      <c r="G142" s="85" t="s">
        <v>237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8"/>
      <c r="AD142" s="18"/>
    </row>
    <row r="143">
      <c r="A143" s="37" t="s">
        <v>238</v>
      </c>
      <c r="B143" s="29"/>
      <c r="C143" s="10">
        <v>1.0</v>
      </c>
      <c r="D143" s="10">
        <v>1.0</v>
      </c>
      <c r="E143" s="11">
        <f t="shared" ref="E143:E144" si="20">35000/1.19</f>
        <v>29411.76471</v>
      </c>
      <c r="F143" s="12">
        <f t="shared" si="19"/>
        <v>29411.76471</v>
      </c>
      <c r="G143" s="85" t="s">
        <v>239</v>
      </c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8"/>
      <c r="AD143" s="18"/>
    </row>
    <row r="144">
      <c r="A144" s="37" t="s">
        <v>240</v>
      </c>
      <c r="B144" s="29"/>
      <c r="C144" s="10">
        <v>1.0</v>
      </c>
      <c r="D144" s="10">
        <v>1.0</v>
      </c>
      <c r="E144" s="11">
        <f t="shared" si="20"/>
        <v>29411.76471</v>
      </c>
      <c r="F144" s="12">
        <f t="shared" si="19"/>
        <v>29411.76471</v>
      </c>
      <c r="G144" s="85" t="s">
        <v>241</v>
      </c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8"/>
      <c r="AD144" s="18"/>
    </row>
    <row r="145">
      <c r="A145" s="37" t="s">
        <v>242</v>
      </c>
      <c r="B145" s="29"/>
      <c r="C145" s="10">
        <v>1.0</v>
      </c>
      <c r="D145" s="10">
        <v>1.0</v>
      </c>
      <c r="E145" s="11">
        <f t="shared" ref="E145:E146" si="21">55000/1.19</f>
        <v>46218.48739</v>
      </c>
      <c r="F145" s="12">
        <f t="shared" si="19"/>
        <v>46218.48739</v>
      </c>
      <c r="G145" s="85" t="s">
        <v>239</v>
      </c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8"/>
      <c r="AD145" s="18"/>
    </row>
    <row r="146">
      <c r="A146" s="37" t="s">
        <v>243</v>
      </c>
      <c r="B146" s="29"/>
      <c r="C146" s="10">
        <v>1.0</v>
      </c>
      <c r="D146" s="10">
        <v>1.0</v>
      </c>
      <c r="E146" s="11">
        <f t="shared" si="21"/>
        <v>46218.48739</v>
      </c>
      <c r="F146" s="12">
        <f t="shared" si="19"/>
        <v>46218.48739</v>
      </c>
      <c r="G146" s="85" t="s">
        <v>241</v>
      </c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8"/>
      <c r="AD146" s="18"/>
    </row>
    <row r="147">
      <c r="A147" s="9" t="s">
        <v>244</v>
      </c>
      <c r="B147" s="33"/>
      <c r="C147" s="10">
        <v>1.0</v>
      </c>
      <c r="D147" s="10">
        <v>1.0</v>
      </c>
      <c r="E147" s="133">
        <v>5500.0</v>
      </c>
      <c r="F147" s="12">
        <f t="shared" si="19"/>
        <v>5500</v>
      </c>
      <c r="G147" s="17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2"/>
      <c r="AD147" s="72"/>
    </row>
    <row r="148">
      <c r="A148" s="9" t="s">
        <v>245</v>
      </c>
      <c r="B148" s="33"/>
      <c r="C148" s="10">
        <v>1.0</v>
      </c>
      <c r="D148" s="10">
        <v>1.0</v>
      </c>
      <c r="E148" s="133">
        <v>2200.0</v>
      </c>
      <c r="F148" s="12">
        <f t="shared" si="19"/>
        <v>2200</v>
      </c>
      <c r="G148" s="134" t="s">
        <v>246</v>
      </c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2"/>
      <c r="AD148" s="72"/>
    </row>
    <row r="149">
      <c r="A149" s="135"/>
      <c r="B149" s="33"/>
      <c r="C149" s="10"/>
      <c r="D149" s="10"/>
      <c r="E149" s="33"/>
      <c r="F149" s="12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8"/>
      <c r="AD149" s="8"/>
    </row>
    <row r="150">
      <c r="A150" s="108" t="s">
        <v>247</v>
      </c>
      <c r="B150" s="2" t="s">
        <v>1</v>
      </c>
      <c r="C150" s="3" t="s">
        <v>2</v>
      </c>
      <c r="D150" s="3" t="s">
        <v>3</v>
      </c>
      <c r="E150" s="4" t="s">
        <v>4</v>
      </c>
      <c r="F150" s="1" t="s">
        <v>5</v>
      </c>
      <c r="G150" s="36" t="s">
        <v>6</v>
      </c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7"/>
      <c r="AD150" s="137"/>
    </row>
    <row r="151">
      <c r="A151" s="45" t="s">
        <v>248</v>
      </c>
      <c r="B151" s="24"/>
      <c r="C151" s="10">
        <v>1.0</v>
      </c>
      <c r="D151" s="10">
        <v>1.0</v>
      </c>
      <c r="E151" s="86">
        <v>75000.0</v>
      </c>
      <c r="F151" s="12">
        <f t="shared" ref="F151:F160" si="22">C151*D151*E151</f>
        <v>75000</v>
      </c>
      <c r="G151" s="34" t="s">
        <v>249</v>
      </c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8"/>
      <c r="AD151" s="18"/>
    </row>
    <row r="152">
      <c r="A152" s="45"/>
      <c r="B152" s="24"/>
      <c r="C152" s="10">
        <v>1.0</v>
      </c>
      <c r="D152" s="10">
        <v>1.0</v>
      </c>
      <c r="E152" s="74"/>
      <c r="F152" s="12">
        <f t="shared" si="22"/>
        <v>0</v>
      </c>
      <c r="G152" s="40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8"/>
      <c r="AD152" s="18"/>
    </row>
    <row r="153">
      <c r="A153" s="9" t="s">
        <v>250</v>
      </c>
      <c r="B153" s="138"/>
      <c r="C153" s="10">
        <v>1.0</v>
      </c>
      <c r="D153" s="10">
        <v>1.0</v>
      </c>
      <c r="E153" s="32">
        <v>12000.0</v>
      </c>
      <c r="F153" s="12">
        <f t="shared" si="22"/>
        <v>12000</v>
      </c>
      <c r="G153" s="17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2"/>
      <c r="AD153" s="72"/>
    </row>
    <row r="154">
      <c r="A154" s="9" t="s">
        <v>251</v>
      </c>
      <c r="B154" s="138"/>
      <c r="C154" s="10">
        <v>1.0</v>
      </c>
      <c r="D154" s="10">
        <v>1.0</v>
      </c>
      <c r="E154" s="32">
        <v>1000.0</v>
      </c>
      <c r="F154" s="12">
        <f t="shared" si="22"/>
        <v>1000</v>
      </c>
      <c r="G154" s="17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2"/>
      <c r="AD154" s="72"/>
    </row>
    <row r="155">
      <c r="A155" s="9" t="s">
        <v>252</v>
      </c>
      <c r="B155" s="138"/>
      <c r="C155" s="10">
        <v>1.0</v>
      </c>
      <c r="D155" s="10">
        <v>1.0</v>
      </c>
      <c r="E155" s="32">
        <v>3500.0</v>
      </c>
      <c r="F155" s="12">
        <f t="shared" si="22"/>
        <v>3500</v>
      </c>
      <c r="G155" s="17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2"/>
      <c r="AD155" s="72"/>
    </row>
    <row r="156">
      <c r="A156" s="9" t="s">
        <v>253</v>
      </c>
      <c r="B156" s="138"/>
      <c r="C156" s="10">
        <v>1.0</v>
      </c>
      <c r="D156" s="10">
        <v>1.0</v>
      </c>
      <c r="E156" s="32">
        <v>1000.0</v>
      </c>
      <c r="F156" s="12">
        <f t="shared" si="22"/>
        <v>1000</v>
      </c>
      <c r="G156" s="17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2"/>
      <c r="AD156" s="72"/>
    </row>
    <row r="157">
      <c r="A157" s="9" t="s">
        <v>254</v>
      </c>
      <c r="B157" s="138"/>
      <c r="C157" s="10">
        <v>1.0</v>
      </c>
      <c r="D157" s="10">
        <v>1.0</v>
      </c>
      <c r="E157" s="32">
        <v>800.0</v>
      </c>
      <c r="F157" s="12">
        <f t="shared" si="22"/>
        <v>800</v>
      </c>
      <c r="G157" s="17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2"/>
      <c r="AD157" s="72"/>
    </row>
    <row r="158">
      <c r="A158" s="9" t="s">
        <v>255</v>
      </c>
      <c r="B158" s="138"/>
      <c r="C158" s="10">
        <v>1.0</v>
      </c>
      <c r="D158" s="10">
        <v>1.0</v>
      </c>
      <c r="E158" s="32">
        <v>600.0</v>
      </c>
      <c r="F158" s="12">
        <f t="shared" si="22"/>
        <v>600</v>
      </c>
      <c r="G158" s="134" t="s">
        <v>256</v>
      </c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2"/>
      <c r="AD158" s="72"/>
    </row>
    <row r="159">
      <c r="A159" s="9" t="s">
        <v>257</v>
      </c>
      <c r="B159" s="138"/>
      <c r="C159" s="10">
        <v>1.0</v>
      </c>
      <c r="D159" s="10">
        <v>1.0</v>
      </c>
      <c r="E159" s="32">
        <v>300.0</v>
      </c>
      <c r="F159" s="12">
        <f t="shared" si="22"/>
        <v>300</v>
      </c>
      <c r="G159" s="134" t="s">
        <v>258</v>
      </c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2"/>
      <c r="AD159" s="72"/>
    </row>
    <row r="160">
      <c r="A160" s="14" t="s">
        <v>259</v>
      </c>
      <c r="B160" s="33"/>
      <c r="C160" s="10">
        <v>1.0</v>
      </c>
      <c r="D160" s="10">
        <v>1.0</v>
      </c>
      <c r="E160" s="19">
        <f>E89*0.6</f>
        <v>16638.6</v>
      </c>
      <c r="F160" s="12">
        <f t="shared" si="22"/>
        <v>16638.6</v>
      </c>
      <c r="G160" s="134" t="s">
        <v>260</v>
      </c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8"/>
      <c r="AD160" s="18"/>
    </row>
    <row r="161">
      <c r="A161" s="37"/>
      <c r="B161" s="33"/>
      <c r="C161" s="139"/>
      <c r="D161" s="139"/>
      <c r="E161" s="3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8"/>
      <c r="AD161" s="18"/>
    </row>
    <row r="162">
      <c r="A162" s="37"/>
      <c r="B162" s="33"/>
      <c r="C162" s="139"/>
      <c r="D162" s="139"/>
      <c r="E162" s="3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8"/>
      <c r="AD162" s="18"/>
    </row>
    <row r="163">
      <c r="A163" s="37"/>
      <c r="B163" s="33"/>
      <c r="C163" s="139"/>
      <c r="D163" s="139"/>
      <c r="E163" s="3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8"/>
      <c r="AD163" s="18"/>
    </row>
    <row r="164">
      <c r="A164" s="37"/>
      <c r="B164" s="33"/>
      <c r="C164" s="139"/>
      <c r="D164" s="139"/>
      <c r="E164" s="3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8"/>
      <c r="AD164" s="18"/>
    </row>
    <row r="165">
      <c r="A165" s="37"/>
      <c r="B165" s="33"/>
      <c r="C165" s="139"/>
      <c r="D165" s="139"/>
      <c r="E165" s="3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8"/>
      <c r="AD165" s="18"/>
    </row>
    <row r="166">
      <c r="A166" s="37"/>
      <c r="B166" s="33"/>
      <c r="C166" s="139"/>
      <c r="D166" s="139"/>
      <c r="E166" s="3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8"/>
      <c r="AD166" s="18"/>
    </row>
    <row r="167">
      <c r="A167" s="37"/>
      <c r="B167" s="33"/>
      <c r="C167" s="139"/>
      <c r="D167" s="139"/>
      <c r="E167" s="3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8"/>
      <c r="AD167" s="18"/>
    </row>
    <row r="168">
      <c r="A168" s="37"/>
      <c r="B168" s="33"/>
      <c r="C168" s="139"/>
      <c r="D168" s="139"/>
      <c r="E168" s="3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8"/>
      <c r="AD168" s="18"/>
    </row>
    <row r="169">
      <c r="A169" s="37"/>
      <c r="B169" s="33"/>
      <c r="C169" s="139"/>
      <c r="D169" s="139"/>
      <c r="E169" s="3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8"/>
      <c r="AD169" s="18"/>
    </row>
    <row r="170">
      <c r="A170" s="37"/>
      <c r="B170" s="33"/>
      <c r="C170" s="139"/>
      <c r="D170" s="139"/>
      <c r="E170" s="3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8"/>
      <c r="AD170" s="18"/>
    </row>
    <row r="171">
      <c r="A171" s="37"/>
      <c r="B171" s="33"/>
      <c r="C171" s="139"/>
      <c r="D171" s="139"/>
      <c r="E171" s="3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8"/>
      <c r="AD171" s="18"/>
    </row>
    <row r="172">
      <c r="A172" s="37"/>
      <c r="B172" s="33"/>
      <c r="C172" s="139"/>
      <c r="D172" s="139"/>
      <c r="E172" s="3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8"/>
      <c r="AD172" s="18"/>
    </row>
    <row r="173">
      <c r="A173" s="37"/>
      <c r="B173" s="33"/>
      <c r="C173" s="139"/>
      <c r="D173" s="139"/>
      <c r="E173" s="3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8"/>
      <c r="AD173" s="18"/>
    </row>
    <row r="174">
      <c r="A174" s="37"/>
      <c r="B174" s="33"/>
      <c r="C174" s="139"/>
      <c r="D174" s="139"/>
      <c r="E174" s="3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8"/>
      <c r="AD174" s="18"/>
    </row>
    <row r="175">
      <c r="A175" s="37"/>
      <c r="B175" s="33"/>
      <c r="C175" s="139"/>
      <c r="D175" s="139"/>
      <c r="E175" s="3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8"/>
      <c r="AD175" s="18"/>
    </row>
    <row r="176">
      <c r="A176" s="37"/>
      <c r="B176" s="33"/>
      <c r="C176" s="139"/>
      <c r="D176" s="139"/>
      <c r="E176" s="3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8"/>
      <c r="AD176" s="18"/>
    </row>
    <row r="177">
      <c r="A177" s="37"/>
      <c r="B177" s="33"/>
      <c r="C177" s="139"/>
      <c r="D177" s="139"/>
      <c r="E177" s="3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8"/>
      <c r="AD177" s="18"/>
    </row>
    <row r="178">
      <c r="A178" s="37"/>
      <c r="B178" s="33"/>
      <c r="C178" s="139"/>
      <c r="D178" s="139"/>
      <c r="E178" s="3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8"/>
      <c r="AD178" s="18"/>
    </row>
    <row r="179">
      <c r="A179" s="37"/>
      <c r="B179" s="33"/>
      <c r="C179" s="139"/>
      <c r="D179" s="139"/>
      <c r="E179" s="3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8"/>
      <c r="AD179" s="18"/>
    </row>
    <row r="180">
      <c r="A180" s="37"/>
      <c r="B180" s="33"/>
      <c r="C180" s="139"/>
      <c r="D180" s="139"/>
      <c r="E180" s="3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8"/>
      <c r="AD180" s="18"/>
    </row>
    <row r="181">
      <c r="A181" s="37"/>
      <c r="B181" s="33"/>
      <c r="C181" s="139"/>
      <c r="D181" s="139"/>
      <c r="E181" s="3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8"/>
      <c r="AD181" s="18"/>
    </row>
    <row r="182">
      <c r="A182" s="37"/>
      <c r="B182" s="33"/>
      <c r="C182" s="139"/>
      <c r="D182" s="139"/>
      <c r="E182" s="3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8"/>
      <c r="AD182" s="18"/>
    </row>
    <row r="183">
      <c r="A183" s="37"/>
      <c r="B183" s="33"/>
      <c r="C183" s="139"/>
      <c r="D183" s="139"/>
      <c r="E183" s="3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8"/>
      <c r="AD183" s="18"/>
    </row>
    <row r="184">
      <c r="A184" s="37"/>
      <c r="B184" s="33"/>
      <c r="C184" s="139"/>
      <c r="D184" s="139"/>
      <c r="E184" s="3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8"/>
      <c r="AD184" s="18"/>
    </row>
    <row r="185">
      <c r="A185" s="37"/>
      <c r="B185" s="33"/>
      <c r="C185" s="139"/>
      <c r="D185" s="139"/>
      <c r="E185" s="3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8"/>
      <c r="AD185" s="18"/>
    </row>
    <row r="186">
      <c r="A186" s="37"/>
      <c r="B186" s="33"/>
      <c r="C186" s="139"/>
      <c r="D186" s="139"/>
      <c r="E186" s="3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8"/>
      <c r="AD186" s="18"/>
    </row>
    <row r="187">
      <c r="A187" s="37"/>
      <c r="B187" s="33"/>
      <c r="C187" s="139"/>
      <c r="D187" s="139"/>
      <c r="E187" s="3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8"/>
      <c r="AD187" s="18"/>
    </row>
    <row r="188">
      <c r="A188" s="37"/>
      <c r="B188" s="33"/>
      <c r="C188" s="139"/>
      <c r="D188" s="139"/>
      <c r="E188" s="3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8"/>
      <c r="AD188" s="18"/>
    </row>
    <row r="189">
      <c r="A189" s="37"/>
      <c r="B189" s="33"/>
      <c r="C189" s="139"/>
      <c r="D189" s="139"/>
      <c r="E189" s="3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8"/>
      <c r="AD189" s="18"/>
    </row>
    <row r="190">
      <c r="A190" s="37"/>
      <c r="B190" s="33"/>
      <c r="C190" s="139"/>
      <c r="D190" s="139"/>
      <c r="E190" s="3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8"/>
      <c r="AD190" s="18"/>
    </row>
    <row r="191">
      <c r="A191" s="37"/>
      <c r="B191" s="33"/>
      <c r="C191" s="139"/>
      <c r="D191" s="139"/>
      <c r="E191" s="3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8"/>
      <c r="AD191" s="18"/>
    </row>
    <row r="192">
      <c r="A192" s="37"/>
      <c r="B192" s="33"/>
      <c r="C192" s="139"/>
      <c r="D192" s="139"/>
      <c r="E192" s="3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8"/>
      <c r="AD192" s="18"/>
    </row>
    <row r="193">
      <c r="A193" s="37"/>
      <c r="B193" s="33"/>
      <c r="C193" s="139"/>
      <c r="D193" s="139"/>
      <c r="E193" s="3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8"/>
      <c r="AD193" s="18"/>
    </row>
    <row r="194">
      <c r="A194" s="37"/>
      <c r="B194" s="33"/>
      <c r="C194" s="139"/>
      <c r="D194" s="139"/>
      <c r="E194" s="3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8"/>
      <c r="AD194" s="18"/>
    </row>
    <row r="195">
      <c r="A195" s="37"/>
      <c r="B195" s="33"/>
      <c r="C195" s="139"/>
      <c r="D195" s="139"/>
      <c r="E195" s="3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8"/>
      <c r="AD195" s="18"/>
    </row>
    <row r="196">
      <c r="A196" s="37"/>
      <c r="B196" s="33"/>
      <c r="C196" s="139"/>
      <c r="D196" s="139"/>
      <c r="E196" s="3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8"/>
      <c r="AD196" s="18"/>
    </row>
    <row r="197">
      <c r="A197" s="37"/>
      <c r="B197" s="33"/>
      <c r="C197" s="139"/>
      <c r="D197" s="139"/>
      <c r="E197" s="3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8"/>
      <c r="AD197" s="18"/>
    </row>
    <row r="198">
      <c r="A198" s="37"/>
      <c r="B198" s="33"/>
      <c r="C198" s="139"/>
      <c r="D198" s="139"/>
      <c r="E198" s="3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8"/>
      <c r="AD198" s="18"/>
    </row>
    <row r="199">
      <c r="A199" s="37"/>
      <c r="B199" s="33"/>
      <c r="C199" s="139"/>
      <c r="D199" s="139"/>
      <c r="E199" s="3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8"/>
      <c r="AD199" s="18"/>
    </row>
    <row r="200">
      <c r="A200" s="37"/>
      <c r="B200" s="33"/>
      <c r="C200" s="139"/>
      <c r="D200" s="139"/>
      <c r="E200" s="3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8"/>
      <c r="AD200" s="18"/>
    </row>
    <row r="201">
      <c r="A201" s="37"/>
      <c r="B201" s="33"/>
      <c r="C201" s="139"/>
      <c r="D201" s="139"/>
      <c r="E201" s="3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8"/>
      <c r="AD201" s="18"/>
    </row>
    <row r="202">
      <c r="A202" s="37"/>
      <c r="B202" s="33"/>
      <c r="C202" s="139"/>
      <c r="D202" s="139"/>
      <c r="E202" s="3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8"/>
      <c r="AD202" s="18"/>
    </row>
    <row r="203">
      <c r="A203" s="37"/>
      <c r="B203" s="33"/>
      <c r="C203" s="139"/>
      <c r="D203" s="139"/>
      <c r="E203" s="3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8"/>
      <c r="AD203" s="18"/>
    </row>
    <row r="204">
      <c r="A204" s="37"/>
      <c r="B204" s="33"/>
      <c r="C204" s="139"/>
      <c r="D204" s="139"/>
      <c r="E204" s="3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8"/>
      <c r="AD204" s="18"/>
    </row>
    <row r="205">
      <c r="A205" s="37"/>
      <c r="B205" s="33"/>
      <c r="C205" s="139"/>
      <c r="D205" s="139"/>
      <c r="E205" s="3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8"/>
      <c r="AD205" s="18"/>
    </row>
    <row r="206">
      <c r="A206" s="37"/>
      <c r="B206" s="33"/>
      <c r="C206" s="139"/>
      <c r="D206" s="139"/>
      <c r="E206" s="3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8"/>
      <c r="AD206" s="18"/>
    </row>
    <row r="207">
      <c r="A207" s="37"/>
      <c r="B207" s="33"/>
      <c r="C207" s="139"/>
      <c r="D207" s="139"/>
      <c r="E207" s="3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8"/>
      <c r="AD207" s="18"/>
    </row>
    <row r="208">
      <c r="A208" s="37"/>
      <c r="B208" s="33"/>
      <c r="C208" s="139"/>
      <c r="D208" s="139"/>
      <c r="E208" s="3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8"/>
      <c r="AD208" s="18"/>
    </row>
    <row r="209">
      <c r="A209" s="37"/>
      <c r="B209" s="33"/>
      <c r="C209" s="139"/>
      <c r="D209" s="139"/>
      <c r="E209" s="3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8"/>
      <c r="AD209" s="18"/>
    </row>
    <row r="210">
      <c r="A210" s="37"/>
      <c r="B210" s="33"/>
      <c r="C210" s="139"/>
      <c r="D210" s="139"/>
      <c r="E210" s="3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8"/>
      <c r="AD210" s="18"/>
    </row>
    <row r="211">
      <c r="A211" s="37"/>
      <c r="B211" s="33"/>
      <c r="C211" s="139"/>
      <c r="D211" s="139"/>
      <c r="E211" s="3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8"/>
      <c r="AD211" s="18"/>
    </row>
    <row r="212">
      <c r="A212" s="37"/>
      <c r="B212" s="33"/>
      <c r="C212" s="139"/>
      <c r="D212" s="139"/>
      <c r="E212" s="3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8"/>
      <c r="AD212" s="18"/>
    </row>
    <row r="213">
      <c r="A213" s="37"/>
      <c r="B213" s="33"/>
      <c r="C213" s="139"/>
      <c r="D213" s="139"/>
      <c r="E213" s="3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8"/>
      <c r="AD213" s="18"/>
    </row>
    <row r="214">
      <c r="A214" s="37"/>
      <c r="B214" s="33"/>
      <c r="C214" s="139"/>
      <c r="D214" s="139"/>
      <c r="E214" s="3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8"/>
      <c r="AD214" s="18"/>
    </row>
    <row r="215">
      <c r="A215" s="37"/>
      <c r="B215" s="33"/>
      <c r="C215" s="139"/>
      <c r="D215" s="139"/>
      <c r="E215" s="3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8"/>
      <c r="AD215" s="18"/>
    </row>
    <row r="216">
      <c r="A216" s="37"/>
      <c r="B216" s="33"/>
      <c r="C216" s="139"/>
      <c r="D216" s="139"/>
      <c r="E216" s="3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8"/>
      <c r="AD216" s="18"/>
    </row>
    <row r="217">
      <c r="A217" s="37"/>
      <c r="B217" s="33"/>
      <c r="C217" s="139"/>
      <c r="D217" s="139"/>
      <c r="E217" s="3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8"/>
      <c r="AD217" s="18"/>
    </row>
    <row r="218">
      <c r="A218" s="37"/>
      <c r="B218" s="33"/>
      <c r="C218" s="139"/>
      <c r="D218" s="139"/>
      <c r="E218" s="3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8"/>
      <c r="AD218" s="18"/>
    </row>
    <row r="219">
      <c r="A219" s="37"/>
      <c r="B219" s="33"/>
      <c r="C219" s="139"/>
      <c r="D219" s="139"/>
      <c r="E219" s="3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8"/>
      <c r="AD219" s="18"/>
    </row>
    <row r="220">
      <c r="A220" s="37"/>
      <c r="B220" s="33"/>
      <c r="C220" s="139"/>
      <c r="D220" s="139"/>
      <c r="E220" s="3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8"/>
      <c r="AD220" s="18"/>
    </row>
    <row r="221">
      <c r="A221" s="37"/>
      <c r="B221" s="33"/>
      <c r="C221" s="139"/>
      <c r="D221" s="139"/>
      <c r="E221" s="3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8"/>
      <c r="AD221" s="18"/>
    </row>
    <row r="222">
      <c r="A222" s="37"/>
      <c r="B222" s="33"/>
      <c r="C222" s="139"/>
      <c r="D222" s="139"/>
      <c r="E222" s="3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8"/>
      <c r="AD222" s="18"/>
    </row>
    <row r="223">
      <c r="A223" s="37"/>
      <c r="B223" s="33"/>
      <c r="C223" s="139"/>
      <c r="D223" s="139"/>
      <c r="E223" s="3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8"/>
      <c r="AD223" s="18"/>
    </row>
    <row r="224">
      <c r="A224" s="37"/>
      <c r="B224" s="33"/>
      <c r="C224" s="139"/>
      <c r="D224" s="139"/>
      <c r="E224" s="3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8"/>
      <c r="AD224" s="18"/>
    </row>
    <row r="225">
      <c r="A225" s="37"/>
      <c r="B225" s="33"/>
      <c r="C225" s="139"/>
      <c r="D225" s="139"/>
      <c r="E225" s="3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8"/>
      <c r="AD225" s="18"/>
    </row>
    <row r="226">
      <c r="A226" s="37"/>
      <c r="B226" s="33"/>
      <c r="C226" s="139"/>
      <c r="D226" s="139"/>
      <c r="E226" s="3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8"/>
      <c r="AD226" s="18"/>
    </row>
    <row r="227">
      <c r="A227" s="37"/>
      <c r="B227" s="33"/>
      <c r="C227" s="139"/>
      <c r="D227" s="139"/>
      <c r="E227" s="3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8"/>
      <c r="AD227" s="18"/>
    </row>
    <row r="228">
      <c r="A228" s="37"/>
      <c r="B228" s="33"/>
      <c r="C228" s="139"/>
      <c r="D228" s="139"/>
      <c r="E228" s="3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8"/>
      <c r="AD228" s="18"/>
    </row>
    <row r="229">
      <c r="A229" s="37"/>
      <c r="B229" s="33"/>
      <c r="C229" s="139"/>
      <c r="D229" s="139"/>
      <c r="E229" s="3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8"/>
      <c r="AD229" s="18"/>
    </row>
    <row r="230">
      <c r="A230" s="37"/>
      <c r="B230" s="33"/>
      <c r="C230" s="139"/>
      <c r="D230" s="139"/>
      <c r="E230" s="3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8"/>
      <c r="AD230" s="18"/>
    </row>
    <row r="231">
      <c r="A231" s="37"/>
      <c r="B231" s="33"/>
      <c r="C231" s="139"/>
      <c r="D231" s="139"/>
      <c r="E231" s="3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8"/>
      <c r="AD231" s="18"/>
    </row>
    <row r="232">
      <c r="A232" s="37"/>
      <c r="B232" s="33"/>
      <c r="C232" s="139"/>
      <c r="D232" s="139"/>
      <c r="E232" s="3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8"/>
      <c r="AD232" s="18"/>
    </row>
    <row r="233">
      <c r="A233" s="37"/>
      <c r="B233" s="33"/>
      <c r="C233" s="139"/>
      <c r="D233" s="139"/>
      <c r="E233" s="3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8"/>
      <c r="AD233" s="18"/>
    </row>
    <row r="234">
      <c r="A234" s="37"/>
      <c r="B234" s="33"/>
      <c r="C234" s="139"/>
      <c r="D234" s="139"/>
      <c r="E234" s="3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8"/>
      <c r="AD234" s="18"/>
    </row>
    <row r="235">
      <c r="A235" s="37"/>
      <c r="B235" s="33"/>
      <c r="C235" s="139"/>
      <c r="D235" s="139"/>
      <c r="E235" s="3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8"/>
      <c r="AD235" s="18"/>
    </row>
    <row r="236">
      <c r="A236" s="37"/>
      <c r="B236" s="33"/>
      <c r="C236" s="139"/>
      <c r="D236" s="139"/>
      <c r="E236" s="3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8"/>
      <c r="AD236" s="18"/>
    </row>
    <row r="237">
      <c r="A237" s="37"/>
      <c r="B237" s="33"/>
      <c r="C237" s="139"/>
      <c r="D237" s="139"/>
      <c r="E237" s="3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8"/>
      <c r="AD237" s="18"/>
    </row>
    <row r="238">
      <c r="A238" s="37"/>
      <c r="B238" s="33"/>
      <c r="C238" s="139"/>
      <c r="D238" s="139"/>
      <c r="E238" s="3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8"/>
      <c r="AD238" s="18"/>
    </row>
    <row r="239">
      <c r="A239" s="37"/>
      <c r="B239" s="33"/>
      <c r="C239" s="139"/>
      <c r="D239" s="139"/>
      <c r="E239" s="3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8"/>
      <c r="AD239" s="18"/>
    </row>
    <row r="240">
      <c r="A240" s="37"/>
      <c r="B240" s="33"/>
      <c r="C240" s="139"/>
      <c r="D240" s="139"/>
      <c r="E240" s="3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8"/>
      <c r="AD240" s="18"/>
    </row>
    <row r="241">
      <c r="A241" s="37"/>
      <c r="B241" s="33"/>
      <c r="C241" s="139"/>
      <c r="D241" s="139"/>
      <c r="E241" s="3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8"/>
      <c r="AD241" s="18"/>
    </row>
    <row r="242">
      <c r="A242" s="37"/>
      <c r="B242" s="33"/>
      <c r="C242" s="139"/>
      <c r="D242" s="139"/>
      <c r="E242" s="3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8"/>
      <c r="AD242" s="18"/>
    </row>
    <row r="243">
      <c r="A243" s="37"/>
      <c r="B243" s="33"/>
      <c r="C243" s="139"/>
      <c r="D243" s="139"/>
      <c r="E243" s="3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8"/>
      <c r="AD243" s="18"/>
    </row>
    <row r="244">
      <c r="A244" s="37"/>
      <c r="B244" s="33"/>
      <c r="C244" s="139"/>
      <c r="D244" s="139"/>
      <c r="E244" s="3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8"/>
      <c r="AD244" s="18"/>
    </row>
    <row r="245">
      <c r="A245" s="37"/>
      <c r="B245" s="33"/>
      <c r="C245" s="139"/>
      <c r="D245" s="139"/>
      <c r="E245" s="3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8"/>
      <c r="AD245" s="18"/>
    </row>
    <row r="246">
      <c r="A246" s="37"/>
      <c r="B246" s="33"/>
      <c r="C246" s="139"/>
      <c r="D246" s="139"/>
      <c r="E246" s="3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8"/>
      <c r="AD246" s="18"/>
    </row>
    <row r="247">
      <c r="A247" s="37"/>
      <c r="B247" s="33"/>
      <c r="C247" s="139"/>
      <c r="D247" s="139"/>
      <c r="E247" s="3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8"/>
      <c r="AD247" s="18"/>
    </row>
    <row r="248">
      <c r="A248" s="37"/>
      <c r="B248" s="33"/>
      <c r="C248" s="139"/>
      <c r="D248" s="139"/>
      <c r="E248" s="3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8"/>
      <c r="AD248" s="18"/>
    </row>
    <row r="249">
      <c r="A249" s="37"/>
      <c r="B249" s="33"/>
      <c r="C249" s="139"/>
      <c r="D249" s="139"/>
      <c r="E249" s="3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8"/>
      <c r="AD249" s="18"/>
    </row>
    <row r="250">
      <c r="A250" s="37"/>
      <c r="B250" s="33"/>
      <c r="C250" s="139"/>
      <c r="D250" s="139"/>
      <c r="E250" s="3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8"/>
      <c r="AD250" s="18"/>
    </row>
    <row r="251">
      <c r="A251" s="37"/>
      <c r="B251" s="33"/>
      <c r="C251" s="139"/>
      <c r="D251" s="139"/>
      <c r="E251" s="3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8"/>
      <c r="AD251" s="18"/>
    </row>
    <row r="252">
      <c r="A252" s="37"/>
      <c r="B252" s="33"/>
      <c r="C252" s="139"/>
      <c r="D252" s="139"/>
      <c r="E252" s="3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8"/>
      <c r="AD252" s="18"/>
    </row>
    <row r="253">
      <c r="A253" s="37"/>
      <c r="B253" s="33"/>
      <c r="C253" s="139"/>
      <c r="D253" s="139"/>
      <c r="E253" s="3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8"/>
      <c r="AD253" s="18"/>
    </row>
    <row r="254">
      <c r="A254" s="37"/>
      <c r="B254" s="33"/>
      <c r="C254" s="139"/>
      <c r="D254" s="139"/>
      <c r="E254" s="3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8"/>
      <c r="AD254" s="18"/>
    </row>
    <row r="255">
      <c r="A255" s="37"/>
      <c r="B255" s="33"/>
      <c r="C255" s="139"/>
      <c r="D255" s="139"/>
      <c r="E255" s="3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8"/>
      <c r="AD255" s="18"/>
    </row>
    <row r="256">
      <c r="A256" s="37"/>
      <c r="B256" s="33"/>
      <c r="C256" s="139"/>
      <c r="D256" s="139"/>
      <c r="E256" s="3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8"/>
      <c r="AD256" s="18"/>
    </row>
    <row r="257">
      <c r="A257" s="37"/>
      <c r="B257" s="33"/>
      <c r="C257" s="139"/>
      <c r="D257" s="139"/>
      <c r="E257" s="3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8"/>
      <c r="AD257" s="18"/>
    </row>
    <row r="258">
      <c r="A258" s="37"/>
      <c r="B258" s="33"/>
      <c r="C258" s="139"/>
      <c r="D258" s="139"/>
      <c r="E258" s="3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8"/>
      <c r="AD258" s="18"/>
    </row>
    <row r="259">
      <c r="A259" s="37"/>
      <c r="B259" s="33"/>
      <c r="C259" s="139"/>
      <c r="D259" s="139"/>
      <c r="E259" s="3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8"/>
      <c r="AD259" s="18"/>
    </row>
    <row r="260">
      <c r="A260" s="37"/>
      <c r="B260" s="33"/>
      <c r="C260" s="139"/>
      <c r="D260" s="139"/>
      <c r="E260" s="3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8"/>
      <c r="AD260" s="18"/>
    </row>
    <row r="261">
      <c r="A261" s="37"/>
      <c r="B261" s="33"/>
      <c r="C261" s="139"/>
      <c r="D261" s="139"/>
      <c r="E261" s="3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8"/>
      <c r="AD261" s="18"/>
    </row>
    <row r="262">
      <c r="A262" s="37"/>
      <c r="B262" s="33"/>
      <c r="C262" s="139"/>
      <c r="D262" s="139"/>
      <c r="E262" s="3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8"/>
      <c r="AD262" s="18"/>
    </row>
    <row r="263">
      <c r="A263" s="37"/>
      <c r="B263" s="33"/>
      <c r="C263" s="139"/>
      <c r="D263" s="139"/>
      <c r="E263" s="3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8"/>
      <c r="AD263" s="18"/>
    </row>
    <row r="264">
      <c r="A264" s="37"/>
      <c r="B264" s="33"/>
      <c r="C264" s="139"/>
      <c r="D264" s="139"/>
      <c r="E264" s="3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8"/>
      <c r="AD264" s="18"/>
    </row>
    <row r="265">
      <c r="A265" s="37"/>
      <c r="B265" s="33"/>
      <c r="C265" s="139"/>
      <c r="D265" s="139"/>
      <c r="E265" s="3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8"/>
      <c r="AD265" s="18"/>
    </row>
    <row r="266">
      <c r="A266" s="37"/>
      <c r="B266" s="33"/>
      <c r="C266" s="139"/>
      <c r="D266" s="139"/>
      <c r="E266" s="3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8"/>
      <c r="AD266" s="18"/>
    </row>
    <row r="267">
      <c r="A267" s="37"/>
      <c r="B267" s="33"/>
      <c r="C267" s="139"/>
      <c r="D267" s="139"/>
      <c r="E267" s="3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8"/>
      <c r="AD267" s="18"/>
    </row>
    <row r="268">
      <c r="A268" s="37"/>
      <c r="B268" s="33"/>
      <c r="C268" s="139"/>
      <c r="D268" s="139"/>
      <c r="E268" s="3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8"/>
      <c r="AD268" s="18"/>
    </row>
    <row r="269">
      <c r="A269" s="37"/>
      <c r="B269" s="33"/>
      <c r="C269" s="139"/>
      <c r="D269" s="139"/>
      <c r="E269" s="3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8"/>
      <c r="AD269" s="18"/>
    </row>
    <row r="270">
      <c r="A270" s="37"/>
      <c r="B270" s="33"/>
      <c r="C270" s="139"/>
      <c r="D270" s="139"/>
      <c r="E270" s="3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8"/>
      <c r="AD270" s="18"/>
    </row>
    <row r="271">
      <c r="A271" s="37"/>
      <c r="B271" s="33"/>
      <c r="C271" s="139"/>
      <c r="D271" s="139"/>
      <c r="E271" s="3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8"/>
      <c r="AD271" s="18"/>
    </row>
    <row r="272">
      <c r="A272" s="37"/>
      <c r="B272" s="33"/>
      <c r="C272" s="139"/>
      <c r="D272" s="139"/>
      <c r="E272" s="3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8"/>
      <c r="AD272" s="18"/>
    </row>
    <row r="273">
      <c r="A273" s="37"/>
      <c r="B273" s="33"/>
      <c r="C273" s="139"/>
      <c r="D273" s="139"/>
      <c r="E273" s="3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8"/>
      <c r="AD273" s="18"/>
    </row>
    <row r="274">
      <c r="A274" s="37"/>
      <c r="B274" s="33"/>
      <c r="C274" s="139"/>
      <c r="D274" s="139"/>
      <c r="E274" s="3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8"/>
      <c r="AD274" s="18"/>
    </row>
    <row r="275">
      <c r="A275" s="37"/>
      <c r="B275" s="33"/>
      <c r="C275" s="139"/>
      <c r="D275" s="139"/>
      <c r="E275" s="3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8"/>
      <c r="AD275" s="18"/>
    </row>
    <row r="276">
      <c r="A276" s="37"/>
      <c r="B276" s="33"/>
      <c r="C276" s="139"/>
      <c r="D276" s="139"/>
      <c r="E276" s="3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8"/>
      <c r="AD276" s="18"/>
    </row>
    <row r="277">
      <c r="A277" s="37"/>
      <c r="B277" s="33"/>
      <c r="C277" s="139"/>
      <c r="D277" s="139"/>
      <c r="E277" s="3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8"/>
      <c r="AD277" s="18"/>
    </row>
    <row r="278">
      <c r="A278" s="37"/>
      <c r="B278" s="33"/>
      <c r="C278" s="139"/>
      <c r="D278" s="139"/>
      <c r="E278" s="3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8"/>
      <c r="AD278" s="18"/>
    </row>
    <row r="279">
      <c r="A279" s="37"/>
      <c r="B279" s="33"/>
      <c r="C279" s="139"/>
      <c r="D279" s="139"/>
      <c r="E279" s="3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8"/>
      <c r="AD279" s="18"/>
    </row>
    <row r="280">
      <c r="A280" s="37"/>
      <c r="B280" s="33"/>
      <c r="C280" s="139"/>
      <c r="D280" s="139"/>
      <c r="E280" s="3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8"/>
      <c r="AD280" s="18"/>
    </row>
    <row r="281">
      <c r="A281" s="37"/>
      <c r="B281" s="33"/>
      <c r="C281" s="139"/>
      <c r="D281" s="139"/>
      <c r="E281" s="3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8"/>
      <c r="AD281" s="18"/>
    </row>
    <row r="282">
      <c r="A282" s="37"/>
      <c r="B282" s="33"/>
      <c r="C282" s="139"/>
      <c r="D282" s="139"/>
      <c r="E282" s="3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8"/>
      <c r="AD282" s="18"/>
    </row>
    <row r="283">
      <c r="A283" s="37"/>
      <c r="B283" s="33"/>
      <c r="C283" s="139"/>
      <c r="D283" s="139"/>
      <c r="E283" s="3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8"/>
      <c r="AD283" s="18"/>
    </row>
    <row r="284">
      <c r="A284" s="37"/>
      <c r="B284" s="33"/>
      <c r="C284" s="139"/>
      <c r="D284" s="139"/>
      <c r="E284" s="3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8"/>
      <c r="AD284" s="18"/>
    </row>
    <row r="285">
      <c r="A285" s="37"/>
      <c r="B285" s="33"/>
      <c r="C285" s="139"/>
      <c r="D285" s="139"/>
      <c r="E285" s="3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8"/>
      <c r="AD285" s="18"/>
    </row>
    <row r="286">
      <c r="A286" s="37"/>
      <c r="B286" s="33"/>
      <c r="C286" s="139"/>
      <c r="D286" s="139"/>
      <c r="E286" s="3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8"/>
      <c r="AD286" s="18"/>
    </row>
    <row r="287">
      <c r="A287" s="37"/>
      <c r="B287" s="33"/>
      <c r="C287" s="139"/>
      <c r="D287" s="139"/>
      <c r="E287" s="3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8"/>
      <c r="AD287" s="18"/>
    </row>
    <row r="288">
      <c r="A288" s="37"/>
      <c r="B288" s="33"/>
      <c r="C288" s="139"/>
      <c r="D288" s="139"/>
      <c r="E288" s="3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8"/>
      <c r="AD288" s="18"/>
    </row>
    <row r="289">
      <c r="A289" s="37"/>
      <c r="B289" s="33"/>
      <c r="C289" s="139"/>
      <c r="D289" s="139"/>
      <c r="E289" s="3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8"/>
      <c r="AD289" s="18"/>
    </row>
    <row r="290">
      <c r="A290" s="37"/>
      <c r="B290" s="33"/>
      <c r="C290" s="139"/>
      <c r="D290" s="139"/>
      <c r="E290" s="3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8"/>
      <c r="AD290" s="18"/>
    </row>
    <row r="291">
      <c r="A291" s="37"/>
      <c r="B291" s="33"/>
      <c r="C291" s="139"/>
      <c r="D291" s="139"/>
      <c r="E291" s="3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8"/>
      <c r="AD291" s="18"/>
    </row>
    <row r="292">
      <c r="A292" s="37"/>
      <c r="B292" s="33"/>
      <c r="C292" s="139"/>
      <c r="D292" s="139"/>
      <c r="E292" s="3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8"/>
      <c r="AD292" s="18"/>
    </row>
    <row r="293">
      <c r="A293" s="37"/>
      <c r="B293" s="33"/>
      <c r="C293" s="139"/>
      <c r="D293" s="139"/>
      <c r="E293" s="3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8"/>
      <c r="AD293" s="18"/>
    </row>
    <row r="294">
      <c r="A294" s="37"/>
      <c r="B294" s="33"/>
      <c r="C294" s="139"/>
      <c r="D294" s="139"/>
      <c r="E294" s="3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8"/>
      <c r="AD294" s="18"/>
    </row>
    <row r="295">
      <c r="A295" s="37"/>
      <c r="B295" s="33"/>
      <c r="C295" s="139"/>
      <c r="D295" s="139"/>
      <c r="E295" s="3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8"/>
      <c r="AD295" s="18"/>
    </row>
    <row r="296">
      <c r="A296" s="37"/>
      <c r="B296" s="33"/>
      <c r="C296" s="139"/>
      <c r="D296" s="139"/>
      <c r="E296" s="3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8"/>
      <c r="AD296" s="18"/>
    </row>
    <row r="297">
      <c r="A297" s="37"/>
      <c r="B297" s="33"/>
      <c r="C297" s="139"/>
      <c r="D297" s="139"/>
      <c r="E297" s="3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8"/>
      <c r="AD297" s="18"/>
    </row>
    <row r="298">
      <c r="A298" s="37"/>
      <c r="B298" s="33"/>
      <c r="C298" s="139"/>
      <c r="D298" s="139"/>
      <c r="E298" s="3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8"/>
      <c r="AD298" s="18"/>
    </row>
    <row r="299">
      <c r="A299" s="37"/>
      <c r="B299" s="33"/>
      <c r="C299" s="139"/>
      <c r="D299" s="139"/>
      <c r="E299" s="3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8"/>
      <c r="AD299" s="18"/>
    </row>
    <row r="300">
      <c r="A300" s="37"/>
      <c r="B300" s="33"/>
      <c r="C300" s="139"/>
      <c r="D300" s="139"/>
      <c r="E300" s="3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8"/>
      <c r="AD300" s="18"/>
    </row>
    <row r="301">
      <c r="A301" s="37"/>
      <c r="B301" s="33"/>
      <c r="C301" s="139"/>
      <c r="D301" s="139"/>
      <c r="E301" s="3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8"/>
      <c r="AD301" s="18"/>
    </row>
    <row r="302">
      <c r="A302" s="37"/>
      <c r="B302" s="33"/>
      <c r="C302" s="139"/>
      <c r="D302" s="139"/>
      <c r="E302" s="3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8"/>
      <c r="AD302" s="18"/>
    </row>
    <row r="303">
      <c r="A303" s="37"/>
      <c r="B303" s="33"/>
      <c r="C303" s="139"/>
      <c r="D303" s="139"/>
      <c r="E303" s="3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8"/>
      <c r="AD303" s="18"/>
    </row>
    <row r="304">
      <c r="A304" s="37"/>
      <c r="B304" s="33"/>
      <c r="C304" s="139"/>
      <c r="D304" s="139"/>
      <c r="E304" s="3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8"/>
      <c r="AD304" s="18"/>
    </row>
    <row r="305">
      <c r="A305" s="37"/>
      <c r="B305" s="33"/>
      <c r="C305" s="139"/>
      <c r="D305" s="139"/>
      <c r="E305" s="3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8"/>
      <c r="AD305" s="18"/>
    </row>
    <row r="306">
      <c r="A306" s="37"/>
      <c r="B306" s="33"/>
      <c r="C306" s="139"/>
      <c r="D306" s="139"/>
      <c r="E306" s="3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8"/>
      <c r="AD306" s="18"/>
    </row>
    <row r="307">
      <c r="A307" s="37"/>
      <c r="B307" s="33"/>
      <c r="C307" s="139"/>
      <c r="D307" s="139"/>
      <c r="E307" s="3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8"/>
      <c r="AD307" s="18"/>
    </row>
    <row r="308">
      <c r="A308" s="37"/>
      <c r="B308" s="33"/>
      <c r="C308" s="139"/>
      <c r="D308" s="139"/>
      <c r="E308" s="3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8"/>
      <c r="AD308" s="18"/>
    </row>
    <row r="309">
      <c r="A309" s="37"/>
      <c r="B309" s="33"/>
      <c r="C309" s="139"/>
      <c r="D309" s="139"/>
      <c r="E309" s="3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8"/>
      <c r="AD309" s="18"/>
    </row>
    <row r="310">
      <c r="A310" s="37"/>
      <c r="B310" s="33"/>
      <c r="C310" s="139"/>
      <c r="D310" s="139"/>
      <c r="E310" s="3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8"/>
      <c r="AD310" s="18"/>
    </row>
    <row r="311">
      <c r="A311" s="37"/>
      <c r="B311" s="33"/>
      <c r="C311" s="139"/>
      <c r="D311" s="139"/>
      <c r="E311" s="3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8"/>
      <c r="AD311" s="18"/>
    </row>
    <row r="312">
      <c r="A312" s="37"/>
      <c r="B312" s="33"/>
      <c r="C312" s="139"/>
      <c r="D312" s="139"/>
      <c r="E312" s="3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8"/>
      <c r="AD312" s="18"/>
    </row>
    <row r="313">
      <c r="A313" s="37"/>
      <c r="B313" s="33"/>
      <c r="C313" s="139"/>
      <c r="D313" s="139"/>
      <c r="E313" s="3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8"/>
      <c r="AD313" s="18"/>
    </row>
    <row r="314">
      <c r="A314" s="37"/>
      <c r="B314" s="33"/>
      <c r="C314" s="139"/>
      <c r="D314" s="139"/>
      <c r="E314" s="3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8"/>
      <c r="AD314" s="18"/>
    </row>
    <row r="315">
      <c r="A315" s="37"/>
      <c r="B315" s="33"/>
      <c r="C315" s="139"/>
      <c r="D315" s="139"/>
      <c r="E315" s="3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8"/>
      <c r="AD315" s="18"/>
    </row>
    <row r="316">
      <c r="A316" s="37"/>
      <c r="B316" s="33"/>
      <c r="C316" s="139"/>
      <c r="D316" s="139"/>
      <c r="E316" s="3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8"/>
      <c r="AD316" s="18"/>
    </row>
    <row r="317">
      <c r="A317" s="37"/>
      <c r="B317" s="33"/>
      <c r="C317" s="139"/>
      <c r="D317" s="139"/>
      <c r="E317" s="3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8"/>
      <c r="AD317" s="18"/>
    </row>
    <row r="318">
      <c r="A318" s="37"/>
      <c r="B318" s="33"/>
      <c r="C318" s="139"/>
      <c r="D318" s="139"/>
      <c r="E318" s="3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8"/>
      <c r="AD318" s="18"/>
    </row>
    <row r="319">
      <c r="A319" s="37"/>
      <c r="B319" s="33"/>
      <c r="C319" s="139"/>
      <c r="D319" s="139"/>
      <c r="E319" s="3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8"/>
      <c r="AD319" s="18"/>
    </row>
    <row r="320">
      <c r="A320" s="37"/>
      <c r="B320" s="33"/>
      <c r="C320" s="139"/>
      <c r="D320" s="139"/>
      <c r="E320" s="3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8"/>
      <c r="AD320" s="18"/>
    </row>
    <row r="321">
      <c r="A321" s="37"/>
      <c r="B321" s="33"/>
      <c r="C321" s="139"/>
      <c r="D321" s="139"/>
      <c r="E321" s="3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8"/>
      <c r="AD321" s="18"/>
    </row>
    <row r="322">
      <c r="A322" s="37"/>
      <c r="B322" s="33"/>
      <c r="C322" s="139"/>
      <c r="D322" s="139"/>
      <c r="E322" s="3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8"/>
      <c r="AD322" s="18"/>
    </row>
    <row r="323">
      <c r="A323" s="37"/>
      <c r="B323" s="33"/>
      <c r="C323" s="139"/>
      <c r="D323" s="139"/>
      <c r="E323" s="3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8"/>
      <c r="AD323" s="18"/>
    </row>
    <row r="324">
      <c r="A324" s="37"/>
      <c r="B324" s="33"/>
      <c r="C324" s="139"/>
      <c r="D324" s="139"/>
      <c r="E324" s="3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8"/>
      <c r="AD324" s="18"/>
    </row>
    <row r="325">
      <c r="A325" s="37"/>
      <c r="B325" s="33"/>
      <c r="C325" s="139"/>
      <c r="D325" s="139"/>
      <c r="E325" s="3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8"/>
      <c r="AD325" s="18"/>
    </row>
    <row r="326">
      <c r="A326" s="37"/>
      <c r="B326" s="33"/>
      <c r="C326" s="139"/>
      <c r="D326" s="139"/>
      <c r="E326" s="3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8"/>
      <c r="AD326" s="18"/>
    </row>
    <row r="327">
      <c r="A327" s="37"/>
      <c r="B327" s="33"/>
      <c r="C327" s="139"/>
      <c r="D327" s="139"/>
      <c r="E327" s="3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8"/>
      <c r="AD327" s="18"/>
    </row>
    <row r="328">
      <c r="A328" s="37"/>
      <c r="B328" s="33"/>
      <c r="C328" s="139"/>
      <c r="D328" s="139"/>
      <c r="E328" s="3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8"/>
      <c r="AD328" s="18"/>
    </row>
    <row r="329">
      <c r="A329" s="37"/>
      <c r="B329" s="33"/>
      <c r="C329" s="139"/>
      <c r="D329" s="139"/>
      <c r="E329" s="3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8"/>
      <c r="AD329" s="18"/>
    </row>
    <row r="330">
      <c r="A330" s="37"/>
      <c r="B330" s="33"/>
      <c r="C330" s="139"/>
      <c r="D330" s="139"/>
      <c r="E330" s="3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8"/>
      <c r="AD330" s="18"/>
    </row>
    <row r="331">
      <c r="A331" s="37"/>
      <c r="B331" s="33"/>
      <c r="C331" s="139"/>
      <c r="D331" s="139"/>
      <c r="E331" s="3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8"/>
      <c r="AD331" s="18"/>
    </row>
    <row r="332">
      <c r="A332" s="37"/>
      <c r="B332" s="33"/>
      <c r="C332" s="139"/>
      <c r="D332" s="139"/>
      <c r="E332" s="3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8"/>
      <c r="AD332" s="18"/>
    </row>
    <row r="333">
      <c r="A333" s="37"/>
      <c r="B333" s="33"/>
      <c r="C333" s="139"/>
      <c r="D333" s="139"/>
      <c r="E333" s="3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8"/>
      <c r="AD333" s="18"/>
    </row>
    <row r="334">
      <c r="A334" s="37"/>
      <c r="B334" s="33"/>
      <c r="C334" s="139"/>
      <c r="D334" s="139"/>
      <c r="E334" s="3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8"/>
      <c r="AD334" s="18"/>
    </row>
    <row r="335">
      <c r="A335" s="37"/>
      <c r="B335" s="33"/>
      <c r="C335" s="139"/>
      <c r="D335" s="139"/>
      <c r="E335" s="3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8"/>
      <c r="AD335" s="18"/>
    </row>
    <row r="336">
      <c r="A336" s="37"/>
      <c r="B336" s="33"/>
      <c r="C336" s="139"/>
      <c r="D336" s="139"/>
      <c r="E336" s="3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8"/>
      <c r="AD336" s="18"/>
    </row>
    <row r="337">
      <c r="A337" s="37"/>
      <c r="B337" s="33"/>
      <c r="C337" s="139"/>
      <c r="D337" s="139"/>
      <c r="E337" s="3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8"/>
      <c r="AD337" s="18"/>
    </row>
    <row r="338">
      <c r="A338" s="37"/>
      <c r="B338" s="33"/>
      <c r="C338" s="139"/>
      <c r="D338" s="139"/>
      <c r="E338" s="3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8"/>
      <c r="AD338" s="18"/>
    </row>
    <row r="339">
      <c r="A339" s="37"/>
      <c r="B339" s="33"/>
      <c r="C339" s="139"/>
      <c r="D339" s="139"/>
      <c r="E339" s="3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8"/>
      <c r="AD339" s="18"/>
    </row>
    <row r="340">
      <c r="A340" s="37"/>
      <c r="B340" s="33"/>
      <c r="C340" s="139"/>
      <c r="D340" s="139"/>
      <c r="E340" s="3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8"/>
      <c r="AD340" s="18"/>
    </row>
    <row r="341">
      <c r="A341" s="37"/>
      <c r="B341" s="33"/>
      <c r="C341" s="139"/>
      <c r="D341" s="139"/>
      <c r="E341" s="3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8"/>
      <c r="AD341" s="18"/>
    </row>
    <row r="342">
      <c r="A342" s="37"/>
      <c r="B342" s="33"/>
      <c r="C342" s="139"/>
      <c r="D342" s="139"/>
      <c r="E342" s="3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8"/>
      <c r="AD342" s="18"/>
    </row>
    <row r="343">
      <c r="A343" s="37"/>
      <c r="B343" s="33"/>
      <c r="C343" s="139"/>
      <c r="D343" s="139"/>
      <c r="E343" s="3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8"/>
      <c r="AD343" s="18"/>
    </row>
    <row r="344">
      <c r="A344" s="37"/>
      <c r="B344" s="33"/>
      <c r="C344" s="139"/>
      <c r="D344" s="139"/>
      <c r="E344" s="3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8"/>
      <c r="AD344" s="18"/>
    </row>
    <row r="345">
      <c r="A345" s="37"/>
      <c r="B345" s="33"/>
      <c r="C345" s="139"/>
      <c r="D345" s="139"/>
      <c r="E345" s="3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8"/>
      <c r="AD345" s="18"/>
    </row>
    <row r="346">
      <c r="A346" s="37"/>
      <c r="B346" s="33"/>
      <c r="C346" s="139"/>
      <c r="D346" s="139"/>
      <c r="E346" s="3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8"/>
      <c r="AD346" s="18"/>
    </row>
    <row r="347">
      <c r="A347" s="37"/>
      <c r="B347" s="33"/>
      <c r="C347" s="139"/>
      <c r="D347" s="139"/>
      <c r="E347" s="3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8"/>
      <c r="AD347" s="18"/>
    </row>
    <row r="348">
      <c r="A348" s="37"/>
      <c r="B348" s="33"/>
      <c r="C348" s="139"/>
      <c r="D348" s="139"/>
      <c r="E348" s="3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8"/>
      <c r="AD348" s="18"/>
    </row>
    <row r="349">
      <c r="A349" s="37"/>
      <c r="B349" s="33"/>
      <c r="C349" s="139"/>
      <c r="D349" s="139"/>
      <c r="E349" s="3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8"/>
      <c r="AD349" s="18"/>
    </row>
    <row r="350">
      <c r="A350" s="37"/>
      <c r="B350" s="33"/>
      <c r="C350" s="139"/>
      <c r="D350" s="139"/>
      <c r="E350" s="3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8"/>
      <c r="AD350" s="18"/>
    </row>
    <row r="351">
      <c r="A351" s="37"/>
      <c r="B351" s="33"/>
      <c r="C351" s="139"/>
      <c r="D351" s="139"/>
      <c r="E351" s="3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8"/>
      <c r="AD351" s="18"/>
    </row>
    <row r="352">
      <c r="A352" s="37"/>
      <c r="B352" s="33"/>
      <c r="C352" s="139"/>
      <c r="D352" s="139"/>
      <c r="E352" s="3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8"/>
      <c r="AD352" s="18"/>
    </row>
    <row r="353">
      <c r="A353" s="37"/>
      <c r="B353" s="33"/>
      <c r="C353" s="139"/>
      <c r="D353" s="139"/>
      <c r="E353" s="3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8"/>
      <c r="AD353" s="18"/>
    </row>
    <row r="354">
      <c r="A354" s="37"/>
      <c r="B354" s="33"/>
      <c r="C354" s="139"/>
      <c r="D354" s="139"/>
      <c r="E354" s="3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8"/>
      <c r="AD354" s="18"/>
    </row>
    <row r="355">
      <c r="A355" s="37"/>
      <c r="B355" s="33"/>
      <c r="C355" s="139"/>
      <c r="D355" s="139"/>
      <c r="E355" s="3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8"/>
      <c r="AD355" s="18"/>
    </row>
    <row r="356">
      <c r="A356" s="37"/>
      <c r="B356" s="33"/>
      <c r="C356" s="139"/>
      <c r="D356" s="139"/>
      <c r="E356" s="3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8"/>
      <c r="AD356" s="18"/>
    </row>
    <row r="357">
      <c r="A357" s="37"/>
      <c r="B357" s="33"/>
      <c r="C357" s="139"/>
      <c r="D357" s="139"/>
      <c r="E357" s="3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8"/>
      <c r="AD357" s="18"/>
    </row>
    <row r="358">
      <c r="A358" s="37"/>
      <c r="B358" s="33"/>
      <c r="C358" s="139"/>
      <c r="D358" s="139"/>
      <c r="E358" s="3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8"/>
      <c r="AD358" s="18"/>
    </row>
    <row r="359">
      <c r="A359" s="37"/>
      <c r="B359" s="33"/>
      <c r="C359" s="139"/>
      <c r="D359" s="139"/>
      <c r="E359" s="3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8"/>
      <c r="AD359" s="18"/>
    </row>
    <row r="360">
      <c r="A360" s="37"/>
      <c r="B360" s="33"/>
      <c r="C360" s="139"/>
      <c r="D360" s="139"/>
      <c r="E360" s="3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8"/>
      <c r="AD360" s="18"/>
    </row>
    <row r="361">
      <c r="A361" s="37"/>
      <c r="B361" s="33"/>
      <c r="C361" s="139"/>
      <c r="D361" s="139"/>
      <c r="E361" s="3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8"/>
      <c r="AD361" s="18"/>
    </row>
    <row r="362">
      <c r="A362" s="37"/>
      <c r="B362" s="33"/>
      <c r="C362" s="139"/>
      <c r="D362" s="139"/>
      <c r="E362" s="3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8"/>
      <c r="AD362" s="18"/>
    </row>
    <row r="363">
      <c r="A363" s="37"/>
      <c r="B363" s="33"/>
      <c r="C363" s="139"/>
      <c r="D363" s="139"/>
      <c r="E363" s="3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8"/>
      <c r="AD363" s="18"/>
    </row>
    <row r="364">
      <c r="A364" s="37"/>
      <c r="B364" s="33"/>
      <c r="C364" s="139"/>
      <c r="D364" s="139"/>
      <c r="E364" s="3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8"/>
      <c r="AD364" s="18"/>
    </row>
    <row r="365">
      <c r="A365" s="37"/>
      <c r="B365" s="33"/>
      <c r="C365" s="139"/>
      <c r="D365" s="139"/>
      <c r="E365" s="3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8"/>
      <c r="AD365" s="18"/>
    </row>
    <row r="366">
      <c r="A366" s="37"/>
      <c r="B366" s="33"/>
      <c r="C366" s="139"/>
      <c r="D366" s="139"/>
      <c r="E366" s="3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8"/>
      <c r="AD366" s="18"/>
    </row>
    <row r="367">
      <c r="A367" s="37"/>
      <c r="B367" s="33"/>
      <c r="C367" s="139"/>
      <c r="D367" s="139"/>
      <c r="E367" s="3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8"/>
      <c r="AD367" s="18"/>
    </row>
    <row r="368">
      <c r="A368" s="37"/>
      <c r="B368" s="33"/>
      <c r="C368" s="139"/>
      <c r="D368" s="139"/>
      <c r="E368" s="3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8"/>
      <c r="AD368" s="18"/>
    </row>
    <row r="369">
      <c r="A369" s="37"/>
      <c r="B369" s="33"/>
      <c r="C369" s="139"/>
      <c r="D369" s="139"/>
      <c r="E369" s="3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8"/>
      <c r="AD369" s="18"/>
    </row>
    <row r="370">
      <c r="A370" s="37"/>
      <c r="B370" s="33"/>
      <c r="C370" s="139"/>
      <c r="D370" s="139"/>
      <c r="E370" s="3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8"/>
      <c r="AD370" s="18"/>
    </row>
    <row r="371">
      <c r="A371" s="37"/>
      <c r="B371" s="33"/>
      <c r="C371" s="139"/>
      <c r="D371" s="139"/>
      <c r="E371" s="3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8"/>
      <c r="AD371" s="18"/>
    </row>
    <row r="372">
      <c r="A372" s="37"/>
      <c r="B372" s="33"/>
      <c r="C372" s="139"/>
      <c r="D372" s="139"/>
      <c r="E372" s="3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8"/>
      <c r="AD372" s="18"/>
    </row>
    <row r="373">
      <c r="A373" s="37"/>
      <c r="B373" s="33"/>
      <c r="C373" s="139"/>
      <c r="D373" s="139"/>
      <c r="E373" s="3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8"/>
      <c r="AD373" s="18"/>
    </row>
    <row r="374">
      <c r="A374" s="37"/>
      <c r="B374" s="33"/>
      <c r="C374" s="139"/>
      <c r="D374" s="139"/>
      <c r="E374" s="3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8"/>
      <c r="AD374" s="18"/>
    </row>
    <row r="375">
      <c r="A375" s="37"/>
      <c r="B375" s="33"/>
      <c r="C375" s="139"/>
      <c r="D375" s="139"/>
      <c r="E375" s="3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8"/>
      <c r="AD375" s="18"/>
    </row>
    <row r="376">
      <c r="A376" s="37"/>
      <c r="B376" s="33"/>
      <c r="C376" s="139"/>
      <c r="D376" s="139"/>
      <c r="E376" s="3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8"/>
      <c r="AD376" s="18"/>
    </row>
    <row r="377">
      <c r="A377" s="37"/>
      <c r="B377" s="33"/>
      <c r="C377" s="139"/>
      <c r="D377" s="139"/>
      <c r="E377" s="3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8"/>
      <c r="AD377" s="18"/>
    </row>
    <row r="378">
      <c r="A378" s="37"/>
      <c r="B378" s="33"/>
      <c r="C378" s="139"/>
      <c r="D378" s="139"/>
      <c r="E378" s="3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8"/>
      <c r="AD378" s="18"/>
    </row>
    <row r="379">
      <c r="A379" s="37"/>
      <c r="B379" s="33"/>
      <c r="C379" s="139"/>
      <c r="D379" s="139"/>
      <c r="E379" s="3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8"/>
      <c r="AD379" s="18"/>
    </row>
    <row r="380">
      <c r="A380" s="37"/>
      <c r="B380" s="33"/>
      <c r="C380" s="139"/>
      <c r="D380" s="139"/>
      <c r="E380" s="3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8"/>
      <c r="AD380" s="18"/>
    </row>
    <row r="381">
      <c r="A381" s="37"/>
      <c r="B381" s="33"/>
      <c r="C381" s="139"/>
      <c r="D381" s="139"/>
      <c r="E381" s="3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8"/>
      <c r="AD381" s="18"/>
    </row>
    <row r="382">
      <c r="A382" s="37"/>
      <c r="B382" s="33"/>
      <c r="C382" s="139"/>
      <c r="D382" s="139"/>
      <c r="E382" s="3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8"/>
      <c r="AD382" s="18"/>
    </row>
    <row r="383">
      <c r="A383" s="37"/>
      <c r="B383" s="33"/>
      <c r="C383" s="139"/>
      <c r="D383" s="139"/>
      <c r="E383" s="3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8"/>
      <c r="AD383" s="18"/>
    </row>
    <row r="384">
      <c r="A384" s="37"/>
      <c r="B384" s="33"/>
      <c r="C384" s="139"/>
      <c r="D384" s="139"/>
      <c r="E384" s="3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8"/>
      <c r="AD384" s="18"/>
    </row>
    <row r="385">
      <c r="A385" s="37"/>
      <c r="B385" s="33"/>
      <c r="C385" s="139"/>
      <c r="D385" s="139"/>
      <c r="E385" s="3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8"/>
      <c r="AD385" s="18"/>
    </row>
    <row r="386">
      <c r="A386" s="37"/>
      <c r="B386" s="33"/>
      <c r="C386" s="139"/>
      <c r="D386" s="139"/>
      <c r="E386" s="3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8"/>
      <c r="AD386" s="18"/>
    </row>
    <row r="387">
      <c r="A387" s="37"/>
      <c r="B387" s="33"/>
      <c r="C387" s="139"/>
      <c r="D387" s="139"/>
      <c r="E387" s="3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8"/>
      <c r="AD387" s="18"/>
    </row>
    <row r="388">
      <c r="A388" s="37"/>
      <c r="B388" s="33"/>
      <c r="C388" s="139"/>
      <c r="D388" s="139"/>
      <c r="E388" s="3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8"/>
      <c r="AD388" s="18"/>
    </row>
    <row r="389">
      <c r="A389" s="37"/>
      <c r="B389" s="33"/>
      <c r="C389" s="139"/>
      <c r="D389" s="139"/>
      <c r="E389" s="3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8"/>
      <c r="AD389" s="18"/>
    </row>
    <row r="390">
      <c r="A390" s="37"/>
      <c r="B390" s="33"/>
      <c r="C390" s="139"/>
      <c r="D390" s="139"/>
      <c r="E390" s="3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8"/>
      <c r="AD390" s="18"/>
    </row>
    <row r="391">
      <c r="A391" s="37"/>
      <c r="B391" s="33"/>
      <c r="C391" s="139"/>
      <c r="D391" s="139"/>
      <c r="E391" s="3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8"/>
      <c r="AD391" s="18"/>
    </row>
    <row r="392">
      <c r="A392" s="37"/>
      <c r="B392" s="33"/>
      <c r="C392" s="139"/>
      <c r="D392" s="139"/>
      <c r="E392" s="3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8"/>
      <c r="AD392" s="18"/>
    </row>
    <row r="393">
      <c r="A393" s="37"/>
      <c r="B393" s="33"/>
      <c r="C393" s="139"/>
      <c r="D393" s="139"/>
      <c r="E393" s="3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8"/>
      <c r="AD393" s="18"/>
    </row>
    <row r="394">
      <c r="A394" s="37"/>
      <c r="B394" s="33"/>
      <c r="C394" s="139"/>
      <c r="D394" s="139"/>
      <c r="E394" s="3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8"/>
      <c r="AD394" s="18"/>
    </row>
    <row r="395">
      <c r="A395" s="37"/>
      <c r="B395" s="33"/>
      <c r="C395" s="139"/>
      <c r="D395" s="139"/>
      <c r="E395" s="3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8"/>
      <c r="AD395" s="18"/>
    </row>
    <row r="396">
      <c r="A396" s="37"/>
      <c r="B396" s="33"/>
      <c r="C396" s="139"/>
      <c r="D396" s="139"/>
      <c r="E396" s="3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8"/>
      <c r="AD396" s="18"/>
    </row>
    <row r="397">
      <c r="A397" s="37"/>
      <c r="B397" s="33"/>
      <c r="C397" s="139"/>
      <c r="D397" s="139"/>
      <c r="E397" s="3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8"/>
      <c r="AD397" s="18"/>
    </row>
    <row r="398">
      <c r="A398" s="37"/>
      <c r="B398" s="33"/>
      <c r="C398" s="139"/>
      <c r="D398" s="139"/>
      <c r="E398" s="3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8"/>
      <c r="AD398" s="18"/>
    </row>
    <row r="399">
      <c r="A399" s="37"/>
      <c r="B399" s="33"/>
      <c r="C399" s="139"/>
      <c r="D399" s="139"/>
      <c r="E399" s="3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8"/>
      <c r="AD399" s="18"/>
    </row>
    <row r="400">
      <c r="A400" s="37"/>
      <c r="B400" s="33"/>
      <c r="C400" s="139"/>
      <c r="D400" s="139"/>
      <c r="E400" s="3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8"/>
      <c r="AD400" s="18"/>
    </row>
    <row r="401">
      <c r="A401" s="37"/>
      <c r="B401" s="33"/>
      <c r="C401" s="139"/>
      <c r="D401" s="139"/>
      <c r="E401" s="3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8"/>
      <c r="AD401" s="18"/>
    </row>
    <row r="402">
      <c r="A402" s="37"/>
      <c r="B402" s="33"/>
      <c r="C402" s="139"/>
      <c r="D402" s="139"/>
      <c r="E402" s="3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8"/>
      <c r="AD402" s="18"/>
    </row>
    <row r="403">
      <c r="A403" s="37"/>
      <c r="B403" s="33"/>
      <c r="C403" s="139"/>
      <c r="D403" s="139"/>
      <c r="E403" s="3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8"/>
      <c r="AD403" s="18"/>
    </row>
    <row r="404">
      <c r="A404" s="37"/>
      <c r="B404" s="33"/>
      <c r="C404" s="139"/>
      <c r="D404" s="139"/>
      <c r="E404" s="3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8"/>
      <c r="AD404" s="18"/>
    </row>
    <row r="405">
      <c r="A405" s="37"/>
      <c r="B405" s="33"/>
      <c r="C405" s="139"/>
      <c r="D405" s="139"/>
      <c r="E405" s="3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8"/>
      <c r="AD405" s="18"/>
    </row>
    <row r="406">
      <c r="A406" s="37"/>
      <c r="B406" s="33"/>
      <c r="C406" s="139"/>
      <c r="D406" s="139"/>
      <c r="E406" s="3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8"/>
      <c r="AD406" s="18"/>
    </row>
    <row r="407">
      <c r="A407" s="37"/>
      <c r="B407" s="33"/>
      <c r="C407" s="139"/>
      <c r="D407" s="139"/>
      <c r="E407" s="3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8"/>
      <c r="AD407" s="18"/>
    </row>
    <row r="408">
      <c r="A408" s="37"/>
      <c r="B408" s="33"/>
      <c r="C408" s="139"/>
      <c r="D408" s="139"/>
      <c r="E408" s="3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8"/>
      <c r="AD408" s="18"/>
    </row>
    <row r="409">
      <c r="A409" s="37"/>
      <c r="B409" s="33"/>
      <c r="C409" s="139"/>
      <c r="D409" s="139"/>
      <c r="E409" s="3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8"/>
      <c r="AD409" s="18"/>
    </row>
    <row r="410">
      <c r="A410" s="37"/>
      <c r="B410" s="33"/>
      <c r="C410" s="139"/>
      <c r="D410" s="139"/>
      <c r="E410" s="3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8"/>
      <c r="AD410" s="18"/>
    </row>
    <row r="411">
      <c r="A411" s="37"/>
      <c r="B411" s="33"/>
      <c r="C411" s="139"/>
      <c r="D411" s="139"/>
      <c r="E411" s="3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8"/>
      <c r="AD411" s="18"/>
    </row>
    <row r="412">
      <c r="A412" s="37"/>
      <c r="B412" s="33"/>
      <c r="C412" s="139"/>
      <c r="D412" s="139"/>
      <c r="E412" s="3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8"/>
      <c r="AD412" s="18"/>
    </row>
    <row r="413">
      <c r="A413" s="37"/>
      <c r="B413" s="33"/>
      <c r="C413" s="139"/>
      <c r="D413" s="139"/>
      <c r="E413" s="3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8"/>
      <c r="AD413" s="18"/>
    </row>
    <row r="414">
      <c r="A414" s="37"/>
      <c r="B414" s="33"/>
      <c r="C414" s="139"/>
      <c r="D414" s="139"/>
      <c r="E414" s="3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8"/>
      <c r="AD414" s="18"/>
    </row>
    <row r="415">
      <c r="A415" s="37"/>
      <c r="B415" s="33"/>
      <c r="C415" s="139"/>
      <c r="D415" s="139"/>
      <c r="E415" s="3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8"/>
      <c r="AD415" s="18"/>
    </row>
    <row r="416">
      <c r="A416" s="37"/>
      <c r="B416" s="33"/>
      <c r="C416" s="139"/>
      <c r="D416" s="139"/>
      <c r="E416" s="3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8"/>
      <c r="AD416" s="18"/>
    </row>
    <row r="417">
      <c r="A417" s="37"/>
      <c r="B417" s="33"/>
      <c r="C417" s="139"/>
      <c r="D417" s="139"/>
      <c r="E417" s="3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8"/>
      <c r="AD417" s="18"/>
    </row>
    <row r="418">
      <c r="A418" s="37"/>
      <c r="B418" s="33"/>
      <c r="C418" s="139"/>
      <c r="D418" s="139"/>
      <c r="E418" s="3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8"/>
      <c r="AD418" s="18"/>
    </row>
    <row r="419">
      <c r="A419" s="37"/>
      <c r="B419" s="33"/>
      <c r="C419" s="139"/>
      <c r="D419" s="139"/>
      <c r="E419" s="3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8"/>
      <c r="AD419" s="18"/>
    </row>
    <row r="420">
      <c r="A420" s="37"/>
      <c r="B420" s="33"/>
      <c r="C420" s="139"/>
      <c r="D420" s="139"/>
      <c r="E420" s="3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8"/>
      <c r="AD420" s="18"/>
    </row>
    <row r="421">
      <c r="A421" s="37"/>
      <c r="B421" s="33"/>
      <c r="C421" s="139"/>
      <c r="D421" s="139"/>
      <c r="E421" s="3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8"/>
      <c r="AD421" s="18"/>
    </row>
    <row r="422">
      <c r="A422" s="37"/>
      <c r="B422" s="33"/>
      <c r="C422" s="139"/>
      <c r="D422" s="139"/>
      <c r="E422" s="3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8"/>
      <c r="AD422" s="18"/>
    </row>
    <row r="423">
      <c r="A423" s="37"/>
      <c r="B423" s="33"/>
      <c r="C423" s="139"/>
      <c r="D423" s="139"/>
      <c r="E423" s="3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8"/>
      <c r="AD423" s="18"/>
    </row>
    <row r="424">
      <c r="A424" s="37"/>
      <c r="B424" s="33"/>
      <c r="C424" s="139"/>
      <c r="D424" s="139"/>
      <c r="E424" s="3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8"/>
      <c r="AD424" s="18"/>
    </row>
    <row r="425">
      <c r="A425" s="37"/>
      <c r="B425" s="33"/>
      <c r="C425" s="139"/>
      <c r="D425" s="139"/>
      <c r="E425" s="3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8"/>
      <c r="AD425" s="18"/>
    </row>
    <row r="426">
      <c r="A426" s="37"/>
      <c r="B426" s="33"/>
      <c r="C426" s="139"/>
      <c r="D426" s="139"/>
      <c r="E426" s="3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8"/>
      <c r="AD426" s="18"/>
    </row>
    <row r="427">
      <c r="A427" s="37"/>
      <c r="B427" s="33"/>
      <c r="C427" s="139"/>
      <c r="D427" s="139"/>
      <c r="E427" s="3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8"/>
      <c r="AD427" s="18"/>
    </row>
    <row r="428">
      <c r="A428" s="37"/>
      <c r="B428" s="33"/>
      <c r="C428" s="139"/>
      <c r="D428" s="139"/>
      <c r="E428" s="3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8"/>
      <c r="AD428" s="18"/>
    </row>
    <row r="429">
      <c r="A429" s="37"/>
      <c r="B429" s="33"/>
      <c r="C429" s="139"/>
      <c r="D429" s="139"/>
      <c r="E429" s="3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8"/>
      <c r="AD429" s="18"/>
    </row>
    <row r="430">
      <c r="A430" s="37"/>
      <c r="B430" s="33"/>
      <c r="C430" s="139"/>
      <c r="D430" s="139"/>
      <c r="E430" s="3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8"/>
      <c r="AD430" s="18"/>
    </row>
    <row r="431">
      <c r="A431" s="37"/>
      <c r="B431" s="33"/>
      <c r="C431" s="139"/>
      <c r="D431" s="139"/>
      <c r="E431" s="3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8"/>
      <c r="AD431" s="18"/>
    </row>
    <row r="432">
      <c r="A432" s="37"/>
      <c r="B432" s="33"/>
      <c r="C432" s="139"/>
      <c r="D432" s="139"/>
      <c r="E432" s="3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8"/>
      <c r="AD432" s="18"/>
    </row>
    <row r="433">
      <c r="A433" s="37"/>
      <c r="B433" s="33"/>
      <c r="C433" s="139"/>
      <c r="D433" s="139"/>
      <c r="E433" s="3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8"/>
      <c r="AD433" s="18"/>
    </row>
    <row r="434">
      <c r="A434" s="37"/>
      <c r="B434" s="33"/>
      <c r="C434" s="139"/>
      <c r="D434" s="139"/>
      <c r="E434" s="3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8"/>
      <c r="AD434" s="18"/>
    </row>
    <row r="435">
      <c r="A435" s="37"/>
      <c r="B435" s="33"/>
      <c r="C435" s="139"/>
      <c r="D435" s="139"/>
      <c r="E435" s="3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8"/>
      <c r="AD435" s="18"/>
    </row>
    <row r="436">
      <c r="A436" s="37"/>
      <c r="B436" s="33"/>
      <c r="C436" s="139"/>
      <c r="D436" s="139"/>
      <c r="E436" s="3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8"/>
      <c r="AD436" s="18"/>
    </row>
    <row r="437">
      <c r="A437" s="37"/>
      <c r="B437" s="33"/>
      <c r="C437" s="139"/>
      <c r="D437" s="139"/>
      <c r="E437" s="3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8"/>
      <c r="AD437" s="18"/>
    </row>
    <row r="438">
      <c r="A438" s="37"/>
      <c r="B438" s="33"/>
      <c r="C438" s="139"/>
      <c r="D438" s="139"/>
      <c r="E438" s="3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8"/>
      <c r="AD438" s="18"/>
    </row>
    <row r="439">
      <c r="A439" s="37"/>
      <c r="B439" s="33"/>
      <c r="C439" s="139"/>
      <c r="D439" s="139"/>
      <c r="E439" s="3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8"/>
      <c r="AD439" s="18"/>
    </row>
    <row r="440">
      <c r="A440" s="37"/>
      <c r="B440" s="33"/>
      <c r="C440" s="139"/>
      <c r="D440" s="139"/>
      <c r="E440" s="3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8"/>
      <c r="AD440" s="18"/>
    </row>
    <row r="441">
      <c r="A441" s="37"/>
      <c r="B441" s="33"/>
      <c r="C441" s="139"/>
      <c r="D441" s="139"/>
      <c r="E441" s="3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8"/>
      <c r="AD441" s="18"/>
    </row>
    <row r="442">
      <c r="A442" s="37"/>
      <c r="B442" s="33"/>
      <c r="C442" s="139"/>
      <c r="D442" s="139"/>
      <c r="E442" s="3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8"/>
      <c r="AD442" s="18"/>
    </row>
    <row r="443">
      <c r="A443" s="37"/>
      <c r="B443" s="33"/>
      <c r="C443" s="139"/>
      <c r="D443" s="139"/>
      <c r="E443" s="3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8"/>
      <c r="AD443" s="18"/>
    </row>
    <row r="444">
      <c r="A444" s="37"/>
      <c r="B444" s="33"/>
      <c r="C444" s="139"/>
      <c r="D444" s="139"/>
      <c r="E444" s="3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8"/>
      <c r="AD444" s="18"/>
    </row>
    <row r="445">
      <c r="A445" s="37"/>
      <c r="B445" s="33"/>
      <c r="C445" s="139"/>
      <c r="D445" s="139"/>
      <c r="E445" s="3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8"/>
      <c r="AD445" s="18"/>
    </row>
    <row r="446">
      <c r="A446" s="37"/>
      <c r="B446" s="33"/>
      <c r="C446" s="139"/>
      <c r="D446" s="139"/>
      <c r="E446" s="3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8"/>
      <c r="AD446" s="18"/>
    </row>
    <row r="447">
      <c r="A447" s="37"/>
      <c r="B447" s="33"/>
      <c r="C447" s="139"/>
      <c r="D447" s="139"/>
      <c r="E447" s="3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8"/>
      <c r="AD447" s="18"/>
    </row>
    <row r="448">
      <c r="A448" s="37"/>
      <c r="B448" s="33"/>
      <c r="C448" s="139"/>
      <c r="D448" s="139"/>
      <c r="E448" s="3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8"/>
      <c r="AD448" s="18"/>
    </row>
    <row r="449">
      <c r="A449" s="37"/>
      <c r="B449" s="33"/>
      <c r="C449" s="139"/>
      <c r="D449" s="139"/>
      <c r="E449" s="3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8"/>
      <c r="AD449" s="18"/>
    </row>
    <row r="450">
      <c r="A450" s="37"/>
      <c r="B450" s="33"/>
      <c r="C450" s="139"/>
      <c r="D450" s="139"/>
      <c r="E450" s="3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8"/>
      <c r="AD450" s="18"/>
    </row>
    <row r="451">
      <c r="A451" s="37"/>
      <c r="B451" s="33"/>
      <c r="C451" s="139"/>
      <c r="D451" s="139"/>
      <c r="E451" s="3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8"/>
      <c r="AD451" s="18"/>
    </row>
    <row r="452">
      <c r="A452" s="37"/>
      <c r="B452" s="33"/>
      <c r="C452" s="139"/>
      <c r="D452" s="139"/>
      <c r="E452" s="3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8"/>
      <c r="AD452" s="18"/>
    </row>
    <row r="453">
      <c r="A453" s="37"/>
      <c r="B453" s="33"/>
      <c r="C453" s="139"/>
      <c r="D453" s="139"/>
      <c r="E453" s="3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8"/>
      <c r="AD453" s="18"/>
    </row>
    <row r="454">
      <c r="A454" s="37"/>
      <c r="B454" s="33"/>
      <c r="C454" s="139"/>
      <c r="D454" s="139"/>
      <c r="E454" s="3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8"/>
      <c r="AD454" s="18"/>
    </row>
    <row r="455">
      <c r="A455" s="37"/>
      <c r="B455" s="33"/>
      <c r="C455" s="139"/>
      <c r="D455" s="139"/>
      <c r="E455" s="3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8"/>
      <c r="AD455" s="18"/>
    </row>
    <row r="456">
      <c r="A456" s="37"/>
      <c r="B456" s="33"/>
      <c r="C456" s="139"/>
      <c r="D456" s="139"/>
      <c r="E456" s="3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8"/>
      <c r="AD456" s="18"/>
    </row>
    <row r="457">
      <c r="A457" s="37"/>
      <c r="B457" s="33"/>
      <c r="C457" s="139"/>
      <c r="D457" s="139"/>
      <c r="E457" s="3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8"/>
      <c r="AD457" s="18"/>
    </row>
    <row r="458">
      <c r="A458" s="37"/>
      <c r="B458" s="33"/>
      <c r="C458" s="139"/>
      <c r="D458" s="139"/>
      <c r="E458" s="3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8"/>
      <c r="AD458" s="18"/>
    </row>
    <row r="459">
      <c r="A459" s="37"/>
      <c r="B459" s="33"/>
      <c r="C459" s="139"/>
      <c r="D459" s="139"/>
      <c r="E459" s="3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8"/>
      <c r="AD459" s="18"/>
    </row>
    <row r="460">
      <c r="A460" s="37"/>
      <c r="B460" s="33"/>
      <c r="C460" s="139"/>
      <c r="D460" s="139"/>
      <c r="E460" s="3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8"/>
      <c r="AD460" s="18"/>
    </row>
    <row r="461">
      <c r="A461" s="37"/>
      <c r="B461" s="33"/>
      <c r="C461" s="139"/>
      <c r="D461" s="139"/>
      <c r="E461" s="3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8"/>
      <c r="AD461" s="18"/>
    </row>
    <row r="462">
      <c r="A462" s="37"/>
      <c r="B462" s="33"/>
      <c r="C462" s="139"/>
      <c r="D462" s="139"/>
      <c r="E462" s="3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8"/>
      <c r="AD462" s="18"/>
    </row>
    <row r="463">
      <c r="A463" s="37"/>
      <c r="B463" s="33"/>
      <c r="C463" s="139"/>
      <c r="D463" s="139"/>
      <c r="E463" s="3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8"/>
      <c r="AD463" s="18"/>
    </row>
    <row r="464">
      <c r="A464" s="37"/>
      <c r="B464" s="33"/>
      <c r="C464" s="139"/>
      <c r="D464" s="139"/>
      <c r="E464" s="3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8"/>
      <c r="AD464" s="18"/>
    </row>
    <row r="465">
      <c r="A465" s="37"/>
      <c r="B465" s="33"/>
      <c r="C465" s="139"/>
      <c r="D465" s="139"/>
      <c r="E465" s="3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8"/>
      <c r="AD465" s="18"/>
    </row>
    <row r="466">
      <c r="A466" s="37"/>
      <c r="B466" s="33"/>
      <c r="C466" s="139"/>
      <c r="D466" s="139"/>
      <c r="E466" s="3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8"/>
      <c r="AD466" s="18"/>
    </row>
    <row r="467">
      <c r="A467" s="37"/>
      <c r="B467" s="33"/>
      <c r="C467" s="139"/>
      <c r="D467" s="139"/>
      <c r="E467" s="3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8"/>
      <c r="AD467" s="18"/>
    </row>
    <row r="468">
      <c r="A468" s="37"/>
      <c r="B468" s="33"/>
      <c r="C468" s="139"/>
      <c r="D468" s="139"/>
      <c r="E468" s="3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8"/>
      <c r="AD468" s="18"/>
    </row>
    <row r="469">
      <c r="A469" s="37"/>
      <c r="B469" s="33"/>
      <c r="C469" s="139"/>
      <c r="D469" s="139"/>
      <c r="E469" s="3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8"/>
      <c r="AD469" s="18"/>
    </row>
    <row r="470">
      <c r="A470" s="37"/>
      <c r="B470" s="33"/>
      <c r="C470" s="139"/>
      <c r="D470" s="139"/>
      <c r="E470" s="3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8"/>
      <c r="AD470" s="18"/>
    </row>
    <row r="471">
      <c r="A471" s="37"/>
      <c r="B471" s="33"/>
      <c r="C471" s="139"/>
      <c r="D471" s="139"/>
      <c r="E471" s="3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8"/>
      <c r="AD471" s="18"/>
    </row>
    <row r="472">
      <c r="A472" s="37"/>
      <c r="B472" s="33"/>
      <c r="C472" s="139"/>
      <c r="D472" s="139"/>
      <c r="E472" s="3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8"/>
      <c r="AD472" s="18"/>
    </row>
    <row r="473">
      <c r="A473" s="37"/>
      <c r="B473" s="33"/>
      <c r="C473" s="139"/>
      <c r="D473" s="139"/>
      <c r="E473" s="3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8"/>
      <c r="AD473" s="18"/>
    </row>
    <row r="474">
      <c r="A474" s="37"/>
      <c r="B474" s="33"/>
      <c r="C474" s="139"/>
      <c r="D474" s="139"/>
      <c r="E474" s="3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8"/>
      <c r="AD474" s="18"/>
    </row>
    <row r="475">
      <c r="A475" s="37"/>
      <c r="B475" s="33"/>
      <c r="C475" s="139"/>
      <c r="D475" s="139"/>
      <c r="E475" s="3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8"/>
      <c r="AD475" s="18"/>
    </row>
    <row r="476">
      <c r="A476" s="37"/>
      <c r="B476" s="33"/>
      <c r="C476" s="139"/>
      <c r="D476" s="139"/>
      <c r="E476" s="3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8"/>
      <c r="AD476" s="18"/>
    </row>
    <row r="477">
      <c r="A477" s="37"/>
      <c r="B477" s="33"/>
      <c r="C477" s="139"/>
      <c r="D477" s="139"/>
      <c r="E477" s="3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8"/>
      <c r="AD477" s="18"/>
    </row>
    <row r="478">
      <c r="A478" s="37"/>
      <c r="B478" s="33"/>
      <c r="C478" s="139"/>
      <c r="D478" s="139"/>
      <c r="E478" s="3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8"/>
      <c r="AD478" s="18"/>
    </row>
    <row r="479">
      <c r="A479" s="37"/>
      <c r="B479" s="33"/>
      <c r="C479" s="139"/>
      <c r="D479" s="139"/>
      <c r="E479" s="3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8"/>
      <c r="AD479" s="18"/>
    </row>
    <row r="480">
      <c r="A480" s="37"/>
      <c r="B480" s="33"/>
      <c r="C480" s="139"/>
      <c r="D480" s="139"/>
      <c r="E480" s="3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8"/>
      <c r="AD480" s="18"/>
    </row>
    <row r="481">
      <c r="A481" s="37"/>
      <c r="B481" s="33"/>
      <c r="C481" s="139"/>
      <c r="D481" s="139"/>
      <c r="E481" s="3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8"/>
      <c r="AD481" s="18"/>
    </row>
    <row r="482">
      <c r="A482" s="37"/>
      <c r="B482" s="33"/>
      <c r="C482" s="139"/>
      <c r="D482" s="139"/>
      <c r="E482" s="3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8"/>
      <c r="AD482" s="18"/>
    </row>
    <row r="483">
      <c r="A483" s="37"/>
      <c r="B483" s="33"/>
      <c r="C483" s="139"/>
      <c r="D483" s="139"/>
      <c r="E483" s="3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8"/>
      <c r="AD483" s="18"/>
    </row>
    <row r="484">
      <c r="A484" s="37"/>
      <c r="B484" s="33"/>
      <c r="C484" s="139"/>
      <c r="D484" s="139"/>
      <c r="E484" s="3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8"/>
      <c r="AD484" s="18"/>
    </row>
    <row r="485">
      <c r="A485" s="37"/>
      <c r="B485" s="33"/>
      <c r="C485" s="139"/>
      <c r="D485" s="139"/>
      <c r="E485" s="3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8"/>
      <c r="AD485" s="18"/>
    </row>
    <row r="486">
      <c r="A486" s="37"/>
      <c r="B486" s="33"/>
      <c r="C486" s="139"/>
      <c r="D486" s="139"/>
      <c r="E486" s="3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8"/>
      <c r="AD486" s="18"/>
    </row>
    <row r="487">
      <c r="A487" s="37"/>
      <c r="B487" s="33"/>
      <c r="C487" s="139"/>
      <c r="D487" s="139"/>
      <c r="E487" s="3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8"/>
      <c r="AD487" s="18"/>
    </row>
    <row r="488">
      <c r="A488" s="37"/>
      <c r="B488" s="33"/>
      <c r="C488" s="139"/>
      <c r="D488" s="139"/>
      <c r="E488" s="3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8"/>
      <c r="AD488" s="18"/>
    </row>
    <row r="489">
      <c r="A489" s="37"/>
      <c r="B489" s="33"/>
      <c r="C489" s="139"/>
      <c r="D489" s="139"/>
      <c r="E489" s="3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8"/>
      <c r="AD489" s="18"/>
    </row>
    <row r="490">
      <c r="A490" s="37"/>
      <c r="B490" s="33"/>
      <c r="C490" s="139"/>
      <c r="D490" s="139"/>
      <c r="E490" s="3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8"/>
      <c r="AD490" s="18"/>
    </row>
    <row r="491">
      <c r="A491" s="37"/>
      <c r="B491" s="33"/>
      <c r="C491" s="139"/>
      <c r="D491" s="139"/>
      <c r="E491" s="3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8"/>
      <c r="AD491" s="18"/>
    </row>
    <row r="492">
      <c r="A492" s="37"/>
      <c r="B492" s="33"/>
      <c r="C492" s="139"/>
      <c r="D492" s="139"/>
      <c r="E492" s="3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8"/>
      <c r="AD492" s="18"/>
    </row>
    <row r="493">
      <c r="A493" s="37"/>
      <c r="B493" s="33"/>
      <c r="C493" s="139"/>
      <c r="D493" s="139"/>
      <c r="E493" s="3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8"/>
      <c r="AD493" s="18"/>
    </row>
    <row r="494">
      <c r="A494" s="37"/>
      <c r="B494" s="33"/>
      <c r="C494" s="139"/>
      <c r="D494" s="139"/>
      <c r="E494" s="3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8"/>
      <c r="AD494" s="18"/>
    </row>
    <row r="495">
      <c r="A495" s="37"/>
      <c r="B495" s="33"/>
      <c r="C495" s="139"/>
      <c r="D495" s="139"/>
      <c r="E495" s="3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8"/>
      <c r="AD495" s="18"/>
    </row>
    <row r="496">
      <c r="A496" s="37"/>
      <c r="B496" s="33"/>
      <c r="C496" s="139"/>
      <c r="D496" s="139"/>
      <c r="E496" s="3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8"/>
      <c r="AD496" s="18"/>
    </row>
    <row r="497">
      <c r="A497" s="37"/>
      <c r="B497" s="33"/>
      <c r="C497" s="139"/>
      <c r="D497" s="139"/>
      <c r="E497" s="3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8"/>
      <c r="AD497" s="18"/>
    </row>
    <row r="498">
      <c r="A498" s="37"/>
      <c r="B498" s="33"/>
      <c r="C498" s="139"/>
      <c r="D498" s="139"/>
      <c r="E498" s="3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8"/>
      <c r="AD498" s="18"/>
    </row>
    <row r="499">
      <c r="A499" s="37"/>
      <c r="B499" s="33"/>
      <c r="C499" s="139"/>
      <c r="D499" s="139"/>
      <c r="E499" s="3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8"/>
      <c r="AD499" s="18"/>
    </row>
    <row r="500">
      <c r="A500" s="37"/>
      <c r="B500" s="33"/>
      <c r="C500" s="139"/>
      <c r="D500" s="139"/>
      <c r="E500" s="3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8"/>
      <c r="AD500" s="18"/>
    </row>
    <row r="501">
      <c r="A501" s="37"/>
      <c r="B501" s="33"/>
      <c r="C501" s="139"/>
      <c r="D501" s="139"/>
      <c r="E501" s="3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8"/>
      <c r="AD501" s="18"/>
    </row>
    <row r="502">
      <c r="A502" s="37"/>
      <c r="B502" s="33"/>
      <c r="C502" s="139"/>
      <c r="D502" s="139"/>
      <c r="E502" s="3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8"/>
      <c r="AD502" s="18"/>
    </row>
    <row r="503">
      <c r="A503" s="37"/>
      <c r="B503" s="33"/>
      <c r="C503" s="139"/>
      <c r="D503" s="139"/>
      <c r="E503" s="3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8"/>
      <c r="AD503" s="18"/>
    </row>
    <row r="504">
      <c r="A504" s="37"/>
      <c r="B504" s="33"/>
      <c r="C504" s="139"/>
      <c r="D504" s="139"/>
      <c r="E504" s="3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8"/>
      <c r="AD504" s="18"/>
    </row>
    <row r="505">
      <c r="A505" s="37"/>
      <c r="B505" s="33"/>
      <c r="C505" s="139"/>
      <c r="D505" s="139"/>
      <c r="E505" s="3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8"/>
      <c r="AD505" s="18"/>
    </row>
    <row r="506">
      <c r="A506" s="37"/>
      <c r="B506" s="33"/>
      <c r="C506" s="139"/>
      <c r="D506" s="139"/>
      <c r="E506" s="3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8"/>
      <c r="AD506" s="18"/>
    </row>
    <row r="507">
      <c r="A507" s="37"/>
      <c r="B507" s="33"/>
      <c r="C507" s="139"/>
      <c r="D507" s="139"/>
      <c r="E507" s="3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8"/>
      <c r="AD507" s="18"/>
    </row>
    <row r="508">
      <c r="A508" s="37"/>
      <c r="B508" s="33"/>
      <c r="C508" s="139"/>
      <c r="D508" s="139"/>
      <c r="E508" s="3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8"/>
      <c r="AD508" s="18"/>
    </row>
    <row r="509">
      <c r="A509" s="37"/>
      <c r="B509" s="33"/>
      <c r="C509" s="139"/>
      <c r="D509" s="139"/>
      <c r="E509" s="3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8"/>
      <c r="AD509" s="18"/>
    </row>
    <row r="510">
      <c r="A510" s="37"/>
      <c r="B510" s="33"/>
      <c r="C510" s="139"/>
      <c r="D510" s="139"/>
      <c r="E510" s="3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8"/>
      <c r="AD510" s="18"/>
    </row>
    <row r="511">
      <c r="A511" s="37"/>
      <c r="B511" s="33"/>
      <c r="C511" s="139"/>
      <c r="D511" s="139"/>
      <c r="E511" s="3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8"/>
      <c r="AD511" s="18"/>
    </row>
    <row r="512">
      <c r="A512" s="37"/>
      <c r="B512" s="33"/>
      <c r="C512" s="139"/>
      <c r="D512" s="139"/>
      <c r="E512" s="3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8"/>
      <c r="AD512" s="18"/>
    </row>
    <row r="513">
      <c r="A513" s="37"/>
      <c r="B513" s="33"/>
      <c r="C513" s="139"/>
      <c r="D513" s="139"/>
      <c r="E513" s="3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8"/>
      <c r="AD513" s="18"/>
    </row>
    <row r="514">
      <c r="A514" s="37"/>
      <c r="B514" s="33"/>
      <c r="C514" s="139"/>
      <c r="D514" s="139"/>
      <c r="E514" s="3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8"/>
      <c r="AD514" s="18"/>
    </row>
    <row r="515">
      <c r="A515" s="37"/>
      <c r="B515" s="33"/>
      <c r="C515" s="139"/>
      <c r="D515" s="139"/>
      <c r="E515" s="3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8"/>
      <c r="AD515" s="18"/>
    </row>
    <row r="516">
      <c r="A516" s="37"/>
      <c r="B516" s="33"/>
      <c r="C516" s="139"/>
      <c r="D516" s="139"/>
      <c r="E516" s="3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8"/>
      <c r="AD516" s="18"/>
    </row>
    <row r="517">
      <c r="A517" s="37"/>
      <c r="B517" s="33"/>
      <c r="C517" s="139"/>
      <c r="D517" s="139"/>
      <c r="E517" s="3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8"/>
      <c r="AD517" s="18"/>
    </row>
    <row r="518">
      <c r="A518" s="37"/>
      <c r="B518" s="33"/>
      <c r="C518" s="139"/>
      <c r="D518" s="139"/>
      <c r="E518" s="3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8"/>
      <c r="AD518" s="18"/>
    </row>
    <row r="519">
      <c r="A519" s="37"/>
      <c r="B519" s="33"/>
      <c r="C519" s="139"/>
      <c r="D519" s="139"/>
      <c r="E519" s="3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8"/>
      <c r="AD519" s="18"/>
    </row>
    <row r="520">
      <c r="A520" s="37"/>
      <c r="B520" s="33"/>
      <c r="C520" s="139"/>
      <c r="D520" s="139"/>
      <c r="E520" s="3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8"/>
      <c r="AD520" s="18"/>
    </row>
    <row r="521">
      <c r="A521" s="37"/>
      <c r="B521" s="33"/>
      <c r="C521" s="139"/>
      <c r="D521" s="139"/>
      <c r="E521" s="3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8"/>
      <c r="AD521" s="18"/>
    </row>
    <row r="522">
      <c r="A522" s="37"/>
      <c r="B522" s="33"/>
      <c r="C522" s="139"/>
      <c r="D522" s="139"/>
      <c r="E522" s="3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8"/>
      <c r="AD522" s="18"/>
    </row>
    <row r="523">
      <c r="A523" s="37"/>
      <c r="B523" s="33"/>
      <c r="C523" s="139"/>
      <c r="D523" s="139"/>
      <c r="E523" s="3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8"/>
      <c r="AD523" s="18"/>
    </row>
    <row r="524">
      <c r="A524" s="37"/>
      <c r="B524" s="33"/>
      <c r="C524" s="139"/>
      <c r="D524" s="139"/>
      <c r="E524" s="3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8"/>
      <c r="AD524" s="18"/>
    </row>
    <row r="525">
      <c r="A525" s="37"/>
      <c r="B525" s="33"/>
      <c r="C525" s="139"/>
      <c r="D525" s="139"/>
      <c r="E525" s="3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8"/>
      <c r="AD525" s="18"/>
    </row>
    <row r="526">
      <c r="A526" s="37"/>
      <c r="B526" s="33"/>
      <c r="C526" s="139"/>
      <c r="D526" s="139"/>
      <c r="E526" s="3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8"/>
      <c r="AD526" s="18"/>
    </row>
    <row r="527">
      <c r="A527" s="37"/>
      <c r="B527" s="33"/>
      <c r="C527" s="139"/>
      <c r="D527" s="139"/>
      <c r="E527" s="3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8"/>
      <c r="AD527" s="18"/>
    </row>
    <row r="528">
      <c r="A528" s="37"/>
      <c r="B528" s="33"/>
      <c r="C528" s="139"/>
      <c r="D528" s="139"/>
      <c r="E528" s="3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8"/>
      <c r="AD528" s="18"/>
    </row>
    <row r="529">
      <c r="A529" s="37"/>
      <c r="B529" s="33"/>
      <c r="C529" s="139"/>
      <c r="D529" s="139"/>
      <c r="E529" s="3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8"/>
      <c r="AD529" s="18"/>
    </row>
    <row r="530">
      <c r="A530" s="37"/>
      <c r="B530" s="33"/>
      <c r="C530" s="139"/>
      <c r="D530" s="139"/>
      <c r="E530" s="3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8"/>
      <c r="AD530" s="18"/>
    </row>
    <row r="531">
      <c r="A531" s="37"/>
      <c r="B531" s="33"/>
      <c r="C531" s="139"/>
      <c r="D531" s="139"/>
      <c r="E531" s="3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8"/>
      <c r="AD531" s="18"/>
    </row>
    <row r="532">
      <c r="A532" s="37"/>
      <c r="B532" s="33"/>
      <c r="C532" s="139"/>
      <c r="D532" s="139"/>
      <c r="E532" s="3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8"/>
      <c r="AD532" s="18"/>
    </row>
    <row r="533">
      <c r="A533" s="37"/>
      <c r="B533" s="33"/>
      <c r="C533" s="139"/>
      <c r="D533" s="139"/>
      <c r="E533" s="3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8"/>
      <c r="AD533" s="18"/>
    </row>
    <row r="534">
      <c r="A534" s="37"/>
      <c r="B534" s="33"/>
      <c r="C534" s="139"/>
      <c r="D534" s="139"/>
      <c r="E534" s="3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8"/>
      <c r="AD534" s="18"/>
    </row>
    <row r="535">
      <c r="A535" s="37"/>
      <c r="B535" s="33"/>
      <c r="C535" s="139"/>
      <c r="D535" s="139"/>
      <c r="E535" s="3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8"/>
      <c r="AD535" s="18"/>
    </row>
    <row r="536">
      <c r="A536" s="37"/>
      <c r="B536" s="33"/>
      <c r="C536" s="139"/>
      <c r="D536" s="139"/>
      <c r="E536" s="3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8"/>
      <c r="AD536" s="18"/>
    </row>
    <row r="537">
      <c r="A537" s="37"/>
      <c r="B537" s="33"/>
      <c r="C537" s="139"/>
      <c r="D537" s="139"/>
      <c r="E537" s="3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8"/>
      <c r="AD537" s="18"/>
    </row>
    <row r="538">
      <c r="A538" s="37"/>
      <c r="B538" s="33"/>
      <c r="C538" s="139"/>
      <c r="D538" s="139"/>
      <c r="E538" s="3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8"/>
      <c r="AD538" s="18"/>
    </row>
    <row r="539">
      <c r="A539" s="37"/>
      <c r="B539" s="33"/>
      <c r="C539" s="139"/>
      <c r="D539" s="139"/>
      <c r="E539" s="3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8"/>
      <c r="AD539" s="18"/>
    </row>
    <row r="540">
      <c r="A540" s="37"/>
      <c r="B540" s="33"/>
      <c r="C540" s="139"/>
      <c r="D540" s="139"/>
      <c r="E540" s="3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8"/>
      <c r="AD540" s="18"/>
    </row>
    <row r="541">
      <c r="A541" s="37"/>
      <c r="B541" s="33"/>
      <c r="C541" s="139"/>
      <c r="D541" s="139"/>
      <c r="E541" s="3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8"/>
      <c r="AD541" s="18"/>
    </row>
    <row r="542">
      <c r="A542" s="37"/>
      <c r="B542" s="33"/>
      <c r="C542" s="139"/>
      <c r="D542" s="139"/>
      <c r="E542" s="3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8"/>
      <c r="AD542" s="18"/>
    </row>
    <row r="543">
      <c r="A543" s="37"/>
      <c r="B543" s="33"/>
      <c r="C543" s="139"/>
      <c r="D543" s="139"/>
      <c r="E543" s="3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8"/>
      <c r="AD543" s="18"/>
    </row>
    <row r="544">
      <c r="A544" s="37"/>
      <c r="B544" s="33"/>
      <c r="C544" s="139"/>
      <c r="D544" s="139"/>
      <c r="E544" s="3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8"/>
      <c r="AD544" s="18"/>
    </row>
    <row r="545">
      <c r="A545" s="37"/>
      <c r="B545" s="33"/>
      <c r="C545" s="139"/>
      <c r="D545" s="139"/>
      <c r="E545" s="3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8"/>
      <c r="AD545" s="18"/>
    </row>
    <row r="546">
      <c r="A546" s="37"/>
      <c r="B546" s="33"/>
      <c r="C546" s="139"/>
      <c r="D546" s="139"/>
      <c r="E546" s="3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8"/>
      <c r="AD546" s="18"/>
    </row>
    <row r="547">
      <c r="A547" s="37"/>
      <c r="B547" s="33"/>
      <c r="C547" s="139"/>
      <c r="D547" s="139"/>
      <c r="E547" s="3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8"/>
      <c r="AD547" s="18"/>
    </row>
    <row r="548">
      <c r="A548" s="37"/>
      <c r="B548" s="33"/>
      <c r="C548" s="139"/>
      <c r="D548" s="139"/>
      <c r="E548" s="3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8"/>
      <c r="AD548" s="18"/>
    </row>
    <row r="549">
      <c r="A549" s="37"/>
      <c r="B549" s="33"/>
      <c r="C549" s="139"/>
      <c r="D549" s="139"/>
      <c r="E549" s="3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8"/>
      <c r="AD549" s="18"/>
    </row>
    <row r="550">
      <c r="A550" s="37"/>
      <c r="B550" s="33"/>
      <c r="C550" s="139"/>
      <c r="D550" s="139"/>
      <c r="E550" s="3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8"/>
      <c r="AD550" s="18"/>
    </row>
    <row r="551">
      <c r="A551" s="37"/>
      <c r="B551" s="33"/>
      <c r="C551" s="139"/>
      <c r="D551" s="139"/>
      <c r="E551" s="3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8"/>
      <c r="AD551" s="18"/>
    </row>
    <row r="552">
      <c r="A552" s="37"/>
      <c r="B552" s="33"/>
      <c r="C552" s="139"/>
      <c r="D552" s="139"/>
      <c r="E552" s="3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8"/>
      <c r="AD552" s="18"/>
    </row>
    <row r="553">
      <c r="A553" s="37"/>
      <c r="B553" s="33"/>
      <c r="C553" s="139"/>
      <c r="D553" s="139"/>
      <c r="E553" s="3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8"/>
      <c r="AD553" s="18"/>
    </row>
    <row r="554">
      <c r="A554" s="37"/>
      <c r="B554" s="33"/>
      <c r="C554" s="139"/>
      <c r="D554" s="139"/>
      <c r="E554" s="3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8"/>
      <c r="AD554" s="18"/>
    </row>
    <row r="555">
      <c r="A555" s="37"/>
      <c r="B555" s="33"/>
      <c r="C555" s="139"/>
      <c r="D555" s="139"/>
      <c r="E555" s="3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8"/>
      <c r="AD555" s="18"/>
    </row>
    <row r="556">
      <c r="A556" s="37"/>
      <c r="B556" s="33"/>
      <c r="C556" s="139"/>
      <c r="D556" s="139"/>
      <c r="E556" s="3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8"/>
      <c r="AD556" s="18"/>
    </row>
    <row r="557">
      <c r="A557" s="37"/>
      <c r="B557" s="33"/>
      <c r="C557" s="139"/>
      <c r="D557" s="139"/>
      <c r="E557" s="3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8"/>
      <c r="AD557" s="18"/>
    </row>
    <row r="558">
      <c r="A558" s="37"/>
      <c r="B558" s="33"/>
      <c r="C558" s="139"/>
      <c r="D558" s="139"/>
      <c r="E558" s="3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8"/>
      <c r="AD558" s="18"/>
    </row>
    <row r="559">
      <c r="A559" s="37"/>
      <c r="B559" s="33"/>
      <c r="C559" s="139"/>
      <c r="D559" s="139"/>
      <c r="E559" s="3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8"/>
      <c r="AD559" s="18"/>
    </row>
    <row r="560">
      <c r="A560" s="37"/>
      <c r="B560" s="33"/>
      <c r="C560" s="139"/>
      <c r="D560" s="139"/>
      <c r="E560" s="3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8"/>
      <c r="AD560" s="18"/>
    </row>
    <row r="561">
      <c r="A561" s="37"/>
      <c r="B561" s="33"/>
      <c r="C561" s="139"/>
      <c r="D561" s="139"/>
      <c r="E561" s="3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8"/>
      <c r="AD561" s="18"/>
    </row>
    <row r="562">
      <c r="A562" s="37"/>
      <c r="B562" s="33"/>
      <c r="C562" s="139"/>
      <c r="D562" s="139"/>
      <c r="E562" s="3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8"/>
      <c r="AD562" s="18"/>
    </row>
    <row r="563">
      <c r="A563" s="37"/>
      <c r="B563" s="33"/>
      <c r="C563" s="139"/>
      <c r="D563" s="139"/>
      <c r="E563" s="3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8"/>
      <c r="AD563" s="18"/>
    </row>
    <row r="564">
      <c r="A564" s="37"/>
      <c r="B564" s="33"/>
      <c r="C564" s="139"/>
      <c r="D564" s="139"/>
      <c r="E564" s="3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8"/>
      <c r="AD564" s="18"/>
    </row>
    <row r="565">
      <c r="A565" s="37"/>
      <c r="B565" s="33"/>
      <c r="C565" s="139"/>
      <c r="D565" s="139"/>
      <c r="E565" s="3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8"/>
      <c r="AD565" s="18"/>
    </row>
    <row r="566">
      <c r="A566" s="37"/>
      <c r="B566" s="33"/>
      <c r="C566" s="139"/>
      <c r="D566" s="139"/>
      <c r="E566" s="3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8"/>
      <c r="AD566" s="18"/>
    </row>
    <row r="567">
      <c r="A567" s="37"/>
      <c r="B567" s="33"/>
      <c r="C567" s="139"/>
      <c r="D567" s="139"/>
      <c r="E567" s="3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8"/>
      <c r="AD567" s="18"/>
    </row>
    <row r="568">
      <c r="A568" s="37"/>
      <c r="B568" s="33"/>
      <c r="C568" s="139"/>
      <c r="D568" s="139"/>
      <c r="E568" s="3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8"/>
      <c r="AD568" s="18"/>
    </row>
    <row r="569">
      <c r="A569" s="37"/>
      <c r="B569" s="33"/>
      <c r="C569" s="139"/>
      <c r="D569" s="139"/>
      <c r="E569" s="3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8"/>
      <c r="AD569" s="18"/>
    </row>
    <row r="570">
      <c r="A570" s="37"/>
      <c r="B570" s="33"/>
      <c r="C570" s="139"/>
      <c r="D570" s="139"/>
      <c r="E570" s="3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8"/>
      <c r="AD570" s="18"/>
    </row>
    <row r="571">
      <c r="A571" s="37"/>
      <c r="B571" s="33"/>
      <c r="C571" s="139"/>
      <c r="D571" s="139"/>
      <c r="E571" s="3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8"/>
      <c r="AD571" s="18"/>
    </row>
    <row r="572">
      <c r="A572" s="37"/>
      <c r="B572" s="33"/>
      <c r="C572" s="139"/>
      <c r="D572" s="139"/>
      <c r="E572" s="3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8"/>
      <c r="AD572" s="18"/>
    </row>
    <row r="573">
      <c r="A573" s="37"/>
      <c r="B573" s="33"/>
      <c r="C573" s="139"/>
      <c r="D573" s="139"/>
      <c r="E573" s="3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8"/>
      <c r="AD573" s="18"/>
    </row>
    <row r="574">
      <c r="A574" s="37"/>
      <c r="B574" s="33"/>
      <c r="C574" s="139"/>
      <c r="D574" s="139"/>
      <c r="E574" s="3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8"/>
      <c r="AD574" s="18"/>
    </row>
    <row r="575">
      <c r="A575" s="37"/>
      <c r="B575" s="33"/>
      <c r="C575" s="139"/>
      <c r="D575" s="139"/>
      <c r="E575" s="3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8"/>
      <c r="AD575" s="18"/>
    </row>
    <row r="576">
      <c r="A576" s="37"/>
      <c r="B576" s="33"/>
      <c r="C576" s="139"/>
      <c r="D576" s="139"/>
      <c r="E576" s="3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8"/>
      <c r="AD576" s="18"/>
    </row>
    <row r="577">
      <c r="A577" s="37"/>
      <c r="B577" s="33"/>
      <c r="C577" s="139"/>
      <c r="D577" s="139"/>
      <c r="E577" s="3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8"/>
      <c r="AD577" s="18"/>
    </row>
    <row r="578">
      <c r="A578" s="37"/>
      <c r="B578" s="33"/>
      <c r="C578" s="139"/>
      <c r="D578" s="139"/>
      <c r="E578" s="3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8"/>
      <c r="AD578" s="18"/>
    </row>
    <row r="579">
      <c r="A579" s="37"/>
      <c r="B579" s="33"/>
      <c r="C579" s="139"/>
      <c r="D579" s="139"/>
      <c r="E579" s="3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8"/>
      <c r="AD579" s="18"/>
    </row>
    <row r="580">
      <c r="A580" s="37"/>
      <c r="B580" s="33"/>
      <c r="C580" s="139"/>
      <c r="D580" s="139"/>
      <c r="E580" s="3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8"/>
      <c r="AD580" s="18"/>
    </row>
    <row r="581">
      <c r="A581" s="37"/>
      <c r="B581" s="33"/>
      <c r="C581" s="139"/>
      <c r="D581" s="139"/>
      <c r="E581" s="3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8"/>
      <c r="AD581" s="18"/>
    </row>
    <row r="582">
      <c r="A582" s="37"/>
      <c r="B582" s="33"/>
      <c r="C582" s="139"/>
      <c r="D582" s="139"/>
      <c r="E582" s="3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8"/>
      <c r="AD582" s="18"/>
    </row>
    <row r="583">
      <c r="A583" s="37"/>
      <c r="B583" s="33"/>
      <c r="C583" s="139"/>
      <c r="D583" s="139"/>
      <c r="E583" s="3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8"/>
      <c r="AD583" s="18"/>
    </row>
    <row r="584">
      <c r="A584" s="37"/>
      <c r="B584" s="33"/>
      <c r="C584" s="139"/>
      <c r="D584" s="139"/>
      <c r="E584" s="3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8"/>
      <c r="AD584" s="18"/>
    </row>
    <row r="585">
      <c r="A585" s="37"/>
      <c r="B585" s="33"/>
      <c r="C585" s="139"/>
      <c r="D585" s="139"/>
      <c r="E585" s="3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8"/>
      <c r="AD585" s="18"/>
    </row>
    <row r="586">
      <c r="A586" s="37"/>
      <c r="B586" s="33"/>
      <c r="C586" s="139"/>
      <c r="D586" s="139"/>
      <c r="E586" s="3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8"/>
      <c r="AD586" s="18"/>
    </row>
    <row r="587">
      <c r="A587" s="37"/>
      <c r="B587" s="33"/>
      <c r="C587" s="139"/>
      <c r="D587" s="139"/>
      <c r="E587" s="3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8"/>
      <c r="AD587" s="18"/>
    </row>
    <row r="588">
      <c r="A588" s="37"/>
      <c r="B588" s="33"/>
      <c r="C588" s="139"/>
      <c r="D588" s="139"/>
      <c r="E588" s="3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8"/>
      <c r="AD588" s="18"/>
    </row>
    <row r="589">
      <c r="A589" s="37"/>
      <c r="B589" s="33"/>
      <c r="C589" s="139"/>
      <c r="D589" s="139"/>
      <c r="E589" s="3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8"/>
      <c r="AD589" s="18"/>
    </row>
    <row r="590">
      <c r="A590" s="37"/>
      <c r="B590" s="33"/>
      <c r="C590" s="139"/>
      <c r="D590" s="139"/>
      <c r="E590" s="3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8"/>
      <c r="AD590" s="18"/>
    </row>
    <row r="591">
      <c r="A591" s="37"/>
      <c r="B591" s="33"/>
      <c r="C591" s="139"/>
      <c r="D591" s="139"/>
      <c r="E591" s="3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8"/>
      <c r="AD591" s="18"/>
    </row>
    <row r="592">
      <c r="A592" s="37"/>
      <c r="B592" s="33"/>
      <c r="C592" s="139"/>
      <c r="D592" s="139"/>
      <c r="E592" s="3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8"/>
      <c r="AD592" s="18"/>
    </row>
    <row r="593">
      <c r="A593" s="37"/>
      <c r="B593" s="33"/>
      <c r="C593" s="139"/>
      <c r="D593" s="139"/>
      <c r="E593" s="3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8"/>
      <c r="AD593" s="18"/>
    </row>
    <row r="594">
      <c r="A594" s="37"/>
      <c r="B594" s="33"/>
      <c r="C594" s="139"/>
      <c r="D594" s="139"/>
      <c r="E594" s="3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8"/>
      <c r="AD594" s="18"/>
    </row>
    <row r="595">
      <c r="A595" s="37"/>
      <c r="B595" s="33"/>
      <c r="C595" s="139"/>
      <c r="D595" s="139"/>
      <c r="E595" s="3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8"/>
      <c r="AD595" s="18"/>
    </row>
    <row r="596">
      <c r="A596" s="37"/>
      <c r="B596" s="33"/>
      <c r="C596" s="139"/>
      <c r="D596" s="139"/>
      <c r="E596" s="3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8"/>
      <c r="AD596" s="18"/>
    </row>
    <row r="597">
      <c r="A597" s="37"/>
      <c r="B597" s="33"/>
      <c r="C597" s="139"/>
      <c r="D597" s="139"/>
      <c r="E597" s="3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8"/>
      <c r="AD597" s="18"/>
    </row>
    <row r="598">
      <c r="A598" s="37"/>
      <c r="B598" s="33"/>
      <c r="C598" s="139"/>
      <c r="D598" s="139"/>
      <c r="E598" s="3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8"/>
      <c r="AD598" s="18"/>
    </row>
    <row r="599">
      <c r="A599" s="37"/>
      <c r="B599" s="33"/>
      <c r="C599" s="139"/>
      <c r="D599" s="139"/>
      <c r="E599" s="3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8"/>
      <c r="AD599" s="18"/>
    </row>
    <row r="600">
      <c r="A600" s="37"/>
      <c r="B600" s="33"/>
      <c r="C600" s="139"/>
      <c r="D600" s="139"/>
      <c r="E600" s="3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8"/>
      <c r="AD600" s="18"/>
    </row>
    <row r="601">
      <c r="A601" s="37"/>
      <c r="B601" s="33"/>
      <c r="C601" s="139"/>
      <c r="D601" s="139"/>
      <c r="E601" s="3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8"/>
      <c r="AD601" s="18"/>
    </row>
    <row r="602">
      <c r="A602" s="37"/>
      <c r="B602" s="33"/>
      <c r="C602" s="139"/>
      <c r="D602" s="139"/>
      <c r="E602" s="3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8"/>
      <c r="AD602" s="18"/>
    </row>
    <row r="603">
      <c r="A603" s="37"/>
      <c r="B603" s="33"/>
      <c r="C603" s="139"/>
      <c r="D603" s="139"/>
      <c r="E603" s="3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8"/>
      <c r="AD603" s="18"/>
    </row>
    <row r="604">
      <c r="A604" s="37"/>
      <c r="B604" s="33"/>
      <c r="C604" s="139"/>
      <c r="D604" s="139"/>
      <c r="E604" s="3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8"/>
      <c r="AD604" s="18"/>
    </row>
    <row r="605">
      <c r="A605" s="37"/>
      <c r="B605" s="33"/>
      <c r="C605" s="139"/>
      <c r="D605" s="139"/>
      <c r="E605" s="3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8"/>
      <c r="AD605" s="18"/>
    </row>
    <row r="606">
      <c r="A606" s="37"/>
      <c r="B606" s="33"/>
      <c r="C606" s="139"/>
      <c r="D606" s="139"/>
      <c r="E606" s="3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8"/>
      <c r="AD606" s="18"/>
    </row>
    <row r="607">
      <c r="A607" s="37"/>
      <c r="B607" s="33"/>
      <c r="C607" s="139"/>
      <c r="D607" s="139"/>
      <c r="E607" s="3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8"/>
      <c r="AD607" s="18"/>
    </row>
    <row r="608">
      <c r="A608" s="37"/>
      <c r="B608" s="33"/>
      <c r="C608" s="139"/>
      <c r="D608" s="139"/>
      <c r="E608" s="3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8"/>
      <c r="AD608" s="18"/>
    </row>
    <row r="609">
      <c r="A609" s="37"/>
      <c r="B609" s="33"/>
      <c r="C609" s="139"/>
      <c r="D609" s="139"/>
      <c r="E609" s="3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8"/>
      <c r="AD609" s="18"/>
    </row>
    <row r="610">
      <c r="A610" s="37"/>
      <c r="B610" s="33"/>
      <c r="C610" s="139"/>
      <c r="D610" s="139"/>
      <c r="E610" s="3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8"/>
      <c r="AD610" s="18"/>
    </row>
    <row r="611">
      <c r="A611" s="37"/>
      <c r="B611" s="33"/>
      <c r="C611" s="139"/>
      <c r="D611" s="139"/>
      <c r="E611" s="3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8"/>
      <c r="AD611" s="18"/>
    </row>
    <row r="612">
      <c r="A612" s="37"/>
      <c r="B612" s="33"/>
      <c r="C612" s="139"/>
      <c r="D612" s="139"/>
      <c r="E612" s="3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8"/>
      <c r="AD612" s="18"/>
    </row>
    <row r="613">
      <c r="A613" s="37"/>
      <c r="B613" s="33"/>
      <c r="C613" s="139"/>
      <c r="D613" s="139"/>
      <c r="E613" s="3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8"/>
      <c r="AD613" s="18"/>
    </row>
    <row r="614">
      <c r="A614" s="37"/>
      <c r="B614" s="33"/>
      <c r="C614" s="139"/>
      <c r="D614" s="139"/>
      <c r="E614" s="3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8"/>
      <c r="AD614" s="18"/>
    </row>
    <row r="615">
      <c r="A615" s="37"/>
      <c r="B615" s="33"/>
      <c r="C615" s="139"/>
      <c r="D615" s="139"/>
      <c r="E615" s="3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8"/>
      <c r="AD615" s="18"/>
    </row>
    <row r="616">
      <c r="A616" s="37"/>
      <c r="B616" s="33"/>
      <c r="C616" s="139"/>
      <c r="D616" s="139"/>
      <c r="E616" s="3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8"/>
      <c r="AD616" s="18"/>
    </row>
    <row r="617">
      <c r="A617" s="37"/>
      <c r="B617" s="33"/>
      <c r="C617" s="139"/>
      <c r="D617" s="139"/>
      <c r="E617" s="3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8"/>
      <c r="AD617" s="18"/>
    </row>
    <row r="618">
      <c r="A618" s="37"/>
      <c r="B618" s="33"/>
      <c r="C618" s="139"/>
      <c r="D618" s="139"/>
      <c r="E618" s="3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8"/>
      <c r="AD618" s="18"/>
    </row>
    <row r="619">
      <c r="A619" s="37"/>
      <c r="B619" s="33"/>
      <c r="C619" s="139"/>
      <c r="D619" s="139"/>
      <c r="E619" s="3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8"/>
      <c r="AD619" s="18"/>
    </row>
    <row r="620">
      <c r="A620" s="37"/>
      <c r="B620" s="33"/>
      <c r="C620" s="139"/>
      <c r="D620" s="139"/>
      <c r="E620" s="3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8"/>
      <c r="AD620" s="18"/>
    </row>
    <row r="621">
      <c r="A621" s="37"/>
      <c r="B621" s="33"/>
      <c r="C621" s="139"/>
      <c r="D621" s="139"/>
      <c r="E621" s="3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8"/>
      <c r="AD621" s="18"/>
    </row>
    <row r="622">
      <c r="A622" s="37"/>
      <c r="B622" s="33"/>
      <c r="C622" s="139"/>
      <c r="D622" s="139"/>
      <c r="E622" s="3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8"/>
      <c r="AD622" s="18"/>
    </row>
    <row r="623">
      <c r="A623" s="37"/>
      <c r="B623" s="33"/>
      <c r="C623" s="139"/>
      <c r="D623" s="139"/>
      <c r="E623" s="3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8"/>
      <c r="AD623" s="18"/>
    </row>
    <row r="624">
      <c r="A624" s="37"/>
      <c r="B624" s="33"/>
      <c r="C624" s="139"/>
      <c r="D624" s="139"/>
      <c r="E624" s="3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8"/>
      <c r="AD624" s="18"/>
    </row>
    <row r="625">
      <c r="A625" s="37"/>
      <c r="B625" s="33"/>
      <c r="C625" s="139"/>
      <c r="D625" s="139"/>
      <c r="E625" s="3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8"/>
      <c r="AD625" s="18"/>
    </row>
    <row r="626">
      <c r="A626" s="37"/>
      <c r="B626" s="33"/>
      <c r="C626" s="139"/>
      <c r="D626" s="139"/>
      <c r="E626" s="3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8"/>
      <c r="AD626" s="18"/>
    </row>
    <row r="627">
      <c r="A627" s="37"/>
      <c r="B627" s="33"/>
      <c r="C627" s="139"/>
      <c r="D627" s="139"/>
      <c r="E627" s="3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8"/>
      <c r="AD627" s="18"/>
    </row>
    <row r="628">
      <c r="A628" s="37"/>
      <c r="B628" s="33"/>
      <c r="C628" s="139"/>
      <c r="D628" s="139"/>
      <c r="E628" s="3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8"/>
      <c r="AD628" s="18"/>
    </row>
    <row r="629">
      <c r="A629" s="37"/>
      <c r="B629" s="33"/>
      <c r="C629" s="139"/>
      <c r="D629" s="139"/>
      <c r="E629" s="3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8"/>
      <c r="AD629" s="18"/>
    </row>
    <row r="630">
      <c r="A630" s="37"/>
      <c r="B630" s="33"/>
      <c r="C630" s="139"/>
      <c r="D630" s="139"/>
      <c r="E630" s="3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8"/>
      <c r="AD630" s="18"/>
    </row>
    <row r="631">
      <c r="A631" s="37"/>
      <c r="B631" s="33"/>
      <c r="C631" s="139"/>
      <c r="D631" s="139"/>
      <c r="E631" s="3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8"/>
      <c r="AD631" s="18"/>
    </row>
    <row r="632">
      <c r="A632" s="37"/>
      <c r="B632" s="33"/>
      <c r="C632" s="139"/>
      <c r="D632" s="139"/>
      <c r="E632" s="3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8"/>
      <c r="AD632" s="18"/>
    </row>
    <row r="633">
      <c r="A633" s="37"/>
      <c r="B633" s="33"/>
      <c r="C633" s="139"/>
      <c r="D633" s="139"/>
      <c r="E633" s="3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8"/>
      <c r="AD633" s="18"/>
    </row>
    <row r="634">
      <c r="A634" s="37"/>
      <c r="B634" s="33"/>
      <c r="C634" s="139"/>
      <c r="D634" s="139"/>
      <c r="E634" s="3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8"/>
      <c r="AD634" s="18"/>
    </row>
    <row r="635">
      <c r="A635" s="37"/>
      <c r="B635" s="33"/>
      <c r="C635" s="139"/>
      <c r="D635" s="139"/>
      <c r="E635" s="3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8"/>
      <c r="AD635" s="18"/>
    </row>
    <row r="636">
      <c r="A636" s="37"/>
      <c r="B636" s="33"/>
      <c r="C636" s="139"/>
      <c r="D636" s="139"/>
      <c r="E636" s="3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8"/>
      <c r="AD636" s="18"/>
    </row>
    <row r="637">
      <c r="A637" s="37"/>
      <c r="B637" s="33"/>
      <c r="C637" s="139"/>
      <c r="D637" s="139"/>
      <c r="E637" s="3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8"/>
      <c r="AD637" s="18"/>
    </row>
    <row r="638">
      <c r="A638" s="37"/>
      <c r="B638" s="33"/>
      <c r="C638" s="139"/>
      <c r="D638" s="139"/>
      <c r="E638" s="3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8"/>
      <c r="AD638" s="18"/>
    </row>
    <row r="639">
      <c r="A639" s="37"/>
      <c r="B639" s="33"/>
      <c r="C639" s="139"/>
      <c r="D639" s="139"/>
      <c r="E639" s="3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8"/>
      <c r="AD639" s="18"/>
    </row>
    <row r="640">
      <c r="A640" s="37"/>
      <c r="B640" s="33"/>
      <c r="C640" s="139"/>
      <c r="D640" s="139"/>
      <c r="E640" s="3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8"/>
      <c r="AD640" s="18"/>
    </row>
    <row r="641">
      <c r="A641" s="37"/>
      <c r="B641" s="33"/>
      <c r="C641" s="139"/>
      <c r="D641" s="139"/>
      <c r="E641" s="3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8"/>
      <c r="AD641" s="18"/>
    </row>
    <row r="642">
      <c r="A642" s="37"/>
      <c r="B642" s="33"/>
      <c r="C642" s="139"/>
      <c r="D642" s="139"/>
      <c r="E642" s="3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8"/>
      <c r="AD642" s="18"/>
    </row>
    <row r="643">
      <c r="A643" s="37"/>
      <c r="B643" s="33"/>
      <c r="C643" s="139"/>
      <c r="D643" s="139"/>
      <c r="E643" s="3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8"/>
      <c r="AD643" s="18"/>
    </row>
    <row r="644">
      <c r="A644" s="37"/>
      <c r="B644" s="33"/>
      <c r="C644" s="139"/>
      <c r="D644" s="139"/>
      <c r="E644" s="3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8"/>
      <c r="AD644" s="18"/>
    </row>
    <row r="645">
      <c r="A645" s="37"/>
      <c r="B645" s="33"/>
      <c r="C645" s="139"/>
      <c r="D645" s="139"/>
      <c r="E645" s="3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8"/>
      <c r="AD645" s="18"/>
    </row>
    <row r="646">
      <c r="A646" s="37"/>
      <c r="B646" s="33"/>
      <c r="C646" s="139"/>
      <c r="D646" s="139"/>
      <c r="E646" s="3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8"/>
      <c r="AD646" s="18"/>
    </row>
    <row r="647">
      <c r="A647" s="37"/>
      <c r="B647" s="33"/>
      <c r="C647" s="139"/>
      <c r="D647" s="139"/>
      <c r="E647" s="3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8"/>
      <c r="AD647" s="18"/>
    </row>
    <row r="648">
      <c r="A648" s="37"/>
      <c r="B648" s="33"/>
      <c r="C648" s="139"/>
      <c r="D648" s="139"/>
      <c r="E648" s="3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8"/>
      <c r="AD648" s="18"/>
    </row>
    <row r="649">
      <c r="A649" s="37"/>
      <c r="B649" s="33"/>
      <c r="C649" s="139"/>
      <c r="D649" s="139"/>
      <c r="E649" s="3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8"/>
      <c r="AD649" s="18"/>
    </row>
    <row r="650">
      <c r="A650" s="37"/>
      <c r="B650" s="33"/>
      <c r="C650" s="139"/>
      <c r="D650" s="139"/>
      <c r="E650" s="3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8"/>
      <c r="AD650" s="18"/>
    </row>
    <row r="651">
      <c r="A651" s="37"/>
      <c r="B651" s="33"/>
      <c r="C651" s="139"/>
      <c r="D651" s="139"/>
      <c r="E651" s="3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8"/>
      <c r="AD651" s="18"/>
    </row>
    <row r="652">
      <c r="A652" s="37"/>
      <c r="B652" s="33"/>
      <c r="C652" s="139"/>
      <c r="D652" s="139"/>
      <c r="E652" s="3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8"/>
      <c r="AD652" s="18"/>
    </row>
    <row r="653">
      <c r="A653" s="37"/>
      <c r="B653" s="33"/>
      <c r="C653" s="139"/>
      <c r="D653" s="139"/>
      <c r="E653" s="3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8"/>
      <c r="AD653" s="18"/>
    </row>
    <row r="654">
      <c r="A654" s="37"/>
      <c r="B654" s="33"/>
      <c r="C654" s="139"/>
      <c r="D654" s="139"/>
      <c r="E654" s="3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8"/>
      <c r="AD654" s="18"/>
    </row>
    <row r="655">
      <c r="A655" s="37"/>
      <c r="B655" s="33"/>
      <c r="C655" s="139"/>
      <c r="D655" s="139"/>
      <c r="E655" s="3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8"/>
      <c r="AD655" s="18"/>
    </row>
    <row r="656">
      <c r="A656" s="37"/>
      <c r="B656" s="33"/>
      <c r="C656" s="139"/>
      <c r="D656" s="139"/>
      <c r="E656" s="3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8"/>
      <c r="AD656" s="18"/>
    </row>
    <row r="657">
      <c r="A657" s="37"/>
      <c r="B657" s="33"/>
      <c r="C657" s="139"/>
      <c r="D657" s="139"/>
      <c r="E657" s="3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8"/>
      <c r="AD657" s="18"/>
    </row>
    <row r="658">
      <c r="A658" s="37"/>
      <c r="B658" s="33"/>
      <c r="C658" s="139"/>
      <c r="D658" s="139"/>
      <c r="E658" s="3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8"/>
      <c r="AD658" s="18"/>
    </row>
    <row r="659">
      <c r="A659" s="37"/>
      <c r="B659" s="33"/>
      <c r="C659" s="139"/>
      <c r="D659" s="139"/>
      <c r="E659" s="3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8"/>
      <c r="AD659" s="18"/>
    </row>
    <row r="660">
      <c r="A660" s="37"/>
      <c r="B660" s="33"/>
      <c r="C660" s="139"/>
      <c r="D660" s="139"/>
      <c r="E660" s="3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8"/>
      <c r="AD660" s="18"/>
    </row>
    <row r="661">
      <c r="A661" s="37"/>
      <c r="B661" s="33"/>
      <c r="C661" s="139"/>
      <c r="D661" s="139"/>
      <c r="E661" s="3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8"/>
      <c r="AD661" s="18"/>
    </row>
    <row r="662">
      <c r="A662" s="37"/>
      <c r="B662" s="33"/>
      <c r="C662" s="139"/>
      <c r="D662" s="139"/>
      <c r="E662" s="3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8"/>
      <c r="AD662" s="18"/>
    </row>
    <row r="663">
      <c r="A663" s="37"/>
      <c r="B663" s="33"/>
      <c r="C663" s="139"/>
      <c r="D663" s="139"/>
      <c r="E663" s="3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8"/>
      <c r="AD663" s="18"/>
    </row>
    <row r="664">
      <c r="A664" s="37"/>
      <c r="B664" s="33"/>
      <c r="C664" s="139"/>
      <c r="D664" s="139"/>
      <c r="E664" s="3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8"/>
      <c r="AD664" s="18"/>
    </row>
    <row r="665">
      <c r="A665" s="37"/>
      <c r="B665" s="33"/>
      <c r="C665" s="139"/>
      <c r="D665" s="139"/>
      <c r="E665" s="3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8"/>
      <c r="AD665" s="18"/>
    </row>
    <row r="666">
      <c r="A666" s="37"/>
      <c r="B666" s="33"/>
      <c r="C666" s="139"/>
      <c r="D666" s="139"/>
      <c r="E666" s="3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8"/>
      <c r="AD666" s="18"/>
    </row>
    <row r="667">
      <c r="A667" s="37"/>
      <c r="B667" s="33"/>
      <c r="C667" s="139"/>
      <c r="D667" s="139"/>
      <c r="E667" s="3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8"/>
      <c r="AD667" s="18"/>
    </row>
    <row r="668">
      <c r="A668" s="37"/>
      <c r="B668" s="33"/>
      <c r="C668" s="139"/>
      <c r="D668" s="139"/>
      <c r="E668" s="3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8"/>
      <c r="AD668" s="18"/>
    </row>
    <row r="669">
      <c r="A669" s="37"/>
      <c r="B669" s="33"/>
      <c r="C669" s="139"/>
      <c r="D669" s="139"/>
      <c r="E669" s="3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8"/>
      <c r="AD669" s="18"/>
    </row>
    <row r="670">
      <c r="A670" s="37"/>
      <c r="B670" s="33"/>
      <c r="C670" s="139"/>
      <c r="D670" s="139"/>
      <c r="E670" s="3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8"/>
      <c r="AD670" s="18"/>
    </row>
    <row r="671">
      <c r="A671" s="37"/>
      <c r="B671" s="33"/>
      <c r="C671" s="139"/>
      <c r="D671" s="139"/>
      <c r="E671" s="3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8"/>
      <c r="AD671" s="18"/>
    </row>
    <row r="672">
      <c r="A672" s="37"/>
      <c r="B672" s="33"/>
      <c r="C672" s="139"/>
      <c r="D672" s="139"/>
      <c r="E672" s="3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8"/>
      <c r="AD672" s="18"/>
    </row>
    <row r="673">
      <c r="A673" s="37"/>
      <c r="B673" s="33"/>
      <c r="C673" s="139"/>
      <c r="D673" s="139"/>
      <c r="E673" s="3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8"/>
      <c r="AD673" s="18"/>
    </row>
    <row r="674">
      <c r="A674" s="37"/>
      <c r="B674" s="33"/>
      <c r="C674" s="139"/>
      <c r="D674" s="139"/>
      <c r="E674" s="3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8"/>
      <c r="AD674" s="18"/>
    </row>
    <row r="675">
      <c r="A675" s="37"/>
      <c r="B675" s="33"/>
      <c r="C675" s="139"/>
      <c r="D675" s="139"/>
      <c r="E675" s="3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8"/>
      <c r="AD675" s="18"/>
    </row>
    <row r="676">
      <c r="A676" s="37"/>
      <c r="B676" s="33"/>
      <c r="C676" s="139"/>
      <c r="D676" s="139"/>
      <c r="E676" s="3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8"/>
      <c r="AD676" s="18"/>
    </row>
    <row r="677">
      <c r="A677" s="37"/>
      <c r="B677" s="33"/>
      <c r="C677" s="139"/>
      <c r="D677" s="139"/>
      <c r="E677" s="3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8"/>
      <c r="AD677" s="18"/>
    </row>
    <row r="678">
      <c r="A678" s="37"/>
      <c r="B678" s="33"/>
      <c r="C678" s="139"/>
      <c r="D678" s="139"/>
      <c r="E678" s="3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8"/>
      <c r="AD678" s="18"/>
    </row>
    <row r="679">
      <c r="A679" s="37"/>
      <c r="B679" s="33"/>
      <c r="C679" s="139"/>
      <c r="D679" s="139"/>
      <c r="E679" s="3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8"/>
      <c r="AD679" s="18"/>
    </row>
    <row r="680">
      <c r="A680" s="37"/>
      <c r="B680" s="33"/>
      <c r="C680" s="139"/>
      <c r="D680" s="139"/>
      <c r="E680" s="3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8"/>
      <c r="AD680" s="18"/>
    </row>
    <row r="681">
      <c r="A681" s="37"/>
      <c r="B681" s="33"/>
      <c r="C681" s="139"/>
      <c r="D681" s="139"/>
      <c r="E681" s="3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8"/>
      <c r="AD681" s="18"/>
    </row>
    <row r="682">
      <c r="A682" s="37"/>
      <c r="B682" s="33"/>
      <c r="C682" s="139"/>
      <c r="D682" s="139"/>
      <c r="E682" s="3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8"/>
      <c r="AD682" s="18"/>
    </row>
    <row r="683">
      <c r="A683" s="37"/>
      <c r="B683" s="33"/>
      <c r="C683" s="139"/>
      <c r="D683" s="139"/>
      <c r="E683" s="3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8"/>
      <c r="AD683" s="18"/>
    </row>
    <row r="684">
      <c r="A684" s="37"/>
      <c r="B684" s="33"/>
      <c r="C684" s="139"/>
      <c r="D684" s="139"/>
      <c r="E684" s="3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8"/>
      <c r="AD684" s="18"/>
    </row>
    <row r="685">
      <c r="A685" s="37"/>
      <c r="B685" s="33"/>
      <c r="C685" s="139"/>
      <c r="D685" s="139"/>
      <c r="E685" s="3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8"/>
      <c r="AD685" s="18"/>
    </row>
    <row r="686">
      <c r="A686" s="37"/>
      <c r="B686" s="33"/>
      <c r="C686" s="139"/>
      <c r="D686" s="139"/>
      <c r="E686" s="3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8"/>
      <c r="AD686" s="18"/>
    </row>
    <row r="687">
      <c r="A687" s="37"/>
      <c r="B687" s="33"/>
      <c r="C687" s="139"/>
      <c r="D687" s="139"/>
      <c r="E687" s="3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8"/>
      <c r="AD687" s="18"/>
    </row>
    <row r="688">
      <c r="A688" s="37"/>
      <c r="B688" s="33"/>
      <c r="C688" s="139"/>
      <c r="D688" s="139"/>
      <c r="E688" s="3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8"/>
      <c r="AD688" s="18"/>
    </row>
    <row r="689">
      <c r="A689" s="37"/>
      <c r="B689" s="33"/>
      <c r="C689" s="139"/>
      <c r="D689" s="139"/>
      <c r="E689" s="3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8"/>
      <c r="AD689" s="18"/>
    </row>
    <row r="690">
      <c r="A690" s="37"/>
      <c r="B690" s="33"/>
      <c r="C690" s="139"/>
      <c r="D690" s="139"/>
      <c r="E690" s="3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8"/>
      <c r="AD690" s="18"/>
    </row>
    <row r="691">
      <c r="A691" s="37"/>
      <c r="B691" s="33"/>
      <c r="C691" s="139"/>
      <c r="D691" s="139"/>
      <c r="E691" s="3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8"/>
      <c r="AD691" s="18"/>
    </row>
    <row r="692">
      <c r="A692" s="37"/>
      <c r="B692" s="33"/>
      <c r="C692" s="139"/>
      <c r="D692" s="139"/>
      <c r="E692" s="3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8"/>
      <c r="AD692" s="18"/>
    </row>
    <row r="693">
      <c r="A693" s="37"/>
      <c r="B693" s="33"/>
      <c r="C693" s="139"/>
      <c r="D693" s="139"/>
      <c r="E693" s="3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8"/>
      <c r="AD693" s="18"/>
    </row>
    <row r="694">
      <c r="A694" s="37"/>
      <c r="B694" s="33"/>
      <c r="C694" s="139"/>
      <c r="D694" s="139"/>
      <c r="E694" s="3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8"/>
      <c r="AD694" s="18"/>
    </row>
    <row r="695">
      <c r="A695" s="37"/>
      <c r="B695" s="33"/>
      <c r="C695" s="139"/>
      <c r="D695" s="139"/>
      <c r="E695" s="3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8"/>
      <c r="AD695" s="18"/>
    </row>
    <row r="696">
      <c r="A696" s="37"/>
      <c r="B696" s="33"/>
      <c r="C696" s="139"/>
      <c r="D696" s="139"/>
      <c r="E696" s="3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8"/>
      <c r="AD696" s="18"/>
    </row>
    <row r="697">
      <c r="A697" s="37"/>
      <c r="B697" s="33"/>
      <c r="C697" s="139"/>
      <c r="D697" s="139"/>
      <c r="E697" s="3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8"/>
      <c r="AD697" s="18"/>
    </row>
    <row r="698">
      <c r="A698" s="37"/>
      <c r="B698" s="33"/>
      <c r="C698" s="139"/>
      <c r="D698" s="139"/>
      <c r="E698" s="3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8"/>
      <c r="AD698" s="18"/>
    </row>
    <row r="699">
      <c r="A699" s="37"/>
      <c r="B699" s="33"/>
      <c r="C699" s="139"/>
      <c r="D699" s="139"/>
      <c r="E699" s="3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8"/>
      <c r="AD699" s="18"/>
    </row>
    <row r="700">
      <c r="A700" s="37"/>
      <c r="B700" s="33"/>
      <c r="C700" s="139"/>
      <c r="D700" s="139"/>
      <c r="E700" s="3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8"/>
      <c r="AD700" s="18"/>
    </row>
    <row r="701">
      <c r="A701" s="37"/>
      <c r="B701" s="33"/>
      <c r="C701" s="139"/>
      <c r="D701" s="139"/>
      <c r="E701" s="3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8"/>
      <c r="AD701" s="18"/>
    </row>
    <row r="702">
      <c r="A702" s="37"/>
      <c r="B702" s="33"/>
      <c r="C702" s="139"/>
      <c r="D702" s="139"/>
      <c r="E702" s="3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8"/>
      <c r="AD702" s="18"/>
    </row>
    <row r="703">
      <c r="A703" s="37"/>
      <c r="B703" s="33"/>
      <c r="C703" s="139"/>
      <c r="D703" s="139"/>
      <c r="E703" s="3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8"/>
      <c r="AD703" s="18"/>
    </row>
    <row r="704">
      <c r="A704" s="37"/>
      <c r="B704" s="33"/>
      <c r="C704" s="139"/>
      <c r="D704" s="139"/>
      <c r="E704" s="3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8"/>
      <c r="AD704" s="18"/>
    </row>
    <row r="705">
      <c r="A705" s="37"/>
      <c r="B705" s="33"/>
      <c r="C705" s="139"/>
      <c r="D705" s="139"/>
      <c r="E705" s="3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8"/>
      <c r="AD705" s="18"/>
    </row>
    <row r="706">
      <c r="A706" s="37"/>
      <c r="B706" s="33"/>
      <c r="C706" s="139"/>
      <c r="D706" s="139"/>
      <c r="E706" s="3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8"/>
      <c r="AD706" s="18"/>
    </row>
    <row r="707">
      <c r="A707" s="37"/>
      <c r="B707" s="33"/>
      <c r="C707" s="139"/>
      <c r="D707" s="139"/>
      <c r="E707" s="3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8"/>
      <c r="AD707" s="18"/>
    </row>
    <row r="708">
      <c r="A708" s="37"/>
      <c r="B708" s="33"/>
      <c r="C708" s="139"/>
      <c r="D708" s="139"/>
      <c r="E708" s="3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8"/>
      <c r="AD708" s="18"/>
    </row>
    <row r="709">
      <c r="A709" s="37"/>
      <c r="B709" s="33"/>
      <c r="C709" s="139"/>
      <c r="D709" s="139"/>
      <c r="E709" s="3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8"/>
      <c r="AD709" s="18"/>
    </row>
    <row r="710">
      <c r="A710" s="37"/>
      <c r="B710" s="33"/>
      <c r="C710" s="139"/>
      <c r="D710" s="139"/>
      <c r="E710" s="3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8"/>
      <c r="AD710" s="18"/>
    </row>
    <row r="711">
      <c r="A711" s="37"/>
      <c r="B711" s="33"/>
      <c r="C711" s="139"/>
      <c r="D711" s="139"/>
      <c r="E711" s="3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8"/>
      <c r="AD711" s="18"/>
    </row>
    <row r="712">
      <c r="A712" s="37"/>
      <c r="B712" s="33"/>
      <c r="C712" s="139"/>
      <c r="D712" s="139"/>
      <c r="E712" s="3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8"/>
      <c r="AD712" s="18"/>
    </row>
    <row r="713">
      <c r="A713" s="37"/>
      <c r="B713" s="33"/>
      <c r="C713" s="139"/>
      <c r="D713" s="139"/>
      <c r="E713" s="3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8"/>
      <c r="AD713" s="18"/>
    </row>
    <row r="714">
      <c r="A714" s="37"/>
      <c r="B714" s="33"/>
      <c r="C714" s="139"/>
      <c r="D714" s="139"/>
      <c r="E714" s="3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8"/>
      <c r="AD714" s="18"/>
    </row>
    <row r="715">
      <c r="A715" s="37"/>
      <c r="B715" s="33"/>
      <c r="C715" s="139"/>
      <c r="D715" s="139"/>
      <c r="E715" s="3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8"/>
      <c r="AD715" s="18"/>
    </row>
    <row r="716">
      <c r="A716" s="37"/>
      <c r="B716" s="33"/>
      <c r="C716" s="139"/>
      <c r="D716" s="139"/>
      <c r="E716" s="3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8"/>
      <c r="AD716" s="18"/>
    </row>
    <row r="717">
      <c r="A717" s="37"/>
      <c r="B717" s="33"/>
      <c r="C717" s="139"/>
      <c r="D717" s="139"/>
      <c r="E717" s="3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8"/>
      <c r="AD717" s="18"/>
    </row>
    <row r="718">
      <c r="A718" s="37"/>
      <c r="B718" s="33"/>
      <c r="C718" s="139"/>
      <c r="D718" s="139"/>
      <c r="E718" s="3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8"/>
      <c r="AD718" s="18"/>
    </row>
    <row r="719">
      <c r="A719" s="37"/>
      <c r="B719" s="33"/>
      <c r="C719" s="139"/>
      <c r="D719" s="139"/>
      <c r="E719" s="3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8"/>
      <c r="AD719" s="18"/>
    </row>
    <row r="720">
      <c r="A720" s="37"/>
      <c r="B720" s="33"/>
      <c r="C720" s="139"/>
      <c r="D720" s="139"/>
      <c r="E720" s="3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8"/>
      <c r="AD720" s="18"/>
    </row>
    <row r="721">
      <c r="A721" s="37"/>
      <c r="B721" s="33"/>
      <c r="C721" s="139"/>
      <c r="D721" s="139"/>
      <c r="E721" s="3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8"/>
      <c r="AD721" s="18"/>
    </row>
    <row r="722">
      <c r="A722" s="37"/>
      <c r="B722" s="33"/>
      <c r="C722" s="139"/>
      <c r="D722" s="139"/>
      <c r="E722" s="3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8"/>
      <c r="AD722" s="18"/>
    </row>
    <row r="723">
      <c r="A723" s="37"/>
      <c r="B723" s="33"/>
      <c r="C723" s="139"/>
      <c r="D723" s="139"/>
      <c r="E723" s="3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8"/>
      <c r="AD723" s="18"/>
    </row>
    <row r="724">
      <c r="A724" s="37"/>
      <c r="B724" s="33"/>
      <c r="C724" s="139"/>
      <c r="D724" s="139"/>
      <c r="E724" s="3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8"/>
      <c r="AD724" s="18"/>
    </row>
    <row r="725">
      <c r="A725" s="37"/>
      <c r="B725" s="33"/>
      <c r="C725" s="139"/>
      <c r="D725" s="139"/>
      <c r="E725" s="3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8"/>
      <c r="AD725" s="18"/>
    </row>
    <row r="726">
      <c r="A726" s="37"/>
      <c r="B726" s="33"/>
      <c r="C726" s="139"/>
      <c r="D726" s="139"/>
      <c r="E726" s="3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8"/>
      <c r="AD726" s="18"/>
    </row>
    <row r="727">
      <c r="A727" s="37"/>
      <c r="B727" s="33"/>
      <c r="C727" s="139"/>
      <c r="D727" s="139"/>
      <c r="E727" s="3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8"/>
      <c r="AD727" s="18"/>
    </row>
    <row r="728">
      <c r="A728" s="37"/>
      <c r="B728" s="33"/>
      <c r="C728" s="139"/>
      <c r="D728" s="139"/>
      <c r="E728" s="3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8"/>
      <c r="AD728" s="18"/>
    </row>
    <row r="729">
      <c r="A729" s="37"/>
      <c r="B729" s="33"/>
      <c r="C729" s="139"/>
      <c r="D729" s="139"/>
      <c r="E729" s="3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8"/>
      <c r="AD729" s="18"/>
    </row>
    <row r="730">
      <c r="A730" s="37"/>
      <c r="B730" s="33"/>
      <c r="C730" s="139"/>
      <c r="D730" s="139"/>
      <c r="E730" s="3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8"/>
      <c r="AD730" s="18"/>
    </row>
    <row r="731">
      <c r="A731" s="37"/>
      <c r="B731" s="33"/>
      <c r="C731" s="139"/>
      <c r="D731" s="139"/>
      <c r="E731" s="3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8"/>
      <c r="AD731" s="18"/>
    </row>
    <row r="732">
      <c r="A732" s="37"/>
      <c r="B732" s="33"/>
      <c r="C732" s="139"/>
      <c r="D732" s="139"/>
      <c r="E732" s="3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8"/>
      <c r="AD732" s="18"/>
    </row>
    <row r="733">
      <c r="A733" s="37"/>
      <c r="B733" s="33"/>
      <c r="C733" s="139"/>
      <c r="D733" s="139"/>
      <c r="E733" s="3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8"/>
      <c r="AD733" s="18"/>
    </row>
    <row r="734">
      <c r="A734" s="37"/>
      <c r="B734" s="33"/>
      <c r="C734" s="139"/>
      <c r="D734" s="139"/>
      <c r="E734" s="3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8"/>
      <c r="AD734" s="18"/>
    </row>
    <row r="735">
      <c r="A735" s="37"/>
      <c r="B735" s="33"/>
      <c r="C735" s="139"/>
      <c r="D735" s="139"/>
      <c r="E735" s="3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8"/>
      <c r="AD735" s="18"/>
    </row>
    <row r="736">
      <c r="A736" s="37"/>
      <c r="B736" s="33"/>
      <c r="C736" s="139"/>
      <c r="D736" s="139"/>
      <c r="E736" s="3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8"/>
      <c r="AD736" s="18"/>
    </row>
    <row r="737">
      <c r="A737" s="37"/>
      <c r="B737" s="33"/>
      <c r="C737" s="139"/>
      <c r="D737" s="139"/>
      <c r="E737" s="3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8"/>
      <c r="AD737" s="18"/>
    </row>
    <row r="738">
      <c r="A738" s="37"/>
      <c r="B738" s="33"/>
      <c r="C738" s="139"/>
      <c r="D738" s="139"/>
      <c r="E738" s="3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8"/>
      <c r="AD738" s="18"/>
    </row>
    <row r="739">
      <c r="A739" s="37"/>
      <c r="B739" s="33"/>
      <c r="C739" s="139"/>
      <c r="D739" s="139"/>
      <c r="E739" s="3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8"/>
      <c r="AD739" s="18"/>
    </row>
    <row r="740">
      <c r="A740" s="37"/>
      <c r="B740" s="33"/>
      <c r="C740" s="139"/>
      <c r="D740" s="139"/>
      <c r="E740" s="3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8"/>
      <c r="AD740" s="18"/>
    </row>
    <row r="741">
      <c r="A741" s="37"/>
      <c r="B741" s="33"/>
      <c r="C741" s="139"/>
      <c r="D741" s="139"/>
      <c r="E741" s="3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8"/>
      <c r="AD741" s="18"/>
    </row>
    <row r="742">
      <c r="A742" s="37"/>
      <c r="B742" s="33"/>
      <c r="C742" s="139"/>
      <c r="D742" s="139"/>
      <c r="E742" s="3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8"/>
      <c r="AD742" s="18"/>
    </row>
    <row r="743">
      <c r="A743" s="37"/>
      <c r="B743" s="33"/>
      <c r="C743" s="139"/>
      <c r="D743" s="139"/>
      <c r="E743" s="3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8"/>
      <c r="AD743" s="18"/>
    </row>
    <row r="744">
      <c r="A744" s="37"/>
      <c r="B744" s="33"/>
      <c r="C744" s="139"/>
      <c r="D744" s="139"/>
      <c r="E744" s="3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8"/>
      <c r="AD744" s="18"/>
    </row>
    <row r="745">
      <c r="A745" s="37"/>
      <c r="B745" s="33"/>
      <c r="C745" s="139"/>
      <c r="D745" s="139"/>
      <c r="E745" s="3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8"/>
      <c r="AD745" s="18"/>
    </row>
    <row r="746">
      <c r="A746" s="37"/>
      <c r="B746" s="33"/>
      <c r="C746" s="139"/>
      <c r="D746" s="139"/>
      <c r="E746" s="3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8"/>
      <c r="AD746" s="18"/>
    </row>
    <row r="747">
      <c r="A747" s="37"/>
      <c r="B747" s="33"/>
      <c r="C747" s="139"/>
      <c r="D747" s="139"/>
      <c r="E747" s="3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8"/>
      <c r="AD747" s="18"/>
    </row>
    <row r="748">
      <c r="A748" s="37"/>
      <c r="B748" s="33"/>
      <c r="C748" s="139"/>
      <c r="D748" s="139"/>
      <c r="E748" s="3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8"/>
      <c r="AD748" s="18"/>
    </row>
    <row r="749">
      <c r="A749" s="37"/>
      <c r="B749" s="33"/>
      <c r="C749" s="139"/>
      <c r="D749" s="139"/>
      <c r="E749" s="3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8"/>
      <c r="AD749" s="18"/>
    </row>
    <row r="750">
      <c r="A750" s="37"/>
      <c r="B750" s="33"/>
      <c r="C750" s="139"/>
      <c r="D750" s="139"/>
      <c r="E750" s="3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8"/>
      <c r="AD750" s="18"/>
    </row>
    <row r="751">
      <c r="A751" s="37"/>
      <c r="B751" s="33"/>
      <c r="C751" s="139"/>
      <c r="D751" s="139"/>
      <c r="E751" s="3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8"/>
      <c r="AD751" s="18"/>
    </row>
    <row r="752">
      <c r="A752" s="37"/>
      <c r="B752" s="33"/>
      <c r="C752" s="139"/>
      <c r="D752" s="139"/>
      <c r="E752" s="3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8"/>
      <c r="AD752" s="18"/>
    </row>
    <row r="753">
      <c r="A753" s="37"/>
      <c r="B753" s="33"/>
      <c r="C753" s="139"/>
      <c r="D753" s="139"/>
      <c r="E753" s="3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8"/>
      <c r="AD753" s="18"/>
    </row>
    <row r="754">
      <c r="A754" s="37"/>
      <c r="B754" s="33"/>
      <c r="C754" s="139"/>
      <c r="D754" s="139"/>
      <c r="E754" s="3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8"/>
      <c r="AD754" s="18"/>
    </row>
    <row r="755">
      <c r="A755" s="37"/>
      <c r="B755" s="33"/>
      <c r="C755" s="139"/>
      <c r="D755" s="139"/>
      <c r="E755" s="3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8"/>
      <c r="AD755" s="18"/>
    </row>
    <row r="756">
      <c r="A756" s="37"/>
      <c r="B756" s="33"/>
      <c r="C756" s="139"/>
      <c r="D756" s="139"/>
      <c r="E756" s="3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8"/>
      <c r="AD756" s="18"/>
    </row>
    <row r="757">
      <c r="A757" s="37"/>
      <c r="B757" s="33"/>
      <c r="C757" s="139"/>
      <c r="D757" s="139"/>
      <c r="E757" s="3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8"/>
      <c r="AD757" s="18"/>
    </row>
    <row r="758">
      <c r="A758" s="37"/>
      <c r="B758" s="33"/>
      <c r="C758" s="139"/>
      <c r="D758" s="139"/>
      <c r="E758" s="3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8"/>
      <c r="AD758" s="18"/>
    </row>
    <row r="759">
      <c r="A759" s="37"/>
      <c r="B759" s="33"/>
      <c r="C759" s="139"/>
      <c r="D759" s="139"/>
      <c r="E759" s="3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8"/>
      <c r="AD759" s="18"/>
    </row>
    <row r="760">
      <c r="A760" s="37"/>
      <c r="B760" s="33"/>
      <c r="C760" s="139"/>
      <c r="D760" s="139"/>
      <c r="E760" s="3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8"/>
      <c r="AD760" s="18"/>
    </row>
    <row r="761">
      <c r="A761" s="37"/>
      <c r="B761" s="33"/>
      <c r="C761" s="139"/>
      <c r="D761" s="139"/>
      <c r="E761" s="3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8"/>
      <c r="AD761" s="18"/>
    </row>
    <row r="762">
      <c r="A762" s="37"/>
      <c r="B762" s="33"/>
      <c r="C762" s="139"/>
      <c r="D762" s="139"/>
      <c r="E762" s="3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8"/>
      <c r="AD762" s="18"/>
    </row>
    <row r="763">
      <c r="A763" s="37"/>
      <c r="B763" s="33"/>
      <c r="C763" s="139"/>
      <c r="D763" s="139"/>
      <c r="E763" s="3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8"/>
      <c r="AD763" s="18"/>
    </row>
    <row r="764">
      <c r="A764" s="37"/>
      <c r="B764" s="33"/>
      <c r="C764" s="139"/>
      <c r="D764" s="139"/>
      <c r="E764" s="3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8"/>
      <c r="AD764" s="18"/>
    </row>
    <row r="765">
      <c r="A765" s="37"/>
      <c r="B765" s="33"/>
      <c r="C765" s="139"/>
      <c r="D765" s="139"/>
      <c r="E765" s="3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8"/>
      <c r="AD765" s="18"/>
    </row>
    <row r="766">
      <c r="A766" s="37"/>
      <c r="B766" s="33"/>
      <c r="C766" s="139"/>
      <c r="D766" s="139"/>
      <c r="E766" s="3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8"/>
      <c r="AD766" s="18"/>
    </row>
    <row r="767">
      <c r="A767" s="37"/>
      <c r="B767" s="33"/>
      <c r="C767" s="139"/>
      <c r="D767" s="139"/>
      <c r="E767" s="3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8"/>
      <c r="AD767" s="18"/>
    </row>
    <row r="768">
      <c r="A768" s="37"/>
      <c r="B768" s="33"/>
      <c r="C768" s="139"/>
      <c r="D768" s="139"/>
      <c r="E768" s="3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8"/>
      <c r="AD768" s="18"/>
    </row>
    <row r="769">
      <c r="A769" s="37"/>
      <c r="B769" s="33"/>
      <c r="C769" s="139"/>
      <c r="D769" s="139"/>
      <c r="E769" s="3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8"/>
      <c r="AD769" s="18"/>
    </row>
    <row r="770">
      <c r="A770" s="37"/>
      <c r="B770" s="33"/>
      <c r="C770" s="139"/>
      <c r="D770" s="139"/>
      <c r="E770" s="3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8"/>
      <c r="AD770" s="18"/>
    </row>
    <row r="771">
      <c r="A771" s="37"/>
      <c r="B771" s="33"/>
      <c r="C771" s="139"/>
      <c r="D771" s="139"/>
      <c r="E771" s="3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8"/>
      <c r="AD771" s="18"/>
    </row>
    <row r="772">
      <c r="A772" s="37"/>
      <c r="B772" s="33"/>
      <c r="C772" s="139"/>
      <c r="D772" s="139"/>
      <c r="E772" s="3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8"/>
      <c r="AD772" s="18"/>
    </row>
    <row r="773">
      <c r="A773" s="37"/>
      <c r="B773" s="33"/>
      <c r="C773" s="139"/>
      <c r="D773" s="139"/>
      <c r="E773" s="3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8"/>
      <c r="AD773" s="18"/>
    </row>
    <row r="774">
      <c r="A774" s="37"/>
      <c r="B774" s="33"/>
      <c r="C774" s="139"/>
      <c r="D774" s="139"/>
      <c r="E774" s="3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8"/>
      <c r="AD774" s="18"/>
    </row>
    <row r="775">
      <c r="A775" s="37"/>
      <c r="B775" s="33"/>
      <c r="C775" s="139"/>
      <c r="D775" s="139"/>
      <c r="E775" s="3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8"/>
      <c r="AD775" s="18"/>
    </row>
    <row r="776">
      <c r="A776" s="37"/>
      <c r="B776" s="33"/>
      <c r="C776" s="139"/>
      <c r="D776" s="139"/>
      <c r="E776" s="3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8"/>
      <c r="AD776" s="18"/>
    </row>
    <row r="777">
      <c r="A777" s="37"/>
      <c r="B777" s="33"/>
      <c r="C777" s="139"/>
      <c r="D777" s="139"/>
      <c r="E777" s="3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8"/>
      <c r="AD777" s="18"/>
    </row>
    <row r="778">
      <c r="A778" s="37"/>
      <c r="B778" s="33"/>
      <c r="C778" s="139"/>
      <c r="D778" s="139"/>
      <c r="E778" s="3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8"/>
      <c r="AD778" s="18"/>
    </row>
    <row r="779">
      <c r="A779" s="37"/>
      <c r="B779" s="33"/>
      <c r="C779" s="139"/>
      <c r="D779" s="139"/>
      <c r="E779" s="3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8"/>
      <c r="AD779" s="18"/>
    </row>
    <row r="780">
      <c r="A780" s="37"/>
      <c r="B780" s="33"/>
      <c r="C780" s="139"/>
      <c r="D780" s="139"/>
      <c r="E780" s="3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8"/>
      <c r="AD780" s="18"/>
    </row>
    <row r="781">
      <c r="A781" s="37"/>
      <c r="B781" s="33"/>
      <c r="C781" s="139"/>
      <c r="D781" s="139"/>
      <c r="E781" s="3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8"/>
      <c r="AD781" s="18"/>
    </row>
    <row r="782">
      <c r="A782" s="37"/>
      <c r="B782" s="33"/>
      <c r="C782" s="139"/>
      <c r="D782" s="139"/>
      <c r="E782" s="3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8"/>
      <c r="AD782" s="18"/>
    </row>
    <row r="783">
      <c r="A783" s="37"/>
      <c r="B783" s="33"/>
      <c r="C783" s="139"/>
      <c r="D783" s="139"/>
      <c r="E783" s="3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8"/>
      <c r="AD783" s="18"/>
    </row>
    <row r="784">
      <c r="A784" s="37"/>
      <c r="B784" s="33"/>
      <c r="C784" s="139"/>
      <c r="D784" s="139"/>
      <c r="E784" s="3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8"/>
      <c r="AD784" s="18"/>
    </row>
    <row r="785">
      <c r="A785" s="37"/>
      <c r="B785" s="33"/>
      <c r="C785" s="139"/>
      <c r="D785" s="139"/>
      <c r="E785" s="3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8"/>
      <c r="AD785" s="18"/>
    </row>
    <row r="786">
      <c r="A786" s="37"/>
      <c r="B786" s="33"/>
      <c r="C786" s="139"/>
      <c r="D786" s="139"/>
      <c r="E786" s="3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8"/>
      <c r="AD786" s="18"/>
    </row>
    <row r="787">
      <c r="A787" s="37"/>
      <c r="B787" s="33"/>
      <c r="C787" s="139"/>
      <c r="D787" s="139"/>
      <c r="E787" s="3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8"/>
      <c r="AD787" s="18"/>
    </row>
    <row r="788">
      <c r="A788" s="37"/>
      <c r="B788" s="33"/>
      <c r="C788" s="139"/>
      <c r="D788" s="139"/>
      <c r="E788" s="3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8"/>
      <c r="AD788" s="18"/>
    </row>
    <row r="789">
      <c r="A789" s="37"/>
      <c r="B789" s="33"/>
      <c r="C789" s="139"/>
      <c r="D789" s="139"/>
      <c r="E789" s="3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8"/>
      <c r="AD789" s="18"/>
    </row>
    <row r="790">
      <c r="A790" s="37"/>
      <c r="B790" s="33"/>
      <c r="C790" s="139"/>
      <c r="D790" s="139"/>
      <c r="E790" s="3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8"/>
      <c r="AD790" s="18"/>
    </row>
    <row r="791">
      <c r="A791" s="37"/>
      <c r="B791" s="33"/>
      <c r="C791" s="139"/>
      <c r="D791" s="139"/>
      <c r="E791" s="3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8"/>
      <c r="AD791" s="18"/>
    </row>
    <row r="792">
      <c r="A792" s="37"/>
      <c r="B792" s="33"/>
      <c r="C792" s="139"/>
      <c r="D792" s="139"/>
      <c r="E792" s="3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8"/>
      <c r="AD792" s="18"/>
    </row>
    <row r="793">
      <c r="A793" s="37"/>
      <c r="B793" s="33"/>
      <c r="C793" s="139"/>
      <c r="D793" s="139"/>
      <c r="E793" s="3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8"/>
      <c r="AD793" s="18"/>
    </row>
    <row r="794">
      <c r="A794" s="37"/>
      <c r="B794" s="33"/>
      <c r="C794" s="139"/>
      <c r="D794" s="139"/>
      <c r="E794" s="3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8"/>
      <c r="AD794" s="18"/>
    </row>
    <row r="795">
      <c r="A795" s="37"/>
      <c r="B795" s="33"/>
      <c r="C795" s="139"/>
      <c r="D795" s="139"/>
      <c r="E795" s="3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8"/>
      <c r="AD795" s="18"/>
    </row>
    <row r="796">
      <c r="A796" s="37"/>
      <c r="B796" s="33"/>
      <c r="C796" s="139"/>
      <c r="D796" s="139"/>
      <c r="E796" s="3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8"/>
      <c r="AD796" s="18"/>
    </row>
    <row r="797">
      <c r="A797" s="37"/>
      <c r="B797" s="33"/>
      <c r="C797" s="139"/>
      <c r="D797" s="139"/>
      <c r="E797" s="3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8"/>
      <c r="AD797" s="18"/>
    </row>
    <row r="798">
      <c r="A798" s="37"/>
      <c r="B798" s="33"/>
      <c r="C798" s="139"/>
      <c r="D798" s="139"/>
      <c r="E798" s="3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8"/>
      <c r="AD798" s="18"/>
    </row>
    <row r="799">
      <c r="A799" s="37"/>
      <c r="B799" s="33"/>
      <c r="C799" s="139"/>
      <c r="D799" s="139"/>
      <c r="E799" s="3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8"/>
      <c r="AD799" s="18"/>
    </row>
    <row r="800">
      <c r="A800" s="37"/>
      <c r="B800" s="33"/>
      <c r="C800" s="139"/>
      <c r="D800" s="139"/>
      <c r="E800" s="3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8"/>
      <c r="AD800" s="18"/>
    </row>
    <row r="801">
      <c r="A801" s="37"/>
      <c r="B801" s="33"/>
      <c r="C801" s="139"/>
      <c r="D801" s="139"/>
      <c r="E801" s="3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8"/>
      <c r="AD801" s="18"/>
    </row>
    <row r="802">
      <c r="A802" s="37"/>
      <c r="B802" s="33"/>
      <c r="C802" s="139"/>
      <c r="D802" s="139"/>
      <c r="E802" s="3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8"/>
      <c r="AD802" s="18"/>
    </row>
    <row r="803">
      <c r="A803" s="37"/>
      <c r="B803" s="33"/>
      <c r="C803" s="139"/>
      <c r="D803" s="139"/>
      <c r="E803" s="3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8"/>
      <c r="AD803" s="18"/>
    </row>
    <row r="804">
      <c r="A804" s="37"/>
      <c r="B804" s="33"/>
      <c r="C804" s="139"/>
      <c r="D804" s="139"/>
      <c r="E804" s="3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8"/>
      <c r="AD804" s="18"/>
    </row>
    <row r="805">
      <c r="A805" s="37"/>
      <c r="B805" s="33"/>
      <c r="C805" s="139"/>
      <c r="D805" s="139"/>
      <c r="E805" s="3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8"/>
      <c r="AD805" s="18"/>
    </row>
    <row r="806">
      <c r="A806" s="37"/>
      <c r="B806" s="33"/>
      <c r="C806" s="139"/>
      <c r="D806" s="139"/>
      <c r="E806" s="3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8"/>
      <c r="AD806" s="18"/>
    </row>
    <row r="807">
      <c r="A807" s="37"/>
      <c r="B807" s="33"/>
      <c r="C807" s="139"/>
      <c r="D807" s="139"/>
      <c r="E807" s="3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8"/>
      <c r="AD807" s="18"/>
    </row>
    <row r="808">
      <c r="A808" s="37"/>
      <c r="B808" s="33"/>
      <c r="C808" s="139"/>
      <c r="D808" s="139"/>
      <c r="E808" s="3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8"/>
      <c r="AD808" s="18"/>
    </row>
    <row r="809">
      <c r="A809" s="37"/>
      <c r="B809" s="33"/>
      <c r="C809" s="139"/>
      <c r="D809" s="139"/>
      <c r="E809" s="3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8"/>
      <c r="AD809" s="18"/>
    </row>
    <row r="810">
      <c r="A810" s="37"/>
      <c r="B810" s="33"/>
      <c r="C810" s="139"/>
      <c r="D810" s="139"/>
      <c r="E810" s="3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8"/>
      <c r="AD810" s="18"/>
    </row>
    <row r="811">
      <c r="A811" s="37"/>
      <c r="B811" s="33"/>
      <c r="C811" s="139"/>
      <c r="D811" s="139"/>
      <c r="E811" s="3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8"/>
      <c r="AD811" s="18"/>
    </row>
    <row r="812">
      <c r="A812" s="37"/>
      <c r="B812" s="33"/>
      <c r="C812" s="139"/>
      <c r="D812" s="139"/>
      <c r="E812" s="3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8"/>
      <c r="AD812" s="18"/>
    </row>
    <row r="813">
      <c r="A813" s="37"/>
      <c r="B813" s="33"/>
      <c r="C813" s="139"/>
      <c r="D813" s="139"/>
      <c r="E813" s="3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8"/>
      <c r="AD813" s="18"/>
    </row>
    <row r="814">
      <c r="A814" s="37"/>
      <c r="B814" s="33"/>
      <c r="C814" s="139"/>
      <c r="D814" s="139"/>
      <c r="E814" s="3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8"/>
      <c r="AD814" s="18"/>
    </row>
    <row r="815">
      <c r="A815" s="37"/>
      <c r="B815" s="33"/>
      <c r="C815" s="139"/>
      <c r="D815" s="139"/>
      <c r="E815" s="3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8"/>
      <c r="AD815" s="18"/>
    </row>
    <row r="816">
      <c r="A816" s="37"/>
      <c r="B816" s="33"/>
      <c r="C816" s="139"/>
      <c r="D816" s="139"/>
      <c r="E816" s="3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8"/>
      <c r="AD816" s="18"/>
    </row>
    <row r="817">
      <c r="A817" s="37"/>
      <c r="B817" s="33"/>
      <c r="C817" s="139"/>
      <c r="D817" s="139"/>
      <c r="E817" s="3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8"/>
      <c r="AD817" s="18"/>
    </row>
    <row r="818">
      <c r="A818" s="37"/>
      <c r="B818" s="33"/>
      <c r="C818" s="139"/>
      <c r="D818" s="139"/>
      <c r="E818" s="3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8"/>
      <c r="AD818" s="18"/>
    </row>
    <row r="819">
      <c r="A819" s="37"/>
      <c r="B819" s="33"/>
      <c r="C819" s="139"/>
      <c r="D819" s="139"/>
      <c r="E819" s="3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8"/>
      <c r="AD819" s="18"/>
    </row>
    <row r="820">
      <c r="A820" s="37"/>
      <c r="B820" s="33"/>
      <c r="C820" s="139"/>
      <c r="D820" s="139"/>
      <c r="E820" s="3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8"/>
      <c r="AD820" s="18"/>
    </row>
    <row r="821">
      <c r="A821" s="37"/>
      <c r="B821" s="33"/>
      <c r="C821" s="139"/>
      <c r="D821" s="139"/>
      <c r="E821" s="3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8"/>
      <c r="AD821" s="18"/>
    </row>
    <row r="822">
      <c r="A822" s="37"/>
      <c r="B822" s="33"/>
      <c r="C822" s="139"/>
      <c r="D822" s="139"/>
      <c r="E822" s="3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8"/>
      <c r="AD822" s="18"/>
    </row>
    <row r="823">
      <c r="A823" s="37"/>
      <c r="B823" s="33"/>
      <c r="C823" s="139"/>
      <c r="D823" s="139"/>
      <c r="E823" s="3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8"/>
      <c r="AD823" s="18"/>
    </row>
    <row r="824">
      <c r="A824" s="37"/>
      <c r="B824" s="33"/>
      <c r="C824" s="139"/>
      <c r="D824" s="139"/>
      <c r="E824" s="3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8"/>
      <c r="AD824" s="18"/>
    </row>
    <row r="825">
      <c r="A825" s="37"/>
      <c r="B825" s="33"/>
      <c r="C825" s="139"/>
      <c r="D825" s="139"/>
      <c r="E825" s="3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8"/>
      <c r="AD825" s="18"/>
    </row>
    <row r="826">
      <c r="A826" s="37"/>
      <c r="B826" s="33"/>
      <c r="C826" s="139"/>
      <c r="D826" s="139"/>
      <c r="E826" s="3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8"/>
      <c r="AD826" s="18"/>
    </row>
    <row r="827">
      <c r="A827" s="37"/>
      <c r="B827" s="33"/>
      <c r="C827" s="139"/>
      <c r="D827" s="139"/>
      <c r="E827" s="3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8"/>
      <c r="AD827" s="18"/>
    </row>
    <row r="828">
      <c r="A828" s="37"/>
      <c r="B828" s="33"/>
      <c r="C828" s="139"/>
      <c r="D828" s="139"/>
      <c r="E828" s="3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8"/>
      <c r="AD828" s="18"/>
    </row>
    <row r="829">
      <c r="A829" s="37"/>
      <c r="B829" s="33"/>
      <c r="C829" s="139"/>
      <c r="D829" s="139"/>
      <c r="E829" s="3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8"/>
      <c r="AD829" s="18"/>
    </row>
    <row r="830">
      <c r="A830" s="37"/>
      <c r="B830" s="33"/>
      <c r="C830" s="139"/>
      <c r="D830" s="139"/>
      <c r="E830" s="3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8"/>
      <c r="AD830" s="18"/>
    </row>
    <row r="831">
      <c r="A831" s="37"/>
      <c r="B831" s="33"/>
      <c r="C831" s="139"/>
      <c r="D831" s="139"/>
      <c r="E831" s="3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8"/>
      <c r="AD831" s="18"/>
    </row>
    <row r="832">
      <c r="A832" s="37"/>
      <c r="B832" s="33"/>
      <c r="C832" s="139"/>
      <c r="D832" s="139"/>
      <c r="E832" s="3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8"/>
      <c r="AD832" s="18"/>
    </row>
    <row r="833">
      <c r="A833" s="37"/>
      <c r="B833" s="33"/>
      <c r="C833" s="139"/>
      <c r="D833" s="139"/>
      <c r="E833" s="3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8"/>
      <c r="AD833" s="18"/>
    </row>
    <row r="834">
      <c r="A834" s="37"/>
      <c r="B834" s="33"/>
      <c r="C834" s="139"/>
      <c r="D834" s="139"/>
      <c r="E834" s="3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8"/>
      <c r="AD834" s="18"/>
    </row>
    <row r="835">
      <c r="A835" s="37"/>
      <c r="B835" s="33"/>
      <c r="C835" s="139"/>
      <c r="D835" s="139"/>
      <c r="E835" s="3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8"/>
      <c r="AD835" s="18"/>
    </row>
    <row r="836">
      <c r="A836" s="37"/>
      <c r="B836" s="33"/>
      <c r="C836" s="139"/>
      <c r="D836" s="139"/>
      <c r="E836" s="3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8"/>
      <c r="AD836" s="18"/>
    </row>
    <row r="837">
      <c r="A837" s="37"/>
      <c r="B837" s="33"/>
      <c r="C837" s="139"/>
      <c r="D837" s="139"/>
      <c r="E837" s="3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8"/>
      <c r="AD837" s="18"/>
    </row>
    <row r="838">
      <c r="A838" s="37"/>
      <c r="B838" s="33"/>
      <c r="C838" s="139"/>
      <c r="D838" s="139"/>
      <c r="E838" s="3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8"/>
      <c r="AD838" s="18"/>
    </row>
    <row r="839">
      <c r="A839" s="37"/>
      <c r="B839" s="33"/>
      <c r="C839" s="139"/>
      <c r="D839" s="139"/>
      <c r="E839" s="3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8"/>
      <c r="AD839" s="18"/>
    </row>
    <row r="840">
      <c r="A840" s="37"/>
      <c r="B840" s="33"/>
      <c r="C840" s="139"/>
      <c r="D840" s="139"/>
      <c r="E840" s="3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8"/>
      <c r="AD840" s="18"/>
    </row>
    <row r="841">
      <c r="A841" s="37"/>
      <c r="B841" s="33"/>
      <c r="C841" s="139"/>
      <c r="D841" s="139"/>
      <c r="E841" s="3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8"/>
      <c r="AD841" s="18"/>
    </row>
    <row r="842">
      <c r="A842" s="37"/>
      <c r="B842" s="33"/>
      <c r="C842" s="139"/>
      <c r="D842" s="139"/>
      <c r="E842" s="3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8"/>
      <c r="AD842" s="18"/>
    </row>
    <row r="843">
      <c r="A843" s="37"/>
      <c r="B843" s="33"/>
      <c r="C843" s="139"/>
      <c r="D843" s="139"/>
      <c r="E843" s="3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8"/>
      <c r="AD843" s="18"/>
    </row>
    <row r="844">
      <c r="A844" s="37"/>
      <c r="B844" s="33"/>
      <c r="C844" s="139"/>
      <c r="D844" s="139"/>
      <c r="E844" s="3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8"/>
      <c r="AD844" s="18"/>
    </row>
    <row r="845">
      <c r="A845" s="37"/>
      <c r="B845" s="33"/>
      <c r="C845" s="139"/>
      <c r="D845" s="139"/>
      <c r="E845" s="3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8"/>
      <c r="AD845" s="18"/>
    </row>
    <row r="846">
      <c r="A846" s="37"/>
      <c r="B846" s="33"/>
      <c r="C846" s="139"/>
      <c r="D846" s="139"/>
      <c r="E846" s="3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8"/>
      <c r="AD846" s="18"/>
    </row>
    <row r="847">
      <c r="A847" s="37"/>
      <c r="B847" s="33"/>
      <c r="C847" s="139"/>
      <c r="D847" s="139"/>
      <c r="E847" s="3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8"/>
      <c r="AD847" s="18"/>
    </row>
    <row r="848">
      <c r="A848" s="37"/>
      <c r="B848" s="33"/>
      <c r="C848" s="139"/>
      <c r="D848" s="139"/>
      <c r="E848" s="3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8"/>
      <c r="AD848" s="18"/>
    </row>
    <row r="849">
      <c r="A849" s="37"/>
      <c r="B849" s="33"/>
      <c r="C849" s="139"/>
      <c r="D849" s="139"/>
      <c r="E849" s="3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8"/>
      <c r="AD849" s="18"/>
    </row>
    <row r="850">
      <c r="A850" s="37"/>
      <c r="B850" s="33"/>
      <c r="C850" s="139"/>
      <c r="D850" s="139"/>
      <c r="E850" s="3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8"/>
      <c r="AD850" s="18"/>
    </row>
    <row r="851">
      <c r="A851" s="37"/>
      <c r="B851" s="33"/>
      <c r="C851" s="139"/>
      <c r="D851" s="139"/>
      <c r="E851" s="3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8"/>
      <c r="AD851" s="18"/>
    </row>
    <row r="852">
      <c r="A852" s="37"/>
      <c r="B852" s="33"/>
      <c r="C852" s="139"/>
      <c r="D852" s="139"/>
      <c r="E852" s="3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8"/>
      <c r="AD852" s="18"/>
    </row>
    <row r="853">
      <c r="A853" s="37"/>
      <c r="B853" s="33"/>
      <c r="C853" s="139"/>
      <c r="D853" s="139"/>
      <c r="E853" s="3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8"/>
      <c r="AD853" s="18"/>
    </row>
    <row r="854">
      <c r="A854" s="37"/>
      <c r="B854" s="33"/>
      <c r="C854" s="139"/>
      <c r="D854" s="139"/>
      <c r="E854" s="3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8"/>
      <c r="AD854" s="18"/>
    </row>
    <row r="855">
      <c r="A855" s="37"/>
      <c r="B855" s="33"/>
      <c r="C855" s="139"/>
      <c r="D855" s="139"/>
      <c r="E855" s="3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8"/>
      <c r="AD855" s="18"/>
    </row>
    <row r="856">
      <c r="A856" s="37"/>
      <c r="B856" s="33"/>
      <c r="C856" s="139"/>
      <c r="D856" s="139"/>
      <c r="E856" s="3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8"/>
      <c r="AD856" s="18"/>
    </row>
    <row r="857">
      <c r="A857" s="37"/>
      <c r="B857" s="33"/>
      <c r="C857" s="139"/>
      <c r="D857" s="139"/>
      <c r="E857" s="3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8"/>
      <c r="AD857" s="18"/>
    </row>
    <row r="858">
      <c r="A858" s="37"/>
      <c r="B858" s="33"/>
      <c r="C858" s="139"/>
      <c r="D858" s="139"/>
      <c r="E858" s="3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8"/>
      <c r="AD858" s="18"/>
    </row>
    <row r="859">
      <c r="A859" s="37"/>
      <c r="B859" s="33"/>
      <c r="C859" s="139"/>
      <c r="D859" s="139"/>
      <c r="E859" s="3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8"/>
      <c r="AD859" s="18"/>
    </row>
    <row r="860">
      <c r="A860" s="37"/>
      <c r="B860" s="33"/>
      <c r="C860" s="139"/>
      <c r="D860" s="139"/>
      <c r="E860" s="3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8"/>
      <c r="AD860" s="18"/>
    </row>
    <row r="861">
      <c r="A861" s="37"/>
      <c r="B861" s="33"/>
      <c r="C861" s="139"/>
      <c r="D861" s="139"/>
      <c r="E861" s="3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8"/>
      <c r="AD861" s="18"/>
    </row>
    <row r="862">
      <c r="A862" s="37"/>
      <c r="B862" s="33"/>
      <c r="C862" s="139"/>
      <c r="D862" s="139"/>
      <c r="E862" s="3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8"/>
      <c r="AD862" s="18"/>
    </row>
    <row r="863">
      <c r="A863" s="37"/>
      <c r="B863" s="33"/>
      <c r="C863" s="139"/>
      <c r="D863" s="139"/>
      <c r="E863" s="3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8"/>
      <c r="AD863" s="18"/>
    </row>
    <row r="864">
      <c r="A864" s="37"/>
      <c r="B864" s="33"/>
      <c r="C864" s="139"/>
      <c r="D864" s="139"/>
      <c r="E864" s="3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8"/>
      <c r="AD864" s="18"/>
    </row>
    <row r="865">
      <c r="A865" s="37"/>
      <c r="B865" s="33"/>
      <c r="C865" s="139"/>
      <c r="D865" s="139"/>
      <c r="E865" s="3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8"/>
      <c r="AD865" s="18"/>
    </row>
    <row r="866">
      <c r="A866" s="37"/>
      <c r="B866" s="33"/>
      <c r="C866" s="139"/>
      <c r="D866" s="139"/>
      <c r="E866" s="3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8"/>
      <c r="AD866" s="18"/>
    </row>
    <row r="867">
      <c r="A867" s="37"/>
      <c r="B867" s="33"/>
      <c r="C867" s="139"/>
      <c r="D867" s="139"/>
      <c r="E867" s="3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8"/>
      <c r="AD867" s="18"/>
    </row>
    <row r="868">
      <c r="A868" s="37"/>
      <c r="B868" s="33"/>
      <c r="C868" s="139"/>
      <c r="D868" s="139"/>
      <c r="E868" s="3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8"/>
      <c r="AD868" s="18"/>
    </row>
    <row r="869">
      <c r="A869" s="37"/>
      <c r="B869" s="33"/>
      <c r="C869" s="139"/>
      <c r="D869" s="139"/>
      <c r="E869" s="3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8"/>
      <c r="AD869" s="18"/>
    </row>
    <row r="870">
      <c r="A870" s="37"/>
      <c r="B870" s="33"/>
      <c r="C870" s="139"/>
      <c r="D870" s="139"/>
      <c r="E870" s="3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8"/>
      <c r="AD870" s="18"/>
    </row>
    <row r="871">
      <c r="A871" s="37"/>
      <c r="B871" s="33"/>
      <c r="C871" s="139"/>
      <c r="D871" s="139"/>
      <c r="E871" s="3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8"/>
      <c r="AD871" s="18"/>
    </row>
    <row r="872">
      <c r="A872" s="37"/>
      <c r="B872" s="33"/>
      <c r="C872" s="139"/>
      <c r="D872" s="139"/>
      <c r="E872" s="3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8"/>
      <c r="AD872" s="18"/>
    </row>
    <row r="873">
      <c r="A873" s="37"/>
      <c r="B873" s="33"/>
      <c r="C873" s="139"/>
      <c r="D873" s="139"/>
      <c r="E873" s="3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8"/>
      <c r="AD873" s="18"/>
    </row>
    <row r="874">
      <c r="A874" s="37"/>
      <c r="B874" s="33"/>
      <c r="C874" s="139"/>
      <c r="D874" s="139"/>
      <c r="E874" s="3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8"/>
      <c r="AD874" s="18"/>
    </row>
    <row r="875">
      <c r="A875" s="37"/>
      <c r="B875" s="33"/>
      <c r="C875" s="139"/>
      <c r="D875" s="139"/>
      <c r="E875" s="3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8"/>
      <c r="AD875" s="18"/>
    </row>
    <row r="876">
      <c r="A876" s="37"/>
      <c r="B876" s="33"/>
      <c r="C876" s="139"/>
      <c r="D876" s="139"/>
      <c r="E876" s="3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8"/>
      <c r="AD876" s="18"/>
    </row>
    <row r="877">
      <c r="A877" s="37"/>
      <c r="B877" s="33"/>
      <c r="C877" s="139"/>
      <c r="D877" s="139"/>
      <c r="E877" s="3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8"/>
      <c r="AD877" s="18"/>
    </row>
    <row r="878">
      <c r="A878" s="37"/>
      <c r="B878" s="33"/>
      <c r="C878" s="139"/>
      <c r="D878" s="139"/>
      <c r="E878" s="3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8"/>
      <c r="AD878" s="18"/>
    </row>
    <row r="879">
      <c r="A879" s="37"/>
      <c r="B879" s="33"/>
      <c r="C879" s="139"/>
      <c r="D879" s="139"/>
      <c r="E879" s="3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8"/>
      <c r="AD879" s="18"/>
    </row>
    <row r="880">
      <c r="A880" s="37"/>
      <c r="B880" s="33"/>
      <c r="C880" s="139"/>
      <c r="D880" s="139"/>
      <c r="E880" s="3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8"/>
      <c r="AD880" s="18"/>
    </row>
    <row r="881">
      <c r="A881" s="37"/>
      <c r="B881" s="33"/>
      <c r="C881" s="139"/>
      <c r="D881" s="139"/>
      <c r="E881" s="3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8"/>
      <c r="AD881" s="18"/>
    </row>
    <row r="882">
      <c r="A882" s="37"/>
      <c r="B882" s="33"/>
      <c r="C882" s="139"/>
      <c r="D882" s="139"/>
      <c r="E882" s="3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8"/>
      <c r="AD882" s="18"/>
    </row>
    <row r="883">
      <c r="A883" s="37"/>
      <c r="B883" s="33"/>
      <c r="C883" s="139"/>
      <c r="D883" s="139"/>
      <c r="E883" s="3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8"/>
      <c r="AD883" s="18"/>
    </row>
    <row r="884">
      <c r="A884" s="37"/>
      <c r="B884" s="33"/>
      <c r="C884" s="139"/>
      <c r="D884" s="139"/>
      <c r="E884" s="3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8"/>
      <c r="AD884" s="18"/>
    </row>
    <row r="885">
      <c r="A885" s="37"/>
      <c r="B885" s="33"/>
      <c r="C885" s="139"/>
      <c r="D885" s="139"/>
      <c r="E885" s="3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8"/>
      <c r="AD885" s="18"/>
    </row>
    <row r="886">
      <c r="A886" s="37"/>
      <c r="B886" s="33"/>
      <c r="C886" s="139"/>
      <c r="D886" s="139"/>
      <c r="E886" s="3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8"/>
      <c r="AD886" s="18"/>
    </row>
    <row r="887">
      <c r="A887" s="37"/>
      <c r="B887" s="33"/>
      <c r="C887" s="139"/>
      <c r="D887" s="139"/>
      <c r="E887" s="3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8"/>
      <c r="AD887" s="18"/>
    </row>
    <row r="888">
      <c r="A888" s="37"/>
      <c r="B888" s="33"/>
      <c r="C888" s="139"/>
      <c r="D888" s="139"/>
      <c r="E888" s="3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8"/>
      <c r="AD888" s="18"/>
    </row>
    <row r="889">
      <c r="A889" s="37"/>
      <c r="B889" s="33"/>
      <c r="C889" s="139"/>
      <c r="D889" s="139"/>
      <c r="E889" s="3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8"/>
      <c r="AD889" s="18"/>
    </row>
    <row r="890">
      <c r="A890" s="37"/>
      <c r="B890" s="33"/>
      <c r="C890" s="139"/>
      <c r="D890" s="139"/>
      <c r="E890" s="3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8"/>
      <c r="AD890" s="18"/>
    </row>
    <row r="891">
      <c r="A891" s="37"/>
      <c r="B891" s="33"/>
      <c r="C891" s="139"/>
      <c r="D891" s="139"/>
      <c r="E891" s="3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8"/>
      <c r="AD891" s="18"/>
    </row>
    <row r="892">
      <c r="A892" s="37"/>
      <c r="B892" s="33"/>
      <c r="C892" s="139"/>
      <c r="D892" s="139"/>
      <c r="E892" s="3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8"/>
      <c r="AD892" s="18"/>
    </row>
    <row r="893">
      <c r="A893" s="37"/>
      <c r="B893" s="33"/>
      <c r="C893" s="139"/>
      <c r="D893" s="139"/>
      <c r="E893" s="3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8"/>
      <c r="AD893" s="18"/>
    </row>
    <row r="894">
      <c r="A894" s="37"/>
      <c r="B894" s="33"/>
      <c r="C894" s="139"/>
      <c r="D894" s="139"/>
      <c r="E894" s="3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8"/>
      <c r="AD894" s="18"/>
    </row>
    <row r="895">
      <c r="A895" s="37"/>
      <c r="B895" s="33"/>
      <c r="C895" s="139"/>
      <c r="D895" s="139"/>
      <c r="E895" s="3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8"/>
      <c r="AD895" s="18"/>
    </row>
    <row r="896">
      <c r="A896" s="37"/>
      <c r="B896" s="33"/>
      <c r="C896" s="139"/>
      <c r="D896" s="139"/>
      <c r="E896" s="3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8"/>
      <c r="AD896" s="18"/>
    </row>
    <row r="897">
      <c r="A897" s="37"/>
      <c r="B897" s="33"/>
      <c r="C897" s="139"/>
      <c r="D897" s="139"/>
      <c r="E897" s="3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8"/>
      <c r="AD897" s="18"/>
    </row>
    <row r="898">
      <c r="A898" s="37"/>
      <c r="B898" s="33"/>
      <c r="C898" s="139"/>
      <c r="D898" s="139"/>
      <c r="E898" s="3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8"/>
      <c r="AD898" s="18"/>
    </row>
    <row r="899">
      <c r="A899" s="37"/>
      <c r="B899" s="33"/>
      <c r="C899" s="139"/>
      <c r="D899" s="139"/>
      <c r="E899" s="3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8"/>
      <c r="AD899" s="18"/>
    </row>
    <row r="900">
      <c r="A900" s="37"/>
      <c r="B900" s="33"/>
      <c r="C900" s="139"/>
      <c r="D900" s="139"/>
      <c r="E900" s="3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8"/>
      <c r="AD900" s="18"/>
    </row>
    <row r="901">
      <c r="A901" s="37"/>
      <c r="B901" s="33"/>
      <c r="C901" s="139"/>
      <c r="D901" s="139"/>
      <c r="E901" s="3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8"/>
      <c r="AD901" s="18"/>
    </row>
    <row r="902">
      <c r="A902" s="37"/>
      <c r="B902" s="33"/>
      <c r="C902" s="139"/>
      <c r="D902" s="139"/>
      <c r="E902" s="3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8"/>
      <c r="AD902" s="18"/>
    </row>
    <row r="903">
      <c r="A903" s="37"/>
      <c r="B903" s="33"/>
      <c r="C903" s="139"/>
      <c r="D903" s="139"/>
      <c r="E903" s="3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8"/>
      <c r="AD903" s="18"/>
    </row>
    <row r="904">
      <c r="A904" s="37"/>
      <c r="B904" s="33"/>
      <c r="C904" s="139"/>
      <c r="D904" s="139"/>
      <c r="E904" s="3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8"/>
      <c r="AD904" s="18"/>
    </row>
    <row r="905">
      <c r="A905" s="37"/>
      <c r="B905" s="33"/>
      <c r="C905" s="139"/>
      <c r="D905" s="139"/>
      <c r="E905" s="3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8"/>
      <c r="AD905" s="18"/>
    </row>
    <row r="906">
      <c r="A906" s="37"/>
      <c r="B906" s="33"/>
      <c r="C906" s="139"/>
      <c r="D906" s="139"/>
      <c r="E906" s="3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8"/>
      <c r="AD906" s="18"/>
    </row>
    <row r="907">
      <c r="A907" s="37"/>
      <c r="B907" s="33"/>
      <c r="C907" s="139"/>
      <c r="D907" s="139"/>
      <c r="E907" s="3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8"/>
      <c r="AD907" s="18"/>
    </row>
    <row r="908">
      <c r="A908" s="37"/>
      <c r="B908" s="33"/>
      <c r="C908" s="139"/>
      <c r="D908" s="139"/>
      <c r="E908" s="3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8"/>
      <c r="AD908" s="18"/>
    </row>
    <row r="909">
      <c r="A909" s="37"/>
      <c r="B909" s="33"/>
      <c r="C909" s="139"/>
      <c r="D909" s="139"/>
      <c r="E909" s="3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8"/>
      <c r="AD909" s="18"/>
    </row>
    <row r="910">
      <c r="A910" s="37"/>
      <c r="B910" s="33"/>
      <c r="C910" s="139"/>
      <c r="D910" s="139"/>
      <c r="E910" s="3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8"/>
      <c r="AD910" s="18"/>
    </row>
    <row r="911">
      <c r="A911" s="37"/>
      <c r="B911" s="33"/>
      <c r="C911" s="139"/>
      <c r="D911" s="139"/>
      <c r="E911" s="3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8"/>
      <c r="AD911" s="18"/>
    </row>
    <row r="912">
      <c r="A912" s="37"/>
      <c r="B912" s="33"/>
      <c r="C912" s="139"/>
      <c r="D912" s="139"/>
      <c r="E912" s="3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8"/>
      <c r="AD912" s="18"/>
    </row>
    <row r="913">
      <c r="A913" s="37"/>
      <c r="B913" s="33"/>
      <c r="C913" s="139"/>
      <c r="D913" s="139"/>
      <c r="E913" s="3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8"/>
      <c r="AD913" s="18"/>
    </row>
    <row r="914">
      <c r="A914" s="37"/>
      <c r="B914" s="33"/>
      <c r="C914" s="139"/>
      <c r="D914" s="139"/>
      <c r="E914" s="3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8"/>
      <c r="AD914" s="18"/>
    </row>
    <row r="915">
      <c r="A915" s="37"/>
      <c r="B915" s="33"/>
      <c r="C915" s="139"/>
      <c r="D915" s="139"/>
      <c r="E915" s="3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8"/>
      <c r="AD915" s="18"/>
    </row>
    <row r="916">
      <c r="A916" s="37"/>
      <c r="B916" s="33"/>
      <c r="C916" s="139"/>
      <c r="D916" s="139"/>
      <c r="E916" s="3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8"/>
      <c r="AD916" s="18"/>
    </row>
    <row r="917">
      <c r="A917" s="37"/>
      <c r="B917" s="33"/>
      <c r="C917" s="139"/>
      <c r="D917" s="139"/>
      <c r="E917" s="3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8"/>
      <c r="AD917" s="18"/>
    </row>
    <row r="918">
      <c r="A918" s="37"/>
      <c r="B918" s="33"/>
      <c r="C918" s="139"/>
      <c r="D918" s="139"/>
      <c r="E918" s="3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8"/>
      <c r="AD918" s="18"/>
    </row>
    <row r="919">
      <c r="A919" s="37"/>
      <c r="B919" s="33"/>
      <c r="C919" s="139"/>
      <c r="D919" s="139"/>
      <c r="E919" s="3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8"/>
      <c r="AD919" s="18"/>
    </row>
    <row r="920">
      <c r="A920" s="37"/>
      <c r="B920" s="33"/>
      <c r="C920" s="139"/>
      <c r="D920" s="139"/>
      <c r="E920" s="3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8"/>
      <c r="AD920" s="18"/>
    </row>
    <row r="921">
      <c r="A921" s="37"/>
      <c r="B921" s="33"/>
      <c r="C921" s="139"/>
      <c r="D921" s="139"/>
      <c r="E921" s="3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8"/>
      <c r="AD921" s="18"/>
    </row>
    <row r="922">
      <c r="A922" s="37"/>
      <c r="B922" s="33"/>
      <c r="C922" s="139"/>
      <c r="D922" s="139"/>
      <c r="E922" s="3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8"/>
      <c r="AD922" s="18"/>
    </row>
    <row r="923">
      <c r="A923" s="37"/>
      <c r="B923" s="33"/>
      <c r="C923" s="139"/>
      <c r="D923" s="139"/>
      <c r="E923" s="3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8"/>
      <c r="AD923" s="18"/>
    </row>
    <row r="924">
      <c r="A924" s="37"/>
      <c r="B924" s="33"/>
      <c r="C924" s="139"/>
      <c r="D924" s="139"/>
      <c r="E924" s="3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8"/>
      <c r="AD924" s="18"/>
    </row>
    <row r="925">
      <c r="A925" s="37"/>
      <c r="B925" s="33"/>
      <c r="C925" s="139"/>
      <c r="D925" s="139"/>
      <c r="E925" s="3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8"/>
      <c r="AD925" s="18"/>
    </row>
    <row r="926">
      <c r="A926" s="37"/>
      <c r="B926" s="33"/>
      <c r="C926" s="139"/>
      <c r="D926" s="139"/>
      <c r="E926" s="3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8"/>
      <c r="AD926" s="18"/>
    </row>
    <row r="927">
      <c r="A927" s="37"/>
      <c r="B927" s="33"/>
      <c r="C927" s="139"/>
      <c r="D927" s="139"/>
      <c r="E927" s="3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8"/>
      <c r="AD927" s="18"/>
    </row>
    <row r="928">
      <c r="A928" s="37"/>
      <c r="B928" s="33"/>
      <c r="C928" s="139"/>
      <c r="D928" s="139"/>
      <c r="E928" s="3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8"/>
      <c r="AD928" s="18"/>
    </row>
    <row r="929">
      <c r="A929" s="37"/>
      <c r="B929" s="33"/>
      <c r="C929" s="139"/>
      <c r="D929" s="139"/>
      <c r="E929" s="3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8"/>
      <c r="AD929" s="18"/>
    </row>
    <row r="930">
      <c r="A930" s="37"/>
      <c r="B930" s="33"/>
      <c r="C930" s="139"/>
      <c r="D930" s="139"/>
      <c r="E930" s="3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8"/>
      <c r="AD930" s="18"/>
    </row>
    <row r="931">
      <c r="A931" s="37"/>
      <c r="B931" s="33"/>
      <c r="C931" s="139"/>
      <c r="D931" s="139"/>
      <c r="E931" s="3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8"/>
      <c r="AD931" s="18"/>
    </row>
    <row r="932">
      <c r="A932" s="37"/>
      <c r="B932" s="33"/>
      <c r="C932" s="139"/>
      <c r="D932" s="139"/>
      <c r="E932" s="3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8"/>
      <c r="AD932" s="18"/>
    </row>
    <row r="933">
      <c r="A933" s="37"/>
      <c r="B933" s="33"/>
      <c r="C933" s="139"/>
      <c r="D933" s="139"/>
      <c r="E933" s="3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8"/>
      <c r="AD933" s="18"/>
    </row>
    <row r="934">
      <c r="A934" s="37"/>
      <c r="B934" s="33"/>
      <c r="C934" s="139"/>
      <c r="D934" s="139"/>
      <c r="E934" s="3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8"/>
      <c r="AD934" s="18"/>
    </row>
    <row r="935">
      <c r="A935" s="37"/>
      <c r="B935" s="33"/>
      <c r="C935" s="139"/>
      <c r="D935" s="139"/>
      <c r="E935" s="3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8"/>
      <c r="AD935" s="18"/>
    </row>
    <row r="936">
      <c r="A936" s="37"/>
      <c r="B936" s="33"/>
      <c r="C936" s="139"/>
      <c r="D936" s="139"/>
      <c r="E936" s="3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8"/>
      <c r="AD936" s="18"/>
    </row>
    <row r="937">
      <c r="A937" s="37"/>
      <c r="B937" s="33"/>
      <c r="C937" s="139"/>
      <c r="D937" s="139"/>
      <c r="E937" s="3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8"/>
      <c r="AD937" s="18"/>
    </row>
    <row r="938">
      <c r="A938" s="37"/>
      <c r="B938" s="33"/>
      <c r="C938" s="139"/>
      <c r="D938" s="139"/>
      <c r="E938" s="3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8"/>
      <c r="AD938" s="18"/>
    </row>
    <row r="939">
      <c r="A939" s="37"/>
      <c r="B939" s="33"/>
      <c r="C939" s="139"/>
      <c r="D939" s="139"/>
      <c r="E939" s="3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8"/>
      <c r="AD939" s="18"/>
    </row>
    <row r="940">
      <c r="A940" s="37"/>
      <c r="B940" s="33"/>
      <c r="C940" s="139"/>
      <c r="D940" s="139"/>
      <c r="E940" s="3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8"/>
      <c r="AD940" s="18"/>
    </row>
    <row r="941">
      <c r="A941" s="37"/>
      <c r="B941" s="33"/>
      <c r="C941" s="139"/>
      <c r="D941" s="139"/>
      <c r="E941" s="3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8"/>
      <c r="AD941" s="18"/>
    </row>
    <row r="942">
      <c r="A942" s="37"/>
      <c r="B942" s="33"/>
      <c r="C942" s="139"/>
      <c r="D942" s="139"/>
      <c r="E942" s="3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8"/>
      <c r="AD942" s="18"/>
    </row>
    <row r="943">
      <c r="A943" s="37"/>
      <c r="B943" s="33"/>
      <c r="C943" s="139"/>
      <c r="D943" s="139"/>
      <c r="E943" s="3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8"/>
      <c r="AD943" s="18"/>
    </row>
    <row r="944">
      <c r="A944" s="37"/>
      <c r="B944" s="33"/>
      <c r="C944" s="139"/>
      <c r="D944" s="139"/>
      <c r="E944" s="3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8"/>
      <c r="AD944" s="18"/>
    </row>
    <row r="945">
      <c r="A945" s="37"/>
      <c r="B945" s="33"/>
      <c r="C945" s="139"/>
      <c r="D945" s="139"/>
      <c r="E945" s="3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8"/>
      <c r="AD945" s="18"/>
    </row>
    <row r="946">
      <c r="A946" s="37"/>
      <c r="B946" s="33"/>
      <c r="C946" s="139"/>
      <c r="D946" s="139"/>
      <c r="E946" s="3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8"/>
      <c r="AD946" s="18"/>
    </row>
    <row r="947">
      <c r="A947" s="37"/>
      <c r="B947" s="33"/>
      <c r="C947" s="139"/>
      <c r="D947" s="139"/>
      <c r="E947" s="3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8"/>
      <c r="AD947" s="18"/>
    </row>
    <row r="948">
      <c r="A948" s="37"/>
      <c r="B948" s="33"/>
      <c r="C948" s="139"/>
      <c r="D948" s="139"/>
      <c r="E948" s="3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8"/>
      <c r="AD948" s="18"/>
    </row>
    <row r="949">
      <c r="A949" s="37"/>
      <c r="B949" s="33"/>
      <c r="C949" s="139"/>
      <c r="D949" s="139"/>
      <c r="E949" s="3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8"/>
      <c r="AD949" s="18"/>
    </row>
    <row r="950">
      <c r="A950" s="37"/>
      <c r="B950" s="33"/>
      <c r="C950" s="139"/>
      <c r="D950" s="139"/>
      <c r="E950" s="3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8"/>
      <c r="AD950" s="18"/>
    </row>
    <row r="951">
      <c r="A951" s="37"/>
      <c r="B951" s="33"/>
      <c r="C951" s="139"/>
      <c r="D951" s="139"/>
      <c r="E951" s="3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8"/>
      <c r="AD951" s="18"/>
    </row>
    <row r="952">
      <c r="A952" s="37"/>
      <c r="B952" s="33"/>
      <c r="C952" s="139"/>
      <c r="D952" s="139"/>
      <c r="E952" s="3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8"/>
      <c r="AD952" s="18"/>
    </row>
    <row r="953">
      <c r="A953" s="37"/>
      <c r="B953" s="33"/>
      <c r="C953" s="139"/>
      <c r="D953" s="139"/>
      <c r="E953" s="3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8"/>
      <c r="AD953" s="18"/>
    </row>
    <row r="954">
      <c r="A954" s="37"/>
      <c r="B954" s="33"/>
      <c r="C954" s="139"/>
      <c r="D954" s="139"/>
      <c r="E954" s="3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8"/>
      <c r="AD954" s="18"/>
    </row>
    <row r="955">
      <c r="A955" s="37"/>
      <c r="B955" s="33"/>
      <c r="C955" s="139"/>
      <c r="D955" s="139"/>
      <c r="E955" s="3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8"/>
      <c r="AD955" s="18"/>
    </row>
    <row r="956">
      <c r="A956" s="37"/>
      <c r="B956" s="33"/>
      <c r="C956" s="139"/>
      <c r="D956" s="139"/>
      <c r="E956" s="33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8"/>
      <c r="AD956" s="18"/>
    </row>
    <row r="957">
      <c r="A957" s="37"/>
      <c r="B957" s="33"/>
      <c r="C957" s="139"/>
      <c r="D957" s="139"/>
      <c r="E957" s="33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8"/>
      <c r="AD957" s="18"/>
    </row>
    <row r="958">
      <c r="A958" s="37"/>
      <c r="B958" s="33"/>
      <c r="C958" s="139"/>
      <c r="D958" s="139"/>
      <c r="E958" s="33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8"/>
      <c r="AD958" s="18"/>
    </row>
    <row r="959">
      <c r="A959" s="37"/>
      <c r="B959" s="33"/>
      <c r="C959" s="139"/>
      <c r="D959" s="139"/>
      <c r="E959" s="33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8"/>
      <c r="AD959" s="18"/>
    </row>
    <row r="960">
      <c r="A960" s="37"/>
      <c r="B960" s="33"/>
      <c r="C960" s="139"/>
      <c r="D960" s="139"/>
      <c r="E960" s="33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8"/>
      <c r="AD960" s="18"/>
    </row>
    <row r="961">
      <c r="A961" s="37"/>
      <c r="B961" s="33"/>
      <c r="C961" s="139"/>
      <c r="D961" s="139"/>
      <c r="E961" s="33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8"/>
      <c r="AD961" s="18"/>
    </row>
    <row r="962">
      <c r="A962" s="37"/>
      <c r="B962" s="33"/>
      <c r="C962" s="139"/>
      <c r="D962" s="139"/>
      <c r="E962" s="33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8"/>
      <c r="AD962" s="18"/>
    </row>
    <row r="963">
      <c r="A963" s="37"/>
      <c r="B963" s="33"/>
      <c r="C963" s="139"/>
      <c r="D963" s="139"/>
      <c r="E963" s="33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8"/>
      <c r="AD963" s="18"/>
    </row>
    <row r="964">
      <c r="A964" s="37"/>
      <c r="B964" s="33"/>
      <c r="C964" s="139"/>
      <c r="D964" s="139"/>
      <c r="E964" s="33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8"/>
      <c r="AD964" s="18"/>
    </row>
    <row r="965">
      <c r="A965" s="37"/>
      <c r="B965" s="33"/>
      <c r="C965" s="139"/>
      <c r="D965" s="139"/>
      <c r="E965" s="33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8"/>
      <c r="AD965" s="18"/>
    </row>
    <row r="966">
      <c r="A966" s="37"/>
      <c r="B966" s="33"/>
      <c r="C966" s="139"/>
      <c r="D966" s="139"/>
      <c r="E966" s="33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8"/>
      <c r="AD966" s="18"/>
    </row>
    <row r="967">
      <c r="A967" s="37"/>
      <c r="B967" s="33"/>
      <c r="C967" s="139"/>
      <c r="D967" s="139"/>
      <c r="E967" s="33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8"/>
      <c r="AD967" s="18"/>
    </row>
    <row r="968">
      <c r="A968" s="37"/>
      <c r="B968" s="33"/>
      <c r="C968" s="139"/>
      <c r="D968" s="139"/>
      <c r="E968" s="33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8"/>
      <c r="AD968" s="18"/>
    </row>
    <row r="969">
      <c r="A969" s="37"/>
      <c r="B969" s="33"/>
      <c r="C969" s="139"/>
      <c r="D969" s="139"/>
      <c r="E969" s="33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8"/>
      <c r="AD969" s="18"/>
    </row>
    <row r="970">
      <c r="A970" s="37"/>
      <c r="B970" s="33"/>
      <c r="C970" s="139"/>
      <c r="D970" s="139"/>
      <c r="E970" s="33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8"/>
      <c r="AD970" s="18"/>
    </row>
    <row r="971">
      <c r="A971" s="37"/>
      <c r="B971" s="33"/>
      <c r="C971" s="139"/>
      <c r="D971" s="139"/>
      <c r="E971" s="33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8"/>
      <c r="AD971" s="18"/>
    </row>
    <row r="972">
      <c r="A972" s="37"/>
      <c r="B972" s="33"/>
      <c r="C972" s="139"/>
      <c r="D972" s="139"/>
      <c r="E972" s="33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8"/>
      <c r="AD972" s="18"/>
    </row>
    <row r="973">
      <c r="A973" s="37"/>
      <c r="B973" s="33"/>
      <c r="C973" s="139"/>
      <c r="D973" s="139"/>
      <c r="E973" s="33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8"/>
      <c r="AD973" s="18"/>
    </row>
    <row r="974">
      <c r="A974" s="37"/>
      <c r="B974" s="33"/>
      <c r="C974" s="139"/>
      <c r="D974" s="139"/>
      <c r="E974" s="33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8"/>
      <c r="AD974" s="18"/>
    </row>
    <row r="975">
      <c r="A975" s="37"/>
      <c r="B975" s="33"/>
      <c r="C975" s="139"/>
      <c r="D975" s="139"/>
      <c r="E975" s="33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8"/>
      <c r="AD975" s="18"/>
    </row>
    <row r="976">
      <c r="A976" s="37"/>
      <c r="B976" s="33"/>
      <c r="C976" s="139"/>
      <c r="D976" s="139"/>
      <c r="E976" s="33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8"/>
      <c r="AD976" s="18"/>
    </row>
    <row r="977">
      <c r="A977" s="37"/>
      <c r="B977" s="33"/>
      <c r="C977" s="139"/>
      <c r="D977" s="139"/>
      <c r="E977" s="33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8"/>
      <c r="AD977" s="18"/>
    </row>
    <row r="978">
      <c r="A978" s="37"/>
      <c r="B978" s="33"/>
      <c r="C978" s="139"/>
      <c r="D978" s="139"/>
      <c r="E978" s="33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8"/>
      <c r="AD978" s="18"/>
    </row>
    <row r="979">
      <c r="A979" s="37"/>
      <c r="B979" s="33"/>
      <c r="C979" s="139"/>
      <c r="D979" s="139"/>
      <c r="E979" s="33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8"/>
      <c r="AD979" s="18"/>
    </row>
    <row r="980">
      <c r="A980" s="37"/>
      <c r="B980" s="33"/>
      <c r="C980" s="139"/>
      <c r="D980" s="139"/>
      <c r="E980" s="33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8"/>
      <c r="AD980" s="18"/>
    </row>
    <row r="981">
      <c r="A981" s="37"/>
      <c r="B981" s="33"/>
      <c r="C981" s="139"/>
      <c r="D981" s="139"/>
      <c r="E981" s="33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8"/>
      <c r="AD981" s="18"/>
    </row>
    <row r="982">
      <c r="A982" s="37"/>
      <c r="B982" s="33"/>
      <c r="C982" s="139"/>
      <c r="D982" s="139"/>
      <c r="E982" s="33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8"/>
      <c r="AD982" s="18"/>
    </row>
    <row r="983">
      <c r="A983" s="37"/>
      <c r="B983" s="33"/>
      <c r="C983" s="139"/>
      <c r="D983" s="139"/>
      <c r="E983" s="33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8"/>
      <c r="AD983" s="18"/>
    </row>
    <row r="984">
      <c r="A984" s="37"/>
      <c r="B984" s="33"/>
      <c r="C984" s="139"/>
      <c r="D984" s="139"/>
      <c r="E984" s="33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8"/>
      <c r="AD984" s="18"/>
    </row>
    <row r="985">
      <c r="A985" s="37"/>
      <c r="B985" s="33"/>
      <c r="C985" s="139"/>
      <c r="D985" s="139"/>
      <c r="E985" s="33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8"/>
      <c r="AD985" s="18"/>
    </row>
    <row r="986">
      <c r="A986" s="37"/>
      <c r="B986" s="33"/>
      <c r="C986" s="139"/>
      <c r="D986" s="139"/>
      <c r="E986" s="33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8"/>
      <c r="AD986" s="18"/>
    </row>
    <row r="987">
      <c r="A987" s="37"/>
      <c r="B987" s="33"/>
      <c r="C987" s="139"/>
      <c r="D987" s="139"/>
      <c r="E987" s="33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8"/>
      <c r="AD987" s="18"/>
    </row>
    <row r="988">
      <c r="A988" s="37"/>
      <c r="B988" s="33"/>
      <c r="C988" s="139"/>
      <c r="D988" s="139"/>
      <c r="E988" s="33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8"/>
      <c r="AD988" s="18"/>
    </row>
    <row r="989">
      <c r="A989" s="37"/>
      <c r="B989" s="33"/>
      <c r="C989" s="139"/>
      <c r="D989" s="139"/>
      <c r="E989" s="33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8"/>
      <c r="AD989" s="18"/>
    </row>
    <row r="990">
      <c r="A990" s="37"/>
      <c r="B990" s="33"/>
      <c r="C990" s="139"/>
      <c r="D990" s="139"/>
      <c r="E990" s="33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8"/>
      <c r="AD990" s="18"/>
    </row>
    <row r="991">
      <c r="A991" s="37"/>
      <c r="B991" s="33"/>
      <c r="C991" s="139"/>
      <c r="D991" s="139"/>
      <c r="E991" s="33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8"/>
      <c r="AD991" s="18"/>
    </row>
    <row r="992">
      <c r="A992" s="37"/>
      <c r="B992" s="33"/>
      <c r="C992" s="139"/>
      <c r="D992" s="139"/>
      <c r="E992" s="33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8"/>
      <c r="AD992" s="18"/>
    </row>
    <row r="993">
      <c r="A993" s="37"/>
      <c r="B993" s="33"/>
      <c r="C993" s="139"/>
      <c r="D993" s="139"/>
      <c r="E993" s="33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8"/>
      <c r="AD993" s="18"/>
    </row>
    <row r="994">
      <c r="A994" s="37"/>
      <c r="B994" s="33"/>
      <c r="C994" s="139"/>
      <c r="D994" s="139"/>
      <c r="E994" s="33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8"/>
      <c r="AD994" s="18"/>
    </row>
    <row r="995">
      <c r="A995" s="37"/>
      <c r="B995" s="33"/>
      <c r="C995" s="139"/>
      <c r="D995" s="139"/>
      <c r="E995" s="33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8"/>
      <c r="AD995" s="18"/>
    </row>
    <row r="996">
      <c r="A996" s="37"/>
      <c r="B996" s="33"/>
      <c r="C996" s="139"/>
      <c r="D996" s="139"/>
      <c r="E996" s="33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8"/>
      <c r="AD996" s="18"/>
    </row>
    <row r="997">
      <c r="A997" s="37"/>
      <c r="B997" s="33"/>
      <c r="C997" s="139"/>
      <c r="D997" s="139"/>
      <c r="E997" s="33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8"/>
      <c r="AD997" s="18"/>
    </row>
    <row r="998">
      <c r="A998" s="37"/>
      <c r="B998" s="33"/>
      <c r="C998" s="139"/>
      <c r="D998" s="139"/>
      <c r="E998" s="33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8"/>
      <c r="AD998" s="18"/>
    </row>
    <row r="999">
      <c r="A999" s="37"/>
      <c r="B999" s="33"/>
      <c r="C999" s="139"/>
      <c r="D999" s="139"/>
      <c r="E999" s="33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8"/>
      <c r="AD999" s="18"/>
    </row>
    <row r="1000">
      <c r="A1000" s="37"/>
      <c r="B1000" s="33"/>
      <c r="C1000" s="139"/>
      <c r="D1000" s="139"/>
      <c r="E1000" s="33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8"/>
      <c r="AD1000" s="18"/>
    </row>
    <row r="1001">
      <c r="A1001" s="37"/>
      <c r="B1001" s="33"/>
      <c r="C1001" s="139"/>
      <c r="D1001" s="139"/>
      <c r="E1001" s="33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8"/>
      <c r="AD1001" s="18"/>
    </row>
    <row r="1002">
      <c r="A1002" s="37"/>
      <c r="B1002" s="33"/>
      <c r="C1002" s="139"/>
      <c r="D1002" s="139"/>
      <c r="E1002" s="33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8"/>
      <c r="AD1002" s="18"/>
    </row>
    <row r="1003">
      <c r="A1003" s="37"/>
      <c r="B1003" s="33"/>
      <c r="C1003" s="139"/>
      <c r="D1003" s="139"/>
      <c r="E1003" s="33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8"/>
      <c r="AD1003" s="18"/>
    </row>
    <row r="1004">
      <c r="A1004" s="37"/>
      <c r="B1004" s="33"/>
      <c r="C1004" s="139"/>
      <c r="D1004" s="139"/>
      <c r="E1004" s="33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8"/>
      <c r="AD1004" s="18"/>
    </row>
    <row r="1005">
      <c r="A1005" s="37"/>
      <c r="B1005" s="33"/>
      <c r="C1005" s="139"/>
      <c r="D1005" s="139"/>
      <c r="E1005" s="33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8"/>
      <c r="AD1005" s="18"/>
    </row>
    <row r="1006">
      <c r="A1006" s="37"/>
      <c r="B1006" s="33"/>
      <c r="C1006" s="139"/>
      <c r="D1006" s="139"/>
      <c r="E1006" s="33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8"/>
      <c r="AD1006" s="18"/>
    </row>
    <row r="1007">
      <c r="A1007" s="37"/>
      <c r="B1007" s="33"/>
      <c r="C1007" s="139"/>
      <c r="D1007" s="139"/>
      <c r="E1007" s="33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8"/>
      <c r="AD1007" s="18"/>
    </row>
    <row r="1008">
      <c r="A1008" s="37"/>
      <c r="B1008" s="33"/>
      <c r="C1008" s="139"/>
      <c r="D1008" s="139"/>
      <c r="E1008" s="33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8"/>
      <c r="AD1008" s="18"/>
    </row>
    <row r="1009">
      <c r="A1009" s="37"/>
      <c r="B1009" s="33"/>
      <c r="C1009" s="139"/>
      <c r="D1009" s="139"/>
      <c r="E1009" s="33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8"/>
      <c r="AD1009" s="18"/>
    </row>
    <row r="1010">
      <c r="A1010" s="37"/>
      <c r="B1010" s="33"/>
      <c r="C1010" s="139"/>
      <c r="D1010" s="139"/>
      <c r="E1010" s="33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8"/>
      <c r="AD1010" s="18"/>
    </row>
    <row r="1011">
      <c r="A1011" s="37"/>
      <c r="B1011" s="33"/>
      <c r="C1011" s="139"/>
      <c r="D1011" s="139"/>
      <c r="E1011" s="33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8"/>
      <c r="AD1011" s="18"/>
    </row>
    <row r="1012">
      <c r="A1012" s="37"/>
      <c r="B1012" s="33"/>
      <c r="C1012" s="139"/>
      <c r="D1012" s="139"/>
      <c r="E1012" s="33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8"/>
      <c r="AD1012" s="18"/>
    </row>
    <row r="1013">
      <c r="A1013" s="37"/>
      <c r="B1013" s="33"/>
      <c r="C1013" s="139"/>
      <c r="D1013" s="139"/>
      <c r="E1013" s="33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8"/>
      <c r="AD1013" s="18"/>
    </row>
    <row r="1014">
      <c r="A1014" s="37"/>
      <c r="B1014" s="33"/>
      <c r="C1014" s="139"/>
      <c r="D1014" s="139"/>
      <c r="E1014" s="33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8"/>
      <c r="AD1014" s="18"/>
    </row>
    <row r="1015">
      <c r="A1015" s="37"/>
      <c r="B1015" s="33"/>
      <c r="C1015" s="139"/>
      <c r="D1015" s="139"/>
      <c r="E1015" s="33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8"/>
      <c r="AD1015" s="18"/>
    </row>
    <row r="1016">
      <c r="A1016" s="37"/>
      <c r="B1016" s="33"/>
      <c r="C1016" s="139"/>
      <c r="D1016" s="139"/>
      <c r="E1016" s="33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8"/>
      <c r="AD1016" s="18"/>
    </row>
    <row r="1017">
      <c r="A1017" s="37"/>
      <c r="B1017" s="33"/>
      <c r="C1017" s="139"/>
      <c r="D1017" s="139"/>
      <c r="E1017" s="33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8"/>
      <c r="AD1017" s="18"/>
    </row>
    <row r="1018">
      <c r="A1018" s="37"/>
      <c r="B1018" s="33"/>
      <c r="C1018" s="139"/>
      <c r="D1018" s="139"/>
      <c r="E1018" s="33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8"/>
      <c r="AD1018" s="18"/>
    </row>
    <row r="1019">
      <c r="A1019" s="37"/>
      <c r="B1019" s="33"/>
      <c r="C1019" s="139"/>
      <c r="D1019" s="139"/>
      <c r="E1019" s="33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8"/>
      <c r="AD1019" s="18"/>
    </row>
    <row r="1020">
      <c r="A1020" s="37"/>
      <c r="B1020" s="33"/>
      <c r="C1020" s="139"/>
      <c r="D1020" s="139"/>
      <c r="E1020" s="33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8"/>
      <c r="AD1020" s="18"/>
    </row>
    <row r="1021">
      <c r="A1021" s="37"/>
      <c r="B1021" s="33"/>
      <c r="C1021" s="139"/>
      <c r="D1021" s="139"/>
      <c r="E1021" s="33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8"/>
      <c r="AD1021" s="18"/>
    </row>
    <row r="1022">
      <c r="A1022" s="37"/>
      <c r="B1022" s="33"/>
      <c r="C1022" s="139"/>
      <c r="D1022" s="139"/>
      <c r="E1022" s="33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8"/>
      <c r="AD1022" s="18"/>
    </row>
    <row r="1023">
      <c r="A1023" s="37"/>
      <c r="B1023" s="33"/>
      <c r="C1023" s="139"/>
      <c r="D1023" s="139"/>
      <c r="E1023" s="33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8"/>
      <c r="AD1023" s="18"/>
    </row>
    <row r="1024">
      <c r="A1024" s="37"/>
      <c r="B1024" s="33"/>
      <c r="C1024" s="139"/>
      <c r="D1024" s="139"/>
      <c r="E1024" s="33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8"/>
      <c r="AD1024" s="18"/>
    </row>
    <row r="1025">
      <c r="A1025" s="37"/>
      <c r="B1025" s="33"/>
      <c r="C1025" s="139"/>
      <c r="D1025" s="139"/>
      <c r="E1025" s="33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8"/>
      <c r="AD1025" s="18"/>
    </row>
    <row r="1026">
      <c r="A1026" s="37"/>
      <c r="B1026" s="33"/>
      <c r="C1026" s="139"/>
      <c r="D1026" s="139"/>
      <c r="E1026" s="33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8"/>
      <c r="AD1026" s="18"/>
    </row>
    <row r="1027">
      <c r="A1027" s="37"/>
      <c r="B1027" s="33"/>
      <c r="C1027" s="139"/>
      <c r="D1027" s="139"/>
      <c r="E1027" s="33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8"/>
      <c r="AD1027" s="18"/>
    </row>
    <row r="1028">
      <c r="A1028" s="37"/>
      <c r="B1028" s="33"/>
      <c r="C1028" s="139"/>
      <c r="D1028" s="139"/>
      <c r="E1028" s="33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8"/>
      <c r="AD1028" s="18"/>
    </row>
    <row r="1029">
      <c r="A1029" s="37"/>
      <c r="B1029" s="33"/>
      <c r="C1029" s="139"/>
      <c r="D1029" s="139"/>
      <c r="E1029" s="33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8"/>
      <c r="AD1029" s="18"/>
    </row>
    <row r="1030">
      <c r="A1030" s="37"/>
      <c r="B1030" s="33"/>
      <c r="C1030" s="139"/>
      <c r="D1030" s="139"/>
      <c r="E1030" s="33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8"/>
      <c r="AD1030" s="18"/>
    </row>
    <row r="1031">
      <c r="A1031" s="37"/>
      <c r="B1031" s="33"/>
      <c r="C1031" s="139"/>
      <c r="D1031" s="139"/>
      <c r="E1031" s="33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8"/>
      <c r="AD1031" s="18"/>
    </row>
    <row r="1032">
      <c r="A1032" s="37"/>
      <c r="B1032" s="33"/>
      <c r="C1032" s="139"/>
      <c r="D1032" s="139"/>
      <c r="E1032" s="33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8"/>
      <c r="AD1032" s="18"/>
    </row>
    <row r="1033">
      <c r="A1033" s="37"/>
      <c r="B1033" s="33"/>
      <c r="C1033" s="139"/>
      <c r="D1033" s="139"/>
      <c r="E1033" s="33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8"/>
      <c r="AD1033" s="18"/>
    </row>
    <row r="1034">
      <c r="A1034" s="37"/>
      <c r="B1034" s="33"/>
      <c r="C1034" s="139"/>
      <c r="D1034" s="139"/>
      <c r="E1034" s="33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8"/>
      <c r="AD1034" s="18"/>
    </row>
    <row r="1035">
      <c r="A1035" s="37"/>
      <c r="B1035" s="33"/>
      <c r="C1035" s="139"/>
      <c r="D1035" s="139"/>
      <c r="E1035" s="33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8"/>
      <c r="AD1035" s="18"/>
    </row>
    <row r="1036">
      <c r="A1036" s="37"/>
      <c r="B1036" s="33"/>
      <c r="C1036" s="139"/>
      <c r="D1036" s="139"/>
      <c r="E1036" s="33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8"/>
      <c r="AD1036" s="18"/>
    </row>
    <row r="1037">
      <c r="A1037" s="37"/>
      <c r="B1037" s="33"/>
      <c r="C1037" s="139"/>
      <c r="D1037" s="139"/>
      <c r="E1037" s="33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8"/>
      <c r="AD1037" s="18"/>
    </row>
    <row r="1038">
      <c r="A1038" s="37"/>
      <c r="B1038" s="33"/>
      <c r="C1038" s="139"/>
      <c r="D1038" s="139"/>
      <c r="E1038" s="33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8"/>
      <c r="AD1038" s="18"/>
    </row>
    <row r="1039">
      <c r="A1039" s="37"/>
      <c r="B1039" s="33"/>
      <c r="C1039" s="139"/>
      <c r="D1039" s="139"/>
      <c r="E1039" s="33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8"/>
      <c r="AD1039" s="18"/>
    </row>
    <row r="1040">
      <c r="A1040" s="37"/>
      <c r="B1040" s="33"/>
      <c r="C1040" s="139"/>
      <c r="D1040" s="139"/>
      <c r="E1040" s="33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8"/>
      <c r="AD1040" s="18"/>
    </row>
    <row r="1041">
      <c r="A1041" s="37"/>
      <c r="B1041" s="33"/>
      <c r="C1041" s="139"/>
      <c r="D1041" s="139"/>
      <c r="E1041" s="33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8"/>
      <c r="AD1041" s="18"/>
    </row>
    <row r="1042">
      <c r="A1042" s="37"/>
      <c r="B1042" s="33"/>
      <c r="C1042" s="139"/>
      <c r="D1042" s="139"/>
      <c r="E1042" s="33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8"/>
      <c r="AD1042" s="18"/>
    </row>
    <row r="1043">
      <c r="A1043" s="37"/>
      <c r="B1043" s="33"/>
      <c r="C1043" s="139"/>
      <c r="D1043" s="139"/>
      <c r="E1043" s="33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8"/>
      <c r="AD1043" s="18"/>
    </row>
    <row r="1044">
      <c r="A1044" s="37"/>
      <c r="B1044" s="33"/>
      <c r="C1044" s="139"/>
      <c r="D1044" s="139"/>
      <c r="E1044" s="33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8"/>
      <c r="AD1044" s="18"/>
    </row>
    <row r="1045">
      <c r="A1045" s="37"/>
      <c r="B1045" s="33"/>
      <c r="C1045" s="139"/>
      <c r="D1045" s="139"/>
      <c r="E1045" s="33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8"/>
      <c r="AD1045" s="18"/>
    </row>
    <row r="1046">
      <c r="A1046" s="37"/>
      <c r="B1046" s="33"/>
      <c r="C1046" s="139"/>
      <c r="D1046" s="139"/>
      <c r="E1046" s="33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8"/>
      <c r="AD1046" s="18"/>
    </row>
    <row r="1047">
      <c r="A1047" s="37"/>
      <c r="B1047" s="33"/>
      <c r="C1047" s="139"/>
      <c r="D1047" s="139"/>
      <c r="E1047" s="33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8"/>
      <c r="AD1047" s="18"/>
    </row>
    <row r="1048">
      <c r="A1048" s="37"/>
      <c r="B1048" s="33"/>
      <c r="C1048" s="139"/>
      <c r="D1048" s="139"/>
      <c r="E1048" s="33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8"/>
      <c r="AD1048" s="18"/>
    </row>
    <row r="1049">
      <c r="A1049" s="7"/>
      <c r="B1049" s="7"/>
      <c r="C1049" s="140"/>
      <c r="D1049" s="140"/>
      <c r="E1049" s="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8"/>
      <c r="AD1049" s="18"/>
    </row>
    <row r="1050">
      <c r="A1050" s="7"/>
      <c r="B1050" s="7"/>
      <c r="C1050" s="140"/>
      <c r="D1050" s="140"/>
      <c r="E1050" s="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8"/>
      <c r="AD1050" s="18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21.5"/>
    <col customWidth="1" min="4" max="4" width="9.63"/>
    <col customWidth="1" min="5" max="5" width="30.5"/>
    <col customWidth="1" min="7" max="7" width="106.63"/>
  </cols>
  <sheetData>
    <row r="1">
      <c r="A1" s="64"/>
      <c r="B1" s="63"/>
      <c r="C1" s="63"/>
      <c r="D1" s="63"/>
      <c r="E1" s="63"/>
      <c r="F1" s="63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</row>
    <row r="2">
      <c r="A2" s="141" t="s">
        <v>261</v>
      </c>
      <c r="B2" s="142" t="s">
        <v>1</v>
      </c>
      <c r="C2" s="143" t="s">
        <v>2</v>
      </c>
      <c r="D2" s="144" t="s">
        <v>3</v>
      </c>
      <c r="E2" s="4" t="s">
        <v>4</v>
      </c>
      <c r="F2" s="1" t="s">
        <v>5</v>
      </c>
      <c r="G2" s="36" t="s">
        <v>6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</row>
    <row r="3">
      <c r="A3" s="37" t="s">
        <v>262</v>
      </c>
      <c r="B3" s="145"/>
      <c r="C3" s="146"/>
      <c r="D3" s="74"/>
      <c r="E3" s="11">
        <v>80000.0</v>
      </c>
      <c r="F3" s="85"/>
      <c r="G3" s="85" t="s">
        <v>263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</row>
    <row r="4">
      <c r="A4" s="9" t="s">
        <v>264</v>
      </c>
      <c r="B4" s="145"/>
      <c r="C4" s="146"/>
      <c r="D4" s="74"/>
      <c r="E4" s="30" t="s">
        <v>265</v>
      </c>
      <c r="F4" s="85"/>
      <c r="G4" s="85" t="s">
        <v>266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</row>
    <row r="5">
      <c r="A5" s="37" t="s">
        <v>267</v>
      </c>
      <c r="B5" s="145"/>
      <c r="C5" s="146"/>
      <c r="D5" s="74"/>
      <c r="E5" s="30" t="s">
        <v>265</v>
      </c>
      <c r="F5" s="85"/>
      <c r="G5" s="85" t="s">
        <v>268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</row>
    <row r="6">
      <c r="A6" s="37" t="s">
        <v>269</v>
      </c>
      <c r="B6" s="145"/>
      <c r="C6" s="146"/>
      <c r="D6" s="74"/>
      <c r="E6" s="11">
        <v>100000.0</v>
      </c>
      <c r="F6" s="85"/>
      <c r="G6" s="39" t="s">
        <v>270</v>
      </c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</row>
    <row r="7">
      <c r="A7" s="37" t="s">
        <v>271</v>
      </c>
      <c r="B7" s="145"/>
      <c r="C7" s="146"/>
      <c r="D7" s="74"/>
      <c r="E7" s="11">
        <v>250000.0</v>
      </c>
      <c r="F7" s="85"/>
      <c r="G7" s="39" t="s">
        <v>272</v>
      </c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</row>
    <row r="8">
      <c r="A8" s="37" t="s">
        <v>273</v>
      </c>
      <c r="B8" s="145"/>
      <c r="C8" s="146"/>
      <c r="D8" s="74"/>
      <c r="E8" s="11">
        <f>75000/1.19</f>
        <v>63025.21008</v>
      </c>
      <c r="F8" s="85"/>
      <c r="G8" s="85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</row>
    <row r="9">
      <c r="A9" s="37" t="s">
        <v>274</v>
      </c>
      <c r="B9" s="145"/>
      <c r="C9" s="146"/>
      <c r="D9" s="74"/>
      <c r="E9" s="11">
        <v>12605.0</v>
      </c>
      <c r="F9" s="85"/>
      <c r="G9" s="85" t="s">
        <v>275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</row>
    <row r="10">
      <c r="A10" s="9" t="s">
        <v>276</v>
      </c>
      <c r="B10" s="145"/>
      <c r="C10" s="146"/>
      <c r="D10" s="74"/>
      <c r="E10" s="11">
        <f>50000/1.19</f>
        <v>42016.80672</v>
      </c>
      <c r="F10" s="85"/>
      <c r="G10" s="85" t="s">
        <v>277</v>
      </c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</row>
    <row r="11">
      <c r="A11" s="147" t="s">
        <v>278</v>
      </c>
      <c r="B11" s="147"/>
      <c r="C11" s="148"/>
      <c r="D11" s="149"/>
      <c r="E11" s="150" t="s">
        <v>279</v>
      </c>
      <c r="F11" s="147"/>
      <c r="G11" s="147" t="s">
        <v>280</v>
      </c>
      <c r="H11" s="151"/>
      <c r="I11" s="152"/>
      <c r="J11" s="153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54"/>
      <c r="AC11" s="155"/>
      <c r="AD11" s="155"/>
    </row>
    <row r="12">
      <c r="A12" s="147" t="s">
        <v>281</v>
      </c>
      <c r="B12" s="147"/>
      <c r="C12" s="148"/>
      <c r="D12" s="149"/>
      <c r="E12" s="150" t="s">
        <v>282</v>
      </c>
      <c r="F12" s="147"/>
      <c r="G12" s="147" t="s">
        <v>283</v>
      </c>
      <c r="H12" s="151"/>
      <c r="I12" s="152"/>
      <c r="J12" s="153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54"/>
      <c r="AC12" s="155"/>
      <c r="AD12" s="155"/>
    </row>
    <row r="13">
      <c r="A13" s="156" t="s">
        <v>284</v>
      </c>
      <c r="B13" s="157"/>
      <c r="C13" s="158"/>
      <c r="D13" s="158"/>
      <c r="E13" s="159" t="s">
        <v>285</v>
      </c>
      <c r="F13" s="158"/>
      <c r="G13" s="160" t="s">
        <v>286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</row>
    <row r="14">
      <c r="A14" s="156" t="s">
        <v>287</v>
      </c>
      <c r="B14" s="161" t="s">
        <v>288</v>
      </c>
      <c r="C14" s="158">
        <v>0.0</v>
      </c>
      <c r="D14" s="158">
        <v>0.0</v>
      </c>
      <c r="E14" s="159">
        <v>23109.0</v>
      </c>
      <c r="F14" s="158" t="s">
        <v>289</v>
      </c>
      <c r="G14" s="160" t="s">
        <v>290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</row>
    <row r="15">
      <c r="A15" s="156" t="s">
        <v>291</v>
      </c>
      <c r="B15" s="161" t="s">
        <v>288</v>
      </c>
      <c r="C15" s="158"/>
      <c r="D15" s="158">
        <v>0.0</v>
      </c>
      <c r="E15" s="159">
        <v>0.0</v>
      </c>
      <c r="F15" s="158">
        <v>0.0</v>
      </c>
      <c r="G15" s="160" t="s">
        <v>290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</row>
    <row r="16">
      <c r="A16" s="156" t="s">
        <v>292</v>
      </c>
      <c r="B16" s="156"/>
      <c r="C16" s="156"/>
      <c r="D16" s="156"/>
      <c r="E16" s="162" t="s">
        <v>293</v>
      </c>
      <c r="F16" s="158"/>
      <c r="G16" s="160" t="s">
        <v>294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</row>
    <row r="17">
      <c r="A17" s="156" t="s">
        <v>295</v>
      </c>
      <c r="B17" s="156"/>
      <c r="C17" s="156"/>
      <c r="D17" s="156"/>
      <c r="E17" s="150">
        <v>250000.0</v>
      </c>
      <c r="F17" s="158"/>
      <c r="G17" s="160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</row>
    <row r="18">
      <c r="A18" s="156" t="s">
        <v>296</v>
      </c>
      <c r="B18" s="156"/>
      <c r="C18" s="156"/>
      <c r="D18" s="156"/>
      <c r="E18" s="150">
        <v>30000.0</v>
      </c>
      <c r="F18" s="158"/>
      <c r="G18" s="160" t="s">
        <v>297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</row>
    <row r="19">
      <c r="A19" s="156" t="s">
        <v>298</v>
      </c>
      <c r="B19" s="156"/>
      <c r="C19" s="156"/>
      <c r="D19" s="156"/>
      <c r="E19" s="150">
        <v>250000.0</v>
      </c>
      <c r="F19" s="158"/>
      <c r="G19" s="160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</row>
    <row r="20">
      <c r="A20" s="156" t="s">
        <v>299</v>
      </c>
      <c r="B20" s="156"/>
      <c r="C20" s="156"/>
      <c r="D20" s="156"/>
      <c r="E20" s="150">
        <v>300000.0</v>
      </c>
      <c r="F20" s="158"/>
      <c r="G20" s="160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</row>
    <row r="21">
      <c r="A21" s="64"/>
      <c r="B21" s="163"/>
      <c r="C21" s="163"/>
      <c r="D21" s="163"/>
      <c r="E21" s="163"/>
      <c r="F21" s="163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</row>
    <row r="22">
      <c r="A22" s="141" t="s">
        <v>300</v>
      </c>
      <c r="B22" s="142" t="s">
        <v>1</v>
      </c>
      <c r="C22" s="143" t="s">
        <v>2</v>
      </c>
      <c r="D22" s="144" t="s">
        <v>3</v>
      </c>
      <c r="E22" s="4" t="s">
        <v>4</v>
      </c>
      <c r="F22" s="1" t="s">
        <v>5</v>
      </c>
      <c r="G22" s="36" t="s">
        <v>6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</row>
    <row r="23">
      <c r="A23" s="164" t="s">
        <v>301</v>
      </c>
      <c r="B23" s="19"/>
      <c r="C23" s="19"/>
      <c r="D23" s="19"/>
      <c r="E23" s="165" t="s">
        <v>302</v>
      </c>
      <c r="F23" s="19"/>
      <c r="G23" s="14" t="s">
        <v>303</v>
      </c>
      <c r="H23" s="17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</row>
    <row r="24">
      <c r="A24" s="166" t="s">
        <v>304</v>
      </c>
      <c r="B24" s="19"/>
      <c r="C24" s="19"/>
      <c r="D24" s="19"/>
      <c r="E24" s="165" t="s">
        <v>305</v>
      </c>
      <c r="F24" s="19"/>
      <c r="G24" s="14" t="s">
        <v>306</v>
      </c>
      <c r="H24" s="17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</row>
    <row r="25">
      <c r="A25" s="166" t="s">
        <v>307</v>
      </c>
      <c r="B25" s="167" t="s">
        <v>308</v>
      </c>
      <c r="C25" s="19"/>
      <c r="D25" s="19"/>
      <c r="E25" s="165" t="s">
        <v>305</v>
      </c>
      <c r="F25" s="19"/>
      <c r="G25" s="14" t="s">
        <v>309</v>
      </c>
      <c r="H25" s="17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</row>
    <row r="26">
      <c r="A26" s="166" t="s">
        <v>310</v>
      </c>
      <c r="B26" s="19"/>
      <c r="C26" s="19"/>
      <c r="D26" s="168"/>
      <c r="E26" s="165" t="s">
        <v>305</v>
      </c>
      <c r="F26" s="19"/>
      <c r="G26" s="167" t="s">
        <v>311</v>
      </c>
      <c r="H26" s="17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</row>
    <row r="27">
      <c r="A27" s="166" t="s">
        <v>312</v>
      </c>
      <c r="B27" s="19"/>
      <c r="C27" s="19"/>
      <c r="D27" s="168"/>
      <c r="E27" s="165" t="s">
        <v>305</v>
      </c>
      <c r="F27" s="19"/>
      <c r="G27" s="167" t="s">
        <v>313</v>
      </c>
      <c r="H27" s="17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</row>
    <row r="28">
      <c r="A28" s="166" t="s">
        <v>314</v>
      </c>
      <c r="B28" s="19"/>
      <c r="C28" s="19"/>
      <c r="D28" s="19"/>
      <c r="E28" s="165" t="s">
        <v>315</v>
      </c>
      <c r="F28" s="19"/>
      <c r="G28" s="14" t="s">
        <v>316</v>
      </c>
      <c r="H28" s="17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</row>
    <row r="29">
      <c r="A29" s="164" t="s">
        <v>317</v>
      </c>
      <c r="B29" s="19"/>
      <c r="C29" s="19"/>
      <c r="D29" s="19"/>
      <c r="E29" s="165" t="s">
        <v>302</v>
      </c>
      <c r="F29" s="19"/>
      <c r="G29" s="167" t="s">
        <v>313</v>
      </c>
      <c r="H29" s="17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</row>
    <row r="30">
      <c r="A30" s="164" t="s">
        <v>318</v>
      </c>
      <c r="B30" s="19"/>
      <c r="C30" s="19"/>
      <c r="D30" s="19"/>
      <c r="E30" s="165" t="s">
        <v>305</v>
      </c>
      <c r="F30" s="19"/>
      <c r="G30" s="14"/>
      <c r="H30" s="17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</row>
    <row r="31">
      <c r="A31" s="169" t="s">
        <v>319</v>
      </c>
      <c r="B31" s="19"/>
      <c r="C31" s="19"/>
      <c r="D31" s="19"/>
      <c r="E31" s="165" t="s">
        <v>320</v>
      </c>
      <c r="F31" s="168"/>
      <c r="G31" s="19"/>
      <c r="H31" s="17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</row>
    <row r="32">
      <c r="A32" s="164" t="s">
        <v>321</v>
      </c>
      <c r="B32" s="19"/>
      <c r="C32" s="19"/>
      <c r="D32" s="19"/>
      <c r="E32" s="165" t="s">
        <v>305</v>
      </c>
      <c r="F32" s="19"/>
      <c r="G32" s="14"/>
      <c r="H32" s="17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</row>
    <row r="33">
      <c r="A33" s="164" t="s">
        <v>322</v>
      </c>
      <c r="B33" s="19"/>
      <c r="C33" s="19"/>
      <c r="D33" s="19"/>
      <c r="E33" s="165" t="s">
        <v>305</v>
      </c>
      <c r="F33" s="19"/>
      <c r="G33" s="14" t="s">
        <v>323</v>
      </c>
      <c r="H33" s="17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</row>
    <row r="34">
      <c r="A34" s="105" t="s">
        <v>324</v>
      </c>
      <c r="B34" s="19"/>
      <c r="C34" s="19"/>
      <c r="D34" s="19"/>
      <c r="E34" s="165" t="s">
        <v>325</v>
      </c>
      <c r="F34" s="168"/>
      <c r="G34" s="19"/>
      <c r="H34" s="16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</row>
    <row r="35">
      <c r="A35" s="105" t="s">
        <v>326</v>
      </c>
      <c r="B35" s="19"/>
      <c r="C35" s="19"/>
      <c r="D35" s="19"/>
      <c r="E35" s="165" t="s">
        <v>327</v>
      </c>
      <c r="F35" s="168"/>
      <c r="G35" s="19" t="s">
        <v>328</v>
      </c>
      <c r="H35" s="17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</row>
    <row r="36">
      <c r="A36" s="105" t="s">
        <v>329</v>
      </c>
      <c r="B36" s="19"/>
      <c r="C36" s="19"/>
      <c r="D36" s="19"/>
      <c r="E36" s="165" t="s">
        <v>330</v>
      </c>
      <c r="F36" s="168"/>
      <c r="G36" s="19"/>
      <c r="H36" s="17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</row>
    <row r="37">
      <c r="A37" s="105" t="s">
        <v>331</v>
      </c>
      <c r="B37" s="19"/>
      <c r="C37" s="19"/>
      <c r="D37" s="19"/>
      <c r="E37" s="165" t="s">
        <v>332</v>
      </c>
      <c r="F37" s="168"/>
      <c r="G37" s="19"/>
      <c r="H37" s="17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</row>
    <row r="38">
      <c r="A38" s="105" t="s">
        <v>333</v>
      </c>
      <c r="B38" s="19"/>
      <c r="C38" s="19"/>
      <c r="D38" s="19"/>
      <c r="E38" s="165" t="s">
        <v>334</v>
      </c>
      <c r="F38" s="168"/>
      <c r="G38" s="19"/>
      <c r="H38" s="17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</row>
    <row r="39">
      <c r="A39" s="105" t="s">
        <v>335</v>
      </c>
      <c r="B39" s="19"/>
      <c r="C39" s="19"/>
      <c r="D39" s="19"/>
      <c r="E39" s="165" t="s">
        <v>336</v>
      </c>
      <c r="F39" s="168"/>
      <c r="G39" s="19"/>
      <c r="H39" s="17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</row>
    <row r="40">
      <c r="A40" s="170" t="s">
        <v>337</v>
      </c>
      <c r="B40" s="63"/>
      <c r="C40" s="63"/>
      <c r="D40" s="63"/>
      <c r="E40" s="162" t="s">
        <v>338</v>
      </c>
      <c r="F40" s="63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</row>
    <row r="41">
      <c r="A41" s="171" t="s">
        <v>339</v>
      </c>
      <c r="B41" s="63"/>
      <c r="C41" s="63"/>
      <c r="D41" s="63"/>
      <c r="E41" s="162" t="s">
        <v>340</v>
      </c>
      <c r="F41" s="63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</row>
    <row r="42">
      <c r="A42" s="64"/>
      <c r="B42" s="63"/>
      <c r="C42" s="63"/>
      <c r="D42" s="63"/>
      <c r="E42" s="63"/>
      <c r="F42" s="63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</row>
    <row r="43">
      <c r="A43" s="141" t="s">
        <v>341</v>
      </c>
      <c r="B43" s="142" t="s">
        <v>1</v>
      </c>
      <c r="C43" s="143" t="s">
        <v>2</v>
      </c>
      <c r="D43" s="144" t="s">
        <v>3</v>
      </c>
      <c r="E43" s="4" t="s">
        <v>4</v>
      </c>
      <c r="F43" s="1" t="s">
        <v>5</v>
      </c>
      <c r="G43" s="36" t="s">
        <v>6</v>
      </c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</row>
    <row r="44">
      <c r="A44" s="40" t="s">
        <v>342</v>
      </c>
      <c r="B44" s="19"/>
      <c r="C44" s="19"/>
      <c r="D44" s="19"/>
      <c r="E44" s="165" t="s">
        <v>343</v>
      </c>
      <c r="F44" s="19"/>
      <c r="G44" s="14" t="s">
        <v>344</v>
      </c>
      <c r="H44" s="17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</row>
    <row r="45">
      <c r="A45" s="40" t="s">
        <v>345</v>
      </c>
      <c r="B45" s="19"/>
      <c r="C45" s="19"/>
      <c r="D45" s="19"/>
      <c r="E45" s="165" t="s">
        <v>343</v>
      </c>
      <c r="F45" s="19"/>
      <c r="G45" s="14" t="s">
        <v>344</v>
      </c>
      <c r="H45" s="17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>
      <c r="A46" s="40" t="s">
        <v>346</v>
      </c>
      <c r="B46" s="19"/>
      <c r="C46" s="19"/>
      <c r="D46" s="19"/>
      <c r="E46" s="165" t="s">
        <v>343</v>
      </c>
      <c r="F46" s="19"/>
      <c r="G46" s="14" t="s">
        <v>344</v>
      </c>
      <c r="H46" s="17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>
      <c r="A47" s="40" t="s">
        <v>347</v>
      </c>
      <c r="B47" s="19"/>
      <c r="C47" s="19"/>
      <c r="D47" s="19"/>
      <c r="E47" s="165" t="s">
        <v>343</v>
      </c>
      <c r="F47" s="19"/>
      <c r="G47" s="14" t="s">
        <v>344</v>
      </c>
      <c r="H47" s="17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>
      <c r="A48" s="40" t="s">
        <v>348</v>
      </c>
      <c r="B48" s="19"/>
      <c r="C48" s="19"/>
      <c r="D48" s="19"/>
      <c r="E48" s="165" t="s">
        <v>343</v>
      </c>
      <c r="F48" s="19"/>
      <c r="G48" s="14" t="s">
        <v>344</v>
      </c>
      <c r="H48" s="17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>
      <c r="A49" s="40" t="s">
        <v>349</v>
      </c>
      <c r="B49" s="19"/>
      <c r="C49" s="19"/>
      <c r="D49" s="19"/>
      <c r="E49" s="165" t="s">
        <v>343</v>
      </c>
      <c r="F49" s="19"/>
      <c r="G49" s="14" t="s">
        <v>344</v>
      </c>
      <c r="H49" s="17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>
      <c r="A50" s="40" t="s">
        <v>350</v>
      </c>
      <c r="B50" s="19"/>
      <c r="C50" s="19"/>
      <c r="D50" s="19"/>
      <c r="E50" s="165" t="s">
        <v>343</v>
      </c>
      <c r="F50" s="19"/>
      <c r="G50" s="14" t="s">
        <v>344</v>
      </c>
      <c r="H50" s="17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>
      <c r="A51" s="40" t="s">
        <v>351</v>
      </c>
      <c r="B51" s="19"/>
      <c r="C51" s="19"/>
      <c r="D51" s="19"/>
      <c r="E51" s="165" t="s">
        <v>343</v>
      </c>
      <c r="F51" s="19"/>
      <c r="G51" s="14" t="s">
        <v>344</v>
      </c>
      <c r="H51" s="17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>
      <c r="A52" s="40" t="s">
        <v>292</v>
      </c>
      <c r="B52" s="19"/>
      <c r="C52" s="19"/>
      <c r="D52" s="19"/>
      <c r="E52" s="165" t="s">
        <v>343</v>
      </c>
      <c r="F52" s="19"/>
      <c r="G52" s="14" t="s">
        <v>344</v>
      </c>
      <c r="H52" s="17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>
      <c r="A53" s="40" t="s">
        <v>352</v>
      </c>
      <c r="B53" s="19"/>
      <c r="C53" s="19"/>
      <c r="D53" s="19"/>
      <c r="E53" s="165" t="s">
        <v>343</v>
      </c>
      <c r="F53" s="19"/>
      <c r="G53" s="14" t="s">
        <v>344</v>
      </c>
      <c r="H53" s="17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>
      <c r="A54" s="40" t="s">
        <v>353</v>
      </c>
      <c r="B54" s="19"/>
      <c r="C54" s="19"/>
      <c r="D54" s="19"/>
      <c r="E54" s="165" t="s">
        <v>343</v>
      </c>
      <c r="F54" s="19"/>
      <c r="G54" s="14" t="s">
        <v>344</v>
      </c>
      <c r="H54" s="17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>
      <c r="A55" s="40" t="s">
        <v>354</v>
      </c>
      <c r="B55" s="19"/>
      <c r="C55" s="19"/>
      <c r="D55" s="19"/>
      <c r="E55" s="165" t="s">
        <v>343</v>
      </c>
      <c r="F55" s="19"/>
      <c r="G55" s="14" t="s">
        <v>344</v>
      </c>
      <c r="H55" s="17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>
      <c r="A56" s="40" t="s">
        <v>355</v>
      </c>
      <c r="B56" s="19"/>
      <c r="C56" s="19"/>
      <c r="D56" s="19"/>
      <c r="E56" s="165" t="s">
        <v>343</v>
      </c>
      <c r="F56" s="19"/>
      <c r="G56" s="14" t="s">
        <v>344</v>
      </c>
      <c r="H56" s="17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>
      <c r="A57" s="64"/>
      <c r="B57" s="63"/>
      <c r="C57" s="63"/>
      <c r="D57" s="63"/>
      <c r="E57" s="63"/>
      <c r="F57" s="63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>
      <c r="A58" s="64"/>
      <c r="B58" s="63"/>
      <c r="C58" s="63"/>
      <c r="D58" s="63"/>
      <c r="E58" s="63"/>
      <c r="F58" s="63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>
      <c r="A59" s="64"/>
      <c r="B59" s="63"/>
      <c r="C59" s="63"/>
      <c r="D59" s="63"/>
      <c r="E59" s="63"/>
      <c r="F59" s="63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>
      <c r="A60" s="64"/>
      <c r="B60" s="63"/>
      <c r="C60" s="63"/>
      <c r="D60" s="63"/>
      <c r="E60" s="63"/>
      <c r="F60" s="63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>
      <c r="A61" s="64"/>
      <c r="B61" s="63"/>
      <c r="C61" s="63"/>
      <c r="D61" s="63"/>
      <c r="E61" s="63"/>
      <c r="F61" s="63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>
      <c r="A62" s="64"/>
      <c r="B62" s="63"/>
      <c r="C62" s="63"/>
      <c r="D62" s="63"/>
      <c r="E62" s="63"/>
      <c r="F62" s="63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>
      <c r="A63" s="64"/>
      <c r="B63" s="63"/>
      <c r="C63" s="63"/>
      <c r="D63" s="63"/>
      <c r="E63" s="63"/>
      <c r="F63" s="63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>
      <c r="A64" s="64"/>
      <c r="B64" s="63"/>
      <c r="C64" s="63"/>
      <c r="D64" s="63"/>
      <c r="E64" s="63"/>
      <c r="F64" s="63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</row>
    <row r="65">
      <c r="A65" s="64"/>
      <c r="B65" s="63"/>
      <c r="C65" s="63"/>
      <c r="D65" s="63"/>
      <c r="E65" s="63"/>
      <c r="F65" s="63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</row>
    <row r="66">
      <c r="A66" s="64"/>
      <c r="B66" s="63"/>
      <c r="C66" s="63"/>
      <c r="D66" s="63"/>
      <c r="E66" s="63"/>
      <c r="F66" s="63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</row>
    <row r="67">
      <c r="A67" s="64"/>
      <c r="B67" s="63"/>
      <c r="C67" s="63"/>
      <c r="D67" s="63"/>
      <c r="E67" s="63"/>
      <c r="F67" s="63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</row>
    <row r="68">
      <c r="A68" s="64"/>
      <c r="B68" s="63"/>
      <c r="C68" s="63"/>
      <c r="D68" s="63"/>
      <c r="E68" s="63"/>
      <c r="F68" s="63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>
      <c r="A69" s="64"/>
      <c r="B69" s="63"/>
      <c r="C69" s="63"/>
      <c r="D69" s="63"/>
      <c r="E69" s="63"/>
      <c r="F69" s="63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  <row r="70">
      <c r="A70" s="64"/>
      <c r="B70" s="63"/>
      <c r="C70" s="63"/>
      <c r="D70" s="63"/>
      <c r="E70" s="63"/>
      <c r="F70" s="63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</row>
    <row r="71">
      <c r="A71" s="64"/>
      <c r="B71" s="63"/>
      <c r="C71" s="63"/>
      <c r="D71" s="63"/>
      <c r="E71" s="63"/>
      <c r="F71" s="63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</row>
    <row r="72">
      <c r="A72" s="64"/>
      <c r="B72" s="63"/>
      <c r="C72" s="63"/>
      <c r="D72" s="63"/>
      <c r="E72" s="63"/>
      <c r="F72" s="63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</row>
    <row r="73">
      <c r="A73" s="64"/>
      <c r="B73" s="63"/>
      <c r="C73" s="63"/>
      <c r="D73" s="63"/>
      <c r="E73" s="63"/>
      <c r="F73" s="63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</row>
    <row r="74">
      <c r="A74" s="64"/>
      <c r="B74" s="63"/>
      <c r="C74" s="63"/>
      <c r="D74" s="63"/>
      <c r="E74" s="63"/>
      <c r="F74" s="63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</row>
    <row r="75">
      <c r="A75" s="64"/>
      <c r="B75" s="63"/>
      <c r="C75" s="63"/>
      <c r="D75" s="63"/>
      <c r="E75" s="63"/>
      <c r="F75" s="63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</row>
    <row r="76">
      <c r="A76" s="64"/>
      <c r="B76" s="63"/>
      <c r="C76" s="63"/>
      <c r="D76" s="63"/>
      <c r="E76" s="63"/>
      <c r="F76" s="63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</row>
    <row r="77">
      <c r="A77" s="64"/>
      <c r="B77" s="63"/>
      <c r="C77" s="63"/>
      <c r="D77" s="63"/>
      <c r="E77" s="63"/>
      <c r="F77" s="63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</row>
    <row r="78">
      <c r="A78" s="64"/>
      <c r="B78" s="63"/>
      <c r="C78" s="63"/>
      <c r="D78" s="63"/>
      <c r="E78" s="63"/>
      <c r="F78" s="63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</row>
    <row r="79">
      <c r="A79" s="64"/>
      <c r="B79" s="63"/>
      <c r="C79" s="63"/>
      <c r="D79" s="63"/>
      <c r="E79" s="63"/>
      <c r="F79" s="63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</row>
    <row r="80">
      <c r="A80" s="64"/>
      <c r="B80" s="63"/>
      <c r="C80" s="63"/>
      <c r="D80" s="63"/>
      <c r="E80" s="63"/>
      <c r="F80" s="63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</row>
    <row r="81">
      <c r="A81" s="64"/>
      <c r="B81" s="63"/>
      <c r="C81" s="63"/>
      <c r="D81" s="63"/>
      <c r="E81" s="63"/>
      <c r="F81" s="63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</row>
    <row r="82">
      <c r="A82" s="64"/>
      <c r="B82" s="63"/>
      <c r="C82" s="63"/>
      <c r="D82" s="63"/>
      <c r="E82" s="63"/>
      <c r="F82" s="63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</row>
    <row r="83">
      <c r="A83" s="64"/>
      <c r="B83" s="63"/>
      <c r="C83" s="63"/>
      <c r="D83" s="63"/>
      <c r="E83" s="63"/>
      <c r="F83" s="63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</row>
    <row r="84">
      <c r="A84" s="64"/>
      <c r="B84" s="63"/>
      <c r="C84" s="63"/>
      <c r="D84" s="63"/>
      <c r="E84" s="63"/>
      <c r="F84" s="63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</row>
    <row r="85">
      <c r="A85" s="64"/>
      <c r="B85" s="63"/>
      <c r="C85" s="63"/>
      <c r="D85" s="63"/>
      <c r="E85" s="63"/>
      <c r="F85" s="63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</row>
    <row r="86">
      <c r="A86" s="64"/>
      <c r="B86" s="63"/>
      <c r="C86" s="63"/>
      <c r="D86" s="63"/>
      <c r="E86" s="63"/>
      <c r="F86" s="63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</row>
    <row r="87">
      <c r="A87" s="64"/>
      <c r="B87" s="63"/>
      <c r="C87" s="63"/>
      <c r="D87" s="63"/>
      <c r="E87" s="63"/>
      <c r="F87" s="63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</row>
    <row r="88">
      <c r="A88" s="64"/>
      <c r="B88" s="63"/>
      <c r="C88" s="63"/>
      <c r="D88" s="63"/>
      <c r="E88" s="63"/>
      <c r="F88" s="63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</row>
    <row r="89">
      <c r="A89" s="64"/>
      <c r="B89" s="63"/>
      <c r="C89" s="63"/>
      <c r="D89" s="63"/>
      <c r="E89" s="63"/>
      <c r="F89" s="63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</row>
    <row r="90">
      <c r="A90" s="64"/>
      <c r="B90" s="63"/>
      <c r="C90" s="63"/>
      <c r="D90" s="63"/>
      <c r="E90" s="63"/>
      <c r="F90" s="63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</row>
    <row r="91">
      <c r="A91" s="64"/>
      <c r="B91" s="63"/>
      <c r="C91" s="63"/>
      <c r="D91" s="63"/>
      <c r="E91" s="63"/>
      <c r="F91" s="63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</row>
    <row r="92">
      <c r="A92" s="64"/>
      <c r="B92" s="63"/>
      <c r="C92" s="63"/>
      <c r="D92" s="63"/>
      <c r="E92" s="63"/>
      <c r="F92" s="63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</row>
    <row r="93">
      <c r="A93" s="64"/>
      <c r="B93" s="63"/>
      <c r="C93" s="63"/>
      <c r="D93" s="63"/>
      <c r="E93" s="63"/>
      <c r="F93" s="63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</row>
    <row r="94">
      <c r="A94" s="64"/>
      <c r="B94" s="63"/>
      <c r="C94" s="63"/>
      <c r="D94" s="63"/>
      <c r="E94" s="63"/>
      <c r="F94" s="63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</row>
    <row r="95">
      <c r="A95" s="64"/>
      <c r="B95" s="63"/>
      <c r="C95" s="63"/>
      <c r="D95" s="63"/>
      <c r="E95" s="63"/>
      <c r="F95" s="63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</row>
    <row r="96">
      <c r="A96" s="64"/>
      <c r="B96" s="63"/>
      <c r="C96" s="63"/>
      <c r="D96" s="63"/>
      <c r="E96" s="63"/>
      <c r="F96" s="63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</row>
    <row r="97">
      <c r="A97" s="64"/>
      <c r="B97" s="63"/>
      <c r="C97" s="63"/>
      <c r="D97" s="63"/>
      <c r="E97" s="63"/>
      <c r="F97" s="63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</row>
    <row r="98">
      <c r="A98" s="64"/>
      <c r="B98" s="63"/>
      <c r="C98" s="63"/>
      <c r="D98" s="63"/>
      <c r="E98" s="63"/>
      <c r="F98" s="63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</row>
    <row r="99">
      <c r="A99" s="64"/>
      <c r="B99" s="63"/>
      <c r="C99" s="63"/>
      <c r="D99" s="63"/>
      <c r="E99" s="63"/>
      <c r="F99" s="63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</row>
    <row r="100">
      <c r="A100" s="64"/>
      <c r="B100" s="63"/>
      <c r="C100" s="63"/>
      <c r="D100" s="63"/>
      <c r="E100" s="63"/>
      <c r="F100" s="63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</row>
    <row r="101">
      <c r="A101" s="64"/>
      <c r="B101" s="63"/>
      <c r="C101" s="63"/>
      <c r="D101" s="63"/>
      <c r="E101" s="63"/>
      <c r="F101" s="63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</row>
    <row r="102">
      <c r="A102" s="64"/>
      <c r="B102" s="63"/>
      <c r="C102" s="63"/>
      <c r="D102" s="63"/>
      <c r="E102" s="63"/>
      <c r="F102" s="63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</row>
    <row r="103">
      <c r="A103" s="64"/>
      <c r="B103" s="63"/>
      <c r="C103" s="63"/>
      <c r="D103" s="63"/>
      <c r="E103" s="63"/>
      <c r="F103" s="63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</row>
    <row r="104">
      <c r="A104" s="64"/>
      <c r="B104" s="63"/>
      <c r="C104" s="63"/>
      <c r="D104" s="63"/>
      <c r="E104" s="63"/>
      <c r="F104" s="63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</row>
    <row r="105">
      <c r="A105" s="64"/>
      <c r="B105" s="63"/>
      <c r="C105" s="63"/>
      <c r="D105" s="63"/>
      <c r="E105" s="63"/>
      <c r="F105" s="63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</row>
    <row r="106">
      <c r="A106" s="64"/>
      <c r="B106" s="63"/>
      <c r="C106" s="63"/>
      <c r="D106" s="63"/>
      <c r="E106" s="63"/>
      <c r="F106" s="63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</row>
    <row r="107">
      <c r="A107" s="64"/>
      <c r="B107" s="63"/>
      <c r="C107" s="63"/>
      <c r="D107" s="63"/>
      <c r="E107" s="63"/>
      <c r="F107" s="63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</row>
    <row r="108">
      <c r="A108" s="64"/>
      <c r="B108" s="63"/>
      <c r="C108" s="63"/>
      <c r="D108" s="63"/>
      <c r="E108" s="63"/>
      <c r="F108" s="63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</row>
    <row r="109">
      <c r="A109" s="64"/>
      <c r="B109" s="63"/>
      <c r="C109" s="63"/>
      <c r="D109" s="63"/>
      <c r="E109" s="63"/>
      <c r="F109" s="63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</row>
    <row r="110">
      <c r="A110" s="64"/>
      <c r="B110" s="63"/>
      <c r="C110" s="63"/>
      <c r="D110" s="63"/>
      <c r="E110" s="63"/>
      <c r="F110" s="63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</row>
    <row r="111">
      <c r="A111" s="64"/>
      <c r="B111" s="63"/>
      <c r="C111" s="63"/>
      <c r="D111" s="63"/>
      <c r="E111" s="63"/>
      <c r="F111" s="63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</row>
    <row r="112">
      <c r="A112" s="64"/>
      <c r="B112" s="63"/>
      <c r="C112" s="63"/>
      <c r="D112" s="63"/>
      <c r="E112" s="63"/>
      <c r="F112" s="63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</row>
    <row r="113">
      <c r="A113" s="64"/>
      <c r="B113" s="63"/>
      <c r="C113" s="63"/>
      <c r="D113" s="63"/>
      <c r="E113" s="63"/>
      <c r="F113" s="63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</row>
    <row r="114">
      <c r="A114" s="64"/>
      <c r="B114" s="63"/>
      <c r="C114" s="63"/>
      <c r="D114" s="63"/>
      <c r="E114" s="63"/>
      <c r="F114" s="63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</row>
    <row r="115">
      <c r="A115" s="64"/>
      <c r="B115" s="63"/>
      <c r="C115" s="63"/>
      <c r="D115" s="63"/>
      <c r="E115" s="63"/>
      <c r="F115" s="63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</row>
    <row r="116">
      <c r="A116" s="64"/>
      <c r="B116" s="63"/>
      <c r="C116" s="63"/>
      <c r="D116" s="63"/>
      <c r="E116" s="63"/>
      <c r="F116" s="63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</row>
    <row r="117">
      <c r="A117" s="64"/>
      <c r="B117" s="63"/>
      <c r="C117" s="63"/>
      <c r="D117" s="63"/>
      <c r="E117" s="63"/>
      <c r="F117" s="63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</row>
    <row r="118">
      <c r="A118" s="64"/>
      <c r="B118" s="63"/>
      <c r="C118" s="63"/>
      <c r="D118" s="63"/>
      <c r="E118" s="63"/>
      <c r="F118" s="63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</row>
    <row r="119">
      <c r="A119" s="64"/>
      <c r="B119" s="63"/>
      <c r="C119" s="63"/>
      <c r="D119" s="63"/>
      <c r="E119" s="63"/>
      <c r="F119" s="63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</row>
    <row r="120">
      <c r="A120" s="64"/>
      <c r="B120" s="63"/>
      <c r="C120" s="63"/>
      <c r="D120" s="63"/>
      <c r="E120" s="63"/>
      <c r="F120" s="63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</row>
    <row r="121">
      <c r="A121" s="64"/>
      <c r="B121" s="63"/>
      <c r="C121" s="63"/>
      <c r="D121" s="63"/>
      <c r="E121" s="63"/>
      <c r="F121" s="63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</row>
    <row r="122">
      <c r="A122" s="64"/>
      <c r="B122" s="63"/>
      <c r="C122" s="63"/>
      <c r="D122" s="63"/>
      <c r="E122" s="63"/>
      <c r="F122" s="63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</row>
    <row r="123">
      <c r="A123" s="64"/>
      <c r="B123" s="63"/>
      <c r="C123" s="63"/>
      <c r="D123" s="63"/>
      <c r="E123" s="63"/>
      <c r="F123" s="63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</row>
    <row r="124">
      <c r="A124" s="64"/>
      <c r="B124" s="63"/>
      <c r="C124" s="63"/>
      <c r="D124" s="63"/>
      <c r="E124" s="63"/>
      <c r="F124" s="63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</row>
    <row r="125">
      <c r="A125" s="64"/>
      <c r="B125" s="63"/>
      <c r="C125" s="63"/>
      <c r="D125" s="63"/>
      <c r="E125" s="63"/>
      <c r="F125" s="63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</row>
    <row r="126">
      <c r="A126" s="64"/>
      <c r="B126" s="63"/>
      <c r="C126" s="63"/>
      <c r="D126" s="63"/>
      <c r="E126" s="63"/>
      <c r="F126" s="63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</row>
    <row r="127">
      <c r="A127" s="64"/>
      <c r="B127" s="63"/>
      <c r="C127" s="63"/>
      <c r="D127" s="63"/>
      <c r="E127" s="63"/>
      <c r="F127" s="63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</row>
    <row r="128">
      <c r="A128" s="64"/>
      <c r="B128" s="63"/>
      <c r="C128" s="63"/>
      <c r="D128" s="63"/>
      <c r="E128" s="63"/>
      <c r="F128" s="63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</row>
    <row r="129">
      <c r="A129" s="64"/>
      <c r="B129" s="63"/>
      <c r="C129" s="63"/>
      <c r="D129" s="63"/>
      <c r="E129" s="63"/>
      <c r="F129" s="63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</row>
    <row r="130">
      <c r="A130" s="64"/>
      <c r="B130" s="63"/>
      <c r="C130" s="63"/>
      <c r="D130" s="63"/>
      <c r="E130" s="63"/>
      <c r="F130" s="63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</row>
    <row r="131">
      <c r="A131" s="64"/>
      <c r="B131" s="63"/>
      <c r="C131" s="63"/>
      <c r="D131" s="63"/>
      <c r="E131" s="63"/>
      <c r="F131" s="63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</row>
    <row r="132">
      <c r="A132" s="64"/>
      <c r="B132" s="63"/>
      <c r="C132" s="63"/>
      <c r="D132" s="63"/>
      <c r="E132" s="63"/>
      <c r="F132" s="63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</row>
    <row r="133">
      <c r="A133" s="64"/>
      <c r="B133" s="63"/>
      <c r="C133" s="63"/>
      <c r="D133" s="63"/>
      <c r="E133" s="63"/>
      <c r="F133" s="63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</row>
    <row r="134">
      <c r="A134" s="64"/>
      <c r="B134" s="63"/>
      <c r="C134" s="63"/>
      <c r="D134" s="63"/>
      <c r="E134" s="63"/>
      <c r="F134" s="63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</row>
    <row r="135">
      <c r="A135" s="64"/>
      <c r="B135" s="63"/>
      <c r="C135" s="63"/>
      <c r="D135" s="63"/>
      <c r="E135" s="63"/>
      <c r="F135" s="63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</row>
    <row r="136">
      <c r="A136" s="64"/>
      <c r="B136" s="63"/>
      <c r="C136" s="63"/>
      <c r="D136" s="63"/>
      <c r="E136" s="63"/>
      <c r="F136" s="63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</row>
    <row r="137">
      <c r="A137" s="64"/>
      <c r="B137" s="63"/>
      <c r="C137" s="63"/>
      <c r="D137" s="63"/>
      <c r="E137" s="63"/>
      <c r="F137" s="63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</row>
    <row r="138">
      <c r="A138" s="64"/>
      <c r="B138" s="63"/>
      <c r="C138" s="63"/>
      <c r="D138" s="63"/>
      <c r="E138" s="63"/>
      <c r="F138" s="63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</row>
    <row r="139">
      <c r="A139" s="64"/>
      <c r="B139" s="63"/>
      <c r="C139" s="63"/>
      <c r="D139" s="63"/>
      <c r="E139" s="63"/>
      <c r="F139" s="63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</row>
    <row r="140">
      <c r="A140" s="64"/>
      <c r="B140" s="63"/>
      <c r="C140" s="63"/>
      <c r="D140" s="63"/>
      <c r="E140" s="63"/>
      <c r="F140" s="63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</row>
    <row r="141">
      <c r="A141" s="64"/>
      <c r="B141" s="63"/>
      <c r="C141" s="63"/>
      <c r="D141" s="63"/>
      <c r="E141" s="63"/>
      <c r="F141" s="63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</row>
    <row r="142">
      <c r="A142" s="64"/>
      <c r="B142" s="63"/>
      <c r="C142" s="63"/>
      <c r="D142" s="63"/>
      <c r="E142" s="63"/>
      <c r="F142" s="63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</row>
    <row r="143">
      <c r="A143" s="64"/>
      <c r="B143" s="63"/>
      <c r="C143" s="63"/>
      <c r="D143" s="63"/>
      <c r="E143" s="63"/>
      <c r="F143" s="63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</row>
    <row r="144">
      <c r="A144" s="64"/>
      <c r="B144" s="63"/>
      <c r="C144" s="63"/>
      <c r="D144" s="63"/>
      <c r="E144" s="63"/>
      <c r="F144" s="63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</row>
    <row r="145">
      <c r="A145" s="64"/>
      <c r="B145" s="63"/>
      <c r="C145" s="63"/>
      <c r="D145" s="63"/>
      <c r="E145" s="63"/>
      <c r="F145" s="63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</row>
    <row r="146">
      <c r="A146" s="64"/>
      <c r="B146" s="63"/>
      <c r="C146" s="63"/>
      <c r="D146" s="63"/>
      <c r="E146" s="63"/>
      <c r="F146" s="63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</row>
    <row r="147">
      <c r="A147" s="64"/>
      <c r="B147" s="63"/>
      <c r="C147" s="63"/>
      <c r="D147" s="63"/>
      <c r="E147" s="63"/>
      <c r="F147" s="63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</row>
    <row r="148">
      <c r="A148" s="64"/>
      <c r="B148" s="63"/>
      <c r="C148" s="63"/>
      <c r="D148" s="63"/>
      <c r="E148" s="63"/>
      <c r="F148" s="63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</row>
    <row r="149">
      <c r="A149" s="64"/>
      <c r="B149" s="63"/>
      <c r="C149" s="63"/>
      <c r="D149" s="63"/>
      <c r="E149" s="63"/>
      <c r="F149" s="63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</row>
    <row r="150">
      <c r="A150" s="64"/>
      <c r="B150" s="63"/>
      <c r="C150" s="63"/>
      <c r="D150" s="63"/>
      <c r="E150" s="63"/>
      <c r="F150" s="63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</row>
    <row r="151">
      <c r="A151" s="64"/>
      <c r="B151" s="63"/>
      <c r="C151" s="63"/>
      <c r="D151" s="63"/>
      <c r="E151" s="63"/>
      <c r="F151" s="63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</row>
    <row r="152">
      <c r="A152" s="64"/>
      <c r="B152" s="63"/>
      <c r="C152" s="63"/>
      <c r="D152" s="63"/>
      <c r="E152" s="63"/>
      <c r="F152" s="63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</row>
    <row r="153">
      <c r="A153" s="64"/>
      <c r="B153" s="63"/>
      <c r="C153" s="63"/>
      <c r="D153" s="63"/>
      <c r="E153" s="63"/>
      <c r="F153" s="63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</row>
    <row r="154">
      <c r="A154" s="64"/>
      <c r="B154" s="63"/>
      <c r="C154" s="63"/>
      <c r="D154" s="63"/>
      <c r="E154" s="63"/>
      <c r="F154" s="63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</row>
    <row r="155">
      <c r="A155" s="64"/>
      <c r="B155" s="63"/>
      <c r="C155" s="63"/>
      <c r="D155" s="63"/>
      <c r="E155" s="63"/>
      <c r="F155" s="63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</row>
    <row r="156">
      <c r="A156" s="64"/>
      <c r="B156" s="63"/>
      <c r="C156" s="63"/>
      <c r="D156" s="63"/>
      <c r="E156" s="63"/>
      <c r="F156" s="63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</row>
    <row r="157">
      <c r="A157" s="64"/>
      <c r="B157" s="63"/>
      <c r="C157" s="63"/>
      <c r="D157" s="63"/>
      <c r="E157" s="63"/>
      <c r="F157" s="63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</row>
    <row r="158">
      <c r="A158" s="64"/>
      <c r="B158" s="63"/>
      <c r="C158" s="63"/>
      <c r="D158" s="63"/>
      <c r="E158" s="63"/>
      <c r="F158" s="63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</row>
    <row r="159">
      <c r="A159" s="64"/>
      <c r="B159" s="63"/>
      <c r="C159" s="63"/>
      <c r="D159" s="63"/>
      <c r="E159" s="63"/>
      <c r="F159" s="63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</row>
    <row r="160">
      <c r="A160" s="64"/>
      <c r="B160" s="63"/>
      <c r="C160" s="63"/>
      <c r="D160" s="63"/>
      <c r="E160" s="63"/>
      <c r="F160" s="63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</row>
    <row r="161">
      <c r="A161" s="64"/>
      <c r="B161" s="63"/>
      <c r="C161" s="63"/>
      <c r="D161" s="63"/>
      <c r="E161" s="63"/>
      <c r="F161" s="63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</row>
    <row r="162">
      <c r="A162" s="64"/>
      <c r="B162" s="63"/>
      <c r="C162" s="63"/>
      <c r="D162" s="63"/>
      <c r="E162" s="63"/>
      <c r="F162" s="63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</row>
    <row r="163">
      <c r="A163" s="64"/>
      <c r="B163" s="63"/>
      <c r="C163" s="63"/>
      <c r="D163" s="63"/>
      <c r="E163" s="63"/>
      <c r="F163" s="63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</row>
    <row r="164">
      <c r="A164" s="64"/>
      <c r="B164" s="63"/>
      <c r="C164" s="63"/>
      <c r="D164" s="63"/>
      <c r="E164" s="63"/>
      <c r="F164" s="63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</row>
    <row r="165">
      <c r="A165" s="64"/>
      <c r="B165" s="63"/>
      <c r="C165" s="63"/>
      <c r="D165" s="63"/>
      <c r="E165" s="63"/>
      <c r="F165" s="63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</row>
    <row r="166">
      <c r="A166" s="64"/>
      <c r="B166" s="63"/>
      <c r="C166" s="63"/>
      <c r="D166" s="63"/>
      <c r="E166" s="63"/>
      <c r="F166" s="63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</row>
    <row r="167">
      <c r="A167" s="64"/>
      <c r="B167" s="63"/>
      <c r="C167" s="63"/>
      <c r="D167" s="63"/>
      <c r="E167" s="63"/>
      <c r="F167" s="63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</row>
    <row r="168">
      <c r="A168" s="64"/>
      <c r="B168" s="63"/>
      <c r="C168" s="63"/>
      <c r="D168" s="63"/>
      <c r="E168" s="63"/>
      <c r="F168" s="63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</row>
    <row r="169">
      <c r="A169" s="64"/>
      <c r="B169" s="63"/>
      <c r="C169" s="63"/>
      <c r="D169" s="63"/>
      <c r="E169" s="63"/>
      <c r="F169" s="63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</row>
    <row r="170">
      <c r="A170" s="64"/>
      <c r="B170" s="63"/>
      <c r="C170" s="63"/>
      <c r="D170" s="63"/>
      <c r="E170" s="63"/>
      <c r="F170" s="63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</row>
    <row r="171">
      <c r="A171" s="64"/>
      <c r="B171" s="63"/>
      <c r="C171" s="63"/>
      <c r="D171" s="63"/>
      <c r="E171" s="63"/>
      <c r="F171" s="63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</row>
    <row r="172">
      <c r="A172" s="64"/>
      <c r="B172" s="63"/>
      <c r="C172" s="63"/>
      <c r="D172" s="63"/>
      <c r="E172" s="63"/>
      <c r="F172" s="63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</row>
    <row r="173">
      <c r="A173" s="64"/>
      <c r="B173" s="63"/>
      <c r="C173" s="63"/>
      <c r="D173" s="63"/>
      <c r="E173" s="63"/>
      <c r="F173" s="63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</row>
    <row r="174">
      <c r="A174" s="64"/>
      <c r="B174" s="63"/>
      <c r="C174" s="63"/>
      <c r="D174" s="63"/>
      <c r="E174" s="63"/>
      <c r="F174" s="63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</row>
    <row r="175">
      <c r="A175" s="64"/>
      <c r="B175" s="63"/>
      <c r="C175" s="63"/>
      <c r="D175" s="63"/>
      <c r="E175" s="63"/>
      <c r="F175" s="63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</row>
    <row r="176">
      <c r="A176" s="64"/>
      <c r="B176" s="63"/>
      <c r="C176" s="63"/>
      <c r="D176" s="63"/>
      <c r="E176" s="63"/>
      <c r="F176" s="63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</row>
    <row r="177">
      <c r="A177" s="64"/>
      <c r="B177" s="63"/>
      <c r="C177" s="63"/>
      <c r="D177" s="63"/>
      <c r="E177" s="63"/>
      <c r="F177" s="63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</row>
    <row r="178">
      <c r="A178" s="64"/>
      <c r="B178" s="63"/>
      <c r="C178" s="63"/>
      <c r="D178" s="63"/>
      <c r="E178" s="63"/>
      <c r="F178" s="63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</row>
    <row r="179">
      <c r="A179" s="64"/>
      <c r="B179" s="63"/>
      <c r="C179" s="63"/>
      <c r="D179" s="63"/>
      <c r="E179" s="63"/>
      <c r="F179" s="63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</row>
    <row r="180">
      <c r="A180" s="64"/>
      <c r="B180" s="63"/>
      <c r="C180" s="63"/>
      <c r="D180" s="63"/>
      <c r="E180" s="63"/>
      <c r="F180" s="63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</row>
    <row r="181">
      <c r="A181" s="64"/>
      <c r="B181" s="63"/>
      <c r="C181" s="63"/>
      <c r="D181" s="63"/>
      <c r="E181" s="63"/>
      <c r="F181" s="63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</row>
    <row r="182">
      <c r="A182" s="64"/>
      <c r="B182" s="63"/>
      <c r="C182" s="63"/>
      <c r="D182" s="63"/>
      <c r="E182" s="63"/>
      <c r="F182" s="63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</row>
    <row r="183">
      <c r="A183" s="64"/>
      <c r="B183" s="63"/>
      <c r="C183" s="63"/>
      <c r="D183" s="63"/>
      <c r="E183" s="63"/>
      <c r="F183" s="63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</row>
    <row r="184">
      <c r="A184" s="64"/>
      <c r="B184" s="63"/>
      <c r="C184" s="63"/>
      <c r="D184" s="63"/>
      <c r="E184" s="63"/>
      <c r="F184" s="63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</row>
    <row r="185">
      <c r="A185" s="64"/>
      <c r="B185" s="63"/>
      <c r="C185" s="63"/>
      <c r="D185" s="63"/>
      <c r="E185" s="63"/>
      <c r="F185" s="63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</row>
    <row r="186">
      <c r="A186" s="64"/>
      <c r="B186" s="63"/>
      <c r="C186" s="63"/>
      <c r="D186" s="63"/>
      <c r="E186" s="63"/>
      <c r="F186" s="63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</row>
    <row r="187">
      <c r="A187" s="64"/>
      <c r="B187" s="63"/>
      <c r="C187" s="63"/>
      <c r="D187" s="63"/>
      <c r="E187" s="63"/>
      <c r="F187" s="63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</row>
    <row r="188">
      <c r="A188" s="64"/>
      <c r="B188" s="63"/>
      <c r="C188" s="63"/>
      <c r="D188" s="63"/>
      <c r="E188" s="63"/>
      <c r="F188" s="63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</row>
    <row r="189">
      <c r="A189" s="64"/>
      <c r="B189" s="63"/>
      <c r="C189" s="63"/>
      <c r="D189" s="63"/>
      <c r="E189" s="63"/>
      <c r="F189" s="63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</row>
    <row r="190">
      <c r="A190" s="64"/>
      <c r="B190" s="63"/>
      <c r="C190" s="63"/>
      <c r="D190" s="63"/>
      <c r="E190" s="63"/>
      <c r="F190" s="63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</row>
    <row r="191">
      <c r="A191" s="64"/>
      <c r="B191" s="63"/>
      <c r="C191" s="63"/>
      <c r="D191" s="63"/>
      <c r="E191" s="63"/>
      <c r="F191" s="63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</row>
    <row r="192">
      <c r="A192" s="64"/>
      <c r="B192" s="63"/>
      <c r="C192" s="63"/>
      <c r="D192" s="63"/>
      <c r="E192" s="63"/>
      <c r="F192" s="63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</row>
    <row r="193">
      <c r="A193" s="64"/>
      <c r="B193" s="63"/>
      <c r="C193" s="63"/>
      <c r="D193" s="63"/>
      <c r="E193" s="63"/>
      <c r="F193" s="63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</row>
    <row r="194">
      <c r="A194" s="64"/>
      <c r="B194" s="63"/>
      <c r="C194" s="63"/>
      <c r="D194" s="63"/>
      <c r="E194" s="63"/>
      <c r="F194" s="63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</row>
    <row r="195">
      <c r="A195" s="64"/>
      <c r="B195" s="63"/>
      <c r="C195" s="63"/>
      <c r="D195" s="63"/>
      <c r="E195" s="63"/>
      <c r="F195" s="63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</row>
    <row r="196">
      <c r="A196" s="64"/>
      <c r="B196" s="63"/>
      <c r="C196" s="63"/>
      <c r="D196" s="63"/>
      <c r="E196" s="63"/>
      <c r="F196" s="63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</row>
    <row r="197">
      <c r="A197" s="64"/>
      <c r="B197" s="63"/>
      <c r="C197" s="63"/>
      <c r="D197" s="63"/>
      <c r="E197" s="63"/>
      <c r="F197" s="63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</row>
    <row r="198">
      <c r="A198" s="64"/>
      <c r="B198" s="63"/>
      <c r="C198" s="63"/>
      <c r="D198" s="63"/>
      <c r="E198" s="63"/>
      <c r="F198" s="63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</row>
    <row r="199">
      <c r="A199" s="64"/>
      <c r="B199" s="63"/>
      <c r="C199" s="63"/>
      <c r="D199" s="63"/>
      <c r="E199" s="63"/>
      <c r="F199" s="63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</row>
    <row r="200">
      <c r="A200" s="64"/>
      <c r="B200" s="63"/>
      <c r="C200" s="63"/>
      <c r="D200" s="63"/>
      <c r="E200" s="63"/>
      <c r="F200" s="63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</row>
    <row r="201">
      <c r="A201" s="64"/>
      <c r="B201" s="63"/>
      <c r="C201" s="63"/>
      <c r="D201" s="63"/>
      <c r="E201" s="63"/>
      <c r="F201" s="63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</row>
    <row r="202">
      <c r="A202" s="64"/>
      <c r="B202" s="63"/>
      <c r="C202" s="63"/>
      <c r="D202" s="63"/>
      <c r="E202" s="63"/>
      <c r="F202" s="63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</row>
    <row r="203">
      <c r="A203" s="64"/>
      <c r="B203" s="63"/>
      <c r="C203" s="63"/>
      <c r="D203" s="63"/>
      <c r="E203" s="63"/>
      <c r="F203" s="63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</row>
    <row r="204">
      <c r="A204" s="64"/>
      <c r="B204" s="63"/>
      <c r="C204" s="63"/>
      <c r="D204" s="63"/>
      <c r="E204" s="63"/>
      <c r="F204" s="63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</row>
    <row r="205">
      <c r="A205" s="64"/>
      <c r="B205" s="63"/>
      <c r="C205" s="63"/>
      <c r="D205" s="63"/>
      <c r="E205" s="63"/>
      <c r="F205" s="63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</row>
    <row r="206">
      <c r="A206" s="64"/>
      <c r="B206" s="63"/>
      <c r="C206" s="63"/>
      <c r="D206" s="63"/>
      <c r="E206" s="63"/>
      <c r="F206" s="63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</row>
    <row r="207">
      <c r="A207" s="64"/>
      <c r="B207" s="63"/>
      <c r="C207" s="63"/>
      <c r="D207" s="63"/>
      <c r="E207" s="63"/>
      <c r="F207" s="63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</row>
    <row r="208">
      <c r="A208" s="64"/>
      <c r="B208" s="63"/>
      <c r="C208" s="63"/>
      <c r="D208" s="63"/>
      <c r="E208" s="63"/>
      <c r="F208" s="63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</row>
    <row r="209">
      <c r="A209" s="64"/>
      <c r="B209" s="63"/>
      <c r="C209" s="63"/>
      <c r="D209" s="63"/>
      <c r="E209" s="63"/>
      <c r="F209" s="63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</row>
    <row r="210">
      <c r="A210" s="64"/>
      <c r="B210" s="63"/>
      <c r="C210" s="63"/>
      <c r="D210" s="63"/>
      <c r="E210" s="63"/>
      <c r="F210" s="63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</row>
    <row r="211">
      <c r="A211" s="64"/>
      <c r="B211" s="63"/>
      <c r="C211" s="63"/>
      <c r="D211" s="63"/>
      <c r="E211" s="63"/>
      <c r="F211" s="63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</row>
    <row r="212">
      <c r="A212" s="64"/>
      <c r="B212" s="63"/>
      <c r="C212" s="63"/>
      <c r="D212" s="63"/>
      <c r="E212" s="63"/>
      <c r="F212" s="63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</row>
    <row r="213">
      <c r="A213" s="64"/>
      <c r="B213" s="63"/>
      <c r="C213" s="63"/>
      <c r="D213" s="63"/>
      <c r="E213" s="63"/>
      <c r="F213" s="63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</row>
    <row r="214">
      <c r="A214" s="64"/>
      <c r="B214" s="63"/>
      <c r="C214" s="63"/>
      <c r="D214" s="63"/>
      <c r="E214" s="63"/>
      <c r="F214" s="63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</row>
    <row r="215">
      <c r="A215" s="64"/>
      <c r="B215" s="63"/>
      <c r="C215" s="63"/>
      <c r="D215" s="63"/>
      <c r="E215" s="63"/>
      <c r="F215" s="63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</row>
    <row r="216">
      <c r="A216" s="64"/>
      <c r="B216" s="63"/>
      <c r="C216" s="63"/>
      <c r="D216" s="63"/>
      <c r="E216" s="63"/>
      <c r="F216" s="63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</row>
    <row r="217">
      <c r="A217" s="64"/>
      <c r="B217" s="63"/>
      <c r="C217" s="63"/>
      <c r="D217" s="63"/>
      <c r="E217" s="63"/>
      <c r="F217" s="63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</row>
    <row r="218">
      <c r="A218" s="64"/>
      <c r="B218" s="63"/>
      <c r="C218" s="63"/>
      <c r="D218" s="63"/>
      <c r="E218" s="63"/>
      <c r="F218" s="63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</row>
    <row r="219">
      <c r="A219" s="64"/>
      <c r="B219" s="63"/>
      <c r="C219" s="63"/>
      <c r="D219" s="63"/>
      <c r="E219" s="63"/>
      <c r="F219" s="63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</row>
    <row r="220">
      <c r="A220" s="64"/>
      <c r="B220" s="63"/>
      <c r="C220" s="63"/>
      <c r="D220" s="63"/>
      <c r="E220" s="63"/>
      <c r="F220" s="63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</row>
    <row r="221">
      <c r="A221" s="64"/>
      <c r="B221" s="63"/>
      <c r="C221" s="63"/>
      <c r="D221" s="63"/>
      <c r="E221" s="63"/>
      <c r="F221" s="63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</row>
    <row r="222">
      <c r="A222" s="64"/>
      <c r="B222" s="63"/>
      <c r="C222" s="63"/>
      <c r="D222" s="63"/>
      <c r="E222" s="63"/>
      <c r="F222" s="63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</row>
    <row r="223">
      <c r="A223" s="64"/>
      <c r="B223" s="63"/>
      <c r="C223" s="63"/>
      <c r="D223" s="63"/>
      <c r="E223" s="63"/>
      <c r="F223" s="63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</row>
    <row r="224">
      <c r="A224" s="64"/>
      <c r="B224" s="63"/>
      <c r="C224" s="63"/>
      <c r="D224" s="63"/>
      <c r="E224" s="63"/>
      <c r="F224" s="63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</row>
    <row r="225">
      <c r="A225" s="64"/>
      <c r="B225" s="63"/>
      <c r="C225" s="63"/>
      <c r="D225" s="63"/>
      <c r="E225" s="63"/>
      <c r="F225" s="63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</row>
    <row r="226">
      <c r="A226" s="64"/>
      <c r="B226" s="63"/>
      <c r="C226" s="63"/>
      <c r="D226" s="63"/>
      <c r="E226" s="63"/>
      <c r="F226" s="63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</row>
    <row r="227">
      <c r="A227" s="64"/>
      <c r="B227" s="63"/>
      <c r="C227" s="63"/>
      <c r="D227" s="63"/>
      <c r="E227" s="63"/>
      <c r="F227" s="63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</row>
    <row r="228">
      <c r="A228" s="64"/>
      <c r="B228" s="63"/>
      <c r="C228" s="63"/>
      <c r="D228" s="63"/>
      <c r="E228" s="63"/>
      <c r="F228" s="63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</row>
    <row r="229">
      <c r="A229" s="64"/>
      <c r="B229" s="63"/>
      <c r="C229" s="63"/>
      <c r="D229" s="63"/>
      <c r="E229" s="63"/>
      <c r="F229" s="63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</row>
    <row r="230">
      <c r="A230" s="64"/>
      <c r="B230" s="63"/>
      <c r="C230" s="63"/>
      <c r="D230" s="63"/>
      <c r="E230" s="63"/>
      <c r="F230" s="63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</row>
    <row r="231">
      <c r="A231" s="64"/>
      <c r="B231" s="63"/>
      <c r="C231" s="63"/>
      <c r="D231" s="63"/>
      <c r="E231" s="63"/>
      <c r="F231" s="63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</row>
    <row r="232">
      <c r="A232" s="64"/>
      <c r="B232" s="63"/>
      <c r="C232" s="63"/>
      <c r="D232" s="63"/>
      <c r="E232" s="63"/>
      <c r="F232" s="63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</row>
    <row r="233">
      <c r="A233" s="64"/>
      <c r="B233" s="63"/>
      <c r="C233" s="63"/>
      <c r="D233" s="63"/>
      <c r="E233" s="63"/>
      <c r="F233" s="63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</row>
    <row r="234">
      <c r="A234" s="64"/>
      <c r="B234" s="63"/>
      <c r="C234" s="63"/>
      <c r="D234" s="63"/>
      <c r="E234" s="63"/>
      <c r="F234" s="63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</row>
    <row r="235">
      <c r="A235" s="64"/>
      <c r="B235" s="63"/>
      <c r="C235" s="63"/>
      <c r="D235" s="63"/>
      <c r="E235" s="63"/>
      <c r="F235" s="63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</row>
    <row r="236">
      <c r="A236" s="64"/>
      <c r="B236" s="63"/>
      <c r="C236" s="63"/>
      <c r="D236" s="63"/>
      <c r="E236" s="63"/>
      <c r="F236" s="63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</row>
    <row r="237">
      <c r="A237" s="64"/>
      <c r="B237" s="63"/>
      <c r="C237" s="63"/>
      <c r="D237" s="63"/>
      <c r="E237" s="63"/>
      <c r="F237" s="63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</row>
    <row r="238">
      <c r="A238" s="64"/>
      <c r="B238" s="63"/>
      <c r="C238" s="63"/>
      <c r="D238" s="63"/>
      <c r="E238" s="63"/>
      <c r="F238" s="63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</row>
    <row r="239">
      <c r="A239" s="64"/>
      <c r="B239" s="63"/>
      <c r="C239" s="63"/>
      <c r="D239" s="63"/>
      <c r="E239" s="63"/>
      <c r="F239" s="63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</row>
    <row r="240">
      <c r="A240" s="64"/>
      <c r="B240" s="63"/>
      <c r="C240" s="63"/>
      <c r="D240" s="63"/>
      <c r="E240" s="63"/>
      <c r="F240" s="63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</row>
    <row r="241">
      <c r="A241" s="64"/>
      <c r="B241" s="63"/>
      <c r="C241" s="63"/>
      <c r="D241" s="63"/>
      <c r="E241" s="63"/>
      <c r="F241" s="63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</row>
    <row r="242">
      <c r="A242" s="64"/>
      <c r="B242" s="63"/>
      <c r="C242" s="63"/>
      <c r="D242" s="63"/>
      <c r="E242" s="63"/>
      <c r="F242" s="63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</row>
    <row r="243">
      <c r="A243" s="64"/>
      <c r="B243" s="63"/>
      <c r="C243" s="63"/>
      <c r="D243" s="63"/>
      <c r="E243" s="63"/>
      <c r="F243" s="63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</row>
    <row r="244">
      <c r="A244" s="64"/>
      <c r="B244" s="63"/>
      <c r="C244" s="63"/>
      <c r="D244" s="63"/>
      <c r="E244" s="63"/>
      <c r="F244" s="63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</row>
    <row r="245">
      <c r="A245" s="64"/>
      <c r="B245" s="63"/>
      <c r="C245" s="63"/>
      <c r="D245" s="63"/>
      <c r="E245" s="63"/>
      <c r="F245" s="63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</row>
    <row r="246">
      <c r="A246" s="64"/>
      <c r="B246" s="63"/>
      <c r="C246" s="63"/>
      <c r="D246" s="63"/>
      <c r="E246" s="63"/>
      <c r="F246" s="63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</row>
    <row r="247">
      <c r="A247" s="64"/>
      <c r="B247" s="63"/>
      <c r="C247" s="63"/>
      <c r="D247" s="63"/>
      <c r="E247" s="63"/>
      <c r="F247" s="63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</row>
    <row r="248">
      <c r="A248" s="64"/>
      <c r="B248" s="63"/>
      <c r="C248" s="63"/>
      <c r="D248" s="63"/>
      <c r="E248" s="63"/>
      <c r="F248" s="63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</row>
    <row r="249">
      <c r="A249" s="64"/>
      <c r="B249" s="63"/>
      <c r="C249" s="63"/>
      <c r="D249" s="63"/>
      <c r="E249" s="63"/>
      <c r="F249" s="63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</row>
    <row r="250">
      <c r="A250" s="64"/>
      <c r="B250" s="63"/>
      <c r="C250" s="63"/>
      <c r="D250" s="63"/>
      <c r="E250" s="63"/>
      <c r="F250" s="63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</row>
    <row r="251">
      <c r="A251" s="64"/>
      <c r="B251" s="63"/>
      <c r="C251" s="63"/>
      <c r="D251" s="63"/>
      <c r="E251" s="63"/>
      <c r="F251" s="63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</row>
    <row r="252">
      <c r="A252" s="64"/>
      <c r="B252" s="63"/>
      <c r="C252" s="63"/>
      <c r="D252" s="63"/>
      <c r="E252" s="63"/>
      <c r="F252" s="63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</row>
    <row r="253">
      <c r="A253" s="64"/>
      <c r="B253" s="63"/>
      <c r="C253" s="63"/>
      <c r="D253" s="63"/>
      <c r="E253" s="63"/>
      <c r="F253" s="63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</row>
    <row r="254">
      <c r="A254" s="64"/>
      <c r="B254" s="63"/>
      <c r="C254" s="63"/>
      <c r="D254" s="63"/>
      <c r="E254" s="63"/>
      <c r="F254" s="63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</row>
    <row r="255">
      <c r="A255" s="64"/>
      <c r="B255" s="63"/>
      <c r="C255" s="63"/>
      <c r="D255" s="63"/>
      <c r="E255" s="63"/>
      <c r="F255" s="63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</row>
    <row r="256">
      <c r="A256" s="64"/>
      <c r="B256" s="63"/>
      <c r="C256" s="63"/>
      <c r="D256" s="63"/>
      <c r="E256" s="63"/>
      <c r="F256" s="63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</row>
    <row r="257">
      <c r="A257" s="64"/>
      <c r="B257" s="63"/>
      <c r="C257" s="63"/>
      <c r="D257" s="63"/>
      <c r="E257" s="63"/>
      <c r="F257" s="63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</row>
    <row r="258">
      <c r="A258" s="64"/>
      <c r="B258" s="63"/>
      <c r="C258" s="63"/>
      <c r="D258" s="63"/>
      <c r="E258" s="63"/>
      <c r="F258" s="63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</row>
    <row r="259">
      <c r="A259" s="64"/>
      <c r="B259" s="63"/>
      <c r="C259" s="63"/>
      <c r="D259" s="63"/>
      <c r="E259" s="63"/>
      <c r="F259" s="63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</row>
    <row r="260">
      <c r="A260" s="64"/>
      <c r="B260" s="63"/>
      <c r="C260" s="63"/>
      <c r="D260" s="63"/>
      <c r="E260" s="63"/>
      <c r="F260" s="63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</row>
    <row r="261">
      <c r="A261" s="64"/>
      <c r="B261" s="63"/>
      <c r="C261" s="63"/>
      <c r="D261" s="63"/>
      <c r="E261" s="63"/>
      <c r="F261" s="63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</row>
    <row r="262">
      <c r="A262" s="64"/>
      <c r="B262" s="63"/>
      <c r="C262" s="63"/>
      <c r="D262" s="63"/>
      <c r="E262" s="63"/>
      <c r="F262" s="63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</row>
    <row r="263">
      <c r="A263" s="64"/>
      <c r="B263" s="63"/>
      <c r="C263" s="63"/>
      <c r="D263" s="63"/>
      <c r="E263" s="63"/>
      <c r="F263" s="63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</row>
    <row r="264">
      <c r="A264" s="64"/>
      <c r="B264" s="63"/>
      <c r="C264" s="63"/>
      <c r="D264" s="63"/>
      <c r="E264" s="63"/>
      <c r="F264" s="63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</row>
    <row r="265">
      <c r="A265" s="64"/>
      <c r="B265" s="63"/>
      <c r="C265" s="63"/>
      <c r="D265" s="63"/>
      <c r="E265" s="63"/>
      <c r="F265" s="63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</row>
    <row r="266">
      <c r="A266" s="64"/>
      <c r="B266" s="63"/>
      <c r="C266" s="63"/>
      <c r="D266" s="63"/>
      <c r="E266" s="63"/>
      <c r="F266" s="63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</row>
    <row r="267">
      <c r="A267" s="64"/>
      <c r="B267" s="63"/>
      <c r="C267" s="63"/>
      <c r="D267" s="63"/>
      <c r="E267" s="63"/>
      <c r="F267" s="63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</row>
    <row r="268">
      <c r="A268" s="64"/>
      <c r="B268" s="63"/>
      <c r="C268" s="63"/>
      <c r="D268" s="63"/>
      <c r="E268" s="63"/>
      <c r="F268" s="63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</row>
    <row r="269">
      <c r="A269" s="64"/>
      <c r="B269" s="63"/>
      <c r="C269" s="63"/>
      <c r="D269" s="63"/>
      <c r="E269" s="63"/>
      <c r="F269" s="63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</row>
    <row r="270">
      <c r="A270" s="64"/>
      <c r="B270" s="63"/>
      <c r="C270" s="63"/>
      <c r="D270" s="63"/>
      <c r="E270" s="63"/>
      <c r="F270" s="63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</row>
    <row r="271">
      <c r="A271" s="64"/>
      <c r="B271" s="63"/>
      <c r="C271" s="63"/>
      <c r="D271" s="63"/>
      <c r="E271" s="63"/>
      <c r="F271" s="63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</row>
    <row r="272">
      <c r="A272" s="64"/>
      <c r="B272" s="63"/>
      <c r="C272" s="63"/>
      <c r="D272" s="63"/>
      <c r="E272" s="63"/>
      <c r="F272" s="63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</row>
    <row r="273">
      <c r="A273" s="64"/>
      <c r="B273" s="63"/>
      <c r="C273" s="63"/>
      <c r="D273" s="63"/>
      <c r="E273" s="63"/>
      <c r="F273" s="63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</row>
    <row r="274">
      <c r="A274" s="64"/>
      <c r="B274" s="63"/>
      <c r="C274" s="63"/>
      <c r="D274" s="63"/>
      <c r="E274" s="63"/>
      <c r="F274" s="63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</row>
    <row r="275">
      <c r="A275" s="64"/>
      <c r="B275" s="63"/>
      <c r="C275" s="63"/>
      <c r="D275" s="63"/>
      <c r="E275" s="63"/>
      <c r="F275" s="63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</row>
    <row r="276">
      <c r="A276" s="64"/>
      <c r="B276" s="63"/>
      <c r="C276" s="63"/>
      <c r="D276" s="63"/>
      <c r="E276" s="63"/>
      <c r="F276" s="63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</row>
    <row r="277">
      <c r="A277" s="64"/>
      <c r="B277" s="63"/>
      <c r="C277" s="63"/>
      <c r="D277" s="63"/>
      <c r="E277" s="63"/>
      <c r="F277" s="63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</row>
    <row r="278">
      <c r="A278" s="64"/>
      <c r="B278" s="63"/>
      <c r="C278" s="63"/>
      <c r="D278" s="63"/>
      <c r="E278" s="63"/>
      <c r="F278" s="63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</row>
    <row r="279">
      <c r="A279" s="64"/>
      <c r="B279" s="63"/>
      <c r="C279" s="63"/>
      <c r="D279" s="63"/>
      <c r="E279" s="63"/>
      <c r="F279" s="63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</row>
    <row r="280">
      <c r="A280" s="64"/>
      <c r="B280" s="63"/>
      <c r="C280" s="63"/>
      <c r="D280" s="63"/>
      <c r="E280" s="63"/>
      <c r="F280" s="63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</row>
    <row r="281">
      <c r="A281" s="64"/>
      <c r="B281" s="63"/>
      <c r="C281" s="63"/>
      <c r="D281" s="63"/>
      <c r="E281" s="63"/>
      <c r="F281" s="63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</row>
    <row r="282">
      <c r="A282" s="64"/>
      <c r="B282" s="63"/>
      <c r="C282" s="63"/>
      <c r="D282" s="63"/>
      <c r="E282" s="63"/>
      <c r="F282" s="63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</row>
    <row r="283">
      <c r="A283" s="64"/>
      <c r="B283" s="63"/>
      <c r="C283" s="63"/>
      <c r="D283" s="63"/>
      <c r="E283" s="63"/>
      <c r="F283" s="63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</row>
    <row r="284">
      <c r="A284" s="64"/>
      <c r="B284" s="63"/>
      <c r="C284" s="63"/>
      <c r="D284" s="63"/>
      <c r="E284" s="63"/>
      <c r="F284" s="63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</row>
    <row r="285">
      <c r="A285" s="64"/>
      <c r="B285" s="63"/>
      <c r="C285" s="63"/>
      <c r="D285" s="63"/>
      <c r="E285" s="63"/>
      <c r="F285" s="63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</row>
    <row r="286">
      <c r="A286" s="64"/>
      <c r="B286" s="63"/>
      <c r="C286" s="63"/>
      <c r="D286" s="63"/>
      <c r="E286" s="63"/>
      <c r="F286" s="63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</row>
    <row r="287">
      <c r="A287" s="64"/>
      <c r="B287" s="63"/>
      <c r="C287" s="63"/>
      <c r="D287" s="63"/>
      <c r="E287" s="63"/>
      <c r="F287" s="63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</row>
    <row r="288">
      <c r="A288" s="64"/>
      <c r="B288" s="63"/>
      <c r="C288" s="63"/>
      <c r="D288" s="63"/>
      <c r="E288" s="63"/>
      <c r="F288" s="63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</row>
    <row r="289">
      <c r="A289" s="64"/>
      <c r="B289" s="63"/>
      <c r="C289" s="63"/>
      <c r="D289" s="63"/>
      <c r="E289" s="63"/>
      <c r="F289" s="63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</row>
    <row r="290">
      <c r="A290" s="64"/>
      <c r="B290" s="63"/>
      <c r="C290" s="63"/>
      <c r="D290" s="63"/>
      <c r="E290" s="63"/>
      <c r="F290" s="63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</row>
    <row r="291">
      <c r="A291" s="64"/>
      <c r="B291" s="63"/>
      <c r="C291" s="63"/>
      <c r="D291" s="63"/>
      <c r="E291" s="63"/>
      <c r="F291" s="63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</row>
    <row r="292">
      <c r="A292" s="64"/>
      <c r="B292" s="63"/>
      <c r="C292" s="63"/>
      <c r="D292" s="63"/>
      <c r="E292" s="63"/>
      <c r="F292" s="63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</row>
    <row r="293">
      <c r="A293" s="64"/>
      <c r="B293" s="63"/>
      <c r="C293" s="63"/>
      <c r="D293" s="63"/>
      <c r="E293" s="63"/>
      <c r="F293" s="63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</row>
    <row r="294">
      <c r="A294" s="64"/>
      <c r="B294" s="63"/>
      <c r="C294" s="63"/>
      <c r="D294" s="63"/>
      <c r="E294" s="63"/>
      <c r="F294" s="63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</row>
    <row r="295">
      <c r="A295" s="64"/>
      <c r="B295" s="63"/>
      <c r="C295" s="63"/>
      <c r="D295" s="63"/>
      <c r="E295" s="63"/>
      <c r="F295" s="63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</row>
    <row r="296">
      <c r="A296" s="64"/>
      <c r="B296" s="63"/>
      <c r="C296" s="63"/>
      <c r="D296" s="63"/>
      <c r="E296" s="63"/>
      <c r="F296" s="63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</row>
    <row r="297">
      <c r="A297" s="64"/>
      <c r="B297" s="63"/>
      <c r="C297" s="63"/>
      <c r="D297" s="63"/>
      <c r="E297" s="63"/>
      <c r="F297" s="63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</row>
    <row r="298">
      <c r="A298" s="64"/>
      <c r="B298" s="63"/>
      <c r="C298" s="63"/>
      <c r="D298" s="63"/>
      <c r="E298" s="63"/>
      <c r="F298" s="63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</row>
    <row r="299">
      <c r="A299" s="64"/>
      <c r="B299" s="63"/>
      <c r="C299" s="63"/>
      <c r="D299" s="63"/>
      <c r="E299" s="63"/>
      <c r="F299" s="63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</row>
    <row r="300">
      <c r="A300" s="64"/>
      <c r="B300" s="63"/>
      <c r="C300" s="63"/>
      <c r="D300" s="63"/>
      <c r="E300" s="63"/>
      <c r="F300" s="63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</row>
    <row r="301">
      <c r="A301" s="64"/>
      <c r="B301" s="63"/>
      <c r="C301" s="63"/>
      <c r="D301" s="63"/>
      <c r="E301" s="63"/>
      <c r="F301" s="63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</row>
    <row r="302">
      <c r="A302" s="64"/>
      <c r="B302" s="63"/>
      <c r="C302" s="63"/>
      <c r="D302" s="63"/>
      <c r="E302" s="63"/>
      <c r="F302" s="63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</row>
    <row r="303">
      <c r="A303" s="64"/>
      <c r="B303" s="63"/>
      <c r="C303" s="63"/>
      <c r="D303" s="63"/>
      <c r="E303" s="63"/>
      <c r="F303" s="63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</row>
    <row r="304">
      <c r="A304" s="64"/>
      <c r="B304" s="63"/>
      <c r="C304" s="63"/>
      <c r="D304" s="63"/>
      <c r="E304" s="63"/>
      <c r="F304" s="63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</row>
    <row r="305">
      <c r="A305" s="64"/>
      <c r="B305" s="63"/>
      <c r="C305" s="63"/>
      <c r="D305" s="63"/>
      <c r="E305" s="63"/>
      <c r="F305" s="63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</row>
    <row r="306">
      <c r="A306" s="64"/>
      <c r="B306" s="63"/>
      <c r="C306" s="63"/>
      <c r="D306" s="63"/>
      <c r="E306" s="63"/>
      <c r="F306" s="63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</row>
    <row r="307">
      <c r="A307" s="64"/>
      <c r="B307" s="63"/>
      <c r="C307" s="63"/>
      <c r="D307" s="63"/>
      <c r="E307" s="63"/>
      <c r="F307" s="63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</row>
    <row r="308">
      <c r="A308" s="64"/>
      <c r="B308" s="63"/>
      <c r="C308" s="63"/>
      <c r="D308" s="63"/>
      <c r="E308" s="63"/>
      <c r="F308" s="63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</row>
    <row r="309">
      <c r="A309" s="64"/>
      <c r="B309" s="63"/>
      <c r="C309" s="63"/>
      <c r="D309" s="63"/>
      <c r="E309" s="63"/>
      <c r="F309" s="63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</row>
    <row r="310">
      <c r="A310" s="64"/>
      <c r="B310" s="63"/>
      <c r="C310" s="63"/>
      <c r="D310" s="63"/>
      <c r="E310" s="63"/>
      <c r="F310" s="63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</row>
    <row r="311">
      <c r="A311" s="64"/>
      <c r="B311" s="63"/>
      <c r="C311" s="63"/>
      <c r="D311" s="63"/>
      <c r="E311" s="63"/>
      <c r="F311" s="63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</row>
    <row r="312">
      <c r="A312" s="64"/>
      <c r="B312" s="63"/>
      <c r="C312" s="63"/>
      <c r="D312" s="63"/>
      <c r="E312" s="63"/>
      <c r="F312" s="63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</row>
    <row r="313">
      <c r="A313" s="64"/>
      <c r="B313" s="63"/>
      <c r="C313" s="63"/>
      <c r="D313" s="63"/>
      <c r="E313" s="63"/>
      <c r="F313" s="63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</row>
    <row r="314">
      <c r="A314" s="64"/>
      <c r="B314" s="63"/>
      <c r="C314" s="63"/>
      <c r="D314" s="63"/>
      <c r="E314" s="63"/>
      <c r="F314" s="63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</row>
    <row r="315">
      <c r="A315" s="64"/>
      <c r="B315" s="63"/>
      <c r="C315" s="63"/>
      <c r="D315" s="63"/>
      <c r="E315" s="63"/>
      <c r="F315" s="63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</row>
    <row r="316">
      <c r="A316" s="64"/>
      <c r="B316" s="63"/>
      <c r="C316" s="63"/>
      <c r="D316" s="63"/>
      <c r="E316" s="63"/>
      <c r="F316" s="63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</row>
    <row r="317">
      <c r="A317" s="64"/>
      <c r="B317" s="63"/>
      <c r="C317" s="63"/>
      <c r="D317" s="63"/>
      <c r="E317" s="63"/>
      <c r="F317" s="63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</row>
    <row r="318">
      <c r="A318" s="64"/>
      <c r="B318" s="63"/>
      <c r="C318" s="63"/>
      <c r="D318" s="63"/>
      <c r="E318" s="63"/>
      <c r="F318" s="63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</row>
    <row r="319">
      <c r="A319" s="64"/>
      <c r="B319" s="63"/>
      <c r="C319" s="63"/>
      <c r="D319" s="63"/>
      <c r="E319" s="63"/>
      <c r="F319" s="63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</row>
    <row r="320">
      <c r="A320" s="64"/>
      <c r="B320" s="63"/>
      <c r="C320" s="63"/>
      <c r="D320" s="63"/>
      <c r="E320" s="63"/>
      <c r="F320" s="63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</row>
    <row r="321">
      <c r="A321" s="64"/>
      <c r="B321" s="63"/>
      <c r="C321" s="63"/>
      <c r="D321" s="63"/>
      <c r="E321" s="63"/>
      <c r="F321" s="63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</row>
    <row r="322">
      <c r="A322" s="64"/>
      <c r="B322" s="63"/>
      <c r="C322" s="63"/>
      <c r="D322" s="63"/>
      <c r="E322" s="63"/>
      <c r="F322" s="63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</row>
    <row r="323">
      <c r="A323" s="64"/>
      <c r="B323" s="63"/>
      <c r="C323" s="63"/>
      <c r="D323" s="63"/>
      <c r="E323" s="63"/>
      <c r="F323" s="63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</row>
    <row r="324">
      <c r="A324" s="64"/>
      <c r="B324" s="63"/>
      <c r="C324" s="63"/>
      <c r="D324" s="63"/>
      <c r="E324" s="63"/>
      <c r="F324" s="63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</row>
    <row r="325">
      <c r="A325" s="64"/>
      <c r="B325" s="63"/>
      <c r="C325" s="63"/>
      <c r="D325" s="63"/>
      <c r="E325" s="63"/>
      <c r="F325" s="63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</row>
    <row r="326">
      <c r="A326" s="64"/>
      <c r="B326" s="63"/>
      <c r="C326" s="63"/>
      <c r="D326" s="63"/>
      <c r="E326" s="63"/>
      <c r="F326" s="63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</row>
    <row r="327">
      <c r="A327" s="64"/>
      <c r="B327" s="63"/>
      <c r="C327" s="63"/>
      <c r="D327" s="63"/>
      <c r="E327" s="63"/>
      <c r="F327" s="63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</row>
    <row r="328">
      <c r="A328" s="64"/>
      <c r="B328" s="63"/>
      <c r="C328" s="63"/>
      <c r="D328" s="63"/>
      <c r="E328" s="63"/>
      <c r="F328" s="63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</row>
    <row r="329">
      <c r="A329" s="64"/>
      <c r="B329" s="63"/>
      <c r="C329" s="63"/>
      <c r="D329" s="63"/>
      <c r="E329" s="63"/>
      <c r="F329" s="63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</row>
    <row r="330">
      <c r="A330" s="64"/>
      <c r="B330" s="63"/>
      <c r="C330" s="63"/>
      <c r="D330" s="63"/>
      <c r="E330" s="63"/>
      <c r="F330" s="63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</row>
    <row r="331">
      <c r="A331" s="64"/>
      <c r="B331" s="63"/>
      <c r="C331" s="63"/>
      <c r="D331" s="63"/>
      <c r="E331" s="63"/>
      <c r="F331" s="63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</row>
    <row r="332">
      <c r="A332" s="64"/>
      <c r="B332" s="63"/>
      <c r="C332" s="63"/>
      <c r="D332" s="63"/>
      <c r="E332" s="63"/>
      <c r="F332" s="63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</row>
    <row r="333">
      <c r="A333" s="64"/>
      <c r="B333" s="63"/>
      <c r="C333" s="63"/>
      <c r="D333" s="63"/>
      <c r="E333" s="63"/>
      <c r="F333" s="63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</row>
    <row r="334">
      <c r="A334" s="64"/>
      <c r="B334" s="63"/>
      <c r="C334" s="63"/>
      <c r="D334" s="63"/>
      <c r="E334" s="63"/>
      <c r="F334" s="63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</row>
    <row r="335">
      <c r="A335" s="64"/>
      <c r="B335" s="63"/>
      <c r="C335" s="63"/>
      <c r="D335" s="63"/>
      <c r="E335" s="63"/>
      <c r="F335" s="63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</row>
    <row r="336">
      <c r="A336" s="64"/>
      <c r="B336" s="63"/>
      <c r="C336" s="63"/>
      <c r="D336" s="63"/>
      <c r="E336" s="63"/>
      <c r="F336" s="63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</row>
    <row r="337">
      <c r="A337" s="64"/>
      <c r="B337" s="63"/>
      <c r="C337" s="63"/>
      <c r="D337" s="63"/>
      <c r="E337" s="63"/>
      <c r="F337" s="63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</row>
    <row r="338">
      <c r="A338" s="64"/>
      <c r="B338" s="63"/>
      <c r="C338" s="63"/>
      <c r="D338" s="63"/>
      <c r="E338" s="63"/>
      <c r="F338" s="63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</row>
    <row r="339">
      <c r="A339" s="64"/>
      <c r="B339" s="63"/>
      <c r="C339" s="63"/>
      <c r="D339" s="63"/>
      <c r="E339" s="63"/>
      <c r="F339" s="63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</row>
    <row r="340">
      <c r="A340" s="64"/>
      <c r="B340" s="63"/>
      <c r="C340" s="63"/>
      <c r="D340" s="63"/>
      <c r="E340" s="63"/>
      <c r="F340" s="63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</row>
    <row r="341">
      <c r="A341" s="64"/>
      <c r="B341" s="63"/>
      <c r="C341" s="63"/>
      <c r="D341" s="63"/>
      <c r="E341" s="63"/>
      <c r="F341" s="63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</row>
    <row r="342">
      <c r="A342" s="64"/>
      <c r="B342" s="63"/>
      <c r="C342" s="63"/>
      <c r="D342" s="63"/>
      <c r="E342" s="63"/>
      <c r="F342" s="63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</row>
    <row r="343">
      <c r="A343" s="64"/>
      <c r="B343" s="63"/>
      <c r="C343" s="63"/>
      <c r="D343" s="63"/>
      <c r="E343" s="63"/>
      <c r="F343" s="63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</row>
    <row r="344">
      <c r="A344" s="64"/>
      <c r="B344" s="63"/>
      <c r="C344" s="63"/>
      <c r="D344" s="63"/>
      <c r="E344" s="63"/>
      <c r="F344" s="63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</row>
    <row r="345">
      <c r="A345" s="64"/>
      <c r="B345" s="63"/>
      <c r="C345" s="63"/>
      <c r="D345" s="63"/>
      <c r="E345" s="63"/>
      <c r="F345" s="63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</row>
    <row r="346">
      <c r="A346" s="64"/>
      <c r="B346" s="63"/>
      <c r="C346" s="63"/>
      <c r="D346" s="63"/>
      <c r="E346" s="63"/>
      <c r="F346" s="63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</row>
    <row r="347">
      <c r="A347" s="64"/>
      <c r="B347" s="63"/>
      <c r="C347" s="63"/>
      <c r="D347" s="63"/>
      <c r="E347" s="63"/>
      <c r="F347" s="63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</row>
    <row r="348">
      <c r="A348" s="64"/>
      <c r="B348" s="63"/>
      <c r="C348" s="63"/>
      <c r="D348" s="63"/>
      <c r="E348" s="63"/>
      <c r="F348" s="63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</row>
    <row r="349">
      <c r="A349" s="64"/>
      <c r="B349" s="63"/>
      <c r="C349" s="63"/>
      <c r="D349" s="63"/>
      <c r="E349" s="63"/>
      <c r="F349" s="63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</row>
    <row r="350">
      <c r="A350" s="64"/>
      <c r="B350" s="63"/>
      <c r="C350" s="63"/>
      <c r="D350" s="63"/>
      <c r="E350" s="63"/>
      <c r="F350" s="63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</row>
    <row r="351">
      <c r="A351" s="64"/>
      <c r="B351" s="63"/>
      <c r="C351" s="63"/>
      <c r="D351" s="63"/>
      <c r="E351" s="63"/>
      <c r="F351" s="63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</row>
    <row r="352">
      <c r="A352" s="64"/>
      <c r="B352" s="63"/>
      <c r="C352" s="63"/>
      <c r="D352" s="63"/>
      <c r="E352" s="63"/>
      <c r="F352" s="63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</row>
    <row r="353">
      <c r="A353" s="64"/>
      <c r="B353" s="63"/>
      <c r="C353" s="63"/>
      <c r="D353" s="63"/>
      <c r="E353" s="63"/>
      <c r="F353" s="63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</row>
    <row r="354">
      <c r="A354" s="64"/>
      <c r="B354" s="63"/>
      <c r="C354" s="63"/>
      <c r="D354" s="63"/>
      <c r="E354" s="63"/>
      <c r="F354" s="63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</row>
    <row r="355">
      <c r="A355" s="64"/>
      <c r="B355" s="63"/>
      <c r="C355" s="63"/>
      <c r="D355" s="63"/>
      <c r="E355" s="63"/>
      <c r="F355" s="63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</row>
    <row r="356">
      <c r="A356" s="64"/>
      <c r="B356" s="63"/>
      <c r="C356" s="63"/>
      <c r="D356" s="63"/>
      <c r="E356" s="63"/>
      <c r="F356" s="63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</row>
    <row r="357">
      <c r="A357" s="64"/>
      <c r="B357" s="63"/>
      <c r="C357" s="63"/>
      <c r="D357" s="63"/>
      <c r="E357" s="63"/>
      <c r="F357" s="63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</row>
    <row r="358">
      <c r="A358" s="64"/>
      <c r="B358" s="63"/>
      <c r="C358" s="63"/>
      <c r="D358" s="63"/>
      <c r="E358" s="63"/>
      <c r="F358" s="63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</row>
    <row r="359">
      <c r="A359" s="64"/>
      <c r="B359" s="63"/>
      <c r="C359" s="63"/>
      <c r="D359" s="63"/>
      <c r="E359" s="63"/>
      <c r="F359" s="63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</row>
    <row r="360">
      <c r="A360" s="64"/>
      <c r="B360" s="63"/>
      <c r="C360" s="63"/>
      <c r="D360" s="63"/>
      <c r="E360" s="63"/>
      <c r="F360" s="63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</row>
    <row r="361">
      <c r="A361" s="64"/>
      <c r="B361" s="63"/>
      <c r="C361" s="63"/>
      <c r="D361" s="63"/>
      <c r="E361" s="63"/>
      <c r="F361" s="63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</row>
    <row r="362">
      <c r="A362" s="64"/>
      <c r="B362" s="63"/>
      <c r="C362" s="63"/>
      <c r="D362" s="63"/>
      <c r="E362" s="63"/>
      <c r="F362" s="63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</row>
    <row r="363">
      <c r="A363" s="64"/>
      <c r="B363" s="63"/>
      <c r="C363" s="63"/>
      <c r="D363" s="63"/>
      <c r="E363" s="63"/>
      <c r="F363" s="63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</row>
    <row r="364">
      <c r="A364" s="64"/>
      <c r="B364" s="63"/>
      <c r="C364" s="63"/>
      <c r="D364" s="63"/>
      <c r="E364" s="63"/>
      <c r="F364" s="63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</row>
    <row r="365">
      <c r="A365" s="64"/>
      <c r="B365" s="63"/>
      <c r="C365" s="63"/>
      <c r="D365" s="63"/>
      <c r="E365" s="63"/>
      <c r="F365" s="63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</row>
    <row r="366">
      <c r="A366" s="64"/>
      <c r="B366" s="63"/>
      <c r="C366" s="63"/>
      <c r="D366" s="63"/>
      <c r="E366" s="63"/>
      <c r="F366" s="63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</row>
    <row r="367">
      <c r="A367" s="64"/>
      <c r="B367" s="63"/>
      <c r="C367" s="63"/>
      <c r="D367" s="63"/>
      <c r="E367" s="63"/>
      <c r="F367" s="63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</row>
    <row r="368">
      <c r="A368" s="64"/>
      <c r="B368" s="63"/>
      <c r="C368" s="63"/>
      <c r="D368" s="63"/>
      <c r="E368" s="63"/>
      <c r="F368" s="63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</row>
    <row r="369">
      <c r="A369" s="64"/>
      <c r="B369" s="63"/>
      <c r="C369" s="63"/>
      <c r="D369" s="63"/>
      <c r="E369" s="63"/>
      <c r="F369" s="63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</row>
    <row r="370">
      <c r="A370" s="64"/>
      <c r="B370" s="63"/>
      <c r="C370" s="63"/>
      <c r="D370" s="63"/>
      <c r="E370" s="63"/>
      <c r="F370" s="63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</row>
    <row r="371">
      <c r="A371" s="64"/>
      <c r="B371" s="63"/>
      <c r="C371" s="63"/>
      <c r="D371" s="63"/>
      <c r="E371" s="63"/>
      <c r="F371" s="63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</row>
    <row r="372">
      <c r="A372" s="64"/>
      <c r="B372" s="63"/>
      <c r="C372" s="63"/>
      <c r="D372" s="63"/>
      <c r="E372" s="63"/>
      <c r="F372" s="63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</row>
    <row r="373">
      <c r="A373" s="64"/>
      <c r="B373" s="63"/>
      <c r="C373" s="63"/>
      <c r="D373" s="63"/>
      <c r="E373" s="63"/>
      <c r="F373" s="63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</row>
    <row r="374">
      <c r="A374" s="64"/>
      <c r="B374" s="63"/>
      <c r="C374" s="63"/>
      <c r="D374" s="63"/>
      <c r="E374" s="63"/>
      <c r="F374" s="63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</row>
    <row r="375">
      <c r="A375" s="64"/>
      <c r="B375" s="63"/>
      <c r="C375" s="63"/>
      <c r="D375" s="63"/>
      <c r="E375" s="63"/>
      <c r="F375" s="63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</row>
    <row r="376">
      <c r="A376" s="64"/>
      <c r="B376" s="63"/>
      <c r="C376" s="63"/>
      <c r="D376" s="63"/>
      <c r="E376" s="63"/>
      <c r="F376" s="63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</row>
    <row r="377">
      <c r="A377" s="64"/>
      <c r="B377" s="63"/>
      <c r="C377" s="63"/>
      <c r="D377" s="63"/>
      <c r="E377" s="63"/>
      <c r="F377" s="63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</row>
    <row r="378">
      <c r="A378" s="64"/>
      <c r="B378" s="63"/>
      <c r="C378" s="63"/>
      <c r="D378" s="63"/>
      <c r="E378" s="63"/>
      <c r="F378" s="63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</row>
    <row r="379">
      <c r="A379" s="64"/>
      <c r="B379" s="63"/>
      <c r="C379" s="63"/>
      <c r="D379" s="63"/>
      <c r="E379" s="63"/>
      <c r="F379" s="63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</row>
    <row r="380">
      <c r="A380" s="64"/>
      <c r="B380" s="63"/>
      <c r="C380" s="63"/>
      <c r="D380" s="63"/>
      <c r="E380" s="63"/>
      <c r="F380" s="63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</row>
    <row r="381">
      <c r="A381" s="64"/>
      <c r="B381" s="63"/>
      <c r="C381" s="63"/>
      <c r="D381" s="63"/>
      <c r="E381" s="63"/>
      <c r="F381" s="63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</row>
    <row r="382">
      <c r="A382" s="64"/>
      <c r="B382" s="63"/>
      <c r="C382" s="63"/>
      <c r="D382" s="63"/>
      <c r="E382" s="63"/>
      <c r="F382" s="63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</row>
    <row r="383">
      <c r="A383" s="64"/>
      <c r="B383" s="63"/>
      <c r="C383" s="63"/>
      <c r="D383" s="63"/>
      <c r="E383" s="63"/>
      <c r="F383" s="63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</row>
    <row r="384">
      <c r="A384" s="64"/>
      <c r="B384" s="63"/>
      <c r="C384" s="63"/>
      <c r="D384" s="63"/>
      <c r="E384" s="63"/>
      <c r="F384" s="63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</row>
    <row r="385">
      <c r="A385" s="64"/>
      <c r="B385" s="63"/>
      <c r="C385" s="63"/>
      <c r="D385" s="63"/>
      <c r="E385" s="63"/>
      <c r="F385" s="63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</row>
    <row r="386">
      <c r="A386" s="64"/>
      <c r="B386" s="63"/>
      <c r="C386" s="63"/>
      <c r="D386" s="63"/>
      <c r="E386" s="63"/>
      <c r="F386" s="63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</row>
    <row r="387">
      <c r="A387" s="64"/>
      <c r="B387" s="63"/>
      <c r="C387" s="63"/>
      <c r="D387" s="63"/>
      <c r="E387" s="63"/>
      <c r="F387" s="63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</row>
    <row r="388">
      <c r="A388" s="64"/>
      <c r="B388" s="63"/>
      <c r="C388" s="63"/>
      <c r="D388" s="63"/>
      <c r="E388" s="63"/>
      <c r="F388" s="63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</row>
    <row r="389">
      <c r="A389" s="64"/>
      <c r="B389" s="63"/>
      <c r="C389" s="63"/>
      <c r="D389" s="63"/>
      <c r="E389" s="63"/>
      <c r="F389" s="63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</row>
    <row r="390">
      <c r="A390" s="64"/>
      <c r="B390" s="63"/>
      <c r="C390" s="63"/>
      <c r="D390" s="63"/>
      <c r="E390" s="63"/>
      <c r="F390" s="63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</row>
    <row r="391">
      <c r="A391" s="64"/>
      <c r="B391" s="63"/>
      <c r="C391" s="63"/>
      <c r="D391" s="63"/>
      <c r="E391" s="63"/>
      <c r="F391" s="63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</row>
    <row r="392">
      <c r="A392" s="64"/>
      <c r="B392" s="63"/>
      <c r="C392" s="63"/>
      <c r="D392" s="63"/>
      <c r="E392" s="63"/>
      <c r="F392" s="63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</row>
    <row r="393">
      <c r="A393" s="64"/>
      <c r="B393" s="63"/>
      <c r="C393" s="63"/>
      <c r="D393" s="63"/>
      <c r="E393" s="63"/>
      <c r="F393" s="63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</row>
    <row r="394">
      <c r="A394" s="64"/>
      <c r="B394" s="63"/>
      <c r="C394" s="63"/>
      <c r="D394" s="63"/>
      <c r="E394" s="63"/>
      <c r="F394" s="63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</row>
    <row r="395">
      <c r="A395" s="64"/>
      <c r="B395" s="63"/>
      <c r="C395" s="63"/>
      <c r="D395" s="63"/>
      <c r="E395" s="63"/>
      <c r="F395" s="63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</row>
    <row r="396">
      <c r="A396" s="64"/>
      <c r="B396" s="63"/>
      <c r="C396" s="63"/>
      <c r="D396" s="63"/>
      <c r="E396" s="63"/>
      <c r="F396" s="63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</row>
    <row r="397">
      <c r="A397" s="64"/>
      <c r="B397" s="63"/>
      <c r="C397" s="63"/>
      <c r="D397" s="63"/>
      <c r="E397" s="63"/>
      <c r="F397" s="63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</row>
    <row r="398">
      <c r="A398" s="64"/>
      <c r="B398" s="63"/>
      <c r="C398" s="63"/>
      <c r="D398" s="63"/>
      <c r="E398" s="63"/>
      <c r="F398" s="63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</row>
    <row r="399">
      <c r="A399" s="64"/>
      <c r="B399" s="63"/>
      <c r="C399" s="63"/>
      <c r="D399" s="63"/>
      <c r="E399" s="63"/>
      <c r="F399" s="63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</row>
    <row r="400">
      <c r="A400" s="64"/>
      <c r="B400" s="63"/>
      <c r="C400" s="63"/>
      <c r="D400" s="63"/>
      <c r="E400" s="63"/>
      <c r="F400" s="63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</row>
    <row r="401">
      <c r="A401" s="64"/>
      <c r="B401" s="63"/>
      <c r="C401" s="63"/>
      <c r="D401" s="63"/>
      <c r="E401" s="63"/>
      <c r="F401" s="63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</row>
    <row r="402">
      <c r="A402" s="64"/>
      <c r="B402" s="63"/>
      <c r="C402" s="63"/>
      <c r="D402" s="63"/>
      <c r="E402" s="63"/>
      <c r="F402" s="63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</row>
    <row r="403">
      <c r="A403" s="64"/>
      <c r="B403" s="63"/>
      <c r="C403" s="63"/>
      <c r="D403" s="63"/>
      <c r="E403" s="63"/>
      <c r="F403" s="63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</row>
    <row r="404">
      <c r="A404" s="64"/>
      <c r="B404" s="63"/>
      <c r="C404" s="63"/>
      <c r="D404" s="63"/>
      <c r="E404" s="63"/>
      <c r="F404" s="63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</row>
    <row r="405">
      <c r="A405" s="64"/>
      <c r="B405" s="63"/>
      <c r="C405" s="63"/>
      <c r="D405" s="63"/>
      <c r="E405" s="63"/>
      <c r="F405" s="63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</row>
    <row r="406">
      <c r="A406" s="64"/>
      <c r="B406" s="63"/>
      <c r="C406" s="63"/>
      <c r="D406" s="63"/>
      <c r="E406" s="63"/>
      <c r="F406" s="63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</row>
    <row r="407">
      <c r="A407" s="64"/>
      <c r="B407" s="63"/>
      <c r="C407" s="63"/>
      <c r="D407" s="63"/>
      <c r="E407" s="63"/>
      <c r="F407" s="63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</row>
    <row r="408">
      <c r="A408" s="64"/>
      <c r="B408" s="63"/>
      <c r="C408" s="63"/>
      <c r="D408" s="63"/>
      <c r="E408" s="63"/>
      <c r="F408" s="63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</row>
    <row r="409">
      <c r="A409" s="64"/>
      <c r="B409" s="63"/>
      <c r="C409" s="63"/>
      <c r="D409" s="63"/>
      <c r="E409" s="63"/>
      <c r="F409" s="63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</row>
    <row r="410">
      <c r="A410" s="64"/>
      <c r="B410" s="63"/>
      <c r="C410" s="63"/>
      <c r="D410" s="63"/>
      <c r="E410" s="63"/>
      <c r="F410" s="63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</row>
    <row r="411">
      <c r="A411" s="64"/>
      <c r="B411" s="63"/>
      <c r="C411" s="63"/>
      <c r="D411" s="63"/>
      <c r="E411" s="63"/>
      <c r="F411" s="63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</row>
    <row r="412">
      <c r="A412" s="64"/>
      <c r="B412" s="63"/>
      <c r="C412" s="63"/>
      <c r="D412" s="63"/>
      <c r="E412" s="63"/>
      <c r="F412" s="63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</row>
    <row r="413">
      <c r="A413" s="64"/>
      <c r="B413" s="63"/>
      <c r="C413" s="63"/>
      <c r="D413" s="63"/>
      <c r="E413" s="63"/>
      <c r="F413" s="63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</row>
    <row r="414">
      <c r="A414" s="64"/>
      <c r="B414" s="63"/>
      <c r="C414" s="63"/>
      <c r="D414" s="63"/>
      <c r="E414" s="63"/>
      <c r="F414" s="63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</row>
    <row r="415">
      <c r="A415" s="64"/>
      <c r="B415" s="63"/>
      <c r="C415" s="63"/>
      <c r="D415" s="63"/>
      <c r="E415" s="63"/>
      <c r="F415" s="63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</row>
    <row r="416">
      <c r="A416" s="64"/>
      <c r="B416" s="63"/>
      <c r="C416" s="63"/>
      <c r="D416" s="63"/>
      <c r="E416" s="63"/>
      <c r="F416" s="63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</row>
    <row r="417">
      <c r="A417" s="64"/>
      <c r="B417" s="63"/>
      <c r="C417" s="63"/>
      <c r="D417" s="63"/>
      <c r="E417" s="63"/>
      <c r="F417" s="63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</row>
    <row r="418">
      <c r="A418" s="64"/>
      <c r="B418" s="63"/>
      <c r="C418" s="63"/>
      <c r="D418" s="63"/>
      <c r="E418" s="63"/>
      <c r="F418" s="63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</row>
    <row r="419">
      <c r="A419" s="64"/>
      <c r="B419" s="63"/>
      <c r="C419" s="63"/>
      <c r="D419" s="63"/>
      <c r="E419" s="63"/>
      <c r="F419" s="63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</row>
    <row r="420">
      <c r="A420" s="64"/>
      <c r="B420" s="63"/>
      <c r="C420" s="63"/>
      <c r="D420" s="63"/>
      <c r="E420" s="63"/>
      <c r="F420" s="63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</row>
    <row r="421">
      <c r="A421" s="64"/>
      <c r="B421" s="63"/>
      <c r="C421" s="63"/>
      <c r="D421" s="63"/>
      <c r="E421" s="63"/>
      <c r="F421" s="63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</row>
    <row r="422">
      <c r="A422" s="64"/>
      <c r="B422" s="63"/>
      <c r="C422" s="63"/>
      <c r="D422" s="63"/>
      <c r="E422" s="63"/>
      <c r="F422" s="63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</row>
    <row r="423">
      <c r="A423" s="64"/>
      <c r="B423" s="63"/>
      <c r="C423" s="63"/>
      <c r="D423" s="63"/>
      <c r="E423" s="63"/>
      <c r="F423" s="63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</row>
    <row r="424">
      <c r="A424" s="64"/>
      <c r="B424" s="63"/>
      <c r="C424" s="63"/>
      <c r="D424" s="63"/>
      <c r="E424" s="63"/>
      <c r="F424" s="63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</row>
    <row r="425">
      <c r="A425" s="64"/>
      <c r="B425" s="63"/>
      <c r="C425" s="63"/>
      <c r="D425" s="63"/>
      <c r="E425" s="63"/>
      <c r="F425" s="63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</row>
    <row r="426">
      <c r="A426" s="64"/>
      <c r="B426" s="63"/>
      <c r="C426" s="63"/>
      <c r="D426" s="63"/>
      <c r="E426" s="63"/>
      <c r="F426" s="63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</row>
    <row r="427">
      <c r="A427" s="64"/>
      <c r="B427" s="63"/>
      <c r="C427" s="63"/>
      <c r="D427" s="63"/>
      <c r="E427" s="63"/>
      <c r="F427" s="63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</row>
    <row r="428">
      <c r="A428" s="64"/>
      <c r="B428" s="63"/>
      <c r="C428" s="63"/>
      <c r="D428" s="63"/>
      <c r="E428" s="63"/>
      <c r="F428" s="63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</row>
    <row r="429">
      <c r="A429" s="64"/>
      <c r="B429" s="63"/>
      <c r="C429" s="63"/>
      <c r="D429" s="63"/>
      <c r="E429" s="63"/>
      <c r="F429" s="63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</row>
    <row r="430">
      <c r="A430" s="64"/>
      <c r="B430" s="63"/>
      <c r="C430" s="63"/>
      <c r="D430" s="63"/>
      <c r="E430" s="63"/>
      <c r="F430" s="63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</row>
    <row r="431">
      <c r="A431" s="64"/>
      <c r="B431" s="63"/>
      <c r="C431" s="63"/>
      <c r="D431" s="63"/>
      <c r="E431" s="63"/>
      <c r="F431" s="63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</row>
    <row r="432">
      <c r="A432" s="64"/>
      <c r="B432" s="63"/>
      <c r="C432" s="63"/>
      <c r="D432" s="63"/>
      <c r="E432" s="63"/>
      <c r="F432" s="63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</row>
    <row r="433">
      <c r="A433" s="64"/>
      <c r="B433" s="63"/>
      <c r="C433" s="63"/>
      <c r="D433" s="63"/>
      <c r="E433" s="63"/>
      <c r="F433" s="63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</row>
    <row r="434">
      <c r="A434" s="64"/>
      <c r="B434" s="63"/>
      <c r="C434" s="63"/>
      <c r="D434" s="63"/>
      <c r="E434" s="63"/>
      <c r="F434" s="63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</row>
    <row r="435">
      <c r="A435" s="64"/>
      <c r="B435" s="63"/>
      <c r="C435" s="63"/>
      <c r="D435" s="63"/>
      <c r="E435" s="63"/>
      <c r="F435" s="63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</row>
    <row r="436">
      <c r="A436" s="64"/>
      <c r="B436" s="63"/>
      <c r="C436" s="63"/>
      <c r="D436" s="63"/>
      <c r="E436" s="63"/>
      <c r="F436" s="63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</row>
    <row r="437">
      <c r="A437" s="64"/>
      <c r="B437" s="63"/>
      <c r="C437" s="63"/>
      <c r="D437" s="63"/>
      <c r="E437" s="63"/>
      <c r="F437" s="63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</row>
    <row r="438">
      <c r="A438" s="64"/>
      <c r="B438" s="63"/>
      <c r="C438" s="63"/>
      <c r="D438" s="63"/>
      <c r="E438" s="63"/>
      <c r="F438" s="63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</row>
    <row r="439">
      <c r="A439" s="64"/>
      <c r="B439" s="63"/>
      <c r="C439" s="63"/>
      <c r="D439" s="63"/>
      <c r="E439" s="63"/>
      <c r="F439" s="63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</row>
    <row r="440">
      <c r="A440" s="64"/>
      <c r="B440" s="63"/>
      <c r="C440" s="63"/>
      <c r="D440" s="63"/>
      <c r="E440" s="63"/>
      <c r="F440" s="63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</row>
    <row r="441">
      <c r="A441" s="64"/>
      <c r="B441" s="63"/>
      <c r="C441" s="63"/>
      <c r="D441" s="63"/>
      <c r="E441" s="63"/>
      <c r="F441" s="63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</row>
    <row r="442">
      <c r="A442" s="64"/>
      <c r="B442" s="63"/>
      <c r="C442" s="63"/>
      <c r="D442" s="63"/>
      <c r="E442" s="63"/>
      <c r="F442" s="63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</row>
    <row r="443">
      <c r="A443" s="64"/>
      <c r="B443" s="63"/>
      <c r="C443" s="63"/>
      <c r="D443" s="63"/>
      <c r="E443" s="63"/>
      <c r="F443" s="63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</row>
    <row r="444">
      <c r="A444" s="64"/>
      <c r="B444" s="63"/>
      <c r="C444" s="63"/>
      <c r="D444" s="63"/>
      <c r="E444" s="63"/>
      <c r="F444" s="63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</row>
    <row r="445">
      <c r="A445" s="64"/>
      <c r="B445" s="63"/>
      <c r="C445" s="63"/>
      <c r="D445" s="63"/>
      <c r="E445" s="63"/>
      <c r="F445" s="63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</row>
    <row r="446">
      <c r="A446" s="64"/>
      <c r="B446" s="63"/>
      <c r="C446" s="63"/>
      <c r="D446" s="63"/>
      <c r="E446" s="63"/>
      <c r="F446" s="63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</row>
    <row r="447">
      <c r="A447" s="64"/>
      <c r="B447" s="63"/>
      <c r="C447" s="63"/>
      <c r="D447" s="63"/>
      <c r="E447" s="63"/>
      <c r="F447" s="63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</row>
    <row r="448">
      <c r="A448" s="64"/>
      <c r="B448" s="63"/>
      <c r="C448" s="63"/>
      <c r="D448" s="63"/>
      <c r="E448" s="63"/>
      <c r="F448" s="63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</row>
    <row r="449">
      <c r="A449" s="64"/>
      <c r="B449" s="63"/>
      <c r="C449" s="63"/>
      <c r="D449" s="63"/>
      <c r="E449" s="63"/>
      <c r="F449" s="63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</row>
    <row r="450">
      <c r="A450" s="64"/>
      <c r="B450" s="63"/>
      <c r="C450" s="63"/>
      <c r="D450" s="63"/>
      <c r="E450" s="63"/>
      <c r="F450" s="63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</row>
    <row r="451">
      <c r="A451" s="64"/>
      <c r="B451" s="63"/>
      <c r="C451" s="63"/>
      <c r="D451" s="63"/>
      <c r="E451" s="63"/>
      <c r="F451" s="63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</row>
    <row r="452">
      <c r="A452" s="64"/>
      <c r="B452" s="63"/>
      <c r="C452" s="63"/>
      <c r="D452" s="63"/>
      <c r="E452" s="63"/>
      <c r="F452" s="63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</row>
    <row r="453">
      <c r="A453" s="64"/>
      <c r="B453" s="63"/>
      <c r="C453" s="63"/>
      <c r="D453" s="63"/>
      <c r="E453" s="63"/>
      <c r="F453" s="63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</row>
    <row r="454">
      <c r="A454" s="64"/>
      <c r="B454" s="63"/>
      <c r="C454" s="63"/>
      <c r="D454" s="63"/>
      <c r="E454" s="63"/>
      <c r="F454" s="63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</row>
    <row r="455">
      <c r="A455" s="64"/>
      <c r="B455" s="63"/>
      <c r="C455" s="63"/>
      <c r="D455" s="63"/>
      <c r="E455" s="63"/>
      <c r="F455" s="63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</row>
    <row r="456">
      <c r="A456" s="64"/>
      <c r="B456" s="63"/>
      <c r="C456" s="63"/>
      <c r="D456" s="63"/>
      <c r="E456" s="63"/>
      <c r="F456" s="63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</row>
    <row r="457">
      <c r="A457" s="64"/>
      <c r="B457" s="63"/>
      <c r="C457" s="63"/>
      <c r="D457" s="63"/>
      <c r="E457" s="63"/>
      <c r="F457" s="63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</row>
    <row r="458">
      <c r="A458" s="64"/>
      <c r="B458" s="63"/>
      <c r="C458" s="63"/>
      <c r="D458" s="63"/>
      <c r="E458" s="63"/>
      <c r="F458" s="63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</row>
    <row r="459">
      <c r="A459" s="64"/>
      <c r="B459" s="63"/>
      <c r="C459" s="63"/>
      <c r="D459" s="63"/>
      <c r="E459" s="63"/>
      <c r="F459" s="63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</row>
    <row r="460">
      <c r="A460" s="64"/>
      <c r="B460" s="63"/>
      <c r="C460" s="63"/>
      <c r="D460" s="63"/>
      <c r="E460" s="63"/>
      <c r="F460" s="63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</row>
    <row r="461">
      <c r="A461" s="64"/>
      <c r="B461" s="63"/>
      <c r="C461" s="63"/>
      <c r="D461" s="63"/>
      <c r="E461" s="63"/>
      <c r="F461" s="63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</row>
    <row r="462">
      <c r="A462" s="64"/>
      <c r="B462" s="63"/>
      <c r="C462" s="63"/>
      <c r="D462" s="63"/>
      <c r="E462" s="63"/>
      <c r="F462" s="63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</row>
    <row r="463">
      <c r="A463" s="64"/>
      <c r="B463" s="63"/>
      <c r="C463" s="63"/>
      <c r="D463" s="63"/>
      <c r="E463" s="63"/>
      <c r="F463" s="63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</row>
    <row r="464">
      <c r="A464" s="64"/>
      <c r="B464" s="63"/>
      <c r="C464" s="63"/>
      <c r="D464" s="63"/>
      <c r="E464" s="63"/>
      <c r="F464" s="63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</row>
    <row r="465">
      <c r="A465" s="64"/>
      <c r="B465" s="63"/>
      <c r="C465" s="63"/>
      <c r="D465" s="63"/>
      <c r="E465" s="63"/>
      <c r="F465" s="63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</row>
    <row r="466">
      <c r="A466" s="64"/>
      <c r="B466" s="63"/>
      <c r="C466" s="63"/>
      <c r="D466" s="63"/>
      <c r="E466" s="63"/>
      <c r="F466" s="63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</row>
    <row r="467">
      <c r="A467" s="64"/>
      <c r="B467" s="63"/>
      <c r="C467" s="63"/>
      <c r="D467" s="63"/>
      <c r="E467" s="63"/>
      <c r="F467" s="63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</row>
    <row r="468">
      <c r="A468" s="64"/>
      <c r="B468" s="63"/>
      <c r="C468" s="63"/>
      <c r="D468" s="63"/>
      <c r="E468" s="63"/>
      <c r="F468" s="63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</row>
    <row r="469">
      <c r="A469" s="64"/>
      <c r="B469" s="63"/>
      <c r="C469" s="63"/>
      <c r="D469" s="63"/>
      <c r="E469" s="63"/>
      <c r="F469" s="63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</row>
    <row r="470">
      <c r="A470" s="64"/>
      <c r="B470" s="63"/>
      <c r="C470" s="63"/>
      <c r="D470" s="63"/>
      <c r="E470" s="63"/>
      <c r="F470" s="63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</row>
    <row r="471">
      <c r="A471" s="64"/>
      <c r="B471" s="63"/>
      <c r="C471" s="63"/>
      <c r="D471" s="63"/>
      <c r="E471" s="63"/>
      <c r="F471" s="63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</row>
    <row r="472">
      <c r="A472" s="64"/>
      <c r="B472" s="63"/>
      <c r="C472" s="63"/>
      <c r="D472" s="63"/>
      <c r="E472" s="63"/>
      <c r="F472" s="63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</row>
    <row r="473">
      <c r="A473" s="64"/>
      <c r="B473" s="63"/>
      <c r="C473" s="63"/>
      <c r="D473" s="63"/>
      <c r="E473" s="63"/>
      <c r="F473" s="63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</row>
    <row r="474">
      <c r="A474" s="64"/>
      <c r="B474" s="63"/>
      <c r="C474" s="63"/>
      <c r="D474" s="63"/>
      <c r="E474" s="63"/>
      <c r="F474" s="63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</row>
    <row r="475">
      <c r="A475" s="64"/>
      <c r="B475" s="63"/>
      <c r="C475" s="63"/>
      <c r="D475" s="63"/>
      <c r="E475" s="63"/>
      <c r="F475" s="63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</row>
    <row r="476">
      <c r="A476" s="64"/>
      <c r="B476" s="63"/>
      <c r="C476" s="63"/>
      <c r="D476" s="63"/>
      <c r="E476" s="63"/>
      <c r="F476" s="63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</row>
    <row r="477">
      <c r="A477" s="64"/>
      <c r="B477" s="63"/>
      <c r="C477" s="63"/>
      <c r="D477" s="63"/>
      <c r="E477" s="63"/>
      <c r="F477" s="63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</row>
    <row r="478">
      <c r="A478" s="64"/>
      <c r="B478" s="63"/>
      <c r="C478" s="63"/>
      <c r="D478" s="63"/>
      <c r="E478" s="63"/>
      <c r="F478" s="63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</row>
    <row r="479">
      <c r="A479" s="64"/>
      <c r="B479" s="63"/>
      <c r="C479" s="63"/>
      <c r="D479" s="63"/>
      <c r="E479" s="63"/>
      <c r="F479" s="63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</row>
    <row r="480">
      <c r="A480" s="64"/>
      <c r="B480" s="63"/>
      <c r="C480" s="63"/>
      <c r="D480" s="63"/>
      <c r="E480" s="63"/>
      <c r="F480" s="63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</row>
    <row r="481">
      <c r="A481" s="64"/>
      <c r="B481" s="63"/>
      <c r="C481" s="63"/>
      <c r="D481" s="63"/>
      <c r="E481" s="63"/>
      <c r="F481" s="63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</row>
    <row r="482">
      <c r="A482" s="64"/>
      <c r="B482" s="63"/>
      <c r="C482" s="63"/>
      <c r="D482" s="63"/>
      <c r="E482" s="63"/>
      <c r="F482" s="63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</row>
    <row r="483">
      <c r="A483" s="64"/>
      <c r="B483" s="63"/>
      <c r="C483" s="63"/>
      <c r="D483" s="63"/>
      <c r="E483" s="63"/>
      <c r="F483" s="63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</row>
    <row r="484">
      <c r="A484" s="64"/>
      <c r="B484" s="63"/>
      <c r="C484" s="63"/>
      <c r="D484" s="63"/>
      <c r="E484" s="63"/>
      <c r="F484" s="63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</row>
    <row r="485">
      <c r="A485" s="64"/>
      <c r="B485" s="63"/>
      <c r="C485" s="63"/>
      <c r="D485" s="63"/>
      <c r="E485" s="63"/>
      <c r="F485" s="63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</row>
    <row r="486">
      <c r="A486" s="64"/>
      <c r="B486" s="63"/>
      <c r="C486" s="63"/>
      <c r="D486" s="63"/>
      <c r="E486" s="63"/>
      <c r="F486" s="63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</row>
    <row r="487">
      <c r="A487" s="64"/>
      <c r="B487" s="63"/>
      <c r="C487" s="63"/>
      <c r="D487" s="63"/>
      <c r="E487" s="63"/>
      <c r="F487" s="63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</row>
    <row r="488">
      <c r="A488" s="64"/>
      <c r="B488" s="63"/>
      <c r="C488" s="63"/>
      <c r="D488" s="63"/>
      <c r="E488" s="63"/>
      <c r="F488" s="63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</row>
    <row r="489">
      <c r="A489" s="64"/>
      <c r="B489" s="63"/>
      <c r="C489" s="63"/>
      <c r="D489" s="63"/>
      <c r="E489" s="63"/>
      <c r="F489" s="63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</row>
    <row r="490">
      <c r="A490" s="64"/>
      <c r="B490" s="63"/>
      <c r="C490" s="63"/>
      <c r="D490" s="63"/>
      <c r="E490" s="63"/>
      <c r="F490" s="63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</row>
    <row r="491">
      <c r="A491" s="64"/>
      <c r="B491" s="63"/>
      <c r="C491" s="63"/>
      <c r="D491" s="63"/>
      <c r="E491" s="63"/>
      <c r="F491" s="63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</row>
    <row r="492">
      <c r="A492" s="64"/>
      <c r="B492" s="63"/>
      <c r="C492" s="63"/>
      <c r="D492" s="63"/>
      <c r="E492" s="63"/>
      <c r="F492" s="63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</row>
    <row r="493">
      <c r="A493" s="64"/>
      <c r="B493" s="63"/>
      <c r="C493" s="63"/>
      <c r="D493" s="63"/>
      <c r="E493" s="63"/>
      <c r="F493" s="63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</row>
    <row r="494">
      <c r="A494" s="64"/>
      <c r="B494" s="63"/>
      <c r="C494" s="63"/>
      <c r="D494" s="63"/>
      <c r="E494" s="63"/>
      <c r="F494" s="63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</row>
    <row r="495">
      <c r="A495" s="64"/>
      <c r="B495" s="63"/>
      <c r="C495" s="63"/>
      <c r="D495" s="63"/>
      <c r="E495" s="63"/>
      <c r="F495" s="63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</row>
    <row r="496">
      <c r="A496" s="64"/>
      <c r="B496" s="63"/>
      <c r="C496" s="63"/>
      <c r="D496" s="63"/>
      <c r="E496" s="63"/>
      <c r="F496" s="63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</row>
    <row r="497">
      <c r="A497" s="64"/>
      <c r="B497" s="63"/>
      <c r="C497" s="63"/>
      <c r="D497" s="63"/>
      <c r="E497" s="63"/>
      <c r="F497" s="63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</row>
    <row r="498">
      <c r="A498" s="64"/>
      <c r="B498" s="63"/>
      <c r="C498" s="63"/>
      <c r="D498" s="63"/>
      <c r="E498" s="63"/>
      <c r="F498" s="63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</row>
    <row r="499">
      <c r="A499" s="64"/>
      <c r="B499" s="63"/>
      <c r="C499" s="63"/>
      <c r="D499" s="63"/>
      <c r="E499" s="63"/>
      <c r="F499" s="63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</row>
    <row r="500">
      <c r="A500" s="64"/>
      <c r="B500" s="63"/>
      <c r="C500" s="63"/>
      <c r="D500" s="63"/>
      <c r="E500" s="63"/>
      <c r="F500" s="63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</row>
    <row r="501">
      <c r="A501" s="64"/>
      <c r="B501" s="63"/>
      <c r="C501" s="63"/>
      <c r="D501" s="63"/>
      <c r="E501" s="63"/>
      <c r="F501" s="63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</row>
    <row r="502">
      <c r="A502" s="64"/>
      <c r="B502" s="63"/>
      <c r="C502" s="63"/>
      <c r="D502" s="63"/>
      <c r="E502" s="63"/>
      <c r="F502" s="63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</row>
    <row r="503">
      <c r="A503" s="64"/>
      <c r="B503" s="63"/>
      <c r="C503" s="63"/>
      <c r="D503" s="63"/>
      <c r="E503" s="63"/>
      <c r="F503" s="63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</row>
    <row r="504">
      <c r="A504" s="64"/>
      <c r="B504" s="63"/>
      <c r="C504" s="63"/>
      <c r="D504" s="63"/>
      <c r="E504" s="63"/>
      <c r="F504" s="63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</row>
    <row r="505">
      <c r="A505" s="64"/>
      <c r="B505" s="63"/>
      <c r="C505" s="63"/>
      <c r="D505" s="63"/>
      <c r="E505" s="63"/>
      <c r="F505" s="63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</row>
    <row r="506">
      <c r="A506" s="64"/>
      <c r="B506" s="63"/>
      <c r="C506" s="63"/>
      <c r="D506" s="63"/>
      <c r="E506" s="63"/>
      <c r="F506" s="63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</row>
    <row r="507">
      <c r="A507" s="64"/>
      <c r="B507" s="63"/>
      <c r="C507" s="63"/>
      <c r="D507" s="63"/>
      <c r="E507" s="63"/>
      <c r="F507" s="63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</row>
    <row r="508">
      <c r="A508" s="64"/>
      <c r="B508" s="63"/>
      <c r="C508" s="63"/>
      <c r="D508" s="63"/>
      <c r="E508" s="63"/>
      <c r="F508" s="63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</row>
    <row r="509">
      <c r="A509" s="64"/>
      <c r="B509" s="63"/>
      <c r="C509" s="63"/>
      <c r="D509" s="63"/>
      <c r="E509" s="63"/>
      <c r="F509" s="63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</row>
    <row r="510">
      <c r="A510" s="64"/>
      <c r="B510" s="63"/>
      <c r="C510" s="63"/>
      <c r="D510" s="63"/>
      <c r="E510" s="63"/>
      <c r="F510" s="63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</row>
    <row r="511">
      <c r="A511" s="64"/>
      <c r="B511" s="63"/>
      <c r="C511" s="63"/>
      <c r="D511" s="63"/>
      <c r="E511" s="63"/>
      <c r="F511" s="63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</row>
    <row r="512">
      <c r="A512" s="64"/>
      <c r="B512" s="63"/>
      <c r="C512" s="63"/>
      <c r="D512" s="63"/>
      <c r="E512" s="63"/>
      <c r="F512" s="63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</row>
    <row r="513">
      <c r="A513" s="64"/>
      <c r="B513" s="63"/>
      <c r="C513" s="63"/>
      <c r="D513" s="63"/>
      <c r="E513" s="63"/>
      <c r="F513" s="63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</row>
    <row r="514">
      <c r="A514" s="64"/>
      <c r="B514" s="63"/>
      <c r="C514" s="63"/>
      <c r="D514" s="63"/>
      <c r="E514" s="63"/>
      <c r="F514" s="63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</row>
    <row r="515">
      <c r="A515" s="64"/>
      <c r="B515" s="63"/>
      <c r="C515" s="63"/>
      <c r="D515" s="63"/>
      <c r="E515" s="63"/>
      <c r="F515" s="63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</row>
    <row r="516">
      <c r="A516" s="64"/>
      <c r="B516" s="63"/>
      <c r="C516" s="63"/>
      <c r="D516" s="63"/>
      <c r="E516" s="63"/>
      <c r="F516" s="63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</row>
    <row r="517">
      <c r="A517" s="64"/>
      <c r="B517" s="63"/>
      <c r="C517" s="63"/>
      <c r="D517" s="63"/>
      <c r="E517" s="63"/>
      <c r="F517" s="63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</row>
    <row r="518">
      <c r="A518" s="64"/>
      <c r="B518" s="63"/>
      <c r="C518" s="63"/>
      <c r="D518" s="63"/>
      <c r="E518" s="63"/>
      <c r="F518" s="63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</row>
    <row r="519">
      <c r="A519" s="64"/>
      <c r="B519" s="63"/>
      <c r="C519" s="63"/>
      <c r="D519" s="63"/>
      <c r="E519" s="63"/>
      <c r="F519" s="63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</row>
    <row r="520">
      <c r="A520" s="64"/>
      <c r="B520" s="63"/>
      <c r="C520" s="63"/>
      <c r="D520" s="63"/>
      <c r="E520" s="63"/>
      <c r="F520" s="63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</row>
    <row r="521">
      <c r="A521" s="64"/>
      <c r="B521" s="63"/>
      <c r="C521" s="63"/>
      <c r="D521" s="63"/>
      <c r="E521" s="63"/>
      <c r="F521" s="63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</row>
    <row r="522">
      <c r="A522" s="64"/>
      <c r="B522" s="63"/>
      <c r="C522" s="63"/>
      <c r="D522" s="63"/>
      <c r="E522" s="63"/>
      <c r="F522" s="63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</row>
    <row r="523">
      <c r="A523" s="64"/>
      <c r="B523" s="63"/>
      <c r="C523" s="63"/>
      <c r="D523" s="63"/>
      <c r="E523" s="63"/>
      <c r="F523" s="63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</row>
    <row r="524">
      <c r="A524" s="64"/>
      <c r="B524" s="63"/>
      <c r="C524" s="63"/>
      <c r="D524" s="63"/>
      <c r="E524" s="63"/>
      <c r="F524" s="63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</row>
    <row r="525">
      <c r="A525" s="64"/>
      <c r="B525" s="63"/>
      <c r="C525" s="63"/>
      <c r="D525" s="63"/>
      <c r="E525" s="63"/>
      <c r="F525" s="63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</row>
    <row r="526">
      <c r="A526" s="64"/>
      <c r="B526" s="63"/>
      <c r="C526" s="63"/>
      <c r="D526" s="63"/>
      <c r="E526" s="63"/>
      <c r="F526" s="63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</row>
    <row r="527">
      <c r="A527" s="64"/>
      <c r="B527" s="63"/>
      <c r="C527" s="63"/>
      <c r="D527" s="63"/>
      <c r="E527" s="63"/>
      <c r="F527" s="63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</row>
    <row r="528">
      <c r="A528" s="64"/>
      <c r="B528" s="63"/>
      <c r="C528" s="63"/>
      <c r="D528" s="63"/>
      <c r="E528" s="63"/>
      <c r="F528" s="63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</row>
    <row r="529">
      <c r="A529" s="64"/>
      <c r="B529" s="63"/>
      <c r="C529" s="63"/>
      <c r="D529" s="63"/>
      <c r="E529" s="63"/>
      <c r="F529" s="63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</row>
    <row r="530">
      <c r="A530" s="64"/>
      <c r="B530" s="63"/>
      <c r="C530" s="63"/>
      <c r="D530" s="63"/>
      <c r="E530" s="63"/>
      <c r="F530" s="63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</row>
    <row r="531">
      <c r="A531" s="64"/>
      <c r="B531" s="63"/>
      <c r="C531" s="63"/>
      <c r="D531" s="63"/>
      <c r="E531" s="63"/>
      <c r="F531" s="63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</row>
    <row r="532">
      <c r="A532" s="64"/>
      <c r="B532" s="63"/>
      <c r="C532" s="63"/>
      <c r="D532" s="63"/>
      <c r="E532" s="63"/>
      <c r="F532" s="63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</row>
    <row r="533">
      <c r="A533" s="64"/>
      <c r="B533" s="63"/>
      <c r="C533" s="63"/>
      <c r="D533" s="63"/>
      <c r="E533" s="63"/>
      <c r="F533" s="63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</row>
    <row r="534">
      <c r="A534" s="64"/>
      <c r="B534" s="63"/>
      <c r="C534" s="63"/>
      <c r="D534" s="63"/>
      <c r="E534" s="63"/>
      <c r="F534" s="63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</row>
    <row r="535">
      <c r="A535" s="64"/>
      <c r="B535" s="63"/>
      <c r="C535" s="63"/>
      <c r="D535" s="63"/>
      <c r="E535" s="63"/>
      <c r="F535" s="63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</row>
    <row r="536">
      <c r="A536" s="64"/>
      <c r="B536" s="63"/>
      <c r="C536" s="63"/>
      <c r="D536" s="63"/>
      <c r="E536" s="63"/>
      <c r="F536" s="63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</row>
    <row r="537">
      <c r="A537" s="64"/>
      <c r="B537" s="63"/>
      <c r="C537" s="63"/>
      <c r="D537" s="63"/>
      <c r="E537" s="63"/>
      <c r="F537" s="63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</row>
    <row r="538">
      <c r="A538" s="64"/>
      <c r="B538" s="63"/>
      <c r="C538" s="63"/>
      <c r="D538" s="63"/>
      <c r="E538" s="63"/>
      <c r="F538" s="63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</row>
    <row r="539">
      <c r="A539" s="64"/>
      <c r="B539" s="63"/>
      <c r="C539" s="63"/>
      <c r="D539" s="63"/>
      <c r="E539" s="63"/>
      <c r="F539" s="63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</row>
    <row r="540">
      <c r="A540" s="64"/>
      <c r="B540" s="63"/>
      <c r="C540" s="63"/>
      <c r="D540" s="63"/>
      <c r="E540" s="63"/>
      <c r="F540" s="63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</row>
    <row r="541">
      <c r="A541" s="64"/>
      <c r="B541" s="63"/>
      <c r="C541" s="63"/>
      <c r="D541" s="63"/>
      <c r="E541" s="63"/>
      <c r="F541" s="63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</row>
    <row r="542">
      <c r="A542" s="64"/>
      <c r="B542" s="63"/>
      <c r="C542" s="63"/>
      <c r="D542" s="63"/>
      <c r="E542" s="63"/>
      <c r="F542" s="63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</row>
    <row r="543">
      <c r="A543" s="64"/>
      <c r="B543" s="63"/>
      <c r="C543" s="63"/>
      <c r="D543" s="63"/>
      <c r="E543" s="63"/>
      <c r="F543" s="63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</row>
    <row r="544">
      <c r="A544" s="64"/>
      <c r="B544" s="63"/>
      <c r="C544" s="63"/>
      <c r="D544" s="63"/>
      <c r="E544" s="63"/>
      <c r="F544" s="63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</row>
    <row r="545">
      <c r="A545" s="64"/>
      <c r="B545" s="63"/>
      <c r="C545" s="63"/>
      <c r="D545" s="63"/>
      <c r="E545" s="63"/>
      <c r="F545" s="63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</row>
    <row r="546">
      <c r="A546" s="64"/>
      <c r="B546" s="63"/>
      <c r="C546" s="63"/>
      <c r="D546" s="63"/>
      <c r="E546" s="63"/>
      <c r="F546" s="63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</row>
    <row r="547">
      <c r="A547" s="64"/>
      <c r="B547" s="63"/>
      <c r="C547" s="63"/>
      <c r="D547" s="63"/>
      <c r="E547" s="63"/>
      <c r="F547" s="63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</row>
    <row r="548">
      <c r="A548" s="64"/>
      <c r="B548" s="63"/>
      <c r="C548" s="63"/>
      <c r="D548" s="63"/>
      <c r="E548" s="63"/>
      <c r="F548" s="63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</row>
    <row r="549">
      <c r="A549" s="64"/>
      <c r="B549" s="63"/>
      <c r="C549" s="63"/>
      <c r="D549" s="63"/>
      <c r="E549" s="63"/>
      <c r="F549" s="63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</row>
    <row r="550">
      <c r="A550" s="64"/>
      <c r="B550" s="63"/>
      <c r="C550" s="63"/>
      <c r="D550" s="63"/>
      <c r="E550" s="63"/>
      <c r="F550" s="63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</row>
    <row r="551">
      <c r="A551" s="64"/>
      <c r="B551" s="63"/>
      <c r="C551" s="63"/>
      <c r="D551" s="63"/>
      <c r="E551" s="63"/>
      <c r="F551" s="63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</row>
    <row r="552">
      <c r="A552" s="64"/>
      <c r="B552" s="63"/>
      <c r="C552" s="63"/>
      <c r="D552" s="63"/>
      <c r="E552" s="63"/>
      <c r="F552" s="63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</row>
    <row r="553">
      <c r="A553" s="64"/>
      <c r="B553" s="63"/>
      <c r="C553" s="63"/>
      <c r="D553" s="63"/>
      <c r="E553" s="63"/>
      <c r="F553" s="63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</row>
    <row r="554">
      <c r="A554" s="64"/>
      <c r="B554" s="63"/>
      <c r="C554" s="63"/>
      <c r="D554" s="63"/>
      <c r="E554" s="63"/>
      <c r="F554" s="63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</row>
    <row r="555">
      <c r="A555" s="64"/>
      <c r="B555" s="63"/>
      <c r="C555" s="63"/>
      <c r="D555" s="63"/>
      <c r="E555" s="63"/>
      <c r="F555" s="63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</row>
    <row r="556">
      <c r="A556" s="64"/>
      <c r="B556" s="63"/>
      <c r="C556" s="63"/>
      <c r="D556" s="63"/>
      <c r="E556" s="63"/>
      <c r="F556" s="63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</row>
    <row r="557">
      <c r="A557" s="64"/>
      <c r="B557" s="63"/>
      <c r="C557" s="63"/>
      <c r="D557" s="63"/>
      <c r="E557" s="63"/>
      <c r="F557" s="63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</row>
    <row r="558">
      <c r="A558" s="64"/>
      <c r="B558" s="63"/>
      <c r="C558" s="63"/>
      <c r="D558" s="63"/>
      <c r="E558" s="63"/>
      <c r="F558" s="63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</row>
    <row r="559">
      <c r="A559" s="64"/>
      <c r="B559" s="63"/>
      <c r="C559" s="63"/>
      <c r="D559" s="63"/>
      <c r="E559" s="63"/>
      <c r="F559" s="63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</row>
    <row r="560">
      <c r="A560" s="64"/>
      <c r="B560" s="63"/>
      <c r="C560" s="63"/>
      <c r="D560" s="63"/>
      <c r="E560" s="63"/>
      <c r="F560" s="63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</row>
    <row r="561">
      <c r="A561" s="64"/>
      <c r="B561" s="63"/>
      <c r="C561" s="63"/>
      <c r="D561" s="63"/>
      <c r="E561" s="63"/>
      <c r="F561" s="63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</row>
    <row r="562">
      <c r="A562" s="64"/>
      <c r="B562" s="63"/>
      <c r="C562" s="63"/>
      <c r="D562" s="63"/>
      <c r="E562" s="63"/>
      <c r="F562" s="63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</row>
    <row r="563">
      <c r="A563" s="64"/>
      <c r="B563" s="63"/>
      <c r="C563" s="63"/>
      <c r="D563" s="63"/>
      <c r="E563" s="63"/>
      <c r="F563" s="63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</row>
    <row r="564">
      <c r="A564" s="64"/>
      <c r="B564" s="63"/>
      <c r="C564" s="63"/>
      <c r="D564" s="63"/>
      <c r="E564" s="63"/>
      <c r="F564" s="63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</row>
    <row r="565">
      <c r="A565" s="64"/>
      <c r="B565" s="63"/>
      <c r="C565" s="63"/>
      <c r="D565" s="63"/>
      <c r="E565" s="63"/>
      <c r="F565" s="63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</row>
    <row r="566">
      <c r="A566" s="64"/>
      <c r="B566" s="63"/>
      <c r="C566" s="63"/>
      <c r="D566" s="63"/>
      <c r="E566" s="63"/>
      <c r="F566" s="63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</row>
    <row r="567">
      <c r="A567" s="64"/>
      <c r="B567" s="63"/>
      <c r="C567" s="63"/>
      <c r="D567" s="63"/>
      <c r="E567" s="63"/>
      <c r="F567" s="63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</row>
    <row r="568">
      <c r="A568" s="64"/>
      <c r="B568" s="63"/>
      <c r="C568" s="63"/>
      <c r="D568" s="63"/>
      <c r="E568" s="63"/>
      <c r="F568" s="63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</row>
    <row r="569">
      <c r="A569" s="64"/>
      <c r="B569" s="63"/>
      <c r="C569" s="63"/>
      <c r="D569" s="63"/>
      <c r="E569" s="63"/>
      <c r="F569" s="63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</row>
    <row r="570">
      <c r="A570" s="64"/>
      <c r="B570" s="63"/>
      <c r="C570" s="63"/>
      <c r="D570" s="63"/>
      <c r="E570" s="63"/>
      <c r="F570" s="63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</row>
    <row r="571">
      <c r="A571" s="64"/>
      <c r="B571" s="63"/>
      <c r="C571" s="63"/>
      <c r="D571" s="63"/>
      <c r="E571" s="63"/>
      <c r="F571" s="63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</row>
    <row r="572">
      <c r="A572" s="64"/>
      <c r="B572" s="63"/>
      <c r="C572" s="63"/>
      <c r="D572" s="63"/>
      <c r="E572" s="63"/>
      <c r="F572" s="63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</row>
    <row r="573">
      <c r="A573" s="64"/>
      <c r="B573" s="63"/>
      <c r="C573" s="63"/>
      <c r="D573" s="63"/>
      <c r="E573" s="63"/>
      <c r="F573" s="63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</row>
    <row r="574">
      <c r="A574" s="64"/>
      <c r="B574" s="63"/>
      <c r="C574" s="63"/>
      <c r="D574" s="63"/>
      <c r="E574" s="63"/>
      <c r="F574" s="63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</row>
    <row r="575">
      <c r="A575" s="64"/>
      <c r="B575" s="63"/>
      <c r="C575" s="63"/>
      <c r="D575" s="63"/>
      <c r="E575" s="63"/>
      <c r="F575" s="63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</row>
    <row r="576">
      <c r="A576" s="64"/>
      <c r="B576" s="63"/>
      <c r="C576" s="63"/>
      <c r="D576" s="63"/>
      <c r="E576" s="63"/>
      <c r="F576" s="63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</row>
    <row r="577">
      <c r="A577" s="64"/>
      <c r="B577" s="63"/>
      <c r="C577" s="63"/>
      <c r="D577" s="63"/>
      <c r="E577" s="63"/>
      <c r="F577" s="63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</row>
    <row r="578">
      <c r="A578" s="64"/>
      <c r="B578" s="63"/>
      <c r="C578" s="63"/>
      <c r="D578" s="63"/>
      <c r="E578" s="63"/>
      <c r="F578" s="63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</row>
    <row r="579">
      <c r="A579" s="64"/>
      <c r="B579" s="63"/>
      <c r="C579" s="63"/>
      <c r="D579" s="63"/>
      <c r="E579" s="63"/>
      <c r="F579" s="63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</row>
    <row r="580">
      <c r="A580" s="64"/>
      <c r="B580" s="63"/>
      <c r="C580" s="63"/>
      <c r="D580" s="63"/>
      <c r="E580" s="63"/>
      <c r="F580" s="63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</row>
    <row r="581">
      <c r="A581" s="64"/>
      <c r="B581" s="63"/>
      <c r="C581" s="63"/>
      <c r="D581" s="63"/>
      <c r="E581" s="63"/>
      <c r="F581" s="63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</row>
    <row r="582">
      <c r="A582" s="64"/>
      <c r="B582" s="63"/>
      <c r="C582" s="63"/>
      <c r="D582" s="63"/>
      <c r="E582" s="63"/>
      <c r="F582" s="63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</row>
    <row r="583">
      <c r="A583" s="64"/>
      <c r="B583" s="63"/>
      <c r="C583" s="63"/>
      <c r="D583" s="63"/>
      <c r="E583" s="63"/>
      <c r="F583" s="63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</row>
    <row r="584">
      <c r="A584" s="64"/>
      <c r="B584" s="63"/>
      <c r="C584" s="63"/>
      <c r="D584" s="63"/>
      <c r="E584" s="63"/>
      <c r="F584" s="63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</row>
    <row r="585">
      <c r="A585" s="64"/>
      <c r="B585" s="63"/>
      <c r="C585" s="63"/>
      <c r="D585" s="63"/>
      <c r="E585" s="63"/>
      <c r="F585" s="63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</row>
    <row r="586">
      <c r="A586" s="64"/>
      <c r="B586" s="63"/>
      <c r="C586" s="63"/>
      <c r="D586" s="63"/>
      <c r="E586" s="63"/>
      <c r="F586" s="63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</row>
    <row r="587">
      <c r="A587" s="64"/>
      <c r="B587" s="63"/>
      <c r="C587" s="63"/>
      <c r="D587" s="63"/>
      <c r="E587" s="63"/>
      <c r="F587" s="63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</row>
    <row r="588">
      <c r="A588" s="64"/>
      <c r="B588" s="63"/>
      <c r="C588" s="63"/>
      <c r="D588" s="63"/>
      <c r="E588" s="63"/>
      <c r="F588" s="63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</row>
    <row r="589">
      <c r="A589" s="64"/>
      <c r="B589" s="63"/>
      <c r="C589" s="63"/>
      <c r="D589" s="63"/>
      <c r="E589" s="63"/>
      <c r="F589" s="63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</row>
    <row r="590">
      <c r="A590" s="64"/>
      <c r="B590" s="63"/>
      <c r="C590" s="63"/>
      <c r="D590" s="63"/>
      <c r="E590" s="63"/>
      <c r="F590" s="63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</row>
    <row r="591">
      <c r="A591" s="64"/>
      <c r="B591" s="63"/>
      <c r="C591" s="63"/>
      <c r="D591" s="63"/>
      <c r="E591" s="63"/>
      <c r="F591" s="63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</row>
    <row r="592">
      <c r="A592" s="64"/>
      <c r="B592" s="63"/>
      <c r="C592" s="63"/>
      <c r="D592" s="63"/>
      <c r="E592" s="63"/>
      <c r="F592" s="63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</row>
    <row r="593">
      <c r="A593" s="64"/>
      <c r="B593" s="63"/>
      <c r="C593" s="63"/>
      <c r="D593" s="63"/>
      <c r="E593" s="63"/>
      <c r="F593" s="63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</row>
    <row r="594">
      <c r="A594" s="64"/>
      <c r="B594" s="63"/>
      <c r="C594" s="63"/>
      <c r="D594" s="63"/>
      <c r="E594" s="63"/>
      <c r="F594" s="63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</row>
    <row r="595">
      <c r="A595" s="64"/>
      <c r="B595" s="63"/>
      <c r="C595" s="63"/>
      <c r="D595" s="63"/>
      <c r="E595" s="63"/>
      <c r="F595" s="63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</row>
    <row r="596">
      <c r="A596" s="64"/>
      <c r="B596" s="63"/>
      <c r="C596" s="63"/>
      <c r="D596" s="63"/>
      <c r="E596" s="63"/>
      <c r="F596" s="63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</row>
    <row r="597">
      <c r="A597" s="64"/>
      <c r="B597" s="63"/>
      <c r="C597" s="63"/>
      <c r="D597" s="63"/>
      <c r="E597" s="63"/>
      <c r="F597" s="63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</row>
    <row r="598">
      <c r="A598" s="64"/>
      <c r="B598" s="63"/>
      <c r="C598" s="63"/>
      <c r="D598" s="63"/>
      <c r="E598" s="63"/>
      <c r="F598" s="63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</row>
    <row r="599">
      <c r="A599" s="64"/>
      <c r="B599" s="63"/>
      <c r="C599" s="63"/>
      <c r="D599" s="63"/>
      <c r="E599" s="63"/>
      <c r="F599" s="63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</row>
    <row r="600">
      <c r="A600" s="64"/>
      <c r="B600" s="63"/>
      <c r="C600" s="63"/>
      <c r="D600" s="63"/>
      <c r="E600" s="63"/>
      <c r="F600" s="63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</row>
    <row r="601">
      <c r="A601" s="64"/>
      <c r="B601" s="63"/>
      <c r="C601" s="63"/>
      <c r="D601" s="63"/>
      <c r="E601" s="63"/>
      <c r="F601" s="63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</row>
    <row r="602">
      <c r="A602" s="64"/>
      <c r="B602" s="63"/>
      <c r="C602" s="63"/>
      <c r="D602" s="63"/>
      <c r="E602" s="63"/>
      <c r="F602" s="63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</row>
    <row r="603">
      <c r="A603" s="64"/>
      <c r="B603" s="63"/>
      <c r="C603" s="63"/>
      <c r="D603" s="63"/>
      <c r="E603" s="63"/>
      <c r="F603" s="63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</row>
    <row r="604">
      <c r="A604" s="64"/>
      <c r="B604" s="63"/>
      <c r="C604" s="63"/>
      <c r="D604" s="63"/>
      <c r="E604" s="63"/>
      <c r="F604" s="63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</row>
    <row r="605">
      <c r="A605" s="64"/>
      <c r="B605" s="63"/>
      <c r="C605" s="63"/>
      <c r="D605" s="63"/>
      <c r="E605" s="63"/>
      <c r="F605" s="63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</row>
    <row r="606">
      <c r="A606" s="64"/>
      <c r="B606" s="63"/>
      <c r="C606" s="63"/>
      <c r="D606" s="63"/>
      <c r="E606" s="63"/>
      <c r="F606" s="63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</row>
    <row r="607">
      <c r="A607" s="64"/>
      <c r="B607" s="63"/>
      <c r="C607" s="63"/>
      <c r="D607" s="63"/>
      <c r="E607" s="63"/>
      <c r="F607" s="63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</row>
    <row r="608">
      <c r="A608" s="64"/>
      <c r="B608" s="63"/>
      <c r="C608" s="63"/>
      <c r="D608" s="63"/>
      <c r="E608" s="63"/>
      <c r="F608" s="63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</row>
    <row r="609">
      <c r="A609" s="64"/>
      <c r="B609" s="63"/>
      <c r="C609" s="63"/>
      <c r="D609" s="63"/>
      <c r="E609" s="63"/>
      <c r="F609" s="63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</row>
    <row r="610">
      <c r="A610" s="64"/>
      <c r="B610" s="63"/>
      <c r="C610" s="63"/>
      <c r="D610" s="63"/>
      <c r="E610" s="63"/>
      <c r="F610" s="63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</row>
    <row r="611">
      <c r="A611" s="64"/>
      <c r="B611" s="63"/>
      <c r="C611" s="63"/>
      <c r="D611" s="63"/>
      <c r="E611" s="63"/>
      <c r="F611" s="63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</row>
    <row r="612">
      <c r="A612" s="64"/>
      <c r="B612" s="63"/>
      <c r="C612" s="63"/>
      <c r="D612" s="63"/>
      <c r="E612" s="63"/>
      <c r="F612" s="63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</row>
    <row r="613">
      <c r="A613" s="64"/>
      <c r="B613" s="63"/>
      <c r="C613" s="63"/>
      <c r="D613" s="63"/>
      <c r="E613" s="63"/>
      <c r="F613" s="63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</row>
    <row r="614">
      <c r="A614" s="64"/>
      <c r="B614" s="63"/>
      <c r="C614" s="63"/>
      <c r="D614" s="63"/>
      <c r="E614" s="63"/>
      <c r="F614" s="63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</row>
    <row r="615">
      <c r="A615" s="64"/>
      <c r="B615" s="63"/>
      <c r="C615" s="63"/>
      <c r="D615" s="63"/>
      <c r="E615" s="63"/>
      <c r="F615" s="63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</row>
    <row r="616">
      <c r="A616" s="64"/>
      <c r="B616" s="63"/>
      <c r="C616" s="63"/>
      <c r="D616" s="63"/>
      <c r="E616" s="63"/>
      <c r="F616" s="63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</row>
    <row r="617">
      <c r="A617" s="64"/>
      <c r="B617" s="63"/>
      <c r="C617" s="63"/>
      <c r="D617" s="63"/>
      <c r="E617" s="63"/>
      <c r="F617" s="63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</row>
    <row r="618">
      <c r="A618" s="64"/>
      <c r="B618" s="63"/>
      <c r="C618" s="63"/>
      <c r="D618" s="63"/>
      <c r="E618" s="63"/>
      <c r="F618" s="63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</row>
    <row r="619">
      <c r="A619" s="64"/>
      <c r="B619" s="63"/>
      <c r="C619" s="63"/>
      <c r="D619" s="63"/>
      <c r="E619" s="63"/>
      <c r="F619" s="63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</row>
    <row r="620">
      <c r="A620" s="64"/>
      <c r="B620" s="63"/>
      <c r="C620" s="63"/>
      <c r="D620" s="63"/>
      <c r="E620" s="63"/>
      <c r="F620" s="63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</row>
    <row r="621">
      <c r="A621" s="64"/>
      <c r="B621" s="63"/>
      <c r="C621" s="63"/>
      <c r="D621" s="63"/>
      <c r="E621" s="63"/>
      <c r="F621" s="63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</row>
    <row r="622">
      <c r="A622" s="64"/>
      <c r="B622" s="63"/>
      <c r="C622" s="63"/>
      <c r="D622" s="63"/>
      <c r="E622" s="63"/>
      <c r="F622" s="63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</row>
    <row r="623">
      <c r="A623" s="64"/>
      <c r="B623" s="63"/>
      <c r="C623" s="63"/>
      <c r="D623" s="63"/>
      <c r="E623" s="63"/>
      <c r="F623" s="63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</row>
    <row r="624">
      <c r="A624" s="64"/>
      <c r="B624" s="63"/>
      <c r="C624" s="63"/>
      <c r="D624" s="63"/>
      <c r="E624" s="63"/>
      <c r="F624" s="63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</row>
    <row r="625">
      <c r="A625" s="64"/>
      <c r="B625" s="63"/>
      <c r="C625" s="63"/>
      <c r="D625" s="63"/>
      <c r="E625" s="63"/>
      <c r="F625" s="63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</row>
    <row r="626">
      <c r="A626" s="64"/>
      <c r="B626" s="63"/>
      <c r="C626" s="63"/>
      <c r="D626" s="63"/>
      <c r="E626" s="63"/>
      <c r="F626" s="63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</row>
    <row r="627">
      <c r="A627" s="64"/>
      <c r="B627" s="63"/>
      <c r="C627" s="63"/>
      <c r="D627" s="63"/>
      <c r="E627" s="63"/>
      <c r="F627" s="63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</row>
    <row r="628">
      <c r="A628" s="64"/>
      <c r="B628" s="63"/>
      <c r="C628" s="63"/>
      <c r="D628" s="63"/>
      <c r="E628" s="63"/>
      <c r="F628" s="63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</row>
    <row r="629">
      <c r="A629" s="64"/>
      <c r="B629" s="63"/>
      <c r="C629" s="63"/>
      <c r="D629" s="63"/>
      <c r="E629" s="63"/>
      <c r="F629" s="63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</row>
    <row r="630">
      <c r="A630" s="64"/>
      <c r="B630" s="63"/>
      <c r="C630" s="63"/>
      <c r="D630" s="63"/>
      <c r="E630" s="63"/>
      <c r="F630" s="63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</row>
    <row r="631">
      <c r="A631" s="64"/>
      <c r="B631" s="63"/>
      <c r="C631" s="63"/>
      <c r="D631" s="63"/>
      <c r="E631" s="63"/>
      <c r="F631" s="63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</row>
    <row r="632">
      <c r="A632" s="64"/>
      <c r="B632" s="63"/>
      <c r="C632" s="63"/>
      <c r="D632" s="63"/>
      <c r="E632" s="63"/>
      <c r="F632" s="63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</row>
    <row r="633">
      <c r="A633" s="64"/>
      <c r="B633" s="63"/>
      <c r="C633" s="63"/>
      <c r="D633" s="63"/>
      <c r="E633" s="63"/>
      <c r="F633" s="63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</row>
    <row r="634">
      <c r="A634" s="64"/>
      <c r="B634" s="63"/>
      <c r="C634" s="63"/>
      <c r="D634" s="63"/>
      <c r="E634" s="63"/>
      <c r="F634" s="63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</row>
    <row r="635">
      <c r="A635" s="64"/>
      <c r="B635" s="63"/>
      <c r="C635" s="63"/>
      <c r="D635" s="63"/>
      <c r="E635" s="63"/>
      <c r="F635" s="63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</row>
    <row r="636">
      <c r="A636" s="64"/>
      <c r="B636" s="63"/>
      <c r="C636" s="63"/>
      <c r="D636" s="63"/>
      <c r="E636" s="63"/>
      <c r="F636" s="63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</row>
    <row r="637">
      <c r="A637" s="64"/>
      <c r="B637" s="63"/>
      <c r="C637" s="63"/>
      <c r="D637" s="63"/>
      <c r="E637" s="63"/>
      <c r="F637" s="63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</row>
    <row r="638">
      <c r="A638" s="64"/>
      <c r="B638" s="63"/>
      <c r="C638" s="63"/>
      <c r="D638" s="63"/>
      <c r="E638" s="63"/>
      <c r="F638" s="63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</row>
    <row r="639">
      <c r="A639" s="64"/>
      <c r="B639" s="63"/>
      <c r="C639" s="63"/>
      <c r="D639" s="63"/>
      <c r="E639" s="63"/>
      <c r="F639" s="63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</row>
    <row r="640">
      <c r="A640" s="64"/>
      <c r="B640" s="63"/>
      <c r="C640" s="63"/>
      <c r="D640" s="63"/>
      <c r="E640" s="63"/>
      <c r="F640" s="63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</row>
    <row r="641">
      <c r="A641" s="64"/>
      <c r="B641" s="63"/>
      <c r="C641" s="63"/>
      <c r="D641" s="63"/>
      <c r="E641" s="63"/>
      <c r="F641" s="63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</row>
    <row r="642">
      <c r="A642" s="64"/>
      <c r="B642" s="63"/>
      <c r="C642" s="63"/>
      <c r="D642" s="63"/>
      <c r="E642" s="63"/>
      <c r="F642" s="63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</row>
    <row r="643">
      <c r="A643" s="64"/>
      <c r="B643" s="63"/>
      <c r="C643" s="63"/>
      <c r="D643" s="63"/>
      <c r="E643" s="63"/>
      <c r="F643" s="63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</row>
    <row r="644">
      <c r="A644" s="64"/>
      <c r="B644" s="63"/>
      <c r="C644" s="63"/>
      <c r="D644" s="63"/>
      <c r="E644" s="63"/>
      <c r="F644" s="63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</row>
    <row r="645">
      <c r="A645" s="64"/>
      <c r="B645" s="63"/>
      <c r="C645" s="63"/>
      <c r="D645" s="63"/>
      <c r="E645" s="63"/>
      <c r="F645" s="63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</row>
    <row r="646">
      <c r="A646" s="64"/>
      <c r="B646" s="63"/>
      <c r="C646" s="63"/>
      <c r="D646" s="63"/>
      <c r="E646" s="63"/>
      <c r="F646" s="63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</row>
    <row r="647">
      <c r="A647" s="64"/>
      <c r="B647" s="63"/>
      <c r="C647" s="63"/>
      <c r="D647" s="63"/>
      <c r="E647" s="63"/>
      <c r="F647" s="63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</row>
    <row r="648">
      <c r="A648" s="64"/>
      <c r="B648" s="63"/>
      <c r="C648" s="63"/>
      <c r="D648" s="63"/>
      <c r="E648" s="63"/>
      <c r="F648" s="63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</row>
    <row r="649">
      <c r="A649" s="64"/>
      <c r="B649" s="63"/>
      <c r="C649" s="63"/>
      <c r="D649" s="63"/>
      <c r="E649" s="63"/>
      <c r="F649" s="63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</row>
    <row r="650">
      <c r="A650" s="64"/>
      <c r="B650" s="63"/>
      <c r="C650" s="63"/>
      <c r="D650" s="63"/>
      <c r="E650" s="63"/>
      <c r="F650" s="63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</row>
    <row r="651">
      <c r="A651" s="64"/>
      <c r="B651" s="63"/>
      <c r="C651" s="63"/>
      <c r="D651" s="63"/>
      <c r="E651" s="63"/>
      <c r="F651" s="63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</row>
    <row r="652">
      <c r="A652" s="64"/>
      <c r="B652" s="63"/>
      <c r="C652" s="63"/>
      <c r="D652" s="63"/>
      <c r="E652" s="63"/>
      <c r="F652" s="63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</row>
    <row r="653">
      <c r="A653" s="64"/>
      <c r="B653" s="63"/>
      <c r="C653" s="63"/>
      <c r="D653" s="63"/>
      <c r="E653" s="63"/>
      <c r="F653" s="63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</row>
    <row r="654">
      <c r="A654" s="64"/>
      <c r="B654" s="63"/>
      <c r="C654" s="63"/>
      <c r="D654" s="63"/>
      <c r="E654" s="63"/>
      <c r="F654" s="63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</row>
    <row r="655">
      <c r="A655" s="64"/>
      <c r="B655" s="63"/>
      <c r="C655" s="63"/>
      <c r="D655" s="63"/>
      <c r="E655" s="63"/>
      <c r="F655" s="63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</row>
    <row r="656">
      <c r="A656" s="64"/>
      <c r="B656" s="63"/>
      <c r="C656" s="63"/>
      <c r="D656" s="63"/>
      <c r="E656" s="63"/>
      <c r="F656" s="63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</row>
    <row r="657">
      <c r="A657" s="64"/>
      <c r="B657" s="63"/>
      <c r="C657" s="63"/>
      <c r="D657" s="63"/>
      <c r="E657" s="63"/>
      <c r="F657" s="63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</row>
    <row r="658">
      <c r="A658" s="64"/>
      <c r="B658" s="63"/>
      <c r="C658" s="63"/>
      <c r="D658" s="63"/>
      <c r="E658" s="63"/>
      <c r="F658" s="63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</row>
    <row r="659">
      <c r="A659" s="64"/>
      <c r="B659" s="63"/>
      <c r="C659" s="63"/>
      <c r="D659" s="63"/>
      <c r="E659" s="63"/>
      <c r="F659" s="63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</row>
    <row r="660">
      <c r="A660" s="64"/>
      <c r="B660" s="63"/>
      <c r="C660" s="63"/>
      <c r="D660" s="63"/>
      <c r="E660" s="63"/>
      <c r="F660" s="63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</row>
    <row r="661">
      <c r="A661" s="64"/>
      <c r="B661" s="63"/>
      <c r="C661" s="63"/>
      <c r="D661" s="63"/>
      <c r="E661" s="63"/>
      <c r="F661" s="63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</row>
    <row r="662">
      <c r="A662" s="64"/>
      <c r="B662" s="63"/>
      <c r="C662" s="63"/>
      <c r="D662" s="63"/>
      <c r="E662" s="63"/>
      <c r="F662" s="63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</row>
    <row r="663">
      <c r="A663" s="64"/>
      <c r="B663" s="63"/>
      <c r="C663" s="63"/>
      <c r="D663" s="63"/>
      <c r="E663" s="63"/>
      <c r="F663" s="63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</row>
    <row r="664">
      <c r="A664" s="64"/>
      <c r="B664" s="63"/>
      <c r="C664" s="63"/>
      <c r="D664" s="63"/>
      <c r="E664" s="63"/>
      <c r="F664" s="63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</row>
    <row r="665">
      <c r="A665" s="64"/>
      <c r="B665" s="63"/>
      <c r="C665" s="63"/>
      <c r="D665" s="63"/>
      <c r="E665" s="63"/>
      <c r="F665" s="63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</row>
    <row r="666">
      <c r="A666" s="64"/>
      <c r="B666" s="63"/>
      <c r="C666" s="63"/>
      <c r="D666" s="63"/>
      <c r="E666" s="63"/>
      <c r="F666" s="63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</row>
    <row r="667">
      <c r="A667" s="64"/>
      <c r="B667" s="63"/>
      <c r="C667" s="63"/>
      <c r="D667" s="63"/>
      <c r="E667" s="63"/>
      <c r="F667" s="63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</row>
    <row r="668">
      <c r="A668" s="64"/>
      <c r="B668" s="63"/>
      <c r="C668" s="63"/>
      <c r="D668" s="63"/>
      <c r="E668" s="63"/>
      <c r="F668" s="63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</row>
    <row r="669">
      <c r="A669" s="64"/>
      <c r="B669" s="63"/>
      <c r="C669" s="63"/>
      <c r="D669" s="63"/>
      <c r="E669" s="63"/>
      <c r="F669" s="63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</row>
    <row r="670">
      <c r="A670" s="64"/>
      <c r="B670" s="63"/>
      <c r="C670" s="63"/>
      <c r="D670" s="63"/>
      <c r="E670" s="63"/>
      <c r="F670" s="63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</row>
    <row r="671">
      <c r="A671" s="64"/>
      <c r="B671" s="63"/>
      <c r="C671" s="63"/>
      <c r="D671" s="63"/>
      <c r="E671" s="63"/>
      <c r="F671" s="63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</row>
    <row r="672">
      <c r="A672" s="64"/>
      <c r="B672" s="63"/>
      <c r="C672" s="63"/>
      <c r="D672" s="63"/>
      <c r="E672" s="63"/>
      <c r="F672" s="63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</row>
    <row r="673">
      <c r="A673" s="64"/>
      <c r="B673" s="63"/>
      <c r="C673" s="63"/>
      <c r="D673" s="63"/>
      <c r="E673" s="63"/>
      <c r="F673" s="63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</row>
    <row r="674">
      <c r="A674" s="64"/>
      <c r="B674" s="63"/>
      <c r="C674" s="63"/>
      <c r="D674" s="63"/>
      <c r="E674" s="63"/>
      <c r="F674" s="63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</row>
    <row r="675">
      <c r="A675" s="64"/>
      <c r="B675" s="63"/>
      <c r="C675" s="63"/>
      <c r="D675" s="63"/>
      <c r="E675" s="63"/>
      <c r="F675" s="63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</row>
    <row r="676">
      <c r="A676" s="64"/>
      <c r="B676" s="63"/>
      <c r="C676" s="63"/>
      <c r="D676" s="63"/>
      <c r="E676" s="63"/>
      <c r="F676" s="63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</row>
    <row r="677">
      <c r="A677" s="64"/>
      <c r="B677" s="63"/>
      <c r="C677" s="63"/>
      <c r="D677" s="63"/>
      <c r="E677" s="63"/>
      <c r="F677" s="63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</row>
    <row r="678">
      <c r="A678" s="64"/>
      <c r="B678" s="63"/>
      <c r="C678" s="63"/>
      <c r="D678" s="63"/>
      <c r="E678" s="63"/>
      <c r="F678" s="63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</row>
    <row r="679">
      <c r="A679" s="64"/>
      <c r="B679" s="63"/>
      <c r="C679" s="63"/>
      <c r="D679" s="63"/>
      <c r="E679" s="63"/>
      <c r="F679" s="63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</row>
    <row r="680">
      <c r="A680" s="64"/>
      <c r="B680" s="63"/>
      <c r="C680" s="63"/>
      <c r="D680" s="63"/>
      <c r="E680" s="63"/>
      <c r="F680" s="63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</row>
    <row r="681">
      <c r="A681" s="64"/>
      <c r="B681" s="63"/>
      <c r="C681" s="63"/>
      <c r="D681" s="63"/>
      <c r="E681" s="63"/>
      <c r="F681" s="63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</row>
    <row r="682">
      <c r="A682" s="64"/>
      <c r="B682" s="63"/>
      <c r="C682" s="63"/>
      <c r="D682" s="63"/>
      <c r="E682" s="63"/>
      <c r="F682" s="63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</row>
    <row r="683">
      <c r="A683" s="64"/>
      <c r="B683" s="63"/>
      <c r="C683" s="63"/>
      <c r="D683" s="63"/>
      <c r="E683" s="63"/>
      <c r="F683" s="63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</row>
    <row r="684">
      <c r="A684" s="64"/>
      <c r="B684" s="63"/>
      <c r="C684" s="63"/>
      <c r="D684" s="63"/>
      <c r="E684" s="63"/>
      <c r="F684" s="63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</row>
    <row r="685">
      <c r="A685" s="64"/>
      <c r="B685" s="63"/>
      <c r="C685" s="63"/>
      <c r="D685" s="63"/>
      <c r="E685" s="63"/>
      <c r="F685" s="63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</row>
    <row r="686">
      <c r="A686" s="64"/>
      <c r="B686" s="63"/>
      <c r="C686" s="63"/>
      <c r="D686" s="63"/>
      <c r="E686" s="63"/>
      <c r="F686" s="63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</row>
    <row r="687">
      <c r="A687" s="64"/>
      <c r="B687" s="63"/>
      <c r="C687" s="63"/>
      <c r="D687" s="63"/>
      <c r="E687" s="63"/>
      <c r="F687" s="63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</row>
    <row r="688">
      <c r="A688" s="64"/>
      <c r="B688" s="63"/>
      <c r="C688" s="63"/>
      <c r="D688" s="63"/>
      <c r="E688" s="63"/>
      <c r="F688" s="63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</row>
    <row r="689">
      <c r="A689" s="64"/>
      <c r="B689" s="63"/>
      <c r="C689" s="63"/>
      <c r="D689" s="63"/>
      <c r="E689" s="63"/>
      <c r="F689" s="63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</row>
    <row r="690">
      <c r="A690" s="64"/>
      <c r="B690" s="63"/>
      <c r="C690" s="63"/>
      <c r="D690" s="63"/>
      <c r="E690" s="63"/>
      <c r="F690" s="63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</row>
    <row r="691">
      <c r="A691" s="64"/>
      <c r="B691" s="63"/>
      <c r="C691" s="63"/>
      <c r="D691" s="63"/>
      <c r="E691" s="63"/>
      <c r="F691" s="63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</row>
    <row r="692">
      <c r="A692" s="64"/>
      <c r="B692" s="63"/>
      <c r="C692" s="63"/>
      <c r="D692" s="63"/>
      <c r="E692" s="63"/>
      <c r="F692" s="63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</row>
    <row r="693">
      <c r="A693" s="64"/>
      <c r="B693" s="63"/>
      <c r="C693" s="63"/>
      <c r="D693" s="63"/>
      <c r="E693" s="63"/>
      <c r="F693" s="63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</row>
    <row r="694">
      <c r="A694" s="64"/>
      <c r="B694" s="63"/>
      <c r="C694" s="63"/>
      <c r="D694" s="63"/>
      <c r="E694" s="63"/>
      <c r="F694" s="63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</row>
    <row r="695">
      <c r="A695" s="64"/>
      <c r="B695" s="63"/>
      <c r="C695" s="63"/>
      <c r="D695" s="63"/>
      <c r="E695" s="63"/>
      <c r="F695" s="63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</row>
    <row r="696">
      <c r="A696" s="64"/>
      <c r="B696" s="63"/>
      <c r="C696" s="63"/>
      <c r="D696" s="63"/>
      <c r="E696" s="63"/>
      <c r="F696" s="63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</row>
    <row r="697">
      <c r="A697" s="64"/>
      <c r="B697" s="63"/>
      <c r="C697" s="63"/>
      <c r="D697" s="63"/>
      <c r="E697" s="63"/>
      <c r="F697" s="63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</row>
    <row r="698">
      <c r="A698" s="64"/>
      <c r="B698" s="63"/>
      <c r="C698" s="63"/>
      <c r="D698" s="63"/>
      <c r="E698" s="63"/>
      <c r="F698" s="63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</row>
    <row r="699">
      <c r="A699" s="64"/>
      <c r="B699" s="63"/>
      <c r="C699" s="63"/>
      <c r="D699" s="63"/>
      <c r="E699" s="63"/>
      <c r="F699" s="63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</row>
    <row r="700">
      <c r="A700" s="64"/>
      <c r="B700" s="63"/>
      <c r="C700" s="63"/>
      <c r="D700" s="63"/>
      <c r="E700" s="63"/>
      <c r="F700" s="63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</row>
    <row r="701">
      <c r="A701" s="64"/>
      <c r="B701" s="63"/>
      <c r="C701" s="63"/>
      <c r="D701" s="63"/>
      <c r="E701" s="63"/>
      <c r="F701" s="63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</row>
    <row r="702">
      <c r="A702" s="64"/>
      <c r="B702" s="63"/>
      <c r="C702" s="63"/>
      <c r="D702" s="63"/>
      <c r="E702" s="63"/>
      <c r="F702" s="63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</row>
    <row r="703">
      <c r="A703" s="64"/>
      <c r="B703" s="63"/>
      <c r="C703" s="63"/>
      <c r="D703" s="63"/>
      <c r="E703" s="63"/>
      <c r="F703" s="63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</row>
    <row r="704">
      <c r="A704" s="64"/>
      <c r="B704" s="63"/>
      <c r="C704" s="63"/>
      <c r="D704" s="63"/>
      <c r="E704" s="63"/>
      <c r="F704" s="63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</row>
    <row r="705">
      <c r="A705" s="64"/>
      <c r="B705" s="63"/>
      <c r="C705" s="63"/>
      <c r="D705" s="63"/>
      <c r="E705" s="63"/>
      <c r="F705" s="63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</row>
    <row r="706">
      <c r="A706" s="64"/>
      <c r="B706" s="63"/>
      <c r="C706" s="63"/>
      <c r="D706" s="63"/>
      <c r="E706" s="63"/>
      <c r="F706" s="63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</row>
    <row r="707">
      <c r="A707" s="64"/>
      <c r="B707" s="63"/>
      <c r="C707" s="63"/>
      <c r="D707" s="63"/>
      <c r="E707" s="63"/>
      <c r="F707" s="63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</row>
    <row r="708">
      <c r="A708" s="64"/>
      <c r="B708" s="63"/>
      <c r="C708" s="63"/>
      <c r="D708" s="63"/>
      <c r="E708" s="63"/>
      <c r="F708" s="63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</row>
    <row r="709">
      <c r="A709" s="64"/>
      <c r="B709" s="63"/>
      <c r="C709" s="63"/>
      <c r="D709" s="63"/>
      <c r="E709" s="63"/>
      <c r="F709" s="63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</row>
    <row r="710">
      <c r="A710" s="64"/>
      <c r="B710" s="63"/>
      <c r="C710" s="63"/>
      <c r="D710" s="63"/>
      <c r="E710" s="63"/>
      <c r="F710" s="63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</row>
    <row r="711">
      <c r="A711" s="64"/>
      <c r="B711" s="63"/>
      <c r="C711" s="63"/>
      <c r="D711" s="63"/>
      <c r="E711" s="63"/>
      <c r="F711" s="63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</row>
    <row r="712">
      <c r="A712" s="64"/>
      <c r="B712" s="63"/>
      <c r="C712" s="63"/>
      <c r="D712" s="63"/>
      <c r="E712" s="63"/>
      <c r="F712" s="63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</row>
    <row r="713">
      <c r="A713" s="64"/>
      <c r="B713" s="63"/>
      <c r="C713" s="63"/>
      <c r="D713" s="63"/>
      <c r="E713" s="63"/>
      <c r="F713" s="63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</row>
    <row r="714">
      <c r="A714" s="64"/>
      <c r="B714" s="63"/>
      <c r="C714" s="63"/>
      <c r="D714" s="63"/>
      <c r="E714" s="63"/>
      <c r="F714" s="63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</row>
    <row r="715">
      <c r="A715" s="64"/>
      <c r="B715" s="63"/>
      <c r="C715" s="63"/>
      <c r="D715" s="63"/>
      <c r="E715" s="63"/>
      <c r="F715" s="63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</row>
    <row r="716">
      <c r="A716" s="64"/>
      <c r="B716" s="63"/>
      <c r="C716" s="63"/>
      <c r="D716" s="63"/>
      <c r="E716" s="63"/>
      <c r="F716" s="63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</row>
    <row r="717">
      <c r="A717" s="64"/>
      <c r="B717" s="63"/>
      <c r="C717" s="63"/>
      <c r="D717" s="63"/>
      <c r="E717" s="63"/>
      <c r="F717" s="63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</row>
    <row r="718">
      <c r="A718" s="64"/>
      <c r="B718" s="63"/>
      <c r="C718" s="63"/>
      <c r="D718" s="63"/>
      <c r="E718" s="63"/>
      <c r="F718" s="63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</row>
    <row r="719">
      <c r="A719" s="64"/>
      <c r="B719" s="63"/>
      <c r="C719" s="63"/>
      <c r="D719" s="63"/>
      <c r="E719" s="63"/>
      <c r="F719" s="63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</row>
    <row r="720">
      <c r="A720" s="64"/>
      <c r="B720" s="63"/>
      <c r="C720" s="63"/>
      <c r="D720" s="63"/>
      <c r="E720" s="63"/>
      <c r="F720" s="63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</row>
    <row r="721">
      <c r="A721" s="64"/>
      <c r="B721" s="63"/>
      <c r="C721" s="63"/>
      <c r="D721" s="63"/>
      <c r="E721" s="63"/>
      <c r="F721" s="63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</row>
    <row r="722">
      <c r="A722" s="64"/>
      <c r="B722" s="63"/>
      <c r="C722" s="63"/>
      <c r="D722" s="63"/>
      <c r="E722" s="63"/>
      <c r="F722" s="63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</row>
    <row r="723">
      <c r="A723" s="64"/>
      <c r="B723" s="63"/>
      <c r="C723" s="63"/>
      <c r="D723" s="63"/>
      <c r="E723" s="63"/>
      <c r="F723" s="63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</row>
    <row r="724">
      <c r="A724" s="64"/>
      <c r="B724" s="63"/>
      <c r="C724" s="63"/>
      <c r="D724" s="63"/>
      <c r="E724" s="63"/>
      <c r="F724" s="63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</row>
    <row r="725">
      <c r="A725" s="64"/>
      <c r="B725" s="63"/>
      <c r="C725" s="63"/>
      <c r="D725" s="63"/>
      <c r="E725" s="63"/>
      <c r="F725" s="63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</row>
    <row r="726">
      <c r="A726" s="64"/>
      <c r="B726" s="63"/>
      <c r="C726" s="63"/>
      <c r="D726" s="63"/>
      <c r="E726" s="63"/>
      <c r="F726" s="63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</row>
    <row r="727">
      <c r="A727" s="64"/>
      <c r="B727" s="63"/>
      <c r="C727" s="63"/>
      <c r="D727" s="63"/>
      <c r="E727" s="63"/>
      <c r="F727" s="63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</row>
    <row r="728">
      <c r="A728" s="64"/>
      <c r="B728" s="63"/>
      <c r="C728" s="63"/>
      <c r="D728" s="63"/>
      <c r="E728" s="63"/>
      <c r="F728" s="63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</row>
    <row r="729">
      <c r="A729" s="64"/>
      <c r="B729" s="63"/>
      <c r="C729" s="63"/>
      <c r="D729" s="63"/>
      <c r="E729" s="63"/>
      <c r="F729" s="63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</row>
    <row r="730">
      <c r="A730" s="64"/>
      <c r="B730" s="63"/>
      <c r="C730" s="63"/>
      <c r="D730" s="63"/>
      <c r="E730" s="63"/>
      <c r="F730" s="63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</row>
    <row r="731">
      <c r="A731" s="64"/>
      <c r="B731" s="63"/>
      <c r="C731" s="63"/>
      <c r="D731" s="63"/>
      <c r="E731" s="63"/>
      <c r="F731" s="63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</row>
    <row r="732">
      <c r="A732" s="64"/>
      <c r="B732" s="63"/>
      <c r="C732" s="63"/>
      <c r="D732" s="63"/>
      <c r="E732" s="63"/>
      <c r="F732" s="63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</row>
    <row r="733">
      <c r="A733" s="64"/>
      <c r="B733" s="63"/>
      <c r="C733" s="63"/>
      <c r="D733" s="63"/>
      <c r="E733" s="63"/>
      <c r="F733" s="63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</row>
    <row r="734">
      <c r="A734" s="64"/>
      <c r="B734" s="63"/>
      <c r="C734" s="63"/>
      <c r="D734" s="63"/>
      <c r="E734" s="63"/>
      <c r="F734" s="63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</row>
    <row r="735">
      <c r="A735" s="64"/>
      <c r="B735" s="63"/>
      <c r="C735" s="63"/>
      <c r="D735" s="63"/>
      <c r="E735" s="63"/>
      <c r="F735" s="63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</row>
    <row r="736">
      <c r="A736" s="64"/>
      <c r="B736" s="63"/>
      <c r="C736" s="63"/>
      <c r="D736" s="63"/>
      <c r="E736" s="63"/>
      <c r="F736" s="63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</row>
    <row r="737">
      <c r="A737" s="64"/>
      <c r="B737" s="63"/>
      <c r="C737" s="63"/>
      <c r="D737" s="63"/>
      <c r="E737" s="63"/>
      <c r="F737" s="63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</row>
    <row r="738">
      <c r="A738" s="64"/>
      <c r="B738" s="63"/>
      <c r="C738" s="63"/>
      <c r="D738" s="63"/>
      <c r="E738" s="63"/>
      <c r="F738" s="63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</row>
    <row r="739">
      <c r="A739" s="64"/>
      <c r="B739" s="63"/>
      <c r="C739" s="63"/>
      <c r="D739" s="63"/>
      <c r="E739" s="63"/>
      <c r="F739" s="63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</row>
    <row r="740">
      <c r="A740" s="64"/>
      <c r="B740" s="63"/>
      <c r="C740" s="63"/>
      <c r="D740" s="63"/>
      <c r="E740" s="63"/>
      <c r="F740" s="63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</row>
    <row r="741">
      <c r="A741" s="64"/>
      <c r="B741" s="63"/>
      <c r="C741" s="63"/>
      <c r="D741" s="63"/>
      <c r="E741" s="63"/>
      <c r="F741" s="63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</row>
    <row r="742">
      <c r="A742" s="64"/>
      <c r="B742" s="63"/>
      <c r="C742" s="63"/>
      <c r="D742" s="63"/>
      <c r="E742" s="63"/>
      <c r="F742" s="63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</row>
    <row r="743">
      <c r="A743" s="64"/>
      <c r="B743" s="63"/>
      <c r="C743" s="63"/>
      <c r="D743" s="63"/>
      <c r="E743" s="63"/>
      <c r="F743" s="63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</row>
    <row r="744">
      <c r="A744" s="64"/>
      <c r="B744" s="63"/>
      <c r="C744" s="63"/>
      <c r="D744" s="63"/>
      <c r="E744" s="63"/>
      <c r="F744" s="63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</row>
    <row r="745">
      <c r="A745" s="64"/>
      <c r="B745" s="63"/>
      <c r="C745" s="63"/>
      <c r="D745" s="63"/>
      <c r="E745" s="63"/>
      <c r="F745" s="63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</row>
    <row r="746">
      <c r="A746" s="64"/>
      <c r="B746" s="63"/>
      <c r="C746" s="63"/>
      <c r="D746" s="63"/>
      <c r="E746" s="63"/>
      <c r="F746" s="63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</row>
    <row r="747">
      <c r="A747" s="64"/>
      <c r="B747" s="63"/>
      <c r="C747" s="63"/>
      <c r="D747" s="63"/>
      <c r="E747" s="63"/>
      <c r="F747" s="63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</row>
    <row r="748">
      <c r="A748" s="64"/>
      <c r="B748" s="63"/>
      <c r="C748" s="63"/>
      <c r="D748" s="63"/>
      <c r="E748" s="63"/>
      <c r="F748" s="63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</row>
    <row r="749">
      <c r="A749" s="64"/>
      <c r="B749" s="63"/>
      <c r="C749" s="63"/>
      <c r="D749" s="63"/>
      <c r="E749" s="63"/>
      <c r="F749" s="63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</row>
    <row r="750">
      <c r="A750" s="64"/>
      <c r="B750" s="63"/>
      <c r="C750" s="63"/>
      <c r="D750" s="63"/>
      <c r="E750" s="63"/>
      <c r="F750" s="63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</row>
    <row r="751">
      <c r="A751" s="64"/>
      <c r="B751" s="63"/>
      <c r="C751" s="63"/>
      <c r="D751" s="63"/>
      <c r="E751" s="63"/>
      <c r="F751" s="63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</row>
    <row r="752">
      <c r="A752" s="64"/>
      <c r="B752" s="63"/>
      <c r="C752" s="63"/>
      <c r="D752" s="63"/>
      <c r="E752" s="63"/>
      <c r="F752" s="63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</row>
    <row r="753">
      <c r="A753" s="64"/>
      <c r="B753" s="63"/>
      <c r="C753" s="63"/>
      <c r="D753" s="63"/>
      <c r="E753" s="63"/>
      <c r="F753" s="63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</row>
    <row r="754">
      <c r="A754" s="64"/>
      <c r="B754" s="63"/>
      <c r="C754" s="63"/>
      <c r="D754" s="63"/>
      <c r="E754" s="63"/>
      <c r="F754" s="63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</row>
    <row r="755">
      <c r="A755" s="64"/>
      <c r="B755" s="63"/>
      <c r="C755" s="63"/>
      <c r="D755" s="63"/>
      <c r="E755" s="63"/>
      <c r="F755" s="63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</row>
    <row r="756">
      <c r="A756" s="64"/>
      <c r="B756" s="63"/>
      <c r="C756" s="63"/>
      <c r="D756" s="63"/>
      <c r="E756" s="63"/>
      <c r="F756" s="63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</row>
    <row r="757">
      <c r="A757" s="64"/>
      <c r="B757" s="63"/>
      <c r="C757" s="63"/>
      <c r="D757" s="63"/>
      <c r="E757" s="63"/>
      <c r="F757" s="63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</row>
    <row r="758">
      <c r="A758" s="64"/>
      <c r="B758" s="63"/>
      <c r="C758" s="63"/>
      <c r="D758" s="63"/>
      <c r="E758" s="63"/>
      <c r="F758" s="63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</row>
    <row r="759">
      <c r="A759" s="64"/>
      <c r="B759" s="63"/>
      <c r="C759" s="63"/>
      <c r="D759" s="63"/>
      <c r="E759" s="63"/>
      <c r="F759" s="63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</row>
    <row r="760">
      <c r="A760" s="64"/>
      <c r="B760" s="63"/>
      <c r="C760" s="63"/>
      <c r="D760" s="63"/>
      <c r="E760" s="63"/>
      <c r="F760" s="63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</row>
    <row r="761">
      <c r="A761" s="64"/>
      <c r="B761" s="63"/>
      <c r="C761" s="63"/>
      <c r="D761" s="63"/>
      <c r="E761" s="63"/>
      <c r="F761" s="63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</row>
    <row r="762">
      <c r="A762" s="64"/>
      <c r="B762" s="63"/>
      <c r="C762" s="63"/>
      <c r="D762" s="63"/>
      <c r="E762" s="63"/>
      <c r="F762" s="63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</row>
    <row r="763">
      <c r="A763" s="64"/>
      <c r="B763" s="63"/>
      <c r="C763" s="63"/>
      <c r="D763" s="63"/>
      <c r="E763" s="63"/>
      <c r="F763" s="63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</row>
    <row r="764">
      <c r="A764" s="64"/>
      <c r="B764" s="63"/>
      <c r="C764" s="63"/>
      <c r="D764" s="63"/>
      <c r="E764" s="63"/>
      <c r="F764" s="63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</row>
    <row r="765">
      <c r="A765" s="64"/>
      <c r="B765" s="63"/>
      <c r="C765" s="63"/>
      <c r="D765" s="63"/>
      <c r="E765" s="63"/>
      <c r="F765" s="63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</row>
    <row r="766">
      <c r="A766" s="64"/>
      <c r="B766" s="63"/>
      <c r="C766" s="63"/>
      <c r="D766" s="63"/>
      <c r="E766" s="63"/>
      <c r="F766" s="63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</row>
    <row r="767">
      <c r="A767" s="64"/>
      <c r="B767" s="63"/>
      <c r="C767" s="63"/>
      <c r="D767" s="63"/>
      <c r="E767" s="63"/>
      <c r="F767" s="63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</row>
    <row r="768">
      <c r="A768" s="64"/>
      <c r="B768" s="63"/>
      <c r="C768" s="63"/>
      <c r="D768" s="63"/>
      <c r="E768" s="63"/>
      <c r="F768" s="63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</row>
    <row r="769">
      <c r="A769" s="64"/>
      <c r="B769" s="63"/>
      <c r="C769" s="63"/>
      <c r="D769" s="63"/>
      <c r="E769" s="63"/>
      <c r="F769" s="63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</row>
    <row r="770">
      <c r="A770" s="64"/>
      <c r="B770" s="63"/>
      <c r="C770" s="63"/>
      <c r="D770" s="63"/>
      <c r="E770" s="63"/>
      <c r="F770" s="63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</row>
    <row r="771">
      <c r="A771" s="64"/>
      <c r="B771" s="63"/>
      <c r="C771" s="63"/>
      <c r="D771" s="63"/>
      <c r="E771" s="63"/>
      <c r="F771" s="63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</row>
    <row r="772">
      <c r="A772" s="64"/>
      <c r="B772" s="63"/>
      <c r="C772" s="63"/>
      <c r="D772" s="63"/>
      <c r="E772" s="63"/>
      <c r="F772" s="63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</row>
    <row r="773">
      <c r="A773" s="64"/>
      <c r="B773" s="63"/>
      <c r="C773" s="63"/>
      <c r="D773" s="63"/>
      <c r="E773" s="63"/>
      <c r="F773" s="63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</row>
    <row r="774">
      <c r="A774" s="64"/>
      <c r="B774" s="63"/>
      <c r="C774" s="63"/>
      <c r="D774" s="63"/>
      <c r="E774" s="63"/>
      <c r="F774" s="63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</row>
    <row r="775">
      <c r="A775" s="64"/>
      <c r="B775" s="63"/>
      <c r="C775" s="63"/>
      <c r="D775" s="63"/>
      <c r="E775" s="63"/>
      <c r="F775" s="63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</row>
    <row r="776">
      <c r="A776" s="64"/>
      <c r="B776" s="63"/>
      <c r="C776" s="63"/>
      <c r="D776" s="63"/>
      <c r="E776" s="63"/>
      <c r="F776" s="63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</row>
    <row r="777">
      <c r="A777" s="64"/>
      <c r="B777" s="63"/>
      <c r="C777" s="63"/>
      <c r="D777" s="63"/>
      <c r="E777" s="63"/>
      <c r="F777" s="63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</row>
    <row r="778">
      <c r="A778" s="64"/>
      <c r="B778" s="63"/>
      <c r="C778" s="63"/>
      <c r="D778" s="63"/>
      <c r="E778" s="63"/>
      <c r="F778" s="63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</row>
    <row r="779">
      <c r="A779" s="64"/>
      <c r="B779" s="63"/>
      <c r="C779" s="63"/>
      <c r="D779" s="63"/>
      <c r="E779" s="63"/>
      <c r="F779" s="63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</row>
    <row r="780">
      <c r="A780" s="64"/>
      <c r="B780" s="63"/>
      <c r="C780" s="63"/>
      <c r="D780" s="63"/>
      <c r="E780" s="63"/>
      <c r="F780" s="63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</row>
    <row r="781">
      <c r="A781" s="64"/>
      <c r="B781" s="63"/>
      <c r="C781" s="63"/>
      <c r="D781" s="63"/>
      <c r="E781" s="63"/>
      <c r="F781" s="63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</row>
    <row r="782">
      <c r="A782" s="64"/>
      <c r="B782" s="63"/>
      <c r="C782" s="63"/>
      <c r="D782" s="63"/>
      <c r="E782" s="63"/>
      <c r="F782" s="63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</row>
    <row r="783">
      <c r="A783" s="64"/>
      <c r="B783" s="63"/>
      <c r="C783" s="63"/>
      <c r="D783" s="63"/>
      <c r="E783" s="63"/>
      <c r="F783" s="63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</row>
    <row r="784">
      <c r="A784" s="64"/>
      <c r="B784" s="63"/>
      <c r="C784" s="63"/>
      <c r="D784" s="63"/>
      <c r="E784" s="63"/>
      <c r="F784" s="63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</row>
    <row r="785">
      <c r="A785" s="64"/>
      <c r="B785" s="63"/>
      <c r="C785" s="63"/>
      <c r="D785" s="63"/>
      <c r="E785" s="63"/>
      <c r="F785" s="63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</row>
    <row r="786">
      <c r="A786" s="64"/>
      <c r="B786" s="63"/>
      <c r="C786" s="63"/>
      <c r="D786" s="63"/>
      <c r="E786" s="63"/>
      <c r="F786" s="63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</row>
    <row r="787">
      <c r="A787" s="64"/>
      <c r="B787" s="63"/>
      <c r="C787" s="63"/>
      <c r="D787" s="63"/>
      <c r="E787" s="63"/>
      <c r="F787" s="63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</row>
    <row r="788">
      <c r="A788" s="64"/>
      <c r="B788" s="63"/>
      <c r="C788" s="63"/>
      <c r="D788" s="63"/>
      <c r="E788" s="63"/>
      <c r="F788" s="63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</row>
    <row r="789">
      <c r="A789" s="64"/>
      <c r="B789" s="63"/>
      <c r="C789" s="63"/>
      <c r="D789" s="63"/>
      <c r="E789" s="63"/>
      <c r="F789" s="63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</row>
    <row r="790">
      <c r="A790" s="64"/>
      <c r="B790" s="63"/>
      <c r="C790" s="63"/>
      <c r="D790" s="63"/>
      <c r="E790" s="63"/>
      <c r="F790" s="63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</row>
    <row r="791">
      <c r="A791" s="64"/>
      <c r="B791" s="63"/>
      <c r="C791" s="63"/>
      <c r="D791" s="63"/>
      <c r="E791" s="63"/>
      <c r="F791" s="63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</row>
    <row r="792">
      <c r="A792" s="64"/>
      <c r="B792" s="63"/>
      <c r="C792" s="63"/>
      <c r="D792" s="63"/>
      <c r="E792" s="63"/>
      <c r="F792" s="63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</row>
    <row r="793">
      <c r="A793" s="64"/>
      <c r="B793" s="63"/>
      <c r="C793" s="63"/>
      <c r="D793" s="63"/>
      <c r="E793" s="63"/>
      <c r="F793" s="63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</row>
    <row r="794">
      <c r="A794" s="64"/>
      <c r="B794" s="63"/>
      <c r="C794" s="63"/>
      <c r="D794" s="63"/>
      <c r="E794" s="63"/>
      <c r="F794" s="63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</row>
    <row r="795">
      <c r="A795" s="64"/>
      <c r="B795" s="63"/>
      <c r="C795" s="63"/>
      <c r="D795" s="63"/>
      <c r="E795" s="63"/>
      <c r="F795" s="63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</row>
    <row r="796">
      <c r="A796" s="64"/>
      <c r="B796" s="63"/>
      <c r="C796" s="63"/>
      <c r="D796" s="63"/>
      <c r="E796" s="63"/>
      <c r="F796" s="63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</row>
    <row r="797">
      <c r="A797" s="64"/>
      <c r="B797" s="63"/>
      <c r="C797" s="63"/>
      <c r="D797" s="63"/>
      <c r="E797" s="63"/>
      <c r="F797" s="63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</row>
    <row r="798">
      <c r="A798" s="64"/>
      <c r="B798" s="63"/>
      <c r="C798" s="63"/>
      <c r="D798" s="63"/>
      <c r="E798" s="63"/>
      <c r="F798" s="63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</row>
    <row r="799">
      <c r="A799" s="64"/>
      <c r="B799" s="63"/>
      <c r="C799" s="63"/>
      <c r="D799" s="63"/>
      <c r="E799" s="63"/>
      <c r="F799" s="63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</row>
    <row r="800">
      <c r="A800" s="64"/>
      <c r="B800" s="63"/>
      <c r="C800" s="63"/>
      <c r="D800" s="63"/>
      <c r="E800" s="63"/>
      <c r="F800" s="63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</row>
    <row r="801">
      <c r="A801" s="64"/>
      <c r="B801" s="63"/>
      <c r="C801" s="63"/>
      <c r="D801" s="63"/>
      <c r="E801" s="63"/>
      <c r="F801" s="63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</row>
    <row r="802">
      <c r="A802" s="64"/>
      <c r="B802" s="63"/>
      <c r="C802" s="63"/>
      <c r="D802" s="63"/>
      <c r="E802" s="63"/>
      <c r="F802" s="63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</row>
    <row r="803">
      <c r="A803" s="64"/>
      <c r="B803" s="63"/>
      <c r="C803" s="63"/>
      <c r="D803" s="63"/>
      <c r="E803" s="63"/>
      <c r="F803" s="63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</row>
    <row r="804">
      <c r="A804" s="64"/>
      <c r="B804" s="63"/>
      <c r="C804" s="63"/>
      <c r="D804" s="63"/>
      <c r="E804" s="63"/>
      <c r="F804" s="63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</row>
    <row r="805">
      <c r="A805" s="64"/>
      <c r="B805" s="63"/>
      <c r="C805" s="63"/>
      <c r="D805" s="63"/>
      <c r="E805" s="63"/>
      <c r="F805" s="63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</row>
    <row r="806">
      <c r="A806" s="64"/>
      <c r="B806" s="63"/>
      <c r="C806" s="63"/>
      <c r="D806" s="63"/>
      <c r="E806" s="63"/>
      <c r="F806" s="63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</row>
    <row r="807">
      <c r="A807" s="64"/>
      <c r="B807" s="63"/>
      <c r="C807" s="63"/>
      <c r="D807" s="63"/>
      <c r="E807" s="63"/>
      <c r="F807" s="63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</row>
    <row r="808">
      <c r="A808" s="64"/>
      <c r="B808" s="63"/>
      <c r="C808" s="63"/>
      <c r="D808" s="63"/>
      <c r="E808" s="63"/>
      <c r="F808" s="63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</row>
    <row r="809">
      <c r="A809" s="64"/>
      <c r="B809" s="63"/>
      <c r="C809" s="63"/>
      <c r="D809" s="63"/>
      <c r="E809" s="63"/>
      <c r="F809" s="63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</row>
    <row r="810">
      <c r="A810" s="64"/>
      <c r="B810" s="63"/>
      <c r="C810" s="63"/>
      <c r="D810" s="63"/>
      <c r="E810" s="63"/>
      <c r="F810" s="63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</row>
    <row r="811">
      <c r="A811" s="64"/>
      <c r="B811" s="63"/>
      <c r="C811" s="63"/>
      <c r="D811" s="63"/>
      <c r="E811" s="63"/>
      <c r="F811" s="63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</row>
    <row r="812">
      <c r="A812" s="64"/>
      <c r="B812" s="63"/>
      <c r="C812" s="63"/>
      <c r="D812" s="63"/>
      <c r="E812" s="63"/>
      <c r="F812" s="63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</row>
    <row r="813">
      <c r="A813" s="64"/>
      <c r="B813" s="63"/>
      <c r="C813" s="63"/>
      <c r="D813" s="63"/>
      <c r="E813" s="63"/>
      <c r="F813" s="63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</row>
    <row r="814">
      <c r="A814" s="64"/>
      <c r="B814" s="63"/>
      <c r="C814" s="63"/>
      <c r="D814" s="63"/>
      <c r="E814" s="63"/>
      <c r="F814" s="63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</row>
    <row r="815">
      <c r="A815" s="64"/>
      <c r="B815" s="63"/>
      <c r="C815" s="63"/>
      <c r="D815" s="63"/>
      <c r="E815" s="63"/>
      <c r="F815" s="63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</row>
    <row r="816">
      <c r="A816" s="64"/>
      <c r="B816" s="63"/>
      <c r="C816" s="63"/>
      <c r="D816" s="63"/>
      <c r="E816" s="63"/>
      <c r="F816" s="63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</row>
    <row r="817">
      <c r="A817" s="64"/>
      <c r="B817" s="63"/>
      <c r="C817" s="63"/>
      <c r="D817" s="63"/>
      <c r="E817" s="63"/>
      <c r="F817" s="63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</row>
    <row r="818">
      <c r="A818" s="64"/>
      <c r="B818" s="63"/>
      <c r="C818" s="63"/>
      <c r="D818" s="63"/>
      <c r="E818" s="63"/>
      <c r="F818" s="63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</row>
    <row r="819">
      <c r="A819" s="64"/>
      <c r="B819" s="63"/>
      <c r="C819" s="63"/>
      <c r="D819" s="63"/>
      <c r="E819" s="63"/>
      <c r="F819" s="63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</row>
    <row r="820">
      <c r="A820" s="64"/>
      <c r="B820" s="63"/>
      <c r="C820" s="63"/>
      <c r="D820" s="63"/>
      <c r="E820" s="63"/>
      <c r="F820" s="63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</row>
    <row r="821">
      <c r="A821" s="64"/>
      <c r="B821" s="63"/>
      <c r="C821" s="63"/>
      <c r="D821" s="63"/>
      <c r="E821" s="63"/>
      <c r="F821" s="63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</row>
    <row r="822">
      <c r="A822" s="64"/>
      <c r="B822" s="63"/>
      <c r="C822" s="63"/>
      <c r="D822" s="63"/>
      <c r="E822" s="63"/>
      <c r="F822" s="63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</row>
    <row r="823">
      <c r="A823" s="64"/>
      <c r="B823" s="63"/>
      <c r="C823" s="63"/>
      <c r="D823" s="63"/>
      <c r="E823" s="63"/>
      <c r="F823" s="63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</row>
    <row r="824">
      <c r="A824" s="64"/>
      <c r="B824" s="63"/>
      <c r="C824" s="63"/>
      <c r="D824" s="63"/>
      <c r="E824" s="63"/>
      <c r="F824" s="63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</row>
    <row r="825">
      <c r="A825" s="64"/>
      <c r="B825" s="63"/>
      <c r="C825" s="63"/>
      <c r="D825" s="63"/>
      <c r="E825" s="63"/>
      <c r="F825" s="63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</row>
    <row r="826">
      <c r="A826" s="64"/>
      <c r="B826" s="63"/>
      <c r="C826" s="63"/>
      <c r="D826" s="63"/>
      <c r="E826" s="63"/>
      <c r="F826" s="63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</row>
    <row r="827">
      <c r="A827" s="64"/>
      <c r="B827" s="63"/>
      <c r="C827" s="63"/>
      <c r="D827" s="63"/>
      <c r="E827" s="63"/>
      <c r="F827" s="63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</row>
    <row r="828">
      <c r="A828" s="64"/>
      <c r="B828" s="63"/>
      <c r="C828" s="63"/>
      <c r="D828" s="63"/>
      <c r="E828" s="63"/>
      <c r="F828" s="63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</row>
    <row r="829">
      <c r="A829" s="64"/>
      <c r="B829" s="63"/>
      <c r="C829" s="63"/>
      <c r="D829" s="63"/>
      <c r="E829" s="63"/>
      <c r="F829" s="63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</row>
    <row r="830">
      <c r="A830" s="64"/>
      <c r="B830" s="63"/>
      <c r="C830" s="63"/>
      <c r="D830" s="63"/>
      <c r="E830" s="63"/>
      <c r="F830" s="63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</row>
    <row r="831">
      <c r="A831" s="64"/>
      <c r="B831" s="63"/>
      <c r="C831" s="63"/>
      <c r="D831" s="63"/>
      <c r="E831" s="63"/>
      <c r="F831" s="63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</row>
    <row r="832">
      <c r="A832" s="64"/>
      <c r="B832" s="63"/>
      <c r="C832" s="63"/>
      <c r="D832" s="63"/>
      <c r="E832" s="63"/>
      <c r="F832" s="63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</row>
    <row r="833">
      <c r="A833" s="64"/>
      <c r="B833" s="63"/>
      <c r="C833" s="63"/>
      <c r="D833" s="63"/>
      <c r="E833" s="63"/>
      <c r="F833" s="63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</row>
    <row r="834">
      <c r="A834" s="64"/>
      <c r="B834" s="63"/>
      <c r="C834" s="63"/>
      <c r="D834" s="63"/>
      <c r="E834" s="63"/>
      <c r="F834" s="63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</row>
    <row r="835">
      <c r="A835" s="64"/>
      <c r="B835" s="63"/>
      <c r="C835" s="63"/>
      <c r="D835" s="63"/>
      <c r="E835" s="63"/>
      <c r="F835" s="63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</row>
    <row r="836">
      <c r="A836" s="64"/>
      <c r="B836" s="63"/>
      <c r="C836" s="63"/>
      <c r="D836" s="63"/>
      <c r="E836" s="63"/>
      <c r="F836" s="63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</row>
    <row r="837">
      <c r="A837" s="64"/>
      <c r="B837" s="63"/>
      <c r="C837" s="63"/>
      <c r="D837" s="63"/>
      <c r="E837" s="63"/>
      <c r="F837" s="63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</row>
    <row r="838">
      <c r="A838" s="64"/>
      <c r="B838" s="63"/>
      <c r="C838" s="63"/>
      <c r="D838" s="63"/>
      <c r="E838" s="63"/>
      <c r="F838" s="63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</row>
    <row r="839">
      <c r="A839" s="64"/>
      <c r="B839" s="63"/>
      <c r="C839" s="63"/>
      <c r="D839" s="63"/>
      <c r="E839" s="63"/>
      <c r="F839" s="63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</row>
    <row r="840">
      <c r="A840" s="64"/>
      <c r="B840" s="63"/>
      <c r="C840" s="63"/>
      <c r="D840" s="63"/>
      <c r="E840" s="63"/>
      <c r="F840" s="63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</row>
    <row r="841">
      <c r="A841" s="64"/>
      <c r="B841" s="63"/>
      <c r="C841" s="63"/>
      <c r="D841" s="63"/>
      <c r="E841" s="63"/>
      <c r="F841" s="63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</row>
    <row r="842">
      <c r="A842" s="64"/>
      <c r="B842" s="63"/>
      <c r="C842" s="63"/>
      <c r="D842" s="63"/>
      <c r="E842" s="63"/>
      <c r="F842" s="63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</row>
    <row r="843">
      <c r="A843" s="64"/>
      <c r="B843" s="63"/>
      <c r="C843" s="63"/>
      <c r="D843" s="63"/>
      <c r="E843" s="63"/>
      <c r="F843" s="63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</row>
    <row r="844">
      <c r="A844" s="64"/>
      <c r="B844" s="63"/>
      <c r="C844" s="63"/>
      <c r="D844" s="63"/>
      <c r="E844" s="63"/>
      <c r="F844" s="63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</row>
    <row r="845">
      <c r="A845" s="64"/>
      <c r="B845" s="63"/>
      <c r="C845" s="63"/>
      <c r="D845" s="63"/>
      <c r="E845" s="63"/>
      <c r="F845" s="63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</row>
    <row r="846">
      <c r="A846" s="64"/>
      <c r="B846" s="63"/>
      <c r="C846" s="63"/>
      <c r="D846" s="63"/>
      <c r="E846" s="63"/>
      <c r="F846" s="63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</row>
    <row r="847">
      <c r="A847" s="64"/>
      <c r="B847" s="63"/>
      <c r="C847" s="63"/>
      <c r="D847" s="63"/>
      <c r="E847" s="63"/>
      <c r="F847" s="63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</row>
    <row r="848">
      <c r="A848" s="64"/>
      <c r="B848" s="63"/>
      <c r="C848" s="63"/>
      <c r="D848" s="63"/>
      <c r="E848" s="63"/>
      <c r="F848" s="63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</row>
    <row r="849">
      <c r="A849" s="64"/>
      <c r="B849" s="63"/>
      <c r="C849" s="63"/>
      <c r="D849" s="63"/>
      <c r="E849" s="63"/>
      <c r="F849" s="63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</row>
    <row r="850">
      <c r="A850" s="64"/>
      <c r="B850" s="63"/>
      <c r="C850" s="63"/>
      <c r="D850" s="63"/>
      <c r="E850" s="63"/>
      <c r="F850" s="63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</row>
    <row r="851">
      <c r="A851" s="64"/>
      <c r="B851" s="63"/>
      <c r="C851" s="63"/>
      <c r="D851" s="63"/>
      <c r="E851" s="63"/>
      <c r="F851" s="63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</row>
    <row r="852">
      <c r="A852" s="64"/>
      <c r="B852" s="63"/>
      <c r="C852" s="63"/>
      <c r="D852" s="63"/>
      <c r="E852" s="63"/>
      <c r="F852" s="63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</row>
    <row r="853">
      <c r="A853" s="64"/>
      <c r="B853" s="63"/>
      <c r="C853" s="63"/>
      <c r="D853" s="63"/>
      <c r="E853" s="63"/>
      <c r="F853" s="63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</row>
    <row r="854">
      <c r="A854" s="64"/>
      <c r="B854" s="63"/>
      <c r="C854" s="63"/>
      <c r="D854" s="63"/>
      <c r="E854" s="63"/>
      <c r="F854" s="63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</row>
    <row r="855">
      <c r="A855" s="64"/>
      <c r="B855" s="63"/>
      <c r="C855" s="63"/>
      <c r="D855" s="63"/>
      <c r="E855" s="63"/>
      <c r="F855" s="63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</row>
    <row r="856">
      <c r="A856" s="64"/>
      <c r="B856" s="63"/>
      <c r="C856" s="63"/>
      <c r="D856" s="63"/>
      <c r="E856" s="63"/>
      <c r="F856" s="63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</row>
    <row r="857">
      <c r="A857" s="64"/>
      <c r="B857" s="63"/>
      <c r="C857" s="63"/>
      <c r="D857" s="63"/>
      <c r="E857" s="63"/>
      <c r="F857" s="63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</row>
    <row r="858">
      <c r="A858" s="64"/>
      <c r="B858" s="63"/>
      <c r="C858" s="63"/>
      <c r="D858" s="63"/>
      <c r="E858" s="63"/>
      <c r="F858" s="63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</row>
    <row r="859">
      <c r="A859" s="64"/>
      <c r="B859" s="63"/>
      <c r="C859" s="63"/>
      <c r="D859" s="63"/>
      <c r="E859" s="63"/>
      <c r="F859" s="63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</row>
    <row r="860">
      <c r="A860" s="64"/>
      <c r="B860" s="63"/>
      <c r="C860" s="63"/>
      <c r="D860" s="63"/>
      <c r="E860" s="63"/>
      <c r="F860" s="63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</row>
    <row r="861">
      <c r="A861" s="64"/>
      <c r="B861" s="63"/>
      <c r="C861" s="63"/>
      <c r="D861" s="63"/>
      <c r="E861" s="63"/>
      <c r="F861" s="63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</row>
    <row r="862">
      <c r="A862" s="64"/>
      <c r="B862" s="63"/>
      <c r="C862" s="63"/>
      <c r="D862" s="63"/>
      <c r="E862" s="63"/>
      <c r="F862" s="63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</row>
    <row r="863">
      <c r="A863" s="64"/>
      <c r="B863" s="63"/>
      <c r="C863" s="63"/>
      <c r="D863" s="63"/>
      <c r="E863" s="63"/>
      <c r="F863" s="63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</row>
    <row r="864">
      <c r="A864" s="64"/>
      <c r="B864" s="63"/>
      <c r="C864" s="63"/>
      <c r="D864" s="63"/>
      <c r="E864" s="63"/>
      <c r="F864" s="63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</row>
    <row r="865">
      <c r="A865" s="64"/>
      <c r="B865" s="63"/>
      <c r="C865" s="63"/>
      <c r="D865" s="63"/>
      <c r="E865" s="63"/>
      <c r="F865" s="63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</row>
    <row r="866">
      <c r="A866" s="64"/>
      <c r="B866" s="63"/>
      <c r="C866" s="63"/>
      <c r="D866" s="63"/>
      <c r="E866" s="63"/>
      <c r="F866" s="63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</row>
    <row r="867">
      <c r="A867" s="64"/>
      <c r="B867" s="63"/>
      <c r="C867" s="63"/>
      <c r="D867" s="63"/>
      <c r="E867" s="63"/>
      <c r="F867" s="63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</row>
    <row r="868">
      <c r="A868" s="64"/>
      <c r="B868" s="63"/>
      <c r="C868" s="63"/>
      <c r="D868" s="63"/>
      <c r="E868" s="63"/>
      <c r="F868" s="63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</row>
    <row r="869">
      <c r="A869" s="64"/>
      <c r="B869" s="63"/>
      <c r="C869" s="63"/>
      <c r="D869" s="63"/>
      <c r="E869" s="63"/>
      <c r="F869" s="63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</row>
    <row r="870">
      <c r="A870" s="64"/>
      <c r="B870" s="63"/>
      <c r="C870" s="63"/>
      <c r="D870" s="63"/>
      <c r="E870" s="63"/>
      <c r="F870" s="63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</row>
    <row r="871">
      <c r="A871" s="64"/>
      <c r="B871" s="63"/>
      <c r="C871" s="63"/>
      <c r="D871" s="63"/>
      <c r="E871" s="63"/>
      <c r="F871" s="63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</row>
    <row r="872">
      <c r="A872" s="64"/>
      <c r="B872" s="63"/>
      <c r="C872" s="63"/>
      <c r="D872" s="63"/>
      <c r="E872" s="63"/>
      <c r="F872" s="63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</row>
    <row r="873">
      <c r="A873" s="64"/>
      <c r="B873" s="63"/>
      <c r="C873" s="63"/>
      <c r="D873" s="63"/>
      <c r="E873" s="63"/>
      <c r="F873" s="63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</row>
    <row r="874">
      <c r="A874" s="64"/>
      <c r="B874" s="63"/>
      <c r="C874" s="63"/>
      <c r="D874" s="63"/>
      <c r="E874" s="63"/>
      <c r="F874" s="63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</row>
    <row r="875">
      <c r="A875" s="64"/>
      <c r="B875" s="63"/>
      <c r="C875" s="63"/>
      <c r="D875" s="63"/>
      <c r="E875" s="63"/>
      <c r="F875" s="63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</row>
    <row r="876">
      <c r="A876" s="64"/>
      <c r="B876" s="63"/>
      <c r="C876" s="63"/>
      <c r="D876" s="63"/>
      <c r="E876" s="63"/>
      <c r="F876" s="63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</row>
    <row r="877">
      <c r="A877" s="64"/>
      <c r="B877" s="63"/>
      <c r="C877" s="63"/>
      <c r="D877" s="63"/>
      <c r="E877" s="63"/>
      <c r="F877" s="63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</row>
    <row r="878">
      <c r="A878" s="64"/>
      <c r="B878" s="63"/>
      <c r="C878" s="63"/>
      <c r="D878" s="63"/>
      <c r="E878" s="63"/>
      <c r="F878" s="63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</row>
    <row r="879">
      <c r="A879" s="64"/>
      <c r="B879" s="63"/>
      <c r="C879" s="63"/>
      <c r="D879" s="63"/>
      <c r="E879" s="63"/>
      <c r="F879" s="63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</row>
    <row r="880">
      <c r="A880" s="64"/>
      <c r="B880" s="63"/>
      <c r="C880" s="63"/>
      <c r="D880" s="63"/>
      <c r="E880" s="63"/>
      <c r="F880" s="63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</row>
    <row r="881">
      <c r="A881" s="64"/>
      <c r="B881" s="63"/>
      <c r="C881" s="63"/>
      <c r="D881" s="63"/>
      <c r="E881" s="63"/>
      <c r="F881" s="63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</row>
    <row r="882">
      <c r="A882" s="64"/>
      <c r="B882" s="63"/>
      <c r="C882" s="63"/>
      <c r="D882" s="63"/>
      <c r="E882" s="63"/>
      <c r="F882" s="63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</row>
    <row r="883">
      <c r="A883" s="64"/>
      <c r="B883" s="63"/>
      <c r="C883" s="63"/>
      <c r="D883" s="63"/>
      <c r="E883" s="63"/>
      <c r="F883" s="63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</row>
    <row r="884">
      <c r="A884" s="64"/>
      <c r="B884" s="63"/>
      <c r="C884" s="63"/>
      <c r="D884" s="63"/>
      <c r="E884" s="63"/>
      <c r="F884" s="63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</row>
    <row r="885">
      <c r="A885" s="64"/>
      <c r="B885" s="63"/>
      <c r="C885" s="63"/>
      <c r="D885" s="63"/>
      <c r="E885" s="63"/>
      <c r="F885" s="63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</row>
    <row r="886">
      <c r="A886" s="64"/>
      <c r="B886" s="63"/>
      <c r="C886" s="63"/>
      <c r="D886" s="63"/>
      <c r="E886" s="63"/>
      <c r="F886" s="63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</row>
    <row r="887">
      <c r="A887" s="64"/>
      <c r="B887" s="63"/>
      <c r="C887" s="63"/>
      <c r="D887" s="63"/>
      <c r="E887" s="63"/>
      <c r="F887" s="63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</row>
    <row r="888">
      <c r="A888" s="64"/>
      <c r="B888" s="63"/>
      <c r="C888" s="63"/>
      <c r="D888" s="63"/>
      <c r="E888" s="63"/>
      <c r="F888" s="63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</row>
    <row r="889">
      <c r="A889" s="64"/>
      <c r="B889" s="63"/>
      <c r="C889" s="63"/>
      <c r="D889" s="63"/>
      <c r="E889" s="63"/>
      <c r="F889" s="63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</row>
    <row r="890">
      <c r="A890" s="64"/>
      <c r="B890" s="63"/>
      <c r="C890" s="63"/>
      <c r="D890" s="63"/>
      <c r="E890" s="63"/>
      <c r="F890" s="63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</row>
    <row r="891">
      <c r="A891" s="64"/>
      <c r="B891" s="63"/>
      <c r="C891" s="63"/>
      <c r="D891" s="63"/>
      <c r="E891" s="63"/>
      <c r="F891" s="63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</row>
    <row r="892">
      <c r="A892" s="64"/>
      <c r="B892" s="63"/>
      <c r="C892" s="63"/>
      <c r="D892" s="63"/>
      <c r="E892" s="63"/>
      <c r="F892" s="63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</row>
    <row r="893">
      <c r="A893" s="64"/>
      <c r="B893" s="63"/>
      <c r="C893" s="63"/>
      <c r="D893" s="63"/>
      <c r="E893" s="63"/>
      <c r="F893" s="63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</row>
    <row r="894">
      <c r="A894" s="64"/>
      <c r="B894" s="63"/>
      <c r="C894" s="63"/>
      <c r="D894" s="63"/>
      <c r="E894" s="63"/>
      <c r="F894" s="63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</row>
    <row r="895">
      <c r="A895" s="64"/>
      <c r="B895" s="63"/>
      <c r="C895" s="63"/>
      <c r="D895" s="63"/>
      <c r="E895" s="63"/>
      <c r="F895" s="63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</row>
    <row r="896">
      <c r="A896" s="64"/>
      <c r="B896" s="63"/>
      <c r="C896" s="63"/>
      <c r="D896" s="63"/>
      <c r="E896" s="63"/>
      <c r="F896" s="63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</row>
    <row r="897">
      <c r="A897" s="64"/>
      <c r="B897" s="63"/>
      <c r="C897" s="63"/>
      <c r="D897" s="63"/>
      <c r="E897" s="63"/>
      <c r="F897" s="63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</row>
    <row r="898">
      <c r="A898" s="64"/>
      <c r="B898" s="63"/>
      <c r="C898" s="63"/>
      <c r="D898" s="63"/>
      <c r="E898" s="63"/>
      <c r="F898" s="63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</row>
    <row r="899">
      <c r="A899" s="64"/>
      <c r="B899" s="63"/>
      <c r="C899" s="63"/>
      <c r="D899" s="63"/>
      <c r="E899" s="63"/>
      <c r="F899" s="63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</row>
    <row r="900">
      <c r="A900" s="64"/>
      <c r="B900" s="63"/>
      <c r="C900" s="63"/>
      <c r="D900" s="63"/>
      <c r="E900" s="63"/>
      <c r="F900" s="63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</row>
    <row r="901">
      <c r="A901" s="64"/>
      <c r="B901" s="63"/>
      <c r="C901" s="63"/>
      <c r="D901" s="63"/>
      <c r="E901" s="63"/>
      <c r="F901" s="63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</row>
    <row r="902">
      <c r="A902" s="64"/>
      <c r="B902" s="63"/>
      <c r="C902" s="63"/>
      <c r="D902" s="63"/>
      <c r="E902" s="63"/>
      <c r="F902" s="63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</row>
    <row r="903">
      <c r="A903" s="64"/>
      <c r="B903" s="63"/>
      <c r="C903" s="63"/>
      <c r="D903" s="63"/>
      <c r="E903" s="63"/>
      <c r="F903" s="63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</row>
    <row r="904">
      <c r="A904" s="64"/>
      <c r="B904" s="63"/>
      <c r="C904" s="63"/>
      <c r="D904" s="63"/>
      <c r="E904" s="63"/>
      <c r="F904" s="63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</row>
    <row r="905">
      <c r="A905" s="64"/>
      <c r="B905" s="63"/>
      <c r="C905" s="63"/>
      <c r="D905" s="63"/>
      <c r="E905" s="63"/>
      <c r="F905" s="63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</row>
    <row r="906">
      <c r="A906" s="64"/>
      <c r="B906" s="63"/>
      <c r="C906" s="63"/>
      <c r="D906" s="63"/>
      <c r="E906" s="63"/>
      <c r="F906" s="63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</row>
    <row r="907">
      <c r="A907" s="64"/>
      <c r="B907" s="63"/>
      <c r="C907" s="63"/>
      <c r="D907" s="63"/>
      <c r="E907" s="63"/>
      <c r="F907" s="63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</row>
    <row r="908">
      <c r="A908" s="64"/>
      <c r="B908" s="63"/>
      <c r="C908" s="63"/>
      <c r="D908" s="63"/>
      <c r="E908" s="63"/>
      <c r="F908" s="63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</row>
    <row r="909">
      <c r="A909" s="64"/>
      <c r="B909" s="63"/>
      <c r="C909" s="63"/>
      <c r="D909" s="63"/>
      <c r="E909" s="63"/>
      <c r="F909" s="63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</row>
    <row r="910">
      <c r="A910" s="64"/>
      <c r="B910" s="63"/>
      <c r="C910" s="63"/>
      <c r="D910" s="63"/>
      <c r="E910" s="63"/>
      <c r="F910" s="63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</row>
    <row r="911">
      <c r="A911" s="64"/>
      <c r="B911" s="63"/>
      <c r="C911" s="63"/>
      <c r="D911" s="63"/>
      <c r="E911" s="63"/>
      <c r="F911" s="63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</row>
    <row r="912">
      <c r="A912" s="64"/>
      <c r="B912" s="63"/>
      <c r="C912" s="63"/>
      <c r="D912" s="63"/>
      <c r="E912" s="63"/>
      <c r="F912" s="63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</row>
    <row r="913">
      <c r="A913" s="64"/>
      <c r="B913" s="63"/>
      <c r="C913" s="63"/>
      <c r="D913" s="63"/>
      <c r="E913" s="63"/>
      <c r="F913" s="63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</row>
    <row r="914">
      <c r="A914" s="64"/>
      <c r="B914" s="63"/>
      <c r="C914" s="63"/>
      <c r="D914" s="63"/>
      <c r="E914" s="63"/>
      <c r="F914" s="63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</row>
    <row r="915">
      <c r="A915" s="64"/>
      <c r="B915" s="63"/>
      <c r="C915" s="63"/>
      <c r="D915" s="63"/>
      <c r="E915" s="63"/>
      <c r="F915" s="63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</row>
    <row r="916">
      <c r="A916" s="64"/>
      <c r="B916" s="63"/>
      <c r="C916" s="63"/>
      <c r="D916" s="63"/>
      <c r="E916" s="63"/>
      <c r="F916" s="63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</row>
    <row r="917">
      <c r="A917" s="64"/>
      <c r="B917" s="63"/>
      <c r="C917" s="63"/>
      <c r="D917" s="63"/>
      <c r="E917" s="63"/>
      <c r="F917" s="63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</row>
    <row r="918">
      <c r="A918" s="64"/>
      <c r="B918" s="63"/>
      <c r="C918" s="63"/>
      <c r="D918" s="63"/>
      <c r="E918" s="63"/>
      <c r="F918" s="63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</row>
    <row r="919">
      <c r="A919" s="64"/>
      <c r="B919" s="63"/>
      <c r="C919" s="63"/>
      <c r="D919" s="63"/>
      <c r="E919" s="63"/>
      <c r="F919" s="63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</row>
    <row r="920">
      <c r="A920" s="64"/>
      <c r="B920" s="63"/>
      <c r="C920" s="63"/>
      <c r="D920" s="63"/>
      <c r="E920" s="63"/>
      <c r="F920" s="63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</row>
    <row r="921">
      <c r="A921" s="64"/>
      <c r="B921" s="63"/>
      <c r="C921" s="63"/>
      <c r="D921" s="63"/>
      <c r="E921" s="63"/>
      <c r="F921" s="63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</row>
    <row r="922">
      <c r="A922" s="64"/>
      <c r="B922" s="63"/>
      <c r="C922" s="63"/>
      <c r="D922" s="63"/>
      <c r="E922" s="63"/>
      <c r="F922" s="63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</row>
    <row r="923">
      <c r="A923" s="64"/>
      <c r="B923" s="63"/>
      <c r="C923" s="63"/>
      <c r="D923" s="63"/>
      <c r="E923" s="63"/>
      <c r="F923" s="63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</row>
    <row r="924">
      <c r="A924" s="64"/>
      <c r="B924" s="63"/>
      <c r="C924" s="63"/>
      <c r="D924" s="63"/>
      <c r="E924" s="63"/>
      <c r="F924" s="63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</row>
    <row r="925">
      <c r="A925" s="64"/>
      <c r="B925" s="63"/>
      <c r="C925" s="63"/>
      <c r="D925" s="63"/>
      <c r="E925" s="63"/>
      <c r="F925" s="63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</row>
    <row r="926">
      <c r="A926" s="64"/>
      <c r="B926" s="63"/>
      <c r="C926" s="63"/>
      <c r="D926" s="63"/>
      <c r="E926" s="63"/>
      <c r="F926" s="63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</row>
    <row r="927">
      <c r="A927" s="64"/>
      <c r="B927" s="63"/>
      <c r="C927" s="63"/>
      <c r="D927" s="63"/>
      <c r="E927" s="63"/>
      <c r="F927" s="63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</row>
    <row r="928">
      <c r="A928" s="64"/>
      <c r="B928" s="63"/>
      <c r="C928" s="63"/>
      <c r="D928" s="63"/>
      <c r="E928" s="63"/>
      <c r="F928" s="63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</row>
    <row r="929">
      <c r="A929" s="64"/>
      <c r="B929" s="63"/>
      <c r="C929" s="63"/>
      <c r="D929" s="63"/>
      <c r="E929" s="63"/>
      <c r="F929" s="63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</row>
    <row r="930">
      <c r="A930" s="64"/>
      <c r="B930" s="63"/>
      <c r="C930" s="63"/>
      <c r="D930" s="63"/>
      <c r="E930" s="63"/>
      <c r="F930" s="63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</row>
    <row r="931">
      <c r="A931" s="64"/>
      <c r="B931" s="63"/>
      <c r="C931" s="63"/>
      <c r="D931" s="63"/>
      <c r="E931" s="63"/>
      <c r="F931" s="63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</row>
    <row r="932">
      <c r="A932" s="64"/>
      <c r="B932" s="63"/>
      <c r="C932" s="63"/>
      <c r="D932" s="63"/>
      <c r="E932" s="63"/>
      <c r="F932" s="63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</row>
    <row r="933">
      <c r="A933" s="64"/>
      <c r="B933" s="63"/>
      <c r="C933" s="63"/>
      <c r="D933" s="63"/>
      <c r="E933" s="63"/>
      <c r="F933" s="63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</row>
    <row r="934">
      <c r="A934" s="64"/>
      <c r="B934" s="63"/>
      <c r="C934" s="63"/>
      <c r="D934" s="63"/>
      <c r="E934" s="63"/>
      <c r="F934" s="63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</row>
    <row r="935">
      <c r="A935" s="64"/>
      <c r="B935" s="63"/>
      <c r="C935" s="63"/>
      <c r="D935" s="63"/>
      <c r="E935" s="63"/>
      <c r="F935" s="63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</row>
    <row r="936">
      <c r="A936" s="64"/>
      <c r="B936" s="63"/>
      <c r="C936" s="63"/>
      <c r="D936" s="63"/>
      <c r="E936" s="63"/>
      <c r="F936" s="63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</row>
    <row r="937">
      <c r="A937" s="64"/>
      <c r="B937" s="63"/>
      <c r="C937" s="63"/>
      <c r="D937" s="63"/>
      <c r="E937" s="63"/>
      <c r="F937" s="63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</row>
    <row r="938">
      <c r="A938" s="64"/>
      <c r="B938" s="63"/>
      <c r="C938" s="63"/>
      <c r="D938" s="63"/>
      <c r="E938" s="63"/>
      <c r="F938" s="63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</row>
    <row r="939">
      <c r="A939" s="64"/>
      <c r="B939" s="63"/>
      <c r="C939" s="63"/>
      <c r="D939" s="63"/>
      <c r="E939" s="63"/>
      <c r="F939" s="63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</row>
    <row r="940">
      <c r="A940" s="64"/>
      <c r="B940" s="63"/>
      <c r="C940" s="63"/>
      <c r="D940" s="63"/>
      <c r="E940" s="63"/>
      <c r="F940" s="63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</row>
    <row r="941">
      <c r="A941" s="64"/>
      <c r="B941" s="63"/>
      <c r="C941" s="63"/>
      <c r="D941" s="63"/>
      <c r="E941" s="63"/>
      <c r="F941" s="63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</row>
    <row r="942">
      <c r="A942" s="64"/>
      <c r="B942" s="63"/>
      <c r="C942" s="63"/>
      <c r="D942" s="63"/>
      <c r="E942" s="63"/>
      <c r="F942" s="63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</row>
    <row r="943">
      <c r="A943" s="64"/>
      <c r="B943" s="63"/>
      <c r="C943" s="63"/>
      <c r="D943" s="63"/>
      <c r="E943" s="63"/>
      <c r="F943" s="63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</row>
    <row r="944">
      <c r="A944" s="64"/>
      <c r="B944" s="63"/>
      <c r="C944" s="63"/>
      <c r="D944" s="63"/>
      <c r="E944" s="63"/>
      <c r="F944" s="63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</row>
    <row r="945">
      <c r="A945" s="64"/>
      <c r="B945" s="63"/>
      <c r="C945" s="63"/>
      <c r="D945" s="63"/>
      <c r="E945" s="63"/>
      <c r="F945" s="63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</row>
    <row r="946">
      <c r="A946" s="64"/>
      <c r="B946" s="63"/>
      <c r="C946" s="63"/>
      <c r="D946" s="63"/>
      <c r="E946" s="63"/>
      <c r="F946" s="63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</row>
    <row r="947">
      <c r="A947" s="64"/>
      <c r="B947" s="63"/>
      <c r="C947" s="63"/>
      <c r="D947" s="63"/>
      <c r="E947" s="63"/>
      <c r="F947" s="63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</row>
    <row r="948">
      <c r="A948" s="64"/>
      <c r="B948" s="63"/>
      <c r="C948" s="63"/>
      <c r="D948" s="63"/>
      <c r="E948" s="63"/>
      <c r="F948" s="63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</row>
    <row r="949">
      <c r="A949" s="64"/>
      <c r="B949" s="63"/>
      <c r="C949" s="63"/>
      <c r="D949" s="63"/>
      <c r="E949" s="63"/>
      <c r="F949" s="63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</row>
    <row r="950">
      <c r="A950" s="64"/>
      <c r="B950" s="63"/>
      <c r="C950" s="63"/>
      <c r="D950" s="63"/>
      <c r="E950" s="63"/>
      <c r="F950" s="63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</row>
    <row r="951">
      <c r="A951" s="64"/>
      <c r="B951" s="63"/>
      <c r="C951" s="63"/>
      <c r="D951" s="63"/>
      <c r="E951" s="63"/>
      <c r="F951" s="63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</row>
    <row r="952">
      <c r="A952" s="64"/>
      <c r="B952" s="63"/>
      <c r="C952" s="63"/>
      <c r="D952" s="63"/>
      <c r="E952" s="63"/>
      <c r="F952" s="63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</row>
    <row r="953">
      <c r="A953" s="64"/>
      <c r="B953" s="63"/>
      <c r="C953" s="63"/>
      <c r="D953" s="63"/>
      <c r="E953" s="63"/>
      <c r="F953" s="63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</row>
    <row r="954">
      <c r="A954" s="64"/>
      <c r="B954" s="63"/>
      <c r="C954" s="63"/>
      <c r="D954" s="63"/>
      <c r="E954" s="63"/>
      <c r="F954" s="63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</row>
    <row r="955">
      <c r="A955" s="64"/>
      <c r="B955" s="63"/>
      <c r="C955" s="63"/>
      <c r="D955" s="63"/>
      <c r="E955" s="63"/>
      <c r="F955" s="63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</row>
    <row r="956">
      <c r="A956" s="64"/>
      <c r="B956" s="63"/>
      <c r="C956" s="63"/>
      <c r="D956" s="63"/>
      <c r="E956" s="63"/>
      <c r="F956" s="63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</row>
    <row r="957">
      <c r="A957" s="64"/>
      <c r="B957" s="63"/>
      <c r="C957" s="63"/>
      <c r="D957" s="63"/>
      <c r="E957" s="63"/>
      <c r="F957" s="63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</row>
    <row r="958">
      <c r="A958" s="64"/>
      <c r="B958" s="63"/>
      <c r="C958" s="63"/>
      <c r="D958" s="63"/>
      <c r="E958" s="63"/>
      <c r="F958" s="63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</row>
    <row r="959">
      <c r="A959" s="64"/>
      <c r="B959" s="63"/>
      <c r="C959" s="63"/>
      <c r="D959" s="63"/>
      <c r="E959" s="63"/>
      <c r="F959" s="63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</row>
    <row r="960">
      <c r="A960" s="64"/>
      <c r="B960" s="63"/>
      <c r="C960" s="63"/>
      <c r="D960" s="63"/>
      <c r="E960" s="63"/>
      <c r="F960" s="63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</row>
    <row r="961">
      <c r="A961" s="64"/>
      <c r="B961" s="63"/>
      <c r="C961" s="63"/>
      <c r="D961" s="63"/>
      <c r="E961" s="63"/>
      <c r="F961" s="63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</row>
    <row r="962">
      <c r="A962" s="64"/>
      <c r="B962" s="63"/>
      <c r="C962" s="63"/>
      <c r="D962" s="63"/>
      <c r="E962" s="63"/>
      <c r="F962" s="63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</row>
    <row r="963">
      <c r="A963" s="64"/>
      <c r="B963" s="63"/>
      <c r="C963" s="63"/>
      <c r="D963" s="63"/>
      <c r="E963" s="63"/>
      <c r="F963" s="63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</row>
    <row r="964">
      <c r="A964" s="64"/>
      <c r="B964" s="63"/>
      <c r="C964" s="63"/>
      <c r="D964" s="63"/>
      <c r="E964" s="63"/>
      <c r="F964" s="63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</row>
    <row r="965">
      <c r="A965" s="64"/>
      <c r="B965" s="63"/>
      <c r="C965" s="63"/>
      <c r="D965" s="63"/>
      <c r="E965" s="63"/>
      <c r="F965" s="63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</row>
    <row r="966">
      <c r="A966" s="64"/>
      <c r="B966" s="63"/>
      <c r="C966" s="63"/>
      <c r="D966" s="63"/>
      <c r="E966" s="63"/>
      <c r="F966" s="63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</row>
    <row r="967">
      <c r="A967" s="64"/>
      <c r="B967" s="63"/>
      <c r="C967" s="63"/>
      <c r="D967" s="63"/>
      <c r="E967" s="63"/>
      <c r="F967" s="63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</row>
    <row r="968">
      <c r="A968" s="64"/>
      <c r="B968" s="63"/>
      <c r="C968" s="63"/>
      <c r="D968" s="63"/>
      <c r="E968" s="63"/>
      <c r="F968" s="63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</row>
    <row r="969">
      <c r="A969" s="64"/>
      <c r="B969" s="63"/>
      <c r="C969" s="63"/>
      <c r="D969" s="63"/>
      <c r="E969" s="63"/>
      <c r="F969" s="63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</row>
    <row r="970">
      <c r="A970" s="64"/>
      <c r="B970" s="63"/>
      <c r="C970" s="63"/>
      <c r="D970" s="63"/>
      <c r="E970" s="63"/>
      <c r="F970" s="63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</row>
    <row r="971">
      <c r="A971" s="64"/>
      <c r="B971" s="63"/>
      <c r="C971" s="63"/>
      <c r="D971" s="63"/>
      <c r="E971" s="63"/>
      <c r="F971" s="63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</row>
    <row r="972">
      <c r="A972" s="64"/>
      <c r="B972" s="63"/>
      <c r="C972" s="63"/>
      <c r="D972" s="63"/>
      <c r="E972" s="63"/>
      <c r="F972" s="63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</row>
    <row r="973">
      <c r="A973" s="64"/>
      <c r="B973" s="63"/>
      <c r="C973" s="63"/>
      <c r="D973" s="63"/>
      <c r="E973" s="63"/>
      <c r="F973" s="63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</row>
    <row r="974">
      <c r="A974" s="64"/>
      <c r="B974" s="63"/>
      <c r="C974" s="63"/>
      <c r="D974" s="63"/>
      <c r="E974" s="63"/>
      <c r="F974" s="63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</row>
    <row r="975">
      <c r="A975" s="64"/>
      <c r="B975" s="63"/>
      <c r="C975" s="63"/>
      <c r="D975" s="63"/>
      <c r="E975" s="63"/>
      <c r="F975" s="63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</row>
    <row r="976">
      <c r="A976" s="64"/>
      <c r="B976" s="63"/>
      <c r="C976" s="63"/>
      <c r="D976" s="63"/>
      <c r="E976" s="63"/>
      <c r="F976" s="63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</row>
    <row r="977">
      <c r="A977" s="64"/>
      <c r="B977" s="63"/>
      <c r="C977" s="63"/>
      <c r="D977" s="63"/>
      <c r="E977" s="63"/>
      <c r="F977" s="63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</row>
    <row r="978">
      <c r="A978" s="64"/>
      <c r="B978" s="63"/>
      <c r="C978" s="63"/>
      <c r="D978" s="63"/>
      <c r="E978" s="63"/>
      <c r="F978" s="63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</row>
    <row r="979">
      <c r="A979" s="64"/>
      <c r="B979" s="63"/>
      <c r="C979" s="63"/>
      <c r="D979" s="63"/>
      <c r="E979" s="63"/>
      <c r="F979" s="63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</row>
    <row r="980">
      <c r="A980" s="64"/>
      <c r="B980" s="63"/>
      <c r="C980" s="63"/>
      <c r="D980" s="63"/>
      <c r="E980" s="63"/>
      <c r="F980" s="63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</row>
    <row r="981">
      <c r="A981" s="64"/>
      <c r="B981" s="63"/>
      <c r="C981" s="63"/>
      <c r="D981" s="63"/>
      <c r="E981" s="63"/>
      <c r="F981" s="63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</row>
    <row r="982">
      <c r="A982" s="64"/>
      <c r="B982" s="63"/>
      <c r="C982" s="63"/>
      <c r="D982" s="63"/>
      <c r="E982" s="63"/>
      <c r="F982" s="63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</row>
    <row r="983">
      <c r="A983" s="64"/>
      <c r="B983" s="63"/>
      <c r="C983" s="63"/>
      <c r="D983" s="63"/>
      <c r="E983" s="63"/>
      <c r="F983" s="63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</cols>
  <sheetData>
    <row r="1">
      <c r="A1" s="172" t="s">
        <v>356</v>
      </c>
      <c r="B1" s="172" t="s">
        <v>357</v>
      </c>
      <c r="C1" s="172" t="s">
        <v>358</v>
      </c>
      <c r="D1" s="172" t="s">
        <v>359</v>
      </c>
      <c r="E1" s="172" t="s">
        <v>360</v>
      </c>
      <c r="F1" s="172" t="s">
        <v>361</v>
      </c>
      <c r="G1" s="172" t="s">
        <v>362</v>
      </c>
      <c r="H1" s="173" t="s">
        <v>363</v>
      </c>
      <c r="I1" s="17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174"/>
      <c r="B2" s="174"/>
      <c r="C2" s="174"/>
      <c r="D2" s="174"/>
      <c r="E2" s="174"/>
      <c r="F2" s="174"/>
      <c r="G2" s="174"/>
      <c r="H2" s="175"/>
      <c r="I2" s="17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176" t="s">
        <v>364</v>
      </c>
      <c r="B3" s="177" t="s">
        <v>365</v>
      </c>
      <c r="C3" s="178">
        <v>168.0</v>
      </c>
      <c r="D3" s="177">
        <v>216.0</v>
      </c>
      <c r="E3" s="177">
        <v>95.0</v>
      </c>
      <c r="F3" s="177" t="s">
        <v>366</v>
      </c>
      <c r="G3" s="177" t="s">
        <v>367</v>
      </c>
      <c r="H3" s="179">
        <f>21*15</f>
        <v>315</v>
      </c>
      <c r="I3" s="174" t="s">
        <v>368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176" t="s">
        <v>369</v>
      </c>
      <c r="B4" s="178">
        <v>70.0</v>
      </c>
      <c r="C4" s="178">
        <v>48.0</v>
      </c>
      <c r="D4" s="178">
        <v>36.0</v>
      </c>
      <c r="E4" s="178">
        <v>30.0</v>
      </c>
      <c r="F4" s="178">
        <v>34.0</v>
      </c>
      <c r="G4" s="177" t="s">
        <v>370</v>
      </c>
      <c r="H4" s="179">
        <v>76.1825</v>
      </c>
      <c r="I4" s="17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180" t="s">
        <v>371</v>
      </c>
      <c r="B5" s="181">
        <v>70.0</v>
      </c>
      <c r="C5" s="181">
        <v>48.0</v>
      </c>
      <c r="D5" s="181">
        <v>36.0</v>
      </c>
      <c r="E5" s="181">
        <v>30.0</v>
      </c>
      <c r="F5" s="181">
        <v>34.0</v>
      </c>
      <c r="G5" s="182" t="s">
        <v>372</v>
      </c>
      <c r="H5" s="183">
        <v>75.295</v>
      </c>
      <c r="I5" s="17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176" t="s">
        <v>373</v>
      </c>
      <c r="B6" s="177">
        <v>145.0</v>
      </c>
      <c r="C6" s="178">
        <v>102.0</v>
      </c>
      <c r="D6" s="178">
        <v>75.0</v>
      </c>
      <c r="E6" s="178">
        <v>74.0</v>
      </c>
      <c r="F6" s="178">
        <v>64.0</v>
      </c>
      <c r="G6" s="177" t="s">
        <v>374</v>
      </c>
      <c r="H6" s="179">
        <f>128.91825</f>
        <v>128.91825</v>
      </c>
      <c r="I6" s="17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180" t="s">
        <v>375</v>
      </c>
      <c r="B7" s="181">
        <v>80.0</v>
      </c>
      <c r="C7" s="181">
        <v>54.0</v>
      </c>
      <c r="D7" s="181">
        <v>36.0</v>
      </c>
      <c r="E7" s="181">
        <v>30.0</v>
      </c>
      <c r="F7" s="181">
        <v>36.0</v>
      </c>
      <c r="G7" s="182" t="s">
        <v>376</v>
      </c>
      <c r="H7" s="183">
        <f>85.5232</f>
        <v>85.5232</v>
      </c>
      <c r="I7" s="17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176" t="s">
        <v>377</v>
      </c>
      <c r="B8" s="178">
        <v>80.0</v>
      </c>
      <c r="C8" s="178">
        <v>54.0</v>
      </c>
      <c r="D8" s="178">
        <v>36.0</v>
      </c>
      <c r="E8" s="178">
        <v>30.0</v>
      </c>
      <c r="F8" s="178">
        <v>36.0</v>
      </c>
      <c r="G8" s="177" t="s">
        <v>376</v>
      </c>
      <c r="H8" s="179">
        <v>86.15</v>
      </c>
      <c r="I8" s="17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180" t="s">
        <v>378</v>
      </c>
      <c r="B9" s="182" t="s">
        <v>366</v>
      </c>
      <c r="C9" s="181">
        <v>144.0</v>
      </c>
      <c r="D9" s="182" t="s">
        <v>366</v>
      </c>
      <c r="E9" s="182" t="s">
        <v>366</v>
      </c>
      <c r="F9" s="182" t="s">
        <v>366</v>
      </c>
      <c r="G9" s="180"/>
      <c r="H9" s="184"/>
      <c r="I9" s="17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176" t="s">
        <v>379</v>
      </c>
      <c r="B10" s="177">
        <v>240.0</v>
      </c>
      <c r="C10" s="178">
        <v>180.0</v>
      </c>
      <c r="D10" s="177" t="s">
        <v>366</v>
      </c>
      <c r="E10" s="177" t="s">
        <v>366</v>
      </c>
      <c r="F10" s="177" t="s">
        <v>366</v>
      </c>
      <c r="G10" s="177" t="s">
        <v>380</v>
      </c>
      <c r="H10" s="179">
        <f>3.1416*9.5*9.5</f>
        <v>283.5294</v>
      </c>
      <c r="I10" s="174" t="s">
        <v>381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180" t="s">
        <v>382</v>
      </c>
      <c r="B11" s="185" t="s">
        <v>383</v>
      </c>
      <c r="C11" s="185" t="s">
        <v>383</v>
      </c>
      <c r="D11" s="185" t="s">
        <v>383</v>
      </c>
      <c r="E11" s="185" t="s">
        <v>383</v>
      </c>
      <c r="F11" s="186" t="s">
        <v>384</v>
      </c>
      <c r="G11" s="182" t="s">
        <v>385</v>
      </c>
      <c r="H11" s="183">
        <v>62.046</v>
      </c>
      <c r="I11" s="17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171" t="s">
        <v>386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187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188"/>
      <c r="B14" s="188"/>
      <c r="C14" s="188"/>
      <c r="D14" s="188"/>
      <c r="E14" s="188"/>
      <c r="F14" s="188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188"/>
      <c r="B15" s="188"/>
      <c r="C15" s="188"/>
      <c r="D15" s="188"/>
      <c r="E15" s="188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189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190"/>
      <c r="B17" s="188"/>
      <c r="C17" s="188"/>
      <c r="D17" s="188"/>
      <c r="E17" s="188"/>
      <c r="F17" s="188"/>
      <c r="G17" s="188"/>
      <c r="H17" s="188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190"/>
      <c r="B18" s="188"/>
      <c r="C18" s="188"/>
      <c r="D18" s="188"/>
      <c r="E18" s="188"/>
      <c r="F18" s="188"/>
      <c r="G18" s="188"/>
      <c r="H18" s="188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187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187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188"/>
      <c r="B22" s="188"/>
      <c r="C22" s="188"/>
      <c r="D22" s="188"/>
      <c r="E22" s="188"/>
      <c r="F22" s="188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188"/>
      <c r="B23" s="188"/>
      <c r="C23" s="188"/>
      <c r="D23" s="188"/>
      <c r="E23" s="188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189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190"/>
      <c r="B25" s="188"/>
      <c r="C25" s="188"/>
      <c r="D25" s="188"/>
      <c r="E25" s="188"/>
      <c r="F25" s="188"/>
      <c r="G25" s="188"/>
      <c r="H25" s="188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190"/>
      <c r="B26" s="188"/>
      <c r="C26" s="188"/>
      <c r="D26" s="188"/>
      <c r="E26" s="188"/>
      <c r="F26" s="188"/>
      <c r="G26" s="188"/>
      <c r="H26" s="188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187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187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188"/>
      <c r="B30" s="188"/>
      <c r="C30" s="188"/>
      <c r="D30" s="188"/>
      <c r="E30" s="188"/>
      <c r="F30" s="188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188"/>
      <c r="B31" s="188"/>
      <c r="C31" s="188"/>
      <c r="D31" s="188"/>
      <c r="E31" s="188"/>
      <c r="F31" s="188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189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190"/>
      <c r="B33" s="188"/>
      <c r="C33" s="188"/>
      <c r="D33" s="188"/>
      <c r="E33" s="188"/>
      <c r="F33" s="188"/>
      <c r="G33" s="188"/>
      <c r="H33" s="188"/>
      <c r="I33" s="188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190"/>
      <c r="B34" s="188"/>
      <c r="C34" s="188"/>
      <c r="D34" s="188"/>
      <c r="E34" s="188"/>
      <c r="F34" s="188"/>
      <c r="G34" s="188"/>
      <c r="H34" s="188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187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187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188"/>
      <c r="B38" s="188"/>
      <c r="C38" s="188"/>
      <c r="D38" s="188"/>
      <c r="E38" s="188"/>
      <c r="F38" s="188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188"/>
      <c r="B39" s="188"/>
      <c r="C39" s="188"/>
      <c r="D39" s="188"/>
      <c r="E39" s="188"/>
      <c r="F39" s="188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189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190"/>
      <c r="B41" s="188"/>
      <c r="C41" s="188"/>
      <c r="D41" s="188"/>
      <c r="E41" s="188"/>
      <c r="F41" s="188"/>
      <c r="G41" s="188"/>
      <c r="H41" s="188"/>
      <c r="I41" s="188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190"/>
      <c r="B42" s="188"/>
      <c r="C42" s="188"/>
      <c r="D42" s="188"/>
      <c r="E42" s="188"/>
      <c r="F42" s="188"/>
      <c r="G42" s="188"/>
      <c r="H42" s="188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29.5"/>
    <col customWidth="1" min="7" max="7" width="102.25"/>
  </cols>
  <sheetData>
    <row r="1">
      <c r="A1" s="191" t="s">
        <v>387</v>
      </c>
      <c r="B1" s="192"/>
      <c r="D1" s="193"/>
      <c r="F1" s="193"/>
    </row>
    <row r="2">
      <c r="A2" s="194"/>
      <c r="B2" s="195"/>
      <c r="C2" s="196" t="s">
        <v>388</v>
      </c>
      <c r="D2" s="197"/>
      <c r="E2" s="198"/>
      <c r="F2" s="199"/>
      <c r="G2" s="200"/>
      <c r="H2" s="200"/>
      <c r="I2" s="200"/>
    </row>
    <row r="3">
      <c r="A3" s="201"/>
      <c r="B3" s="202"/>
      <c r="C3" s="201"/>
      <c r="D3" s="203"/>
      <c r="E3" s="201"/>
      <c r="F3" s="203"/>
      <c r="G3" s="204" t="s">
        <v>389</v>
      </c>
      <c r="H3" s="200"/>
    </row>
    <row r="4">
      <c r="A4" s="205" t="s">
        <v>390</v>
      </c>
      <c r="B4" s="206"/>
      <c r="C4" s="201"/>
      <c r="D4" s="203"/>
      <c r="E4" s="207"/>
      <c r="F4" s="203"/>
      <c r="G4" s="208" t="s">
        <v>391</v>
      </c>
      <c r="H4" s="200"/>
    </row>
    <row r="5">
      <c r="A5" s="205" t="s">
        <v>392</v>
      </c>
      <c r="B5" s="209"/>
      <c r="C5" s="198"/>
      <c r="D5" s="210"/>
      <c r="E5" s="211"/>
      <c r="F5" s="203"/>
      <c r="G5" s="208" t="s">
        <v>393</v>
      </c>
      <c r="H5" s="200"/>
    </row>
    <row r="6">
      <c r="A6" s="205" t="s">
        <v>394</v>
      </c>
      <c r="B6" s="206" t="s">
        <v>395</v>
      </c>
      <c r="C6" s="201"/>
      <c r="D6" s="212" t="s">
        <v>396</v>
      </c>
      <c r="E6" s="205">
        <v>15.0</v>
      </c>
      <c r="F6" s="203"/>
      <c r="G6" s="208" t="s">
        <v>397</v>
      </c>
      <c r="H6" s="200"/>
    </row>
    <row r="7">
      <c r="A7" s="213" t="s">
        <v>398</v>
      </c>
      <c r="B7" s="206"/>
      <c r="C7" s="214"/>
      <c r="D7" s="215" t="s">
        <v>399</v>
      </c>
      <c r="E7" s="213"/>
      <c r="F7" s="203"/>
      <c r="G7" s="216" t="s">
        <v>400</v>
      </c>
      <c r="H7" s="200"/>
    </row>
    <row r="8">
      <c r="A8" s="200"/>
      <c r="B8" s="200"/>
      <c r="C8" s="200"/>
      <c r="D8" s="200"/>
      <c r="E8" s="200"/>
      <c r="F8" s="200"/>
      <c r="G8" s="216" t="s">
        <v>401</v>
      </c>
      <c r="H8" s="200"/>
    </row>
    <row r="9">
      <c r="A9" s="217"/>
      <c r="B9" s="197"/>
      <c r="C9" s="197"/>
      <c r="D9" s="197"/>
      <c r="E9" s="197"/>
      <c r="F9" s="197"/>
      <c r="G9" s="197"/>
      <c r="H9" s="198"/>
    </row>
    <row r="10">
      <c r="A10" s="218" t="s">
        <v>402</v>
      </c>
      <c r="B10" s="219" t="s">
        <v>1</v>
      </c>
      <c r="C10" s="219" t="s">
        <v>2</v>
      </c>
      <c r="D10" s="143" t="s">
        <v>3</v>
      </c>
      <c r="E10" s="219" t="s">
        <v>403</v>
      </c>
      <c r="F10" s="143" t="s">
        <v>404</v>
      </c>
      <c r="G10" s="219" t="s">
        <v>6</v>
      </c>
      <c r="H10" s="200"/>
    </row>
    <row r="11">
      <c r="A11" s="9" t="s">
        <v>405</v>
      </c>
      <c r="B11" s="220" t="s">
        <v>153</v>
      </c>
      <c r="C11" s="221">
        <v>1.0</v>
      </c>
      <c r="D11" s="222">
        <v>12.0</v>
      </c>
      <c r="E11" s="223">
        <v>25210.0</v>
      </c>
      <c r="F11" s="224">
        <f t="shared" ref="F11:F14" si="1">C11*D11*E11</f>
        <v>302520</v>
      </c>
      <c r="G11" s="39" t="s">
        <v>406</v>
      </c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>
      <c r="A12" s="9" t="s">
        <v>116</v>
      </c>
      <c r="B12" s="220" t="s">
        <v>153</v>
      </c>
      <c r="C12" s="221">
        <v>2.0</v>
      </c>
      <c r="D12" s="221">
        <v>12.0</v>
      </c>
      <c r="E12" s="223">
        <v>1933.0</v>
      </c>
      <c r="F12" s="224">
        <f t="shared" si="1"/>
        <v>46392</v>
      </c>
      <c r="G12" s="39" t="s">
        <v>407</v>
      </c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>
      <c r="A13" s="225" t="s">
        <v>98</v>
      </c>
      <c r="B13" s="226"/>
      <c r="C13" s="227">
        <v>2.0</v>
      </c>
      <c r="D13" s="227">
        <v>12.0</v>
      </c>
      <c r="E13" s="223">
        <v>4850.0</v>
      </c>
      <c r="F13" s="224">
        <f t="shared" si="1"/>
        <v>116400</v>
      </c>
      <c r="G13" s="160" t="s">
        <v>408</v>
      </c>
      <c r="H13" s="200"/>
    </row>
    <row r="14">
      <c r="A14" s="225" t="s">
        <v>409</v>
      </c>
      <c r="B14" s="226"/>
      <c r="C14" s="227">
        <v>1.0</v>
      </c>
      <c r="D14" s="227">
        <v>12.0</v>
      </c>
      <c r="E14" s="223">
        <v>120630.0</v>
      </c>
      <c r="F14" s="224">
        <f t="shared" si="1"/>
        <v>1447560</v>
      </c>
      <c r="G14" s="228" t="s">
        <v>410</v>
      </c>
      <c r="H14" s="200"/>
    </row>
    <row r="15">
      <c r="A15" s="229"/>
      <c r="B15" s="230"/>
      <c r="C15" s="231"/>
      <c r="D15" s="231"/>
      <c r="E15" s="229"/>
      <c r="F15" s="232">
        <f>SUM(F11:F14)</f>
        <v>1912872</v>
      </c>
      <c r="G15" s="233"/>
      <c r="H15" s="200"/>
    </row>
    <row r="16">
      <c r="A16" s="218" t="s">
        <v>411</v>
      </c>
      <c r="B16" s="219" t="s">
        <v>1</v>
      </c>
      <c r="C16" s="143" t="s">
        <v>2</v>
      </c>
      <c r="D16" s="143" t="s">
        <v>3</v>
      </c>
      <c r="E16" s="219" t="s">
        <v>403</v>
      </c>
      <c r="F16" s="143" t="s">
        <v>404</v>
      </c>
      <c r="G16" s="219" t="s">
        <v>6</v>
      </c>
      <c r="H16" s="200"/>
    </row>
    <row r="17">
      <c r="A17" s="9" t="s">
        <v>148</v>
      </c>
      <c r="B17" s="220" t="s">
        <v>146</v>
      </c>
      <c r="C17" s="221">
        <v>1.0</v>
      </c>
      <c r="D17" s="222">
        <v>12.0</v>
      </c>
      <c r="E17" s="234">
        <v>0.0</v>
      </c>
      <c r="F17" s="235">
        <f>C17*E17</f>
        <v>0</v>
      </c>
      <c r="G17" s="85" t="s">
        <v>412</v>
      </c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>
      <c r="A18" s="236" t="s">
        <v>413</v>
      </c>
      <c r="B18" s="237" t="s">
        <v>414</v>
      </c>
      <c r="C18" s="238">
        <v>1.0</v>
      </c>
      <c r="D18" s="238">
        <v>12.0</v>
      </c>
      <c r="E18" s="239"/>
      <c r="F18" s="240">
        <v>1144000.0</v>
      </c>
      <c r="G18" s="228" t="s">
        <v>415</v>
      </c>
      <c r="H18" s="200"/>
    </row>
    <row r="19">
      <c r="A19" s="37" t="s">
        <v>416</v>
      </c>
      <c r="B19" s="220" t="s">
        <v>150</v>
      </c>
      <c r="C19" s="221">
        <v>1.0</v>
      </c>
      <c r="D19" s="222">
        <v>12.0</v>
      </c>
      <c r="E19" s="223">
        <v>25210.0</v>
      </c>
      <c r="F19" s="224">
        <f t="shared" ref="F19:F25" si="2">C19*D19*E19</f>
        <v>302520</v>
      </c>
      <c r="G19" s="84" t="s">
        <v>151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>
      <c r="A20" s="9" t="s">
        <v>116</v>
      </c>
      <c r="B20" s="220" t="s">
        <v>150</v>
      </c>
      <c r="C20" s="221">
        <v>2.0</v>
      </c>
      <c r="D20" s="221">
        <v>12.0</v>
      </c>
      <c r="E20" s="234">
        <v>1933.0</v>
      </c>
      <c r="F20" s="224">
        <f t="shared" si="2"/>
        <v>46392</v>
      </c>
      <c r="G20" s="39" t="s">
        <v>407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>
      <c r="A21" s="9" t="s">
        <v>12</v>
      </c>
      <c r="B21" s="220" t="s">
        <v>8</v>
      </c>
      <c r="C21" s="221">
        <v>1.0</v>
      </c>
      <c r="D21" s="221">
        <v>1.0</v>
      </c>
      <c r="E21" s="223">
        <f>220000*1.1</f>
        <v>242000</v>
      </c>
      <c r="F21" s="224">
        <f t="shared" si="2"/>
        <v>242000</v>
      </c>
      <c r="G21" s="12" t="s">
        <v>417</v>
      </c>
      <c r="H21" s="241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5"/>
      <c r="AD21" s="155"/>
    </row>
    <row r="22">
      <c r="A22" s="9" t="s">
        <v>405</v>
      </c>
      <c r="B22" s="220" t="s">
        <v>153</v>
      </c>
      <c r="C22" s="221">
        <v>1.0</v>
      </c>
      <c r="D22" s="222">
        <v>12.0</v>
      </c>
      <c r="E22" s="223">
        <v>25210.0</v>
      </c>
      <c r="F22" s="224">
        <f t="shared" si="2"/>
        <v>302520</v>
      </c>
      <c r="G22" s="39" t="s">
        <v>406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</row>
    <row r="23">
      <c r="A23" s="9" t="s">
        <v>116</v>
      </c>
      <c r="B23" s="220" t="s">
        <v>153</v>
      </c>
      <c r="C23" s="221">
        <v>2.0</v>
      </c>
      <c r="D23" s="221">
        <v>12.0</v>
      </c>
      <c r="E23" s="234">
        <v>1933.0</v>
      </c>
      <c r="F23" s="224">
        <f t="shared" si="2"/>
        <v>46392</v>
      </c>
      <c r="G23" s="39" t="s">
        <v>407</v>
      </c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</row>
    <row r="24">
      <c r="A24" s="225" t="s">
        <v>409</v>
      </c>
      <c r="B24" s="226"/>
      <c r="C24" s="227">
        <v>1.0</v>
      </c>
      <c r="D24" s="227">
        <v>12.0</v>
      </c>
      <c r="E24" s="239">
        <v>120630.0</v>
      </c>
      <c r="F24" s="224">
        <f t="shared" si="2"/>
        <v>1447560</v>
      </c>
      <c r="G24" s="228" t="s">
        <v>410</v>
      </c>
      <c r="H24" s="200"/>
    </row>
    <row r="25">
      <c r="A25" s="9" t="s">
        <v>111</v>
      </c>
      <c r="B25" s="145"/>
      <c r="C25" s="221">
        <v>1.0</v>
      </c>
      <c r="D25" s="86">
        <v>12.0</v>
      </c>
      <c r="E25" s="30">
        <v>38000.0</v>
      </c>
      <c r="F25" s="224">
        <f t="shared" si="2"/>
        <v>456000</v>
      </c>
      <c r="G25" s="39" t="s">
        <v>103</v>
      </c>
      <c r="H25" s="200"/>
    </row>
    <row r="26">
      <c r="A26" s="9" t="s">
        <v>418</v>
      </c>
      <c r="B26" s="242" t="s">
        <v>77</v>
      </c>
      <c r="C26" s="243"/>
      <c r="D26" s="244"/>
      <c r="E26" s="59">
        <v>500000.0</v>
      </c>
      <c r="F26" s="244">
        <f t="shared" ref="F26:F27" si="3">E26</f>
        <v>500000</v>
      </c>
      <c r="G26" s="245" t="s">
        <v>419</v>
      </c>
      <c r="H26" s="241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5"/>
      <c r="AD26" s="155"/>
    </row>
    <row r="27">
      <c r="A27" s="246" t="s">
        <v>420</v>
      </c>
      <c r="B27" s="242" t="s">
        <v>77</v>
      </c>
      <c r="C27" s="247"/>
      <c r="D27" s="248"/>
      <c r="E27" s="43">
        <v>750000.0</v>
      </c>
      <c r="F27" s="244">
        <f t="shared" si="3"/>
        <v>750000</v>
      </c>
      <c r="G27" s="242" t="s">
        <v>421</v>
      </c>
      <c r="H27" s="241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5"/>
      <c r="AD27" s="155"/>
    </row>
    <row r="28">
      <c r="A28" s="249"/>
      <c r="B28" s="250"/>
      <c r="C28" s="251"/>
      <c r="D28" s="251"/>
      <c r="E28" s="252"/>
      <c r="F28" s="253">
        <f>SUM(F17:F27)</f>
        <v>5237384</v>
      </c>
      <c r="G28" s="254"/>
      <c r="H28" s="200"/>
    </row>
    <row r="29">
      <c r="A29" s="218" t="s">
        <v>422</v>
      </c>
      <c r="B29" s="219" t="s">
        <v>1</v>
      </c>
      <c r="C29" s="143" t="s">
        <v>2</v>
      </c>
      <c r="D29" s="143" t="s">
        <v>3</v>
      </c>
      <c r="E29" s="255" t="s">
        <v>403</v>
      </c>
      <c r="F29" s="255" t="s">
        <v>404</v>
      </c>
      <c r="G29" s="219" t="s">
        <v>6</v>
      </c>
      <c r="H29" s="200"/>
    </row>
    <row r="30">
      <c r="A30" s="37" t="s">
        <v>145</v>
      </c>
      <c r="B30" s="220" t="s">
        <v>146</v>
      </c>
      <c r="C30" s="221">
        <v>1.0</v>
      </c>
      <c r="D30" s="222">
        <v>12.0</v>
      </c>
      <c r="E30" s="234">
        <v>0.0</v>
      </c>
      <c r="F30" s="235">
        <f>C30*D30*E30</f>
        <v>0</v>
      </c>
      <c r="G30" s="85" t="s">
        <v>412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</row>
    <row r="31">
      <c r="A31" s="236" t="s">
        <v>423</v>
      </c>
      <c r="B31" s="237" t="s">
        <v>424</v>
      </c>
      <c r="C31" s="238">
        <v>1.0</v>
      </c>
      <c r="D31" s="238">
        <v>1.0</v>
      </c>
      <c r="E31" s="256">
        <v>1525000.0</v>
      </c>
      <c r="F31" s="235">
        <f>E31</f>
        <v>1525000</v>
      </c>
      <c r="G31" s="228" t="s">
        <v>425</v>
      </c>
      <c r="H31" s="200"/>
    </row>
    <row r="32">
      <c r="A32" s="37" t="s">
        <v>416</v>
      </c>
      <c r="B32" s="220" t="s">
        <v>150</v>
      </c>
      <c r="C32" s="221">
        <v>1.0</v>
      </c>
      <c r="D32" s="222">
        <v>12.0</v>
      </c>
      <c r="E32" s="223">
        <v>25210.0</v>
      </c>
      <c r="F32" s="224">
        <f>C32*D32*E32</f>
        <v>302520</v>
      </c>
      <c r="G32" s="84" t="s">
        <v>151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</row>
    <row r="33">
      <c r="A33" s="257" t="s">
        <v>291</v>
      </c>
      <c r="B33" s="161" t="s">
        <v>288</v>
      </c>
      <c r="C33" s="158"/>
      <c r="D33" s="158">
        <v>0.0</v>
      </c>
      <c r="E33" s="159">
        <v>0.0</v>
      </c>
      <c r="F33" s="158">
        <v>0.0</v>
      </c>
      <c r="G33" s="160" t="s">
        <v>290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</row>
    <row r="34">
      <c r="A34" s="249"/>
      <c r="B34" s="250"/>
      <c r="C34" s="250"/>
      <c r="D34" s="251"/>
      <c r="E34" s="250"/>
      <c r="F34" s="232">
        <f>SUM(F30:F33)</f>
        <v>1827520</v>
      </c>
      <c r="G34" s="254"/>
      <c r="H34" s="200"/>
    </row>
    <row r="35">
      <c r="A35" s="249"/>
      <c r="B35" s="250"/>
      <c r="C35" s="250"/>
      <c r="D35" s="251"/>
      <c r="E35" s="250"/>
      <c r="F35" s="251"/>
      <c r="G35" s="254"/>
      <c r="H35" s="200"/>
    </row>
    <row r="36">
      <c r="A36" s="258" t="s">
        <v>426</v>
      </c>
      <c r="B36" s="259"/>
      <c r="C36" s="260"/>
      <c r="D36" s="261"/>
      <c r="E36" s="262"/>
      <c r="F36" s="263">
        <f>F15+F28+F34</f>
        <v>8977776</v>
      </c>
      <c r="G36" s="264" t="s">
        <v>427</v>
      </c>
      <c r="H36" s="200"/>
    </row>
    <row r="37">
      <c r="A37" s="265" t="s">
        <v>428</v>
      </c>
      <c r="B37" s="266"/>
      <c r="C37" s="266"/>
      <c r="D37" s="267"/>
      <c r="E37" s="268"/>
      <c r="F37" s="269">
        <f>F36*0.19</f>
        <v>1705777.44</v>
      </c>
      <c r="G37" s="270"/>
      <c r="H37" s="200"/>
    </row>
    <row r="38">
      <c r="A38" s="271" t="s">
        <v>429</v>
      </c>
      <c r="B38" s="272"/>
      <c r="C38" s="272"/>
      <c r="D38" s="273"/>
      <c r="E38" s="274"/>
      <c r="F38" s="275">
        <f>F36+F37</f>
        <v>10683553.44</v>
      </c>
      <c r="G38" s="270"/>
      <c r="H38" s="200"/>
    </row>
    <row r="39">
      <c r="A39" s="217"/>
      <c r="B39" s="197"/>
      <c r="C39" s="197"/>
      <c r="D39" s="197"/>
      <c r="E39" s="197"/>
      <c r="F39" s="197"/>
      <c r="G39" s="197"/>
      <c r="H39" s="198"/>
    </row>
    <row r="40">
      <c r="A40" s="217"/>
      <c r="B40" s="197"/>
      <c r="C40" s="197"/>
      <c r="D40" s="197"/>
      <c r="E40" s="197"/>
      <c r="F40" s="197"/>
      <c r="G40" s="197"/>
      <c r="H40" s="198"/>
    </row>
    <row r="41">
      <c r="A41" s="276" t="s">
        <v>430</v>
      </c>
      <c r="B41" s="250"/>
      <c r="C41" s="277"/>
      <c r="D41" s="278"/>
      <c r="E41" s="277"/>
      <c r="F41" s="278"/>
      <c r="G41" s="277"/>
      <c r="H41" s="200"/>
    </row>
    <row r="42">
      <c r="A42" s="279" t="s">
        <v>431</v>
      </c>
      <c r="B42" s="197"/>
      <c r="C42" s="197"/>
      <c r="D42" s="197"/>
      <c r="E42" s="197"/>
      <c r="F42" s="197"/>
      <c r="G42" s="277"/>
      <c r="H42" s="200"/>
    </row>
    <row r="43">
      <c r="A43" s="279" t="s">
        <v>432</v>
      </c>
      <c r="B43" s="197"/>
      <c r="C43" s="197"/>
      <c r="D43" s="197"/>
      <c r="E43" s="197"/>
      <c r="F43" s="197"/>
      <c r="G43" s="277"/>
      <c r="H43" s="200"/>
    </row>
    <row r="44">
      <c r="A44" s="279" t="s">
        <v>433</v>
      </c>
      <c r="B44" s="197"/>
      <c r="C44" s="197"/>
      <c r="D44" s="197"/>
      <c r="E44" s="197"/>
      <c r="F44" s="197"/>
      <c r="G44" s="277"/>
      <c r="H44" s="200"/>
    </row>
    <row r="45">
      <c r="A45" s="279" t="s">
        <v>434</v>
      </c>
      <c r="B45" s="197"/>
      <c r="C45" s="197"/>
      <c r="D45" s="197"/>
      <c r="E45" s="197"/>
      <c r="F45" s="197"/>
      <c r="G45" s="277"/>
      <c r="H45" s="200"/>
    </row>
    <row r="46">
      <c r="A46" s="279" t="s">
        <v>435</v>
      </c>
      <c r="B46" s="197"/>
      <c r="C46" s="197"/>
      <c r="D46" s="197"/>
      <c r="E46" s="197"/>
      <c r="F46" s="197"/>
      <c r="G46" s="277"/>
      <c r="H46" s="200"/>
    </row>
    <row r="47">
      <c r="A47" s="279" t="s">
        <v>436</v>
      </c>
      <c r="B47" s="197"/>
      <c r="C47" s="197"/>
      <c r="D47" s="197"/>
      <c r="E47" s="197"/>
      <c r="F47" s="197"/>
      <c r="G47" s="277"/>
      <c r="H47" s="200"/>
    </row>
    <row r="48">
      <c r="A48" s="279" t="s">
        <v>437</v>
      </c>
      <c r="B48" s="197"/>
      <c r="C48" s="197"/>
      <c r="D48" s="197"/>
      <c r="E48" s="197"/>
      <c r="F48" s="197"/>
      <c r="G48" s="280"/>
      <c r="H48" s="200"/>
    </row>
    <row r="49">
      <c r="A49" s="279" t="s">
        <v>438</v>
      </c>
      <c r="B49" s="197"/>
      <c r="C49" s="197"/>
      <c r="D49" s="197"/>
      <c r="E49" s="197"/>
      <c r="F49" s="197"/>
      <c r="G49" s="277"/>
      <c r="H49" s="200"/>
    </row>
    <row r="50">
      <c r="A50" s="279" t="s">
        <v>439</v>
      </c>
      <c r="B50" s="197"/>
      <c r="C50" s="197"/>
      <c r="D50" s="197"/>
      <c r="E50" s="197"/>
      <c r="F50" s="197"/>
      <c r="G50" s="280"/>
      <c r="H50" s="200"/>
    </row>
    <row r="51">
      <c r="A51" s="279" t="s">
        <v>440</v>
      </c>
      <c r="B51" s="197"/>
      <c r="C51" s="197"/>
      <c r="D51" s="197"/>
      <c r="E51" s="197"/>
      <c r="F51" s="197"/>
      <c r="G51" s="277"/>
      <c r="H51" s="200"/>
    </row>
    <row r="52">
      <c r="A52" s="279" t="s">
        <v>441</v>
      </c>
      <c r="B52" s="197"/>
      <c r="C52" s="197"/>
      <c r="D52" s="197"/>
      <c r="E52" s="197"/>
      <c r="F52" s="197"/>
      <c r="G52" s="280"/>
      <c r="H52" s="200"/>
    </row>
    <row r="53">
      <c r="A53" s="279" t="s">
        <v>442</v>
      </c>
      <c r="B53" s="197"/>
      <c r="C53" s="197"/>
      <c r="D53" s="197"/>
      <c r="E53" s="197"/>
      <c r="F53" s="197"/>
      <c r="G53" s="280"/>
      <c r="H53" s="200"/>
    </row>
    <row r="54">
      <c r="A54" s="279" t="s">
        <v>443</v>
      </c>
      <c r="B54" s="197"/>
      <c r="C54" s="197"/>
      <c r="D54" s="197"/>
      <c r="E54" s="197"/>
      <c r="F54" s="197"/>
      <c r="G54" s="281"/>
      <c r="H54" s="280"/>
    </row>
    <row r="55">
      <c r="A55" s="279" t="s">
        <v>444</v>
      </c>
      <c r="B55" s="197"/>
      <c r="C55" s="197"/>
      <c r="D55" s="197"/>
      <c r="E55" s="197"/>
      <c r="F55" s="197"/>
      <c r="G55" s="270"/>
      <c r="H55" s="270"/>
    </row>
    <row r="56">
      <c r="A56" s="217"/>
      <c r="B56" s="197"/>
      <c r="C56" s="197"/>
      <c r="D56" s="197"/>
      <c r="E56" s="197"/>
      <c r="F56" s="197"/>
      <c r="G56" s="197"/>
      <c r="H56" s="198"/>
    </row>
    <row r="57">
      <c r="A57" s="282" t="s">
        <v>445</v>
      </c>
      <c r="B57" s="266"/>
      <c r="C57" s="270"/>
      <c r="D57" s="283"/>
      <c r="E57" s="270"/>
      <c r="F57" s="284"/>
      <c r="G57" s="270"/>
      <c r="H57" s="270"/>
    </row>
    <row r="58">
      <c r="A58" s="282" t="s">
        <v>446</v>
      </c>
      <c r="B58" s="266"/>
      <c r="C58" s="270"/>
      <c r="D58" s="283"/>
      <c r="E58" s="270"/>
      <c r="F58" s="284"/>
      <c r="G58" s="270"/>
      <c r="H58" s="270"/>
    </row>
    <row r="59">
      <c r="A59" s="285" t="s">
        <v>447</v>
      </c>
      <c r="B59" s="197"/>
      <c r="C59" s="197"/>
      <c r="D59" s="197"/>
      <c r="E59" s="198"/>
      <c r="F59" s="283"/>
      <c r="G59" s="270"/>
      <c r="H59" s="270"/>
    </row>
    <row r="60">
      <c r="A60" s="285" t="s">
        <v>448</v>
      </c>
      <c r="B60" s="198"/>
      <c r="C60" s="270"/>
      <c r="D60" s="283"/>
      <c r="E60" s="270"/>
      <c r="F60" s="283"/>
      <c r="G60" s="270"/>
      <c r="H60" s="270"/>
    </row>
    <row r="61">
      <c r="A61" s="286" t="s">
        <v>449</v>
      </c>
      <c r="B61" s="287"/>
      <c r="C61" s="270"/>
      <c r="D61" s="283"/>
      <c r="E61" s="270"/>
      <c r="F61" s="283"/>
      <c r="G61" s="270"/>
      <c r="H61" s="270"/>
    </row>
    <row r="62">
      <c r="A62" s="286" t="s">
        <v>450</v>
      </c>
      <c r="B62" s="287"/>
      <c r="C62" s="270"/>
      <c r="D62" s="283"/>
      <c r="E62" s="270"/>
      <c r="F62" s="283"/>
      <c r="G62" s="270"/>
      <c r="H62" s="270"/>
    </row>
    <row r="63">
      <c r="A63" s="217"/>
      <c r="B63" s="197"/>
      <c r="C63" s="197"/>
      <c r="D63" s="197"/>
      <c r="E63" s="197"/>
      <c r="F63" s="197"/>
      <c r="G63" s="197"/>
      <c r="H63" s="198"/>
    </row>
    <row r="64">
      <c r="A64" s="288" t="s">
        <v>451</v>
      </c>
      <c r="B64" s="266"/>
      <c r="C64" s="270"/>
      <c r="D64" s="283"/>
      <c r="E64" s="270"/>
      <c r="F64" s="283"/>
      <c r="G64" s="270"/>
      <c r="H64" s="200"/>
    </row>
    <row r="65">
      <c r="A65" s="289" t="s">
        <v>452</v>
      </c>
      <c r="B65" s="290" t="s">
        <v>453</v>
      </c>
      <c r="C65" s="270"/>
      <c r="D65" s="283"/>
      <c r="E65" s="270"/>
      <c r="F65" s="283"/>
      <c r="G65" s="270"/>
      <c r="H65" s="200"/>
    </row>
    <row r="66">
      <c r="A66" s="289" t="s">
        <v>454</v>
      </c>
      <c r="B66" s="290" t="s">
        <v>455</v>
      </c>
      <c r="C66" s="270"/>
      <c r="D66" s="283"/>
      <c r="E66" s="270"/>
      <c r="F66" s="283"/>
      <c r="G66" s="270"/>
      <c r="H66" s="200"/>
    </row>
    <row r="67">
      <c r="A67" s="289" t="s">
        <v>456</v>
      </c>
      <c r="B67" s="291" t="s">
        <v>457</v>
      </c>
      <c r="C67" s="198"/>
      <c r="D67" s="283"/>
      <c r="E67" s="270"/>
      <c r="F67" s="283"/>
      <c r="G67" s="270"/>
      <c r="H67" s="200"/>
    </row>
    <row r="68">
      <c r="A68" s="292" t="s">
        <v>458</v>
      </c>
      <c r="B68" s="290" t="s">
        <v>459</v>
      </c>
      <c r="C68" s="270"/>
      <c r="D68" s="283"/>
      <c r="E68" s="270"/>
      <c r="F68" s="283"/>
      <c r="G68" s="270"/>
      <c r="H68" s="200"/>
    </row>
    <row r="69">
      <c r="A69" s="292" t="s">
        <v>460</v>
      </c>
      <c r="B69" s="290" t="s">
        <v>461</v>
      </c>
      <c r="C69" s="270"/>
      <c r="D69" s="283"/>
      <c r="E69" s="270"/>
      <c r="F69" s="283"/>
      <c r="G69" s="270"/>
      <c r="H69" s="200"/>
    </row>
    <row r="70">
      <c r="A70" s="292" t="s">
        <v>462</v>
      </c>
      <c r="B70" s="291" t="s">
        <v>463</v>
      </c>
      <c r="C70" s="197"/>
      <c r="D70" s="198"/>
      <c r="E70" s="270"/>
      <c r="F70" s="283"/>
      <c r="G70" s="270"/>
      <c r="H70" s="200"/>
    </row>
    <row r="71">
      <c r="A71" s="292" t="s">
        <v>464</v>
      </c>
      <c r="B71" s="290" t="s">
        <v>465</v>
      </c>
      <c r="C71" s="270"/>
      <c r="D71" s="283"/>
      <c r="E71" s="270"/>
      <c r="F71" s="283"/>
      <c r="G71" s="270"/>
      <c r="H71" s="200"/>
    </row>
    <row r="72">
      <c r="A72" s="293" t="s">
        <v>466</v>
      </c>
      <c r="B72" s="197"/>
      <c r="C72" s="197"/>
      <c r="D72" s="198"/>
      <c r="E72" s="270"/>
      <c r="F72" s="283"/>
      <c r="G72" s="270"/>
      <c r="H72" s="200"/>
    </row>
    <row r="73">
      <c r="A73" s="217"/>
      <c r="B73" s="197"/>
      <c r="C73" s="197"/>
      <c r="D73" s="197"/>
      <c r="E73" s="197"/>
      <c r="F73" s="197"/>
      <c r="G73" s="197"/>
      <c r="H73" s="198"/>
    </row>
    <row r="74">
      <c r="A74" s="294" t="s">
        <v>467</v>
      </c>
      <c r="B74" s="198"/>
      <c r="C74" s="270"/>
      <c r="D74" s="283"/>
      <c r="E74" s="270"/>
      <c r="F74" s="283"/>
      <c r="G74" s="270"/>
      <c r="H74" s="200"/>
    </row>
    <row r="75">
      <c r="A75" s="294" t="s">
        <v>468</v>
      </c>
      <c r="B75" s="197"/>
      <c r="C75" s="197"/>
      <c r="D75" s="197"/>
      <c r="E75" s="197"/>
      <c r="F75" s="197"/>
      <c r="G75" s="198"/>
      <c r="H75" s="200"/>
    </row>
    <row r="76">
      <c r="A76" s="294" t="s">
        <v>469</v>
      </c>
      <c r="B76" s="197"/>
      <c r="C76" s="197"/>
      <c r="D76" s="197"/>
      <c r="E76" s="197"/>
      <c r="F76" s="197"/>
      <c r="G76" s="198"/>
      <c r="H76" s="200"/>
    </row>
    <row r="77">
      <c r="A77" s="294" t="s">
        <v>470</v>
      </c>
      <c r="B77" s="197"/>
      <c r="C77" s="198"/>
      <c r="D77" s="283"/>
      <c r="E77" s="270"/>
      <c r="F77" s="283"/>
      <c r="G77" s="270"/>
      <c r="H77" s="200"/>
    </row>
    <row r="78">
      <c r="A78" s="217"/>
      <c r="B78" s="197"/>
      <c r="C78" s="197"/>
      <c r="D78" s="197"/>
      <c r="E78" s="197"/>
      <c r="F78" s="197"/>
      <c r="G78" s="197"/>
      <c r="H78" s="198"/>
    </row>
    <row r="79">
      <c r="A79" s="288" t="s">
        <v>471</v>
      </c>
      <c r="B79" s="266"/>
      <c r="C79" s="270"/>
      <c r="D79" s="283"/>
      <c r="E79" s="270"/>
      <c r="F79" s="283"/>
      <c r="G79" s="217"/>
      <c r="H79" s="198"/>
    </row>
    <row r="80">
      <c r="A80" s="294" t="s">
        <v>472</v>
      </c>
      <c r="B80" s="198"/>
      <c r="C80" s="270"/>
      <c r="D80" s="283"/>
      <c r="E80" s="270"/>
      <c r="F80" s="283"/>
      <c r="G80" s="217"/>
      <c r="H80" s="198"/>
    </row>
    <row r="81">
      <c r="A81" s="289" t="s">
        <v>473</v>
      </c>
      <c r="B81" s="266"/>
      <c r="C81" s="270"/>
      <c r="D81" s="283"/>
      <c r="E81" s="270"/>
      <c r="F81" s="283"/>
      <c r="G81" s="217"/>
      <c r="H81" s="198"/>
    </row>
    <row r="82">
      <c r="A82" s="294" t="s">
        <v>474</v>
      </c>
      <c r="B82" s="197"/>
      <c r="C82" s="197"/>
      <c r="D82" s="198"/>
      <c r="E82" s="270"/>
      <c r="F82" s="283"/>
      <c r="G82" s="217"/>
      <c r="H82" s="198"/>
    </row>
    <row r="83">
      <c r="A83" s="288" t="s">
        <v>475</v>
      </c>
      <c r="B83" s="266"/>
      <c r="C83" s="270"/>
      <c r="D83" s="283"/>
      <c r="E83" s="270"/>
      <c r="F83" s="283"/>
      <c r="G83" s="217"/>
      <c r="H83" s="198"/>
    </row>
    <row r="84">
      <c r="A84" s="294" t="s">
        <v>476</v>
      </c>
      <c r="B84" s="197"/>
      <c r="C84" s="197"/>
      <c r="D84" s="198"/>
      <c r="E84" s="270"/>
      <c r="F84" s="283"/>
      <c r="G84" s="217"/>
      <c r="H84" s="198"/>
    </row>
    <row r="85">
      <c r="A85" s="294" t="s">
        <v>477</v>
      </c>
      <c r="B85" s="197"/>
      <c r="C85" s="197"/>
      <c r="D85" s="197"/>
      <c r="E85" s="197"/>
      <c r="F85" s="197"/>
      <c r="G85" s="198"/>
      <c r="H85" s="200"/>
    </row>
    <row r="86">
      <c r="A86" s="217"/>
      <c r="B86" s="197"/>
      <c r="C86" s="197"/>
      <c r="D86" s="197"/>
      <c r="E86" s="197"/>
      <c r="F86" s="197"/>
      <c r="G86" s="197"/>
      <c r="H86" s="198"/>
    </row>
    <row r="87">
      <c r="A87" s="288" t="s">
        <v>478</v>
      </c>
      <c r="B87" s="295"/>
      <c r="C87" s="197"/>
      <c r="D87" s="197"/>
      <c r="E87" s="197"/>
      <c r="F87" s="197"/>
      <c r="G87" s="197"/>
      <c r="H87" s="198"/>
    </row>
    <row r="88">
      <c r="A88" s="294" t="s">
        <v>479</v>
      </c>
      <c r="B88" s="197"/>
      <c r="C88" s="197"/>
      <c r="D88" s="197"/>
      <c r="E88" s="197"/>
      <c r="F88" s="198"/>
      <c r="G88" s="217"/>
      <c r="H88" s="198"/>
    </row>
    <row r="89">
      <c r="A89" s="294" t="s">
        <v>480</v>
      </c>
      <c r="B89" s="197"/>
      <c r="C89" s="197"/>
      <c r="D89" s="197"/>
      <c r="E89" s="198"/>
      <c r="F89" s="296"/>
      <c r="G89" s="197"/>
      <c r="H89" s="198"/>
    </row>
    <row r="90">
      <c r="A90" s="294" t="s">
        <v>481</v>
      </c>
      <c r="B90" s="197"/>
      <c r="C90" s="197"/>
      <c r="D90" s="197"/>
      <c r="E90" s="198"/>
      <c r="F90" s="296"/>
      <c r="G90" s="197"/>
      <c r="H90" s="198"/>
    </row>
    <row r="91">
      <c r="A91" s="294" t="s">
        <v>482</v>
      </c>
      <c r="B91" s="197"/>
      <c r="C91" s="197"/>
      <c r="D91" s="197"/>
      <c r="E91" s="197"/>
      <c r="F91" s="198"/>
    </row>
    <row r="92">
      <c r="B92" s="192"/>
      <c r="D92" s="193"/>
      <c r="F92" s="193"/>
    </row>
    <row r="93">
      <c r="B93" s="192"/>
      <c r="D93" s="193"/>
      <c r="F93" s="193"/>
    </row>
    <row r="94">
      <c r="B94" s="192"/>
      <c r="D94" s="193"/>
      <c r="F94" s="193"/>
    </row>
    <row r="95">
      <c r="B95" s="192"/>
      <c r="D95" s="193"/>
      <c r="F95" s="193"/>
    </row>
    <row r="96">
      <c r="B96" s="192"/>
      <c r="D96" s="193"/>
      <c r="F96" s="193"/>
    </row>
    <row r="97">
      <c r="B97" s="192"/>
      <c r="D97" s="193"/>
      <c r="F97" s="193"/>
    </row>
    <row r="98">
      <c r="B98" s="192"/>
      <c r="D98" s="193"/>
      <c r="F98" s="193"/>
    </row>
    <row r="99">
      <c r="B99" s="192"/>
      <c r="D99" s="193"/>
      <c r="F99" s="193"/>
    </row>
    <row r="100">
      <c r="B100" s="192"/>
      <c r="D100" s="193"/>
      <c r="F100" s="193"/>
    </row>
    <row r="101">
      <c r="B101" s="192"/>
      <c r="D101" s="193"/>
      <c r="F101" s="193"/>
    </row>
    <row r="102">
      <c r="B102" s="192"/>
      <c r="D102" s="193"/>
      <c r="F102" s="193"/>
    </row>
    <row r="103">
      <c r="B103" s="192"/>
      <c r="D103" s="193"/>
      <c r="F103" s="193"/>
    </row>
    <row r="104">
      <c r="B104" s="192"/>
      <c r="D104" s="193"/>
      <c r="F104" s="193"/>
    </row>
    <row r="105">
      <c r="B105" s="192"/>
      <c r="D105" s="193"/>
      <c r="F105" s="193"/>
    </row>
    <row r="106">
      <c r="B106" s="192"/>
      <c r="D106" s="193"/>
      <c r="F106" s="193"/>
    </row>
    <row r="107">
      <c r="B107" s="192"/>
      <c r="D107" s="193"/>
      <c r="F107" s="193"/>
    </row>
    <row r="108">
      <c r="B108" s="192"/>
      <c r="D108" s="193"/>
      <c r="F108" s="193"/>
    </row>
    <row r="109">
      <c r="B109" s="192"/>
      <c r="D109" s="193"/>
      <c r="F109" s="193"/>
    </row>
    <row r="110">
      <c r="B110" s="192"/>
      <c r="D110" s="193"/>
      <c r="F110" s="193"/>
    </row>
    <row r="111">
      <c r="B111" s="192"/>
      <c r="D111" s="193"/>
      <c r="F111" s="193"/>
    </row>
    <row r="112">
      <c r="B112" s="192"/>
      <c r="D112" s="193"/>
      <c r="F112" s="193"/>
    </row>
    <row r="113">
      <c r="B113" s="192"/>
      <c r="D113" s="193"/>
      <c r="F113" s="193"/>
    </row>
    <row r="114">
      <c r="B114" s="192"/>
      <c r="D114" s="193"/>
      <c r="F114" s="193"/>
    </row>
    <row r="115">
      <c r="B115" s="192"/>
      <c r="D115" s="193"/>
      <c r="F115" s="193"/>
    </row>
    <row r="116">
      <c r="B116" s="192"/>
      <c r="D116" s="193"/>
      <c r="F116" s="193"/>
    </row>
    <row r="117">
      <c r="B117" s="192"/>
      <c r="D117" s="193"/>
      <c r="F117" s="193"/>
    </row>
    <row r="118">
      <c r="B118" s="192"/>
      <c r="D118" s="193"/>
      <c r="F118" s="193"/>
    </row>
    <row r="119">
      <c r="B119" s="192"/>
      <c r="D119" s="193"/>
      <c r="F119" s="193"/>
    </row>
    <row r="120">
      <c r="B120" s="192"/>
      <c r="D120" s="193"/>
      <c r="F120" s="193"/>
    </row>
    <row r="121">
      <c r="B121" s="192"/>
      <c r="D121" s="193"/>
      <c r="F121" s="193"/>
    </row>
    <row r="122">
      <c r="B122" s="192"/>
      <c r="D122" s="193"/>
      <c r="F122" s="193"/>
    </row>
    <row r="123">
      <c r="B123" s="192"/>
      <c r="D123" s="193"/>
      <c r="F123" s="193"/>
    </row>
    <row r="124">
      <c r="B124" s="192"/>
      <c r="D124" s="193"/>
      <c r="F124" s="193"/>
    </row>
    <row r="125">
      <c r="B125" s="192"/>
      <c r="D125" s="193"/>
      <c r="F125" s="193"/>
    </row>
    <row r="126">
      <c r="B126" s="192"/>
      <c r="D126" s="193"/>
      <c r="F126" s="193"/>
    </row>
    <row r="127">
      <c r="B127" s="192"/>
      <c r="D127" s="193"/>
      <c r="F127" s="193"/>
    </row>
    <row r="128">
      <c r="B128" s="192"/>
      <c r="D128" s="193"/>
      <c r="F128" s="193"/>
    </row>
    <row r="129">
      <c r="B129" s="192"/>
      <c r="D129" s="193"/>
      <c r="F129" s="193"/>
    </row>
    <row r="130">
      <c r="B130" s="192"/>
      <c r="D130" s="193"/>
      <c r="F130" s="193"/>
    </row>
    <row r="131">
      <c r="B131" s="192"/>
      <c r="D131" s="193"/>
      <c r="F131" s="193"/>
    </row>
    <row r="132">
      <c r="B132" s="192"/>
      <c r="D132" s="193"/>
      <c r="F132" s="193"/>
    </row>
    <row r="133">
      <c r="B133" s="192"/>
      <c r="D133" s="193"/>
      <c r="F133" s="193"/>
    </row>
    <row r="134">
      <c r="B134" s="192"/>
      <c r="D134" s="193"/>
      <c r="F134" s="193"/>
    </row>
    <row r="135">
      <c r="B135" s="192"/>
      <c r="D135" s="193"/>
      <c r="F135" s="193"/>
    </row>
    <row r="136">
      <c r="B136" s="192"/>
      <c r="D136" s="193"/>
      <c r="F136" s="193"/>
    </row>
    <row r="137">
      <c r="B137" s="192"/>
      <c r="D137" s="193"/>
      <c r="F137" s="193"/>
    </row>
    <row r="138">
      <c r="B138" s="192"/>
      <c r="D138" s="193"/>
      <c r="F138" s="193"/>
    </row>
    <row r="139">
      <c r="B139" s="192"/>
      <c r="D139" s="193"/>
      <c r="F139" s="193"/>
    </row>
    <row r="140">
      <c r="B140" s="192"/>
      <c r="D140" s="193"/>
      <c r="F140" s="193"/>
    </row>
    <row r="141">
      <c r="B141" s="192"/>
      <c r="D141" s="193"/>
      <c r="F141" s="193"/>
    </row>
    <row r="142">
      <c r="B142" s="192"/>
      <c r="D142" s="193"/>
      <c r="F142" s="193"/>
    </row>
    <row r="143">
      <c r="B143" s="192"/>
      <c r="D143" s="193"/>
      <c r="F143" s="193"/>
    </row>
    <row r="144">
      <c r="B144" s="192"/>
      <c r="D144" s="193"/>
      <c r="F144" s="193"/>
    </row>
    <row r="145">
      <c r="B145" s="192"/>
      <c r="D145" s="193"/>
      <c r="F145" s="193"/>
    </row>
    <row r="146">
      <c r="B146" s="192"/>
      <c r="D146" s="193"/>
      <c r="F146" s="193"/>
    </row>
    <row r="147">
      <c r="B147" s="192"/>
      <c r="D147" s="193"/>
      <c r="F147" s="193"/>
    </row>
    <row r="148">
      <c r="B148" s="192"/>
      <c r="D148" s="193"/>
      <c r="F148" s="193"/>
    </row>
    <row r="149">
      <c r="B149" s="192"/>
      <c r="D149" s="193"/>
      <c r="F149" s="193"/>
    </row>
    <row r="150">
      <c r="B150" s="192"/>
      <c r="D150" s="193"/>
      <c r="F150" s="193"/>
    </row>
    <row r="151">
      <c r="B151" s="192"/>
      <c r="D151" s="193"/>
      <c r="F151" s="193"/>
    </row>
    <row r="152">
      <c r="B152" s="192"/>
      <c r="D152" s="193"/>
      <c r="F152" s="193"/>
    </row>
    <row r="153">
      <c r="B153" s="192"/>
      <c r="D153" s="193"/>
      <c r="F153" s="193"/>
    </row>
    <row r="154">
      <c r="B154" s="192"/>
      <c r="D154" s="193"/>
      <c r="F154" s="193"/>
    </row>
    <row r="155">
      <c r="B155" s="192"/>
      <c r="D155" s="193"/>
      <c r="F155" s="193"/>
    </row>
    <row r="156">
      <c r="B156" s="192"/>
      <c r="D156" s="193"/>
      <c r="F156" s="193"/>
    </row>
    <row r="157">
      <c r="B157" s="192"/>
      <c r="D157" s="193"/>
      <c r="F157" s="193"/>
    </row>
    <row r="158">
      <c r="B158" s="192"/>
      <c r="D158" s="193"/>
      <c r="F158" s="193"/>
    </row>
    <row r="159">
      <c r="B159" s="192"/>
      <c r="D159" s="193"/>
      <c r="F159" s="193"/>
    </row>
    <row r="160">
      <c r="B160" s="192"/>
      <c r="D160" s="193"/>
      <c r="F160" s="193"/>
    </row>
    <row r="161">
      <c r="B161" s="192"/>
      <c r="D161" s="193"/>
      <c r="F161" s="193"/>
    </row>
    <row r="162">
      <c r="B162" s="192"/>
      <c r="D162" s="193"/>
      <c r="F162" s="193"/>
    </row>
    <row r="163">
      <c r="B163" s="192"/>
      <c r="D163" s="193"/>
      <c r="F163" s="193"/>
    </row>
    <row r="164">
      <c r="B164" s="192"/>
      <c r="D164" s="193"/>
      <c r="F164" s="193"/>
    </row>
    <row r="165">
      <c r="B165" s="192"/>
      <c r="D165" s="193"/>
      <c r="F165" s="193"/>
    </row>
    <row r="166">
      <c r="B166" s="192"/>
      <c r="D166" s="193"/>
      <c r="F166" s="193"/>
    </row>
    <row r="167">
      <c r="B167" s="192"/>
      <c r="D167" s="193"/>
      <c r="F167" s="193"/>
    </row>
    <row r="168">
      <c r="B168" s="192"/>
      <c r="D168" s="193"/>
      <c r="F168" s="193"/>
    </row>
    <row r="169">
      <c r="B169" s="192"/>
      <c r="D169" s="193"/>
      <c r="F169" s="193"/>
    </row>
    <row r="170">
      <c r="B170" s="192"/>
      <c r="D170" s="193"/>
      <c r="F170" s="193"/>
    </row>
    <row r="171">
      <c r="B171" s="192"/>
      <c r="D171" s="193"/>
      <c r="F171" s="193"/>
    </row>
    <row r="172">
      <c r="B172" s="192"/>
      <c r="D172" s="193"/>
      <c r="F172" s="193"/>
    </row>
    <row r="173">
      <c r="B173" s="192"/>
      <c r="D173" s="193"/>
      <c r="F173" s="193"/>
    </row>
    <row r="174">
      <c r="B174" s="192"/>
      <c r="D174" s="193"/>
      <c r="F174" s="193"/>
    </row>
    <row r="175">
      <c r="B175" s="192"/>
      <c r="D175" s="193"/>
      <c r="F175" s="193"/>
    </row>
    <row r="176">
      <c r="B176" s="192"/>
      <c r="D176" s="193"/>
      <c r="F176" s="193"/>
    </row>
    <row r="177">
      <c r="B177" s="192"/>
      <c r="D177" s="193"/>
      <c r="F177" s="193"/>
    </row>
    <row r="178">
      <c r="B178" s="192"/>
      <c r="D178" s="193"/>
      <c r="F178" s="193"/>
    </row>
    <row r="179">
      <c r="B179" s="192"/>
      <c r="D179" s="193"/>
      <c r="F179" s="193"/>
    </row>
    <row r="180">
      <c r="B180" s="192"/>
      <c r="D180" s="193"/>
      <c r="F180" s="193"/>
    </row>
    <row r="181">
      <c r="B181" s="192"/>
      <c r="D181" s="193"/>
      <c r="F181" s="193"/>
    </row>
    <row r="182">
      <c r="B182" s="192"/>
      <c r="D182" s="193"/>
      <c r="F182" s="193"/>
    </row>
    <row r="183">
      <c r="B183" s="192"/>
      <c r="D183" s="193"/>
      <c r="F183" s="193"/>
    </row>
    <row r="184">
      <c r="B184" s="192"/>
      <c r="D184" s="193"/>
      <c r="F184" s="193"/>
    </row>
    <row r="185">
      <c r="B185" s="192"/>
      <c r="D185" s="193"/>
      <c r="F185" s="193"/>
    </row>
    <row r="186">
      <c r="B186" s="192"/>
      <c r="D186" s="193"/>
      <c r="F186" s="193"/>
    </row>
    <row r="187">
      <c r="B187" s="192"/>
      <c r="D187" s="193"/>
      <c r="F187" s="193"/>
    </row>
    <row r="188">
      <c r="B188" s="192"/>
      <c r="D188" s="193"/>
      <c r="F188" s="193"/>
    </row>
    <row r="189">
      <c r="B189" s="192"/>
      <c r="D189" s="193"/>
      <c r="F189" s="193"/>
    </row>
    <row r="190">
      <c r="B190" s="192"/>
      <c r="D190" s="193"/>
      <c r="F190" s="193"/>
    </row>
    <row r="191">
      <c r="B191" s="192"/>
      <c r="D191" s="193"/>
      <c r="F191" s="193"/>
    </row>
    <row r="192">
      <c r="B192" s="192"/>
      <c r="D192" s="193"/>
      <c r="F192" s="193"/>
    </row>
    <row r="193">
      <c r="B193" s="192"/>
      <c r="D193" s="193"/>
      <c r="F193" s="193"/>
    </row>
    <row r="194">
      <c r="B194" s="192"/>
      <c r="D194" s="193"/>
      <c r="F194" s="193"/>
    </row>
    <row r="195">
      <c r="B195" s="192"/>
      <c r="D195" s="193"/>
      <c r="F195" s="193"/>
    </row>
    <row r="196">
      <c r="B196" s="192"/>
      <c r="D196" s="193"/>
      <c r="F196" s="193"/>
    </row>
    <row r="197">
      <c r="B197" s="192"/>
      <c r="D197" s="193"/>
      <c r="F197" s="193"/>
    </row>
    <row r="198">
      <c r="B198" s="192"/>
      <c r="D198" s="193"/>
      <c r="F198" s="193"/>
    </row>
    <row r="199">
      <c r="B199" s="192"/>
      <c r="D199" s="193"/>
      <c r="F199" s="193"/>
    </row>
    <row r="200">
      <c r="B200" s="192"/>
      <c r="D200" s="193"/>
      <c r="F200" s="193"/>
    </row>
    <row r="201">
      <c r="B201" s="192"/>
      <c r="D201" s="193"/>
      <c r="F201" s="193"/>
    </row>
    <row r="202">
      <c r="B202" s="192"/>
      <c r="D202" s="193"/>
      <c r="F202" s="193"/>
    </row>
    <row r="203">
      <c r="B203" s="192"/>
      <c r="D203" s="193"/>
      <c r="F203" s="193"/>
    </row>
    <row r="204">
      <c r="B204" s="192"/>
      <c r="D204" s="193"/>
      <c r="F204" s="193"/>
    </row>
    <row r="205">
      <c r="B205" s="192"/>
      <c r="D205" s="193"/>
      <c r="F205" s="193"/>
    </row>
    <row r="206">
      <c r="B206" s="192"/>
      <c r="D206" s="193"/>
      <c r="F206" s="193"/>
    </row>
    <row r="207">
      <c r="B207" s="192"/>
      <c r="D207" s="193"/>
      <c r="F207" s="193"/>
    </row>
    <row r="208">
      <c r="B208" s="192"/>
      <c r="D208" s="193"/>
      <c r="F208" s="193"/>
    </row>
    <row r="209">
      <c r="B209" s="192"/>
      <c r="D209" s="193"/>
      <c r="F209" s="193"/>
    </row>
    <row r="210">
      <c r="B210" s="192"/>
      <c r="D210" s="193"/>
      <c r="F210" s="193"/>
    </row>
    <row r="211">
      <c r="B211" s="192"/>
      <c r="D211" s="193"/>
      <c r="F211" s="193"/>
    </row>
    <row r="212">
      <c r="B212" s="192"/>
      <c r="D212" s="193"/>
      <c r="F212" s="193"/>
    </row>
    <row r="213">
      <c r="B213" s="192"/>
      <c r="D213" s="193"/>
      <c r="F213" s="193"/>
    </row>
    <row r="214">
      <c r="B214" s="192"/>
      <c r="D214" s="193"/>
      <c r="F214" s="193"/>
    </row>
    <row r="215">
      <c r="B215" s="192"/>
      <c r="D215" s="193"/>
      <c r="F215" s="193"/>
    </row>
    <row r="216">
      <c r="B216" s="192"/>
      <c r="D216" s="193"/>
      <c r="F216" s="193"/>
    </row>
    <row r="217">
      <c r="B217" s="192"/>
      <c r="D217" s="193"/>
      <c r="F217" s="193"/>
    </row>
    <row r="218">
      <c r="B218" s="192"/>
      <c r="D218" s="193"/>
      <c r="F218" s="193"/>
    </row>
    <row r="219">
      <c r="B219" s="192"/>
      <c r="D219" s="193"/>
      <c r="F219" s="193"/>
    </row>
    <row r="220">
      <c r="B220" s="192"/>
      <c r="D220" s="193"/>
      <c r="F220" s="193"/>
    </row>
    <row r="221">
      <c r="B221" s="192"/>
      <c r="D221" s="193"/>
      <c r="F221" s="193"/>
    </row>
    <row r="222">
      <c r="B222" s="192"/>
      <c r="D222" s="193"/>
      <c r="F222" s="193"/>
    </row>
    <row r="223">
      <c r="B223" s="192"/>
      <c r="D223" s="193"/>
      <c r="F223" s="193"/>
    </row>
    <row r="224">
      <c r="B224" s="192"/>
      <c r="D224" s="193"/>
      <c r="F224" s="193"/>
    </row>
    <row r="225">
      <c r="B225" s="192"/>
      <c r="D225" s="193"/>
      <c r="F225" s="193"/>
    </row>
    <row r="226">
      <c r="B226" s="192"/>
      <c r="D226" s="193"/>
      <c r="F226" s="193"/>
    </row>
    <row r="227">
      <c r="B227" s="192"/>
      <c r="D227" s="193"/>
      <c r="F227" s="193"/>
    </row>
    <row r="228">
      <c r="B228" s="192"/>
      <c r="D228" s="193"/>
      <c r="F228" s="193"/>
    </row>
    <row r="229">
      <c r="B229" s="192"/>
      <c r="D229" s="193"/>
      <c r="F229" s="193"/>
    </row>
    <row r="230">
      <c r="B230" s="192"/>
      <c r="D230" s="193"/>
      <c r="F230" s="193"/>
    </row>
    <row r="231">
      <c r="B231" s="192"/>
      <c r="D231" s="193"/>
      <c r="F231" s="193"/>
    </row>
    <row r="232">
      <c r="B232" s="192"/>
      <c r="D232" s="193"/>
      <c r="F232" s="193"/>
    </row>
    <row r="233">
      <c r="B233" s="192"/>
      <c r="D233" s="193"/>
      <c r="F233" s="193"/>
    </row>
    <row r="234">
      <c r="B234" s="192"/>
      <c r="D234" s="193"/>
      <c r="F234" s="193"/>
    </row>
    <row r="235">
      <c r="B235" s="192"/>
      <c r="D235" s="193"/>
      <c r="F235" s="193"/>
    </row>
    <row r="236">
      <c r="B236" s="192"/>
      <c r="D236" s="193"/>
      <c r="F236" s="193"/>
    </row>
    <row r="237">
      <c r="B237" s="192"/>
      <c r="D237" s="193"/>
      <c r="F237" s="193"/>
    </row>
    <row r="238">
      <c r="B238" s="192"/>
      <c r="D238" s="193"/>
      <c r="F238" s="193"/>
    </row>
    <row r="239">
      <c r="B239" s="192"/>
      <c r="D239" s="193"/>
      <c r="F239" s="193"/>
    </row>
    <row r="240">
      <c r="B240" s="192"/>
      <c r="D240" s="193"/>
      <c r="F240" s="193"/>
    </row>
    <row r="241">
      <c r="B241" s="192"/>
      <c r="D241" s="193"/>
      <c r="F241" s="193"/>
    </row>
    <row r="242">
      <c r="B242" s="192"/>
      <c r="D242" s="193"/>
      <c r="F242" s="193"/>
    </row>
    <row r="243">
      <c r="B243" s="192"/>
      <c r="D243" s="193"/>
      <c r="F243" s="193"/>
    </row>
    <row r="244">
      <c r="B244" s="192"/>
      <c r="D244" s="193"/>
      <c r="F244" s="193"/>
    </row>
    <row r="245">
      <c r="B245" s="192"/>
      <c r="D245" s="193"/>
      <c r="F245" s="193"/>
    </row>
    <row r="246">
      <c r="B246" s="192"/>
      <c r="D246" s="193"/>
      <c r="F246" s="193"/>
    </row>
    <row r="247">
      <c r="B247" s="192"/>
      <c r="D247" s="193"/>
      <c r="F247" s="193"/>
    </row>
    <row r="248">
      <c r="B248" s="192"/>
      <c r="D248" s="193"/>
      <c r="F248" s="193"/>
    </row>
    <row r="249">
      <c r="B249" s="192"/>
      <c r="D249" s="193"/>
      <c r="F249" s="193"/>
    </row>
    <row r="250">
      <c r="B250" s="192"/>
      <c r="D250" s="193"/>
      <c r="F250" s="193"/>
    </row>
    <row r="251">
      <c r="B251" s="192"/>
      <c r="D251" s="193"/>
      <c r="F251" s="193"/>
    </row>
    <row r="252">
      <c r="B252" s="192"/>
      <c r="D252" s="193"/>
      <c r="F252" s="193"/>
    </row>
    <row r="253">
      <c r="B253" s="192"/>
      <c r="D253" s="193"/>
      <c r="F253" s="193"/>
    </row>
    <row r="254">
      <c r="B254" s="192"/>
      <c r="D254" s="193"/>
      <c r="F254" s="193"/>
    </row>
    <row r="255">
      <c r="B255" s="192"/>
      <c r="D255" s="193"/>
      <c r="F255" s="193"/>
    </row>
    <row r="256">
      <c r="B256" s="192"/>
      <c r="D256" s="193"/>
      <c r="F256" s="193"/>
    </row>
    <row r="257">
      <c r="B257" s="192"/>
      <c r="D257" s="193"/>
      <c r="F257" s="193"/>
    </row>
    <row r="258">
      <c r="B258" s="192"/>
      <c r="D258" s="193"/>
      <c r="F258" s="193"/>
    </row>
    <row r="259">
      <c r="B259" s="192"/>
      <c r="D259" s="193"/>
      <c r="F259" s="193"/>
    </row>
    <row r="260">
      <c r="B260" s="192"/>
      <c r="D260" s="193"/>
      <c r="F260" s="193"/>
    </row>
    <row r="261">
      <c r="B261" s="192"/>
      <c r="D261" s="193"/>
      <c r="F261" s="193"/>
    </row>
    <row r="262">
      <c r="B262" s="192"/>
      <c r="D262" s="193"/>
      <c r="F262" s="193"/>
    </row>
    <row r="263">
      <c r="B263" s="192"/>
      <c r="D263" s="193"/>
      <c r="F263" s="193"/>
    </row>
    <row r="264">
      <c r="B264" s="192"/>
      <c r="D264" s="193"/>
      <c r="F264" s="193"/>
    </row>
    <row r="265">
      <c r="B265" s="192"/>
      <c r="D265" s="193"/>
      <c r="F265" s="193"/>
    </row>
    <row r="266">
      <c r="B266" s="192"/>
      <c r="D266" s="193"/>
      <c r="F266" s="193"/>
    </row>
    <row r="267">
      <c r="B267" s="192"/>
      <c r="D267" s="193"/>
      <c r="F267" s="193"/>
    </row>
    <row r="268">
      <c r="B268" s="192"/>
      <c r="D268" s="193"/>
      <c r="F268" s="193"/>
    </row>
    <row r="269">
      <c r="B269" s="192"/>
      <c r="D269" s="193"/>
      <c r="F269" s="193"/>
    </row>
    <row r="270">
      <c r="B270" s="192"/>
      <c r="D270" s="193"/>
      <c r="F270" s="193"/>
    </row>
    <row r="271">
      <c r="B271" s="192"/>
      <c r="D271" s="193"/>
      <c r="F271" s="193"/>
    </row>
    <row r="272">
      <c r="B272" s="192"/>
      <c r="D272" s="193"/>
      <c r="F272" s="193"/>
    </row>
    <row r="273">
      <c r="B273" s="192"/>
      <c r="D273" s="193"/>
      <c r="F273" s="193"/>
    </row>
    <row r="274">
      <c r="B274" s="192"/>
      <c r="D274" s="193"/>
      <c r="F274" s="193"/>
    </row>
    <row r="275">
      <c r="B275" s="192"/>
      <c r="D275" s="193"/>
      <c r="F275" s="193"/>
    </row>
    <row r="276">
      <c r="B276" s="192"/>
      <c r="D276" s="193"/>
      <c r="F276" s="193"/>
    </row>
    <row r="277">
      <c r="B277" s="192"/>
      <c r="D277" s="193"/>
      <c r="F277" s="193"/>
    </row>
    <row r="278">
      <c r="B278" s="192"/>
      <c r="D278" s="193"/>
      <c r="F278" s="193"/>
    </row>
    <row r="279">
      <c r="B279" s="192"/>
      <c r="D279" s="193"/>
      <c r="F279" s="193"/>
    </row>
    <row r="280">
      <c r="B280" s="192"/>
      <c r="D280" s="193"/>
      <c r="F280" s="193"/>
    </row>
    <row r="281">
      <c r="B281" s="192"/>
      <c r="D281" s="193"/>
      <c r="F281" s="193"/>
    </row>
    <row r="282">
      <c r="B282" s="192"/>
      <c r="D282" s="193"/>
      <c r="F282" s="193"/>
    </row>
    <row r="283">
      <c r="B283" s="192"/>
      <c r="D283" s="193"/>
      <c r="F283" s="193"/>
    </row>
    <row r="284">
      <c r="B284" s="192"/>
      <c r="D284" s="193"/>
      <c r="F284" s="193"/>
    </row>
    <row r="285">
      <c r="B285" s="192"/>
      <c r="D285" s="193"/>
      <c r="F285" s="193"/>
    </row>
    <row r="286">
      <c r="B286" s="192"/>
      <c r="D286" s="193"/>
      <c r="F286" s="193"/>
    </row>
    <row r="287">
      <c r="B287" s="192"/>
      <c r="D287" s="193"/>
      <c r="F287" s="193"/>
    </row>
    <row r="288">
      <c r="B288" s="192"/>
      <c r="D288" s="193"/>
      <c r="F288" s="193"/>
    </row>
    <row r="289">
      <c r="B289" s="192"/>
      <c r="D289" s="193"/>
      <c r="F289" s="193"/>
    </row>
    <row r="290">
      <c r="B290" s="192"/>
      <c r="D290" s="193"/>
      <c r="F290" s="193"/>
    </row>
    <row r="291">
      <c r="B291" s="192"/>
      <c r="D291" s="193"/>
      <c r="F291" s="193"/>
    </row>
    <row r="292">
      <c r="B292" s="192"/>
      <c r="D292" s="193"/>
      <c r="F292" s="193"/>
    </row>
    <row r="293">
      <c r="B293" s="192"/>
      <c r="D293" s="193"/>
      <c r="F293" s="193"/>
    </row>
    <row r="294">
      <c r="B294" s="192"/>
      <c r="D294" s="193"/>
      <c r="F294" s="193"/>
    </row>
    <row r="295">
      <c r="B295" s="192"/>
      <c r="D295" s="193"/>
      <c r="F295" s="193"/>
    </row>
    <row r="296">
      <c r="B296" s="192"/>
      <c r="D296" s="193"/>
      <c r="F296" s="193"/>
    </row>
    <row r="297">
      <c r="B297" s="192"/>
      <c r="D297" s="193"/>
      <c r="F297" s="193"/>
    </row>
    <row r="298">
      <c r="B298" s="192"/>
      <c r="D298" s="193"/>
      <c r="F298" s="193"/>
    </row>
    <row r="299">
      <c r="B299" s="192"/>
      <c r="D299" s="193"/>
      <c r="F299" s="193"/>
    </row>
    <row r="300">
      <c r="B300" s="192"/>
      <c r="D300" s="193"/>
      <c r="F300" s="193"/>
    </row>
    <row r="301">
      <c r="B301" s="192"/>
      <c r="D301" s="193"/>
      <c r="F301" s="193"/>
    </row>
    <row r="302">
      <c r="B302" s="192"/>
      <c r="D302" s="193"/>
      <c r="F302" s="193"/>
    </row>
    <row r="303">
      <c r="B303" s="192"/>
      <c r="D303" s="193"/>
      <c r="F303" s="193"/>
    </row>
    <row r="304">
      <c r="B304" s="192"/>
      <c r="D304" s="193"/>
      <c r="F304" s="193"/>
    </row>
    <row r="305">
      <c r="B305" s="192"/>
      <c r="D305" s="193"/>
      <c r="F305" s="193"/>
    </row>
    <row r="306">
      <c r="B306" s="192"/>
      <c r="D306" s="193"/>
      <c r="F306" s="193"/>
    </row>
    <row r="307">
      <c r="B307" s="192"/>
      <c r="D307" s="193"/>
      <c r="F307" s="193"/>
    </row>
    <row r="308">
      <c r="B308" s="192"/>
      <c r="D308" s="193"/>
      <c r="F308" s="193"/>
    </row>
    <row r="309">
      <c r="B309" s="192"/>
      <c r="D309" s="193"/>
      <c r="F309" s="193"/>
    </row>
    <row r="310">
      <c r="B310" s="192"/>
      <c r="D310" s="193"/>
      <c r="F310" s="193"/>
    </row>
    <row r="311">
      <c r="B311" s="192"/>
      <c r="D311" s="193"/>
      <c r="F311" s="193"/>
    </row>
    <row r="312">
      <c r="B312" s="192"/>
      <c r="D312" s="193"/>
      <c r="F312" s="193"/>
    </row>
    <row r="313">
      <c r="B313" s="192"/>
      <c r="D313" s="193"/>
      <c r="F313" s="193"/>
    </row>
    <row r="314">
      <c r="B314" s="192"/>
      <c r="D314" s="193"/>
      <c r="F314" s="193"/>
    </row>
    <row r="315">
      <c r="B315" s="192"/>
      <c r="D315" s="193"/>
      <c r="F315" s="193"/>
    </row>
    <row r="316">
      <c r="B316" s="192"/>
      <c r="D316" s="193"/>
      <c r="F316" s="193"/>
    </row>
    <row r="317">
      <c r="B317" s="192"/>
      <c r="D317" s="193"/>
      <c r="F317" s="193"/>
    </row>
    <row r="318">
      <c r="B318" s="192"/>
      <c r="D318" s="193"/>
      <c r="F318" s="193"/>
    </row>
    <row r="319">
      <c r="B319" s="192"/>
      <c r="D319" s="193"/>
      <c r="F319" s="193"/>
    </row>
    <row r="320">
      <c r="B320" s="192"/>
      <c r="D320" s="193"/>
      <c r="F320" s="193"/>
    </row>
    <row r="321">
      <c r="B321" s="192"/>
      <c r="D321" s="193"/>
      <c r="F321" s="193"/>
    </row>
    <row r="322">
      <c r="B322" s="192"/>
      <c r="D322" s="193"/>
      <c r="F322" s="193"/>
    </row>
    <row r="323">
      <c r="B323" s="192"/>
      <c r="D323" s="193"/>
      <c r="F323" s="193"/>
    </row>
    <row r="324">
      <c r="B324" s="192"/>
      <c r="D324" s="193"/>
      <c r="F324" s="193"/>
    </row>
    <row r="325">
      <c r="B325" s="192"/>
      <c r="D325" s="193"/>
      <c r="F325" s="193"/>
    </row>
    <row r="326">
      <c r="B326" s="192"/>
      <c r="D326" s="193"/>
      <c r="F326" s="193"/>
    </row>
    <row r="327">
      <c r="B327" s="192"/>
      <c r="D327" s="193"/>
      <c r="F327" s="193"/>
    </row>
    <row r="328">
      <c r="B328" s="192"/>
      <c r="D328" s="193"/>
      <c r="F328" s="193"/>
    </row>
    <row r="329">
      <c r="B329" s="192"/>
      <c r="D329" s="193"/>
      <c r="F329" s="193"/>
    </row>
    <row r="330">
      <c r="B330" s="192"/>
      <c r="D330" s="193"/>
      <c r="F330" s="193"/>
    </row>
    <row r="331">
      <c r="B331" s="192"/>
      <c r="D331" s="193"/>
      <c r="F331" s="193"/>
    </row>
    <row r="332">
      <c r="B332" s="192"/>
      <c r="D332" s="193"/>
      <c r="F332" s="193"/>
    </row>
    <row r="333">
      <c r="B333" s="192"/>
      <c r="D333" s="193"/>
      <c r="F333" s="193"/>
    </row>
    <row r="334">
      <c r="B334" s="192"/>
      <c r="D334" s="193"/>
      <c r="F334" s="193"/>
    </row>
    <row r="335">
      <c r="B335" s="192"/>
      <c r="D335" s="193"/>
      <c r="F335" s="193"/>
    </row>
    <row r="336">
      <c r="B336" s="192"/>
      <c r="D336" s="193"/>
      <c r="F336" s="193"/>
    </row>
    <row r="337">
      <c r="B337" s="192"/>
      <c r="D337" s="193"/>
      <c r="F337" s="193"/>
    </row>
    <row r="338">
      <c r="B338" s="192"/>
      <c r="D338" s="193"/>
      <c r="F338" s="193"/>
    </row>
    <row r="339">
      <c r="B339" s="192"/>
      <c r="D339" s="193"/>
      <c r="F339" s="193"/>
    </row>
    <row r="340">
      <c r="B340" s="192"/>
      <c r="D340" s="193"/>
      <c r="F340" s="193"/>
    </row>
    <row r="341">
      <c r="B341" s="192"/>
      <c r="D341" s="193"/>
      <c r="F341" s="193"/>
    </row>
    <row r="342">
      <c r="B342" s="192"/>
      <c r="D342" s="193"/>
      <c r="F342" s="193"/>
    </row>
    <row r="343">
      <c r="B343" s="192"/>
      <c r="D343" s="193"/>
      <c r="F343" s="193"/>
    </row>
    <row r="344">
      <c r="B344" s="192"/>
      <c r="D344" s="193"/>
      <c r="F344" s="193"/>
    </row>
    <row r="345">
      <c r="B345" s="192"/>
      <c r="D345" s="193"/>
      <c r="F345" s="193"/>
    </row>
    <row r="346">
      <c r="B346" s="192"/>
      <c r="D346" s="193"/>
      <c r="F346" s="193"/>
    </row>
    <row r="347">
      <c r="B347" s="192"/>
      <c r="D347" s="193"/>
      <c r="F347" s="193"/>
    </row>
    <row r="348">
      <c r="B348" s="192"/>
      <c r="D348" s="193"/>
      <c r="F348" s="193"/>
    </row>
    <row r="349">
      <c r="B349" s="192"/>
      <c r="D349" s="193"/>
      <c r="F349" s="193"/>
    </row>
    <row r="350">
      <c r="B350" s="192"/>
      <c r="D350" s="193"/>
      <c r="F350" s="193"/>
    </row>
    <row r="351">
      <c r="B351" s="192"/>
      <c r="D351" s="193"/>
      <c r="F351" s="193"/>
    </row>
    <row r="352">
      <c r="B352" s="192"/>
      <c r="D352" s="193"/>
      <c r="F352" s="193"/>
    </row>
    <row r="353">
      <c r="B353" s="192"/>
      <c r="D353" s="193"/>
      <c r="F353" s="193"/>
    </row>
    <row r="354">
      <c r="B354" s="192"/>
      <c r="D354" s="193"/>
      <c r="F354" s="193"/>
    </row>
    <row r="355">
      <c r="B355" s="192"/>
      <c r="D355" s="193"/>
      <c r="F355" s="193"/>
    </row>
    <row r="356">
      <c r="B356" s="192"/>
      <c r="D356" s="193"/>
      <c r="F356" s="193"/>
    </row>
    <row r="357">
      <c r="B357" s="192"/>
      <c r="D357" s="193"/>
      <c r="F357" s="193"/>
    </row>
    <row r="358">
      <c r="B358" s="192"/>
      <c r="D358" s="193"/>
      <c r="F358" s="193"/>
    </row>
    <row r="359">
      <c r="B359" s="192"/>
      <c r="D359" s="193"/>
      <c r="F359" s="193"/>
    </row>
    <row r="360">
      <c r="B360" s="192"/>
      <c r="D360" s="193"/>
      <c r="F360" s="193"/>
    </row>
    <row r="361">
      <c r="B361" s="192"/>
      <c r="D361" s="193"/>
      <c r="F361" s="193"/>
    </row>
    <row r="362">
      <c r="B362" s="192"/>
      <c r="D362" s="193"/>
      <c r="F362" s="193"/>
    </row>
    <row r="363">
      <c r="B363" s="192"/>
      <c r="D363" s="193"/>
      <c r="F363" s="193"/>
    </row>
    <row r="364">
      <c r="B364" s="192"/>
      <c r="D364" s="193"/>
      <c r="F364" s="193"/>
    </row>
    <row r="365">
      <c r="B365" s="192"/>
      <c r="D365" s="193"/>
      <c r="F365" s="193"/>
    </row>
    <row r="366">
      <c r="B366" s="192"/>
      <c r="D366" s="193"/>
      <c r="F366" s="193"/>
    </row>
    <row r="367">
      <c r="B367" s="192"/>
      <c r="D367" s="193"/>
      <c r="F367" s="193"/>
    </row>
    <row r="368">
      <c r="B368" s="192"/>
      <c r="D368" s="193"/>
      <c r="F368" s="193"/>
    </row>
    <row r="369">
      <c r="B369" s="192"/>
      <c r="D369" s="193"/>
      <c r="F369" s="193"/>
    </row>
    <row r="370">
      <c r="B370" s="192"/>
      <c r="D370" s="193"/>
      <c r="F370" s="193"/>
    </row>
    <row r="371">
      <c r="B371" s="192"/>
      <c r="D371" s="193"/>
      <c r="F371" s="193"/>
    </row>
    <row r="372">
      <c r="B372" s="192"/>
      <c r="D372" s="193"/>
      <c r="F372" s="193"/>
    </row>
    <row r="373">
      <c r="B373" s="192"/>
      <c r="D373" s="193"/>
      <c r="F373" s="193"/>
    </row>
    <row r="374">
      <c r="B374" s="192"/>
      <c r="D374" s="193"/>
      <c r="F374" s="193"/>
    </row>
    <row r="375">
      <c r="B375" s="192"/>
      <c r="D375" s="193"/>
      <c r="F375" s="193"/>
    </row>
    <row r="376">
      <c r="B376" s="192"/>
      <c r="D376" s="193"/>
      <c r="F376" s="193"/>
    </row>
    <row r="377">
      <c r="B377" s="192"/>
      <c r="D377" s="193"/>
      <c r="F377" s="193"/>
    </row>
    <row r="378">
      <c r="B378" s="192"/>
      <c r="D378" s="193"/>
      <c r="F378" s="193"/>
    </row>
    <row r="379">
      <c r="B379" s="192"/>
      <c r="D379" s="193"/>
      <c r="F379" s="193"/>
    </row>
    <row r="380">
      <c r="B380" s="192"/>
      <c r="D380" s="193"/>
      <c r="F380" s="193"/>
    </row>
    <row r="381">
      <c r="B381" s="192"/>
      <c r="D381" s="193"/>
      <c r="F381" s="193"/>
    </row>
    <row r="382">
      <c r="B382" s="192"/>
      <c r="D382" s="193"/>
      <c r="F382" s="193"/>
    </row>
    <row r="383">
      <c r="B383" s="192"/>
      <c r="D383" s="193"/>
      <c r="F383" s="193"/>
    </row>
    <row r="384">
      <c r="B384" s="192"/>
      <c r="D384" s="193"/>
      <c r="F384" s="193"/>
    </row>
    <row r="385">
      <c r="B385" s="192"/>
      <c r="D385" s="193"/>
      <c r="F385" s="193"/>
    </row>
    <row r="386">
      <c r="B386" s="192"/>
      <c r="D386" s="193"/>
      <c r="F386" s="193"/>
    </row>
    <row r="387">
      <c r="B387" s="192"/>
      <c r="D387" s="193"/>
      <c r="F387" s="193"/>
    </row>
    <row r="388">
      <c r="B388" s="192"/>
      <c r="D388" s="193"/>
      <c r="F388" s="193"/>
    </row>
    <row r="389">
      <c r="B389" s="192"/>
      <c r="D389" s="193"/>
      <c r="F389" s="193"/>
    </row>
    <row r="390">
      <c r="B390" s="192"/>
      <c r="D390" s="193"/>
      <c r="F390" s="193"/>
    </row>
    <row r="391">
      <c r="B391" s="192"/>
      <c r="D391" s="193"/>
      <c r="F391" s="193"/>
    </row>
    <row r="392">
      <c r="B392" s="192"/>
      <c r="D392" s="193"/>
      <c r="F392" s="193"/>
    </row>
    <row r="393">
      <c r="B393" s="192"/>
      <c r="D393" s="193"/>
      <c r="F393" s="193"/>
    </row>
    <row r="394">
      <c r="B394" s="192"/>
      <c r="D394" s="193"/>
      <c r="F394" s="193"/>
    </row>
    <row r="395">
      <c r="B395" s="192"/>
      <c r="D395" s="193"/>
      <c r="F395" s="193"/>
    </row>
    <row r="396">
      <c r="B396" s="192"/>
      <c r="D396" s="193"/>
      <c r="F396" s="193"/>
    </row>
    <row r="397">
      <c r="B397" s="192"/>
      <c r="D397" s="193"/>
      <c r="F397" s="193"/>
    </row>
    <row r="398">
      <c r="B398" s="192"/>
      <c r="D398" s="193"/>
      <c r="F398" s="193"/>
    </row>
    <row r="399">
      <c r="B399" s="192"/>
      <c r="D399" s="193"/>
      <c r="F399" s="193"/>
    </row>
    <row r="400">
      <c r="B400" s="192"/>
      <c r="D400" s="193"/>
      <c r="F400" s="193"/>
    </row>
    <row r="401">
      <c r="B401" s="192"/>
      <c r="D401" s="193"/>
      <c r="F401" s="193"/>
    </row>
    <row r="402">
      <c r="B402" s="192"/>
      <c r="D402" s="193"/>
      <c r="F402" s="193"/>
    </row>
    <row r="403">
      <c r="B403" s="192"/>
      <c r="D403" s="193"/>
      <c r="F403" s="193"/>
    </row>
    <row r="404">
      <c r="B404" s="192"/>
      <c r="D404" s="193"/>
      <c r="F404" s="193"/>
    </row>
    <row r="405">
      <c r="B405" s="192"/>
      <c r="D405" s="193"/>
      <c r="F405" s="193"/>
    </row>
    <row r="406">
      <c r="B406" s="192"/>
      <c r="D406" s="193"/>
      <c r="F406" s="193"/>
    </row>
    <row r="407">
      <c r="B407" s="192"/>
      <c r="D407" s="193"/>
      <c r="F407" s="193"/>
    </row>
    <row r="408">
      <c r="B408" s="192"/>
      <c r="D408" s="193"/>
      <c r="F408" s="193"/>
    </row>
    <row r="409">
      <c r="B409" s="192"/>
      <c r="D409" s="193"/>
      <c r="F409" s="193"/>
    </row>
    <row r="410">
      <c r="B410" s="192"/>
      <c r="D410" s="193"/>
      <c r="F410" s="193"/>
    </row>
    <row r="411">
      <c r="B411" s="192"/>
      <c r="D411" s="193"/>
      <c r="F411" s="193"/>
    </row>
    <row r="412">
      <c r="B412" s="192"/>
      <c r="D412" s="193"/>
      <c r="F412" s="193"/>
    </row>
    <row r="413">
      <c r="B413" s="192"/>
      <c r="D413" s="193"/>
      <c r="F413" s="193"/>
    </row>
    <row r="414">
      <c r="B414" s="192"/>
      <c r="D414" s="193"/>
      <c r="F414" s="193"/>
    </row>
    <row r="415">
      <c r="B415" s="192"/>
      <c r="D415" s="193"/>
      <c r="F415" s="193"/>
    </row>
    <row r="416">
      <c r="B416" s="192"/>
      <c r="D416" s="193"/>
      <c r="F416" s="193"/>
    </row>
    <row r="417">
      <c r="B417" s="192"/>
      <c r="D417" s="193"/>
      <c r="F417" s="193"/>
    </row>
    <row r="418">
      <c r="B418" s="192"/>
      <c r="D418" s="193"/>
      <c r="F418" s="193"/>
    </row>
    <row r="419">
      <c r="B419" s="192"/>
      <c r="D419" s="193"/>
      <c r="F419" s="193"/>
    </row>
    <row r="420">
      <c r="B420" s="192"/>
      <c r="D420" s="193"/>
      <c r="F420" s="193"/>
    </row>
    <row r="421">
      <c r="B421" s="192"/>
      <c r="D421" s="193"/>
      <c r="F421" s="193"/>
    </row>
    <row r="422">
      <c r="B422" s="192"/>
      <c r="D422" s="193"/>
      <c r="F422" s="193"/>
    </row>
    <row r="423">
      <c r="B423" s="192"/>
      <c r="D423" s="193"/>
      <c r="F423" s="193"/>
    </row>
    <row r="424">
      <c r="B424" s="192"/>
      <c r="D424" s="193"/>
      <c r="F424" s="193"/>
    </row>
    <row r="425">
      <c r="B425" s="192"/>
      <c r="D425" s="193"/>
      <c r="F425" s="193"/>
    </row>
    <row r="426">
      <c r="B426" s="192"/>
      <c r="D426" s="193"/>
      <c r="F426" s="193"/>
    </row>
    <row r="427">
      <c r="B427" s="192"/>
      <c r="D427" s="193"/>
      <c r="F427" s="193"/>
    </row>
    <row r="428">
      <c r="B428" s="192"/>
      <c r="D428" s="193"/>
      <c r="F428" s="193"/>
    </row>
    <row r="429">
      <c r="B429" s="192"/>
      <c r="D429" s="193"/>
      <c r="F429" s="193"/>
    </row>
    <row r="430">
      <c r="B430" s="192"/>
      <c r="D430" s="193"/>
      <c r="F430" s="193"/>
    </row>
    <row r="431">
      <c r="B431" s="192"/>
      <c r="D431" s="193"/>
      <c r="F431" s="193"/>
    </row>
    <row r="432">
      <c r="B432" s="192"/>
      <c r="D432" s="193"/>
      <c r="F432" s="193"/>
    </row>
    <row r="433">
      <c r="B433" s="192"/>
      <c r="D433" s="193"/>
      <c r="F433" s="193"/>
    </row>
    <row r="434">
      <c r="B434" s="192"/>
      <c r="D434" s="193"/>
      <c r="F434" s="193"/>
    </row>
    <row r="435">
      <c r="B435" s="192"/>
      <c r="D435" s="193"/>
      <c r="F435" s="193"/>
    </row>
    <row r="436">
      <c r="B436" s="192"/>
      <c r="D436" s="193"/>
      <c r="F436" s="193"/>
    </row>
    <row r="437">
      <c r="B437" s="192"/>
      <c r="D437" s="193"/>
      <c r="F437" s="193"/>
    </row>
    <row r="438">
      <c r="B438" s="192"/>
      <c r="D438" s="193"/>
      <c r="F438" s="193"/>
    </row>
    <row r="439">
      <c r="B439" s="192"/>
      <c r="D439" s="193"/>
      <c r="F439" s="193"/>
    </row>
    <row r="440">
      <c r="B440" s="192"/>
      <c r="D440" s="193"/>
      <c r="F440" s="193"/>
    </row>
    <row r="441">
      <c r="B441" s="192"/>
      <c r="D441" s="193"/>
      <c r="F441" s="193"/>
    </row>
    <row r="442">
      <c r="B442" s="192"/>
      <c r="D442" s="193"/>
      <c r="F442" s="193"/>
    </row>
    <row r="443">
      <c r="B443" s="192"/>
      <c r="D443" s="193"/>
      <c r="F443" s="193"/>
    </row>
    <row r="444">
      <c r="B444" s="192"/>
      <c r="D444" s="193"/>
      <c r="F444" s="193"/>
    </row>
    <row r="445">
      <c r="B445" s="192"/>
      <c r="D445" s="193"/>
      <c r="F445" s="193"/>
    </row>
    <row r="446">
      <c r="B446" s="192"/>
      <c r="D446" s="193"/>
      <c r="F446" s="193"/>
    </row>
    <row r="447">
      <c r="B447" s="192"/>
      <c r="D447" s="193"/>
      <c r="F447" s="193"/>
    </row>
    <row r="448">
      <c r="B448" s="192"/>
      <c r="D448" s="193"/>
      <c r="F448" s="193"/>
    </row>
    <row r="449">
      <c r="B449" s="192"/>
      <c r="D449" s="193"/>
      <c r="F449" s="193"/>
    </row>
    <row r="450">
      <c r="B450" s="192"/>
      <c r="D450" s="193"/>
      <c r="F450" s="193"/>
    </row>
    <row r="451">
      <c r="B451" s="192"/>
      <c r="D451" s="193"/>
      <c r="F451" s="193"/>
    </row>
    <row r="452">
      <c r="B452" s="192"/>
      <c r="D452" s="193"/>
      <c r="F452" s="193"/>
    </row>
    <row r="453">
      <c r="B453" s="192"/>
      <c r="D453" s="193"/>
      <c r="F453" s="193"/>
    </row>
    <row r="454">
      <c r="B454" s="192"/>
      <c r="D454" s="193"/>
      <c r="F454" s="193"/>
    </row>
    <row r="455">
      <c r="B455" s="192"/>
      <c r="D455" s="193"/>
      <c r="F455" s="193"/>
    </row>
    <row r="456">
      <c r="B456" s="192"/>
      <c r="D456" s="193"/>
      <c r="F456" s="193"/>
    </row>
    <row r="457">
      <c r="B457" s="192"/>
      <c r="D457" s="193"/>
      <c r="F457" s="193"/>
    </row>
    <row r="458">
      <c r="B458" s="192"/>
      <c r="D458" s="193"/>
      <c r="F458" s="193"/>
    </row>
    <row r="459">
      <c r="B459" s="192"/>
      <c r="D459" s="193"/>
      <c r="F459" s="193"/>
    </row>
    <row r="460">
      <c r="B460" s="192"/>
      <c r="D460" s="193"/>
      <c r="F460" s="193"/>
    </row>
    <row r="461">
      <c r="B461" s="192"/>
      <c r="D461" s="193"/>
      <c r="F461" s="193"/>
    </row>
    <row r="462">
      <c r="B462" s="192"/>
      <c r="D462" s="193"/>
      <c r="F462" s="193"/>
    </row>
    <row r="463">
      <c r="B463" s="192"/>
      <c r="D463" s="193"/>
      <c r="F463" s="193"/>
    </row>
    <row r="464">
      <c r="B464" s="192"/>
      <c r="D464" s="193"/>
      <c r="F464" s="193"/>
    </row>
    <row r="465">
      <c r="B465" s="192"/>
      <c r="D465" s="193"/>
      <c r="F465" s="193"/>
    </row>
    <row r="466">
      <c r="B466" s="192"/>
      <c r="D466" s="193"/>
      <c r="F466" s="193"/>
    </row>
    <row r="467">
      <c r="B467" s="192"/>
      <c r="D467" s="193"/>
      <c r="F467" s="193"/>
    </row>
    <row r="468">
      <c r="B468" s="192"/>
      <c r="D468" s="193"/>
      <c r="F468" s="193"/>
    </row>
    <row r="469">
      <c r="B469" s="192"/>
      <c r="D469" s="193"/>
      <c r="F469" s="193"/>
    </row>
    <row r="470">
      <c r="B470" s="192"/>
      <c r="D470" s="193"/>
      <c r="F470" s="193"/>
    </row>
    <row r="471">
      <c r="B471" s="192"/>
      <c r="D471" s="193"/>
      <c r="F471" s="193"/>
    </row>
    <row r="472">
      <c r="B472" s="192"/>
      <c r="D472" s="193"/>
      <c r="F472" s="193"/>
    </row>
    <row r="473">
      <c r="B473" s="192"/>
      <c r="D473" s="193"/>
      <c r="F473" s="193"/>
    </row>
    <row r="474">
      <c r="B474" s="192"/>
      <c r="D474" s="193"/>
      <c r="F474" s="193"/>
    </row>
    <row r="475">
      <c r="B475" s="192"/>
      <c r="D475" s="193"/>
      <c r="F475" s="193"/>
    </row>
    <row r="476">
      <c r="B476" s="192"/>
      <c r="D476" s="193"/>
      <c r="F476" s="193"/>
    </row>
    <row r="477">
      <c r="B477" s="192"/>
      <c r="D477" s="193"/>
      <c r="F477" s="193"/>
    </row>
    <row r="478">
      <c r="B478" s="192"/>
      <c r="D478" s="193"/>
      <c r="F478" s="193"/>
    </row>
    <row r="479">
      <c r="B479" s="192"/>
      <c r="D479" s="193"/>
      <c r="F479" s="193"/>
    </row>
    <row r="480">
      <c r="B480" s="192"/>
      <c r="D480" s="193"/>
      <c r="F480" s="193"/>
    </row>
    <row r="481">
      <c r="B481" s="192"/>
      <c r="D481" s="193"/>
      <c r="F481" s="193"/>
    </row>
    <row r="482">
      <c r="B482" s="192"/>
      <c r="D482" s="193"/>
      <c r="F482" s="193"/>
    </row>
    <row r="483">
      <c r="B483" s="192"/>
      <c r="D483" s="193"/>
      <c r="F483" s="193"/>
    </row>
    <row r="484">
      <c r="B484" s="192"/>
      <c r="D484" s="193"/>
      <c r="F484" s="193"/>
    </row>
    <row r="485">
      <c r="B485" s="192"/>
      <c r="D485" s="193"/>
      <c r="F485" s="193"/>
    </row>
    <row r="486">
      <c r="B486" s="192"/>
      <c r="D486" s="193"/>
      <c r="F486" s="193"/>
    </row>
    <row r="487">
      <c r="B487" s="192"/>
      <c r="D487" s="193"/>
      <c r="F487" s="193"/>
    </row>
    <row r="488">
      <c r="B488" s="192"/>
      <c r="D488" s="193"/>
      <c r="F488" s="193"/>
    </row>
    <row r="489">
      <c r="B489" s="192"/>
      <c r="D489" s="193"/>
      <c r="F489" s="193"/>
    </row>
    <row r="490">
      <c r="B490" s="192"/>
      <c r="D490" s="193"/>
      <c r="F490" s="193"/>
    </row>
    <row r="491">
      <c r="B491" s="192"/>
      <c r="D491" s="193"/>
      <c r="F491" s="193"/>
    </row>
    <row r="492">
      <c r="B492" s="192"/>
      <c r="D492" s="193"/>
      <c r="F492" s="193"/>
    </row>
    <row r="493">
      <c r="B493" s="192"/>
      <c r="D493" s="193"/>
      <c r="F493" s="193"/>
    </row>
    <row r="494">
      <c r="B494" s="192"/>
      <c r="D494" s="193"/>
      <c r="F494" s="193"/>
    </row>
    <row r="495">
      <c r="B495" s="192"/>
      <c r="D495" s="193"/>
      <c r="F495" s="193"/>
    </row>
    <row r="496">
      <c r="B496" s="192"/>
      <c r="D496" s="193"/>
      <c r="F496" s="193"/>
    </row>
    <row r="497">
      <c r="B497" s="192"/>
      <c r="D497" s="193"/>
      <c r="F497" s="193"/>
    </row>
    <row r="498">
      <c r="B498" s="192"/>
      <c r="D498" s="193"/>
      <c r="F498" s="193"/>
    </row>
    <row r="499">
      <c r="B499" s="192"/>
      <c r="D499" s="193"/>
      <c r="F499" s="193"/>
    </row>
    <row r="500">
      <c r="B500" s="192"/>
      <c r="D500" s="193"/>
      <c r="F500" s="193"/>
    </row>
    <row r="501">
      <c r="B501" s="192"/>
      <c r="D501" s="193"/>
      <c r="F501" s="193"/>
    </row>
    <row r="502">
      <c r="B502" s="192"/>
      <c r="D502" s="193"/>
      <c r="F502" s="193"/>
    </row>
    <row r="503">
      <c r="B503" s="192"/>
      <c r="D503" s="193"/>
      <c r="F503" s="193"/>
    </row>
    <row r="504">
      <c r="B504" s="192"/>
      <c r="D504" s="193"/>
      <c r="F504" s="193"/>
    </row>
    <row r="505">
      <c r="B505" s="192"/>
      <c r="D505" s="193"/>
      <c r="F505" s="193"/>
    </row>
    <row r="506">
      <c r="B506" s="192"/>
      <c r="D506" s="193"/>
      <c r="F506" s="193"/>
    </row>
    <row r="507">
      <c r="B507" s="192"/>
      <c r="D507" s="193"/>
      <c r="F507" s="193"/>
    </row>
    <row r="508">
      <c r="B508" s="192"/>
      <c r="D508" s="193"/>
      <c r="F508" s="193"/>
    </row>
    <row r="509">
      <c r="B509" s="192"/>
      <c r="D509" s="193"/>
      <c r="F509" s="193"/>
    </row>
    <row r="510">
      <c r="B510" s="192"/>
      <c r="D510" s="193"/>
      <c r="F510" s="193"/>
    </row>
    <row r="511">
      <c r="B511" s="192"/>
      <c r="D511" s="193"/>
      <c r="F511" s="193"/>
    </row>
    <row r="512">
      <c r="B512" s="192"/>
      <c r="D512" s="193"/>
      <c r="F512" s="193"/>
    </row>
    <row r="513">
      <c r="B513" s="192"/>
      <c r="D513" s="193"/>
      <c r="F513" s="193"/>
    </row>
    <row r="514">
      <c r="B514" s="192"/>
      <c r="D514" s="193"/>
      <c r="F514" s="193"/>
    </row>
    <row r="515">
      <c r="B515" s="192"/>
      <c r="D515" s="193"/>
      <c r="F515" s="193"/>
    </row>
    <row r="516">
      <c r="B516" s="192"/>
      <c r="D516" s="193"/>
      <c r="F516" s="193"/>
    </row>
    <row r="517">
      <c r="B517" s="192"/>
      <c r="D517" s="193"/>
      <c r="F517" s="193"/>
    </row>
    <row r="518">
      <c r="B518" s="192"/>
      <c r="D518" s="193"/>
      <c r="F518" s="193"/>
    </row>
    <row r="519">
      <c r="B519" s="192"/>
      <c r="D519" s="193"/>
      <c r="F519" s="193"/>
    </row>
    <row r="520">
      <c r="B520" s="192"/>
      <c r="D520" s="193"/>
      <c r="F520" s="193"/>
    </row>
    <row r="521">
      <c r="B521" s="192"/>
      <c r="D521" s="193"/>
      <c r="F521" s="193"/>
    </row>
    <row r="522">
      <c r="B522" s="192"/>
      <c r="D522" s="193"/>
      <c r="F522" s="193"/>
    </row>
    <row r="523">
      <c r="B523" s="192"/>
      <c r="D523" s="193"/>
      <c r="F523" s="193"/>
    </row>
    <row r="524">
      <c r="B524" s="192"/>
      <c r="D524" s="193"/>
      <c r="F524" s="193"/>
    </row>
    <row r="525">
      <c r="B525" s="192"/>
      <c r="D525" s="193"/>
      <c r="F525" s="193"/>
    </row>
    <row r="526">
      <c r="B526" s="192"/>
      <c r="D526" s="193"/>
      <c r="F526" s="193"/>
    </row>
    <row r="527">
      <c r="B527" s="192"/>
      <c r="D527" s="193"/>
      <c r="F527" s="193"/>
    </row>
    <row r="528">
      <c r="B528" s="192"/>
      <c r="D528" s="193"/>
      <c r="F528" s="193"/>
    </row>
    <row r="529">
      <c r="B529" s="192"/>
      <c r="D529" s="193"/>
      <c r="F529" s="193"/>
    </row>
    <row r="530">
      <c r="B530" s="192"/>
      <c r="D530" s="193"/>
      <c r="F530" s="193"/>
    </row>
    <row r="531">
      <c r="B531" s="192"/>
      <c r="D531" s="193"/>
      <c r="F531" s="193"/>
    </row>
    <row r="532">
      <c r="B532" s="192"/>
      <c r="D532" s="193"/>
      <c r="F532" s="193"/>
    </row>
    <row r="533">
      <c r="B533" s="192"/>
      <c r="D533" s="193"/>
      <c r="F533" s="193"/>
    </row>
    <row r="534">
      <c r="B534" s="192"/>
      <c r="D534" s="193"/>
      <c r="F534" s="193"/>
    </row>
    <row r="535">
      <c r="B535" s="192"/>
      <c r="D535" s="193"/>
      <c r="F535" s="193"/>
    </row>
    <row r="536">
      <c r="B536" s="192"/>
      <c r="D536" s="193"/>
      <c r="F536" s="193"/>
    </row>
    <row r="537">
      <c r="B537" s="192"/>
      <c r="D537" s="193"/>
      <c r="F537" s="193"/>
    </row>
    <row r="538">
      <c r="B538" s="192"/>
      <c r="D538" s="193"/>
      <c r="F538" s="193"/>
    </row>
    <row r="539">
      <c r="B539" s="192"/>
      <c r="D539" s="193"/>
      <c r="F539" s="193"/>
    </row>
    <row r="540">
      <c r="B540" s="192"/>
      <c r="D540" s="193"/>
      <c r="F540" s="193"/>
    </row>
    <row r="541">
      <c r="B541" s="192"/>
      <c r="D541" s="193"/>
      <c r="F541" s="193"/>
    </row>
    <row r="542">
      <c r="B542" s="192"/>
      <c r="D542" s="193"/>
      <c r="F542" s="193"/>
    </row>
    <row r="543">
      <c r="B543" s="192"/>
      <c r="D543" s="193"/>
      <c r="F543" s="193"/>
    </row>
    <row r="544">
      <c r="B544" s="192"/>
      <c r="D544" s="193"/>
      <c r="F544" s="193"/>
    </row>
    <row r="545">
      <c r="B545" s="192"/>
      <c r="D545" s="193"/>
      <c r="F545" s="193"/>
    </row>
    <row r="546">
      <c r="B546" s="192"/>
      <c r="D546" s="193"/>
      <c r="F546" s="193"/>
    </row>
    <row r="547">
      <c r="B547" s="192"/>
      <c r="D547" s="193"/>
      <c r="F547" s="193"/>
    </row>
    <row r="548">
      <c r="B548" s="192"/>
      <c r="D548" s="193"/>
      <c r="F548" s="193"/>
    </row>
    <row r="549">
      <c r="B549" s="192"/>
      <c r="D549" s="193"/>
      <c r="F549" s="193"/>
    </row>
    <row r="550">
      <c r="B550" s="192"/>
      <c r="D550" s="193"/>
      <c r="F550" s="193"/>
    </row>
    <row r="551">
      <c r="B551" s="192"/>
      <c r="D551" s="193"/>
      <c r="F551" s="193"/>
    </row>
    <row r="552">
      <c r="B552" s="192"/>
      <c r="D552" s="193"/>
      <c r="F552" s="193"/>
    </row>
    <row r="553">
      <c r="B553" s="192"/>
      <c r="D553" s="193"/>
      <c r="F553" s="193"/>
    </row>
    <row r="554">
      <c r="B554" s="192"/>
      <c r="D554" s="193"/>
      <c r="F554" s="193"/>
    </row>
    <row r="555">
      <c r="B555" s="192"/>
      <c r="D555" s="193"/>
      <c r="F555" s="193"/>
    </row>
    <row r="556">
      <c r="B556" s="192"/>
      <c r="D556" s="193"/>
      <c r="F556" s="193"/>
    </row>
    <row r="557">
      <c r="B557" s="192"/>
      <c r="D557" s="193"/>
      <c r="F557" s="193"/>
    </row>
    <row r="558">
      <c r="B558" s="192"/>
      <c r="D558" s="193"/>
      <c r="F558" s="193"/>
    </row>
    <row r="559">
      <c r="B559" s="192"/>
      <c r="D559" s="193"/>
      <c r="F559" s="193"/>
    </row>
    <row r="560">
      <c r="B560" s="192"/>
      <c r="D560" s="193"/>
      <c r="F560" s="193"/>
    </row>
    <row r="561">
      <c r="B561" s="192"/>
      <c r="D561" s="193"/>
      <c r="F561" s="193"/>
    </row>
    <row r="562">
      <c r="B562" s="192"/>
      <c r="D562" s="193"/>
      <c r="F562" s="193"/>
    </row>
    <row r="563">
      <c r="B563" s="192"/>
      <c r="D563" s="193"/>
      <c r="F563" s="193"/>
    </row>
    <row r="564">
      <c r="B564" s="192"/>
      <c r="D564" s="193"/>
      <c r="F564" s="193"/>
    </row>
    <row r="565">
      <c r="B565" s="192"/>
      <c r="D565" s="193"/>
      <c r="F565" s="193"/>
    </row>
    <row r="566">
      <c r="B566" s="192"/>
      <c r="D566" s="193"/>
      <c r="F566" s="193"/>
    </row>
    <row r="567">
      <c r="B567" s="192"/>
      <c r="D567" s="193"/>
      <c r="F567" s="193"/>
    </row>
    <row r="568">
      <c r="B568" s="192"/>
      <c r="D568" s="193"/>
      <c r="F568" s="193"/>
    </row>
    <row r="569">
      <c r="B569" s="192"/>
      <c r="D569" s="193"/>
      <c r="F569" s="193"/>
    </row>
    <row r="570">
      <c r="B570" s="192"/>
      <c r="D570" s="193"/>
      <c r="F570" s="193"/>
    </row>
    <row r="571">
      <c r="B571" s="192"/>
      <c r="D571" s="193"/>
      <c r="F571" s="193"/>
    </row>
    <row r="572">
      <c r="B572" s="192"/>
      <c r="D572" s="193"/>
      <c r="F572" s="193"/>
    </row>
    <row r="573">
      <c r="B573" s="192"/>
      <c r="D573" s="193"/>
      <c r="F573" s="193"/>
    </row>
    <row r="574">
      <c r="B574" s="192"/>
      <c r="D574" s="193"/>
      <c r="F574" s="193"/>
    </row>
    <row r="575">
      <c r="B575" s="192"/>
      <c r="D575" s="193"/>
      <c r="F575" s="193"/>
    </row>
    <row r="576">
      <c r="B576" s="192"/>
      <c r="D576" s="193"/>
      <c r="F576" s="193"/>
    </row>
    <row r="577">
      <c r="B577" s="192"/>
      <c r="D577" s="193"/>
      <c r="F577" s="193"/>
    </row>
    <row r="578">
      <c r="B578" s="192"/>
      <c r="D578" s="193"/>
      <c r="F578" s="193"/>
    </row>
    <row r="579">
      <c r="B579" s="192"/>
      <c r="D579" s="193"/>
      <c r="F579" s="193"/>
    </row>
    <row r="580">
      <c r="B580" s="192"/>
      <c r="D580" s="193"/>
      <c r="F580" s="193"/>
    </row>
    <row r="581">
      <c r="B581" s="192"/>
      <c r="D581" s="193"/>
      <c r="F581" s="193"/>
    </row>
    <row r="582">
      <c r="B582" s="192"/>
      <c r="D582" s="193"/>
      <c r="F582" s="193"/>
    </row>
    <row r="583">
      <c r="B583" s="192"/>
      <c r="D583" s="193"/>
      <c r="F583" s="193"/>
    </row>
    <row r="584">
      <c r="B584" s="192"/>
      <c r="D584" s="193"/>
      <c r="F584" s="193"/>
    </row>
    <row r="585">
      <c r="B585" s="192"/>
      <c r="D585" s="193"/>
      <c r="F585" s="193"/>
    </row>
    <row r="586">
      <c r="B586" s="192"/>
      <c r="D586" s="193"/>
      <c r="F586" s="193"/>
    </row>
    <row r="587">
      <c r="B587" s="192"/>
      <c r="D587" s="193"/>
      <c r="F587" s="193"/>
    </row>
    <row r="588">
      <c r="B588" s="192"/>
      <c r="D588" s="193"/>
      <c r="F588" s="193"/>
    </row>
    <row r="589">
      <c r="B589" s="192"/>
      <c r="D589" s="193"/>
      <c r="F589" s="193"/>
    </row>
    <row r="590">
      <c r="B590" s="192"/>
      <c r="D590" s="193"/>
      <c r="F590" s="193"/>
    </row>
    <row r="591">
      <c r="B591" s="192"/>
      <c r="D591" s="193"/>
      <c r="F591" s="193"/>
    </row>
    <row r="592">
      <c r="B592" s="192"/>
      <c r="D592" s="193"/>
      <c r="F592" s="193"/>
    </row>
    <row r="593">
      <c r="B593" s="192"/>
      <c r="D593" s="193"/>
      <c r="F593" s="193"/>
    </row>
    <row r="594">
      <c r="B594" s="192"/>
      <c r="D594" s="193"/>
      <c r="F594" s="193"/>
    </row>
    <row r="595">
      <c r="B595" s="192"/>
      <c r="D595" s="193"/>
      <c r="F595" s="193"/>
    </row>
    <row r="596">
      <c r="B596" s="192"/>
      <c r="D596" s="193"/>
      <c r="F596" s="193"/>
    </row>
    <row r="597">
      <c r="B597" s="192"/>
      <c r="D597" s="193"/>
      <c r="F597" s="193"/>
    </row>
    <row r="598">
      <c r="B598" s="192"/>
      <c r="D598" s="193"/>
      <c r="F598" s="193"/>
    </row>
    <row r="599">
      <c r="B599" s="192"/>
      <c r="D599" s="193"/>
      <c r="F599" s="193"/>
    </row>
    <row r="600">
      <c r="B600" s="192"/>
      <c r="D600" s="193"/>
      <c r="F600" s="193"/>
    </row>
    <row r="601">
      <c r="B601" s="192"/>
      <c r="D601" s="193"/>
      <c r="F601" s="193"/>
    </row>
    <row r="602">
      <c r="B602" s="192"/>
      <c r="D602" s="193"/>
      <c r="F602" s="193"/>
    </row>
    <row r="603">
      <c r="B603" s="192"/>
      <c r="D603" s="193"/>
      <c r="F603" s="193"/>
    </row>
    <row r="604">
      <c r="B604" s="192"/>
      <c r="D604" s="193"/>
      <c r="F604" s="193"/>
    </row>
    <row r="605">
      <c r="B605" s="192"/>
      <c r="D605" s="193"/>
      <c r="F605" s="193"/>
    </row>
    <row r="606">
      <c r="B606" s="192"/>
      <c r="D606" s="193"/>
      <c r="F606" s="193"/>
    </row>
    <row r="607">
      <c r="B607" s="192"/>
      <c r="D607" s="193"/>
      <c r="F607" s="193"/>
    </row>
    <row r="608">
      <c r="B608" s="192"/>
      <c r="D608" s="193"/>
      <c r="F608" s="193"/>
    </row>
    <row r="609">
      <c r="B609" s="192"/>
      <c r="D609" s="193"/>
      <c r="F609" s="193"/>
    </row>
    <row r="610">
      <c r="B610" s="192"/>
      <c r="D610" s="193"/>
      <c r="F610" s="193"/>
    </row>
    <row r="611">
      <c r="B611" s="192"/>
      <c r="D611" s="193"/>
      <c r="F611" s="193"/>
    </row>
    <row r="612">
      <c r="B612" s="192"/>
      <c r="D612" s="193"/>
      <c r="F612" s="193"/>
    </row>
    <row r="613">
      <c r="B613" s="192"/>
      <c r="D613" s="193"/>
      <c r="F613" s="193"/>
    </row>
    <row r="614">
      <c r="B614" s="192"/>
      <c r="D614" s="193"/>
      <c r="F614" s="193"/>
    </row>
    <row r="615">
      <c r="B615" s="192"/>
      <c r="D615" s="193"/>
      <c r="F615" s="193"/>
    </row>
    <row r="616">
      <c r="B616" s="192"/>
      <c r="D616" s="193"/>
      <c r="F616" s="193"/>
    </row>
    <row r="617">
      <c r="B617" s="192"/>
      <c r="D617" s="193"/>
      <c r="F617" s="193"/>
    </row>
    <row r="618">
      <c r="B618" s="192"/>
      <c r="D618" s="193"/>
      <c r="F618" s="193"/>
    </row>
    <row r="619">
      <c r="B619" s="192"/>
      <c r="D619" s="193"/>
      <c r="F619" s="193"/>
    </row>
    <row r="620">
      <c r="B620" s="192"/>
      <c r="D620" s="193"/>
      <c r="F620" s="193"/>
    </row>
    <row r="621">
      <c r="B621" s="192"/>
      <c r="D621" s="193"/>
      <c r="F621" s="193"/>
    </row>
    <row r="622">
      <c r="B622" s="192"/>
      <c r="D622" s="193"/>
      <c r="F622" s="193"/>
    </row>
    <row r="623">
      <c r="B623" s="192"/>
      <c r="D623" s="193"/>
      <c r="F623" s="193"/>
    </row>
    <row r="624">
      <c r="B624" s="192"/>
      <c r="D624" s="193"/>
      <c r="F624" s="193"/>
    </row>
    <row r="625">
      <c r="B625" s="192"/>
      <c r="D625" s="193"/>
      <c r="F625" s="193"/>
    </row>
    <row r="626">
      <c r="B626" s="192"/>
      <c r="D626" s="193"/>
      <c r="F626" s="193"/>
    </row>
    <row r="627">
      <c r="B627" s="192"/>
      <c r="D627" s="193"/>
      <c r="F627" s="193"/>
    </row>
    <row r="628">
      <c r="B628" s="192"/>
      <c r="D628" s="193"/>
      <c r="F628" s="193"/>
    </row>
    <row r="629">
      <c r="B629" s="192"/>
      <c r="D629" s="193"/>
      <c r="F629" s="193"/>
    </row>
    <row r="630">
      <c r="B630" s="192"/>
      <c r="D630" s="193"/>
      <c r="F630" s="193"/>
    </row>
    <row r="631">
      <c r="B631" s="192"/>
      <c r="D631" s="193"/>
      <c r="F631" s="193"/>
    </row>
    <row r="632">
      <c r="B632" s="192"/>
      <c r="D632" s="193"/>
      <c r="F632" s="193"/>
    </row>
    <row r="633">
      <c r="B633" s="192"/>
      <c r="D633" s="193"/>
      <c r="F633" s="193"/>
    </row>
    <row r="634">
      <c r="B634" s="192"/>
      <c r="D634" s="193"/>
      <c r="F634" s="193"/>
    </row>
    <row r="635">
      <c r="B635" s="192"/>
      <c r="D635" s="193"/>
      <c r="F635" s="193"/>
    </row>
    <row r="636">
      <c r="B636" s="192"/>
      <c r="D636" s="193"/>
      <c r="F636" s="193"/>
    </row>
    <row r="637">
      <c r="B637" s="192"/>
      <c r="D637" s="193"/>
      <c r="F637" s="193"/>
    </row>
    <row r="638">
      <c r="B638" s="192"/>
      <c r="D638" s="193"/>
      <c r="F638" s="193"/>
    </row>
    <row r="639">
      <c r="B639" s="192"/>
      <c r="D639" s="193"/>
      <c r="F639" s="193"/>
    </row>
    <row r="640">
      <c r="B640" s="192"/>
      <c r="D640" s="193"/>
      <c r="F640" s="193"/>
    </row>
    <row r="641">
      <c r="B641" s="192"/>
      <c r="D641" s="193"/>
      <c r="F641" s="193"/>
    </row>
    <row r="642">
      <c r="B642" s="192"/>
      <c r="D642" s="193"/>
      <c r="F642" s="193"/>
    </row>
    <row r="643">
      <c r="B643" s="192"/>
      <c r="D643" s="193"/>
      <c r="F643" s="193"/>
    </row>
    <row r="644">
      <c r="B644" s="192"/>
      <c r="D644" s="193"/>
      <c r="F644" s="193"/>
    </row>
    <row r="645">
      <c r="B645" s="192"/>
      <c r="D645" s="193"/>
      <c r="F645" s="193"/>
    </row>
    <row r="646">
      <c r="B646" s="192"/>
      <c r="D646" s="193"/>
      <c r="F646" s="193"/>
    </row>
    <row r="647">
      <c r="B647" s="192"/>
      <c r="D647" s="193"/>
      <c r="F647" s="193"/>
    </row>
    <row r="648">
      <c r="B648" s="192"/>
      <c r="D648" s="193"/>
      <c r="F648" s="193"/>
    </row>
    <row r="649">
      <c r="B649" s="192"/>
      <c r="D649" s="193"/>
      <c r="F649" s="193"/>
    </row>
    <row r="650">
      <c r="B650" s="192"/>
      <c r="D650" s="193"/>
      <c r="F650" s="193"/>
    </row>
    <row r="651">
      <c r="B651" s="192"/>
      <c r="D651" s="193"/>
      <c r="F651" s="193"/>
    </row>
    <row r="652">
      <c r="B652" s="192"/>
      <c r="D652" s="193"/>
      <c r="F652" s="193"/>
    </row>
    <row r="653">
      <c r="B653" s="192"/>
      <c r="D653" s="193"/>
      <c r="F653" s="193"/>
    </row>
    <row r="654">
      <c r="B654" s="192"/>
      <c r="D654" s="193"/>
      <c r="F654" s="193"/>
    </row>
    <row r="655">
      <c r="B655" s="192"/>
      <c r="D655" s="193"/>
      <c r="F655" s="193"/>
    </row>
    <row r="656">
      <c r="B656" s="192"/>
      <c r="D656" s="193"/>
      <c r="F656" s="193"/>
    </row>
    <row r="657">
      <c r="B657" s="192"/>
      <c r="D657" s="193"/>
      <c r="F657" s="193"/>
    </row>
    <row r="658">
      <c r="B658" s="192"/>
      <c r="D658" s="193"/>
      <c r="F658" s="193"/>
    </row>
    <row r="659">
      <c r="B659" s="192"/>
      <c r="D659" s="193"/>
      <c r="F659" s="193"/>
    </row>
    <row r="660">
      <c r="B660" s="192"/>
      <c r="D660" s="193"/>
      <c r="F660" s="193"/>
    </row>
    <row r="661">
      <c r="B661" s="192"/>
      <c r="D661" s="193"/>
      <c r="F661" s="193"/>
    </row>
    <row r="662">
      <c r="B662" s="192"/>
      <c r="D662" s="193"/>
      <c r="F662" s="193"/>
    </row>
    <row r="663">
      <c r="B663" s="192"/>
      <c r="D663" s="193"/>
      <c r="F663" s="193"/>
    </row>
    <row r="664">
      <c r="B664" s="192"/>
      <c r="D664" s="193"/>
      <c r="F664" s="193"/>
    </row>
    <row r="665">
      <c r="B665" s="192"/>
      <c r="D665" s="193"/>
      <c r="F665" s="193"/>
    </row>
    <row r="666">
      <c r="B666" s="192"/>
      <c r="D666" s="193"/>
      <c r="F666" s="193"/>
    </row>
    <row r="667">
      <c r="B667" s="192"/>
      <c r="D667" s="193"/>
      <c r="F667" s="193"/>
    </row>
    <row r="668">
      <c r="B668" s="192"/>
      <c r="D668" s="193"/>
      <c r="F668" s="193"/>
    </row>
    <row r="669">
      <c r="B669" s="192"/>
      <c r="D669" s="193"/>
      <c r="F669" s="193"/>
    </row>
    <row r="670">
      <c r="B670" s="192"/>
      <c r="D670" s="193"/>
      <c r="F670" s="193"/>
    </row>
    <row r="671">
      <c r="B671" s="192"/>
      <c r="D671" s="193"/>
      <c r="F671" s="193"/>
    </row>
    <row r="672">
      <c r="B672" s="192"/>
      <c r="D672" s="193"/>
      <c r="F672" s="193"/>
    </row>
    <row r="673">
      <c r="B673" s="192"/>
      <c r="D673" s="193"/>
      <c r="F673" s="193"/>
    </row>
    <row r="674">
      <c r="B674" s="192"/>
      <c r="D674" s="193"/>
      <c r="F674" s="193"/>
    </row>
    <row r="675">
      <c r="B675" s="192"/>
      <c r="D675" s="193"/>
      <c r="F675" s="193"/>
    </row>
    <row r="676">
      <c r="B676" s="192"/>
      <c r="D676" s="193"/>
      <c r="F676" s="193"/>
    </row>
    <row r="677">
      <c r="B677" s="192"/>
      <c r="D677" s="193"/>
      <c r="F677" s="193"/>
    </row>
    <row r="678">
      <c r="B678" s="192"/>
      <c r="D678" s="193"/>
      <c r="F678" s="193"/>
    </row>
    <row r="679">
      <c r="B679" s="192"/>
      <c r="D679" s="193"/>
      <c r="F679" s="193"/>
    </row>
    <row r="680">
      <c r="B680" s="192"/>
      <c r="D680" s="193"/>
      <c r="F680" s="193"/>
    </row>
    <row r="681">
      <c r="B681" s="192"/>
      <c r="D681" s="193"/>
      <c r="F681" s="193"/>
    </row>
    <row r="682">
      <c r="B682" s="192"/>
      <c r="D682" s="193"/>
      <c r="F682" s="193"/>
    </row>
    <row r="683">
      <c r="B683" s="192"/>
      <c r="D683" s="193"/>
      <c r="F683" s="193"/>
    </row>
    <row r="684">
      <c r="B684" s="192"/>
      <c r="D684" s="193"/>
      <c r="F684" s="193"/>
    </row>
    <row r="685">
      <c r="B685" s="192"/>
      <c r="D685" s="193"/>
      <c r="F685" s="193"/>
    </row>
    <row r="686">
      <c r="B686" s="192"/>
      <c r="D686" s="193"/>
      <c r="F686" s="193"/>
    </row>
    <row r="687">
      <c r="B687" s="192"/>
      <c r="D687" s="193"/>
      <c r="F687" s="193"/>
    </row>
    <row r="688">
      <c r="B688" s="192"/>
      <c r="D688" s="193"/>
      <c r="F688" s="193"/>
    </row>
    <row r="689">
      <c r="B689" s="192"/>
      <c r="D689" s="193"/>
      <c r="F689" s="193"/>
    </row>
    <row r="690">
      <c r="B690" s="192"/>
      <c r="D690" s="193"/>
      <c r="F690" s="193"/>
    </row>
    <row r="691">
      <c r="B691" s="192"/>
      <c r="D691" s="193"/>
      <c r="F691" s="193"/>
    </row>
    <row r="692">
      <c r="B692" s="192"/>
      <c r="D692" s="193"/>
      <c r="F692" s="193"/>
    </row>
    <row r="693">
      <c r="B693" s="192"/>
      <c r="D693" s="193"/>
      <c r="F693" s="193"/>
    </row>
    <row r="694">
      <c r="B694" s="192"/>
      <c r="D694" s="193"/>
      <c r="F694" s="193"/>
    </row>
    <row r="695">
      <c r="B695" s="192"/>
      <c r="D695" s="193"/>
      <c r="F695" s="193"/>
    </row>
    <row r="696">
      <c r="B696" s="192"/>
      <c r="D696" s="193"/>
      <c r="F696" s="193"/>
    </row>
    <row r="697">
      <c r="B697" s="192"/>
      <c r="D697" s="193"/>
      <c r="F697" s="193"/>
    </row>
    <row r="698">
      <c r="B698" s="192"/>
      <c r="D698" s="193"/>
      <c r="F698" s="193"/>
    </row>
    <row r="699">
      <c r="B699" s="192"/>
      <c r="D699" s="193"/>
      <c r="F699" s="193"/>
    </row>
    <row r="700">
      <c r="B700" s="192"/>
      <c r="D700" s="193"/>
      <c r="F700" s="193"/>
    </row>
    <row r="701">
      <c r="B701" s="192"/>
      <c r="D701" s="193"/>
      <c r="F701" s="193"/>
    </row>
    <row r="702">
      <c r="B702" s="192"/>
      <c r="D702" s="193"/>
      <c r="F702" s="193"/>
    </row>
    <row r="703">
      <c r="B703" s="192"/>
      <c r="D703" s="193"/>
      <c r="F703" s="193"/>
    </row>
    <row r="704">
      <c r="B704" s="192"/>
      <c r="D704" s="193"/>
      <c r="F704" s="193"/>
    </row>
    <row r="705">
      <c r="B705" s="192"/>
      <c r="D705" s="193"/>
      <c r="F705" s="193"/>
    </row>
    <row r="706">
      <c r="B706" s="192"/>
      <c r="D706" s="193"/>
      <c r="F706" s="193"/>
    </row>
    <row r="707">
      <c r="B707" s="192"/>
      <c r="D707" s="193"/>
      <c r="F707" s="193"/>
    </row>
    <row r="708">
      <c r="B708" s="192"/>
      <c r="D708" s="193"/>
      <c r="F708" s="193"/>
    </row>
    <row r="709">
      <c r="B709" s="192"/>
      <c r="D709" s="193"/>
      <c r="F709" s="193"/>
    </row>
    <row r="710">
      <c r="B710" s="192"/>
      <c r="D710" s="193"/>
      <c r="F710" s="193"/>
    </row>
    <row r="711">
      <c r="B711" s="192"/>
      <c r="D711" s="193"/>
      <c r="F711" s="193"/>
    </row>
    <row r="712">
      <c r="B712" s="192"/>
      <c r="D712" s="193"/>
      <c r="F712" s="193"/>
    </row>
    <row r="713">
      <c r="B713" s="192"/>
      <c r="D713" s="193"/>
      <c r="F713" s="193"/>
    </row>
    <row r="714">
      <c r="B714" s="192"/>
      <c r="D714" s="193"/>
      <c r="F714" s="193"/>
    </row>
    <row r="715">
      <c r="B715" s="192"/>
      <c r="D715" s="193"/>
      <c r="F715" s="193"/>
    </row>
    <row r="716">
      <c r="B716" s="192"/>
      <c r="D716" s="193"/>
      <c r="F716" s="193"/>
    </row>
    <row r="717">
      <c r="B717" s="192"/>
      <c r="D717" s="193"/>
      <c r="F717" s="193"/>
    </row>
    <row r="718">
      <c r="B718" s="192"/>
      <c r="D718" s="193"/>
      <c r="F718" s="193"/>
    </row>
    <row r="719">
      <c r="B719" s="192"/>
      <c r="D719" s="193"/>
      <c r="F719" s="193"/>
    </row>
    <row r="720">
      <c r="B720" s="192"/>
      <c r="D720" s="193"/>
      <c r="F720" s="193"/>
    </row>
    <row r="721">
      <c r="B721" s="192"/>
      <c r="D721" s="193"/>
      <c r="F721" s="193"/>
    </row>
    <row r="722">
      <c r="B722" s="192"/>
      <c r="D722" s="193"/>
      <c r="F722" s="193"/>
    </row>
    <row r="723">
      <c r="B723" s="192"/>
      <c r="D723" s="193"/>
      <c r="F723" s="193"/>
    </row>
    <row r="724">
      <c r="B724" s="192"/>
      <c r="D724" s="193"/>
      <c r="F724" s="193"/>
    </row>
    <row r="725">
      <c r="B725" s="192"/>
      <c r="D725" s="193"/>
      <c r="F725" s="193"/>
    </row>
    <row r="726">
      <c r="B726" s="192"/>
      <c r="D726" s="193"/>
      <c r="F726" s="193"/>
    </row>
    <row r="727">
      <c r="B727" s="192"/>
      <c r="D727" s="193"/>
      <c r="F727" s="193"/>
    </row>
    <row r="728">
      <c r="B728" s="192"/>
      <c r="D728" s="193"/>
      <c r="F728" s="193"/>
    </row>
    <row r="729">
      <c r="B729" s="192"/>
      <c r="D729" s="193"/>
      <c r="F729" s="193"/>
    </row>
    <row r="730">
      <c r="B730" s="192"/>
      <c r="D730" s="193"/>
      <c r="F730" s="193"/>
    </row>
    <row r="731">
      <c r="B731" s="192"/>
      <c r="D731" s="193"/>
      <c r="F731" s="193"/>
    </row>
    <row r="732">
      <c r="B732" s="192"/>
      <c r="D732" s="193"/>
      <c r="F732" s="193"/>
    </row>
    <row r="733">
      <c r="B733" s="192"/>
      <c r="D733" s="193"/>
      <c r="F733" s="193"/>
    </row>
    <row r="734">
      <c r="B734" s="192"/>
      <c r="D734" s="193"/>
      <c r="F734" s="193"/>
    </row>
    <row r="735">
      <c r="B735" s="192"/>
      <c r="D735" s="193"/>
      <c r="F735" s="193"/>
    </row>
    <row r="736">
      <c r="B736" s="192"/>
      <c r="D736" s="193"/>
      <c r="F736" s="193"/>
    </row>
    <row r="737">
      <c r="B737" s="192"/>
      <c r="D737" s="193"/>
      <c r="F737" s="193"/>
    </row>
    <row r="738">
      <c r="B738" s="192"/>
      <c r="D738" s="193"/>
      <c r="F738" s="193"/>
    </row>
    <row r="739">
      <c r="B739" s="192"/>
      <c r="D739" s="193"/>
      <c r="F739" s="193"/>
    </row>
    <row r="740">
      <c r="B740" s="192"/>
      <c r="D740" s="193"/>
      <c r="F740" s="193"/>
    </row>
    <row r="741">
      <c r="B741" s="192"/>
      <c r="D741" s="193"/>
      <c r="F741" s="193"/>
    </row>
    <row r="742">
      <c r="B742" s="192"/>
      <c r="D742" s="193"/>
      <c r="F742" s="193"/>
    </row>
    <row r="743">
      <c r="B743" s="192"/>
      <c r="D743" s="193"/>
      <c r="F743" s="193"/>
    </row>
    <row r="744">
      <c r="B744" s="192"/>
      <c r="D744" s="193"/>
      <c r="F744" s="193"/>
    </row>
    <row r="745">
      <c r="B745" s="192"/>
      <c r="D745" s="193"/>
      <c r="F745" s="193"/>
    </row>
    <row r="746">
      <c r="B746" s="192"/>
      <c r="D746" s="193"/>
      <c r="F746" s="193"/>
    </row>
    <row r="747">
      <c r="B747" s="192"/>
      <c r="D747" s="193"/>
      <c r="F747" s="193"/>
    </row>
    <row r="748">
      <c r="B748" s="192"/>
      <c r="D748" s="193"/>
      <c r="F748" s="193"/>
    </row>
    <row r="749">
      <c r="B749" s="192"/>
      <c r="D749" s="193"/>
      <c r="F749" s="193"/>
    </row>
    <row r="750">
      <c r="B750" s="192"/>
      <c r="D750" s="193"/>
      <c r="F750" s="193"/>
    </row>
    <row r="751">
      <c r="B751" s="192"/>
      <c r="D751" s="193"/>
      <c r="F751" s="193"/>
    </row>
    <row r="752">
      <c r="B752" s="192"/>
      <c r="D752" s="193"/>
      <c r="F752" s="193"/>
    </row>
    <row r="753">
      <c r="B753" s="192"/>
      <c r="D753" s="193"/>
      <c r="F753" s="193"/>
    </row>
    <row r="754">
      <c r="B754" s="192"/>
      <c r="D754" s="193"/>
      <c r="F754" s="193"/>
    </row>
    <row r="755">
      <c r="B755" s="192"/>
      <c r="D755" s="193"/>
      <c r="F755" s="193"/>
    </row>
    <row r="756">
      <c r="B756" s="192"/>
      <c r="D756" s="193"/>
      <c r="F756" s="193"/>
    </row>
    <row r="757">
      <c r="B757" s="192"/>
      <c r="D757" s="193"/>
      <c r="F757" s="193"/>
    </row>
    <row r="758">
      <c r="B758" s="192"/>
      <c r="D758" s="193"/>
      <c r="F758" s="193"/>
    </row>
    <row r="759">
      <c r="B759" s="192"/>
      <c r="D759" s="193"/>
      <c r="F759" s="193"/>
    </row>
    <row r="760">
      <c r="B760" s="192"/>
      <c r="D760" s="193"/>
      <c r="F760" s="193"/>
    </row>
    <row r="761">
      <c r="B761" s="192"/>
      <c r="D761" s="193"/>
      <c r="F761" s="193"/>
    </row>
    <row r="762">
      <c r="B762" s="192"/>
      <c r="D762" s="193"/>
      <c r="F762" s="193"/>
    </row>
    <row r="763">
      <c r="B763" s="192"/>
      <c r="D763" s="193"/>
      <c r="F763" s="193"/>
    </row>
    <row r="764">
      <c r="B764" s="192"/>
      <c r="D764" s="193"/>
      <c r="F764" s="193"/>
    </row>
    <row r="765">
      <c r="B765" s="192"/>
      <c r="D765" s="193"/>
      <c r="F765" s="193"/>
    </row>
    <row r="766">
      <c r="B766" s="192"/>
      <c r="D766" s="193"/>
      <c r="F766" s="193"/>
    </row>
    <row r="767">
      <c r="B767" s="192"/>
      <c r="D767" s="193"/>
      <c r="F767" s="193"/>
    </row>
    <row r="768">
      <c r="B768" s="192"/>
      <c r="D768" s="193"/>
      <c r="F768" s="193"/>
    </row>
    <row r="769">
      <c r="B769" s="192"/>
      <c r="D769" s="193"/>
      <c r="F769" s="193"/>
    </row>
    <row r="770">
      <c r="B770" s="192"/>
      <c r="D770" s="193"/>
      <c r="F770" s="193"/>
    </row>
    <row r="771">
      <c r="B771" s="192"/>
      <c r="D771" s="193"/>
      <c r="F771" s="193"/>
    </row>
    <row r="772">
      <c r="B772" s="192"/>
      <c r="D772" s="193"/>
      <c r="F772" s="193"/>
    </row>
    <row r="773">
      <c r="B773" s="192"/>
      <c r="D773" s="193"/>
      <c r="F773" s="193"/>
    </row>
    <row r="774">
      <c r="B774" s="192"/>
      <c r="D774" s="193"/>
      <c r="F774" s="193"/>
    </row>
    <row r="775">
      <c r="B775" s="192"/>
      <c r="D775" s="193"/>
      <c r="F775" s="193"/>
    </row>
    <row r="776">
      <c r="B776" s="192"/>
      <c r="D776" s="193"/>
      <c r="F776" s="193"/>
    </row>
    <row r="777">
      <c r="B777" s="192"/>
      <c r="D777" s="193"/>
      <c r="F777" s="193"/>
    </row>
    <row r="778">
      <c r="B778" s="192"/>
      <c r="D778" s="193"/>
      <c r="F778" s="193"/>
    </row>
    <row r="779">
      <c r="B779" s="192"/>
      <c r="D779" s="193"/>
      <c r="F779" s="193"/>
    </row>
    <row r="780">
      <c r="B780" s="192"/>
      <c r="D780" s="193"/>
      <c r="F780" s="193"/>
    </row>
    <row r="781">
      <c r="B781" s="192"/>
      <c r="D781" s="193"/>
      <c r="F781" s="193"/>
    </row>
    <row r="782">
      <c r="B782" s="192"/>
      <c r="D782" s="193"/>
      <c r="F782" s="193"/>
    </row>
    <row r="783">
      <c r="B783" s="192"/>
      <c r="D783" s="193"/>
      <c r="F783" s="193"/>
    </row>
    <row r="784">
      <c r="B784" s="192"/>
      <c r="D784" s="193"/>
      <c r="F784" s="193"/>
    </row>
    <row r="785">
      <c r="B785" s="192"/>
      <c r="D785" s="193"/>
      <c r="F785" s="193"/>
    </row>
    <row r="786">
      <c r="B786" s="192"/>
      <c r="D786" s="193"/>
      <c r="F786" s="193"/>
    </row>
    <row r="787">
      <c r="B787" s="192"/>
      <c r="D787" s="193"/>
      <c r="F787" s="193"/>
    </row>
    <row r="788">
      <c r="B788" s="192"/>
      <c r="D788" s="193"/>
      <c r="F788" s="193"/>
    </row>
    <row r="789">
      <c r="B789" s="192"/>
      <c r="D789" s="193"/>
      <c r="F789" s="193"/>
    </row>
    <row r="790">
      <c r="B790" s="192"/>
      <c r="D790" s="193"/>
      <c r="F790" s="193"/>
    </row>
    <row r="791">
      <c r="B791" s="192"/>
      <c r="D791" s="193"/>
      <c r="F791" s="193"/>
    </row>
    <row r="792">
      <c r="B792" s="192"/>
      <c r="D792" s="193"/>
      <c r="F792" s="193"/>
    </row>
    <row r="793">
      <c r="B793" s="192"/>
      <c r="D793" s="193"/>
      <c r="F793" s="193"/>
    </row>
    <row r="794">
      <c r="B794" s="192"/>
      <c r="D794" s="193"/>
      <c r="F794" s="193"/>
    </row>
    <row r="795">
      <c r="B795" s="192"/>
      <c r="D795" s="193"/>
      <c r="F795" s="193"/>
    </row>
    <row r="796">
      <c r="B796" s="192"/>
      <c r="D796" s="193"/>
      <c r="F796" s="193"/>
    </row>
    <row r="797">
      <c r="B797" s="192"/>
      <c r="D797" s="193"/>
      <c r="F797" s="193"/>
    </row>
    <row r="798">
      <c r="B798" s="192"/>
      <c r="D798" s="193"/>
      <c r="F798" s="193"/>
    </row>
    <row r="799">
      <c r="B799" s="192"/>
      <c r="D799" s="193"/>
      <c r="F799" s="193"/>
    </row>
    <row r="800">
      <c r="B800" s="192"/>
      <c r="D800" s="193"/>
      <c r="F800" s="193"/>
    </row>
    <row r="801">
      <c r="B801" s="192"/>
      <c r="D801" s="193"/>
      <c r="F801" s="193"/>
    </row>
    <row r="802">
      <c r="B802" s="192"/>
      <c r="D802" s="193"/>
      <c r="F802" s="193"/>
    </row>
    <row r="803">
      <c r="B803" s="192"/>
      <c r="D803" s="193"/>
      <c r="F803" s="193"/>
    </row>
    <row r="804">
      <c r="B804" s="192"/>
      <c r="D804" s="193"/>
      <c r="F804" s="193"/>
    </row>
    <row r="805">
      <c r="B805" s="192"/>
      <c r="D805" s="193"/>
      <c r="F805" s="193"/>
    </row>
    <row r="806">
      <c r="B806" s="192"/>
      <c r="D806" s="193"/>
      <c r="F806" s="193"/>
    </row>
    <row r="807">
      <c r="B807" s="192"/>
      <c r="D807" s="193"/>
      <c r="F807" s="193"/>
    </row>
    <row r="808">
      <c r="B808" s="192"/>
      <c r="D808" s="193"/>
      <c r="F808" s="193"/>
    </row>
    <row r="809">
      <c r="B809" s="192"/>
      <c r="D809" s="193"/>
      <c r="F809" s="193"/>
    </row>
    <row r="810">
      <c r="B810" s="192"/>
      <c r="D810" s="193"/>
      <c r="F810" s="193"/>
    </row>
    <row r="811">
      <c r="B811" s="192"/>
      <c r="D811" s="193"/>
      <c r="F811" s="193"/>
    </row>
    <row r="812">
      <c r="B812" s="192"/>
      <c r="D812" s="193"/>
      <c r="F812" s="193"/>
    </row>
    <row r="813">
      <c r="B813" s="192"/>
      <c r="D813" s="193"/>
      <c r="F813" s="193"/>
    </row>
    <row r="814">
      <c r="B814" s="192"/>
      <c r="D814" s="193"/>
      <c r="F814" s="193"/>
    </row>
    <row r="815">
      <c r="B815" s="192"/>
      <c r="D815" s="193"/>
      <c r="F815" s="193"/>
    </row>
    <row r="816">
      <c r="B816" s="192"/>
      <c r="D816" s="193"/>
      <c r="F816" s="193"/>
    </row>
    <row r="817">
      <c r="B817" s="192"/>
      <c r="D817" s="193"/>
      <c r="F817" s="193"/>
    </row>
    <row r="818">
      <c r="B818" s="192"/>
      <c r="D818" s="193"/>
      <c r="F818" s="193"/>
    </row>
    <row r="819">
      <c r="B819" s="192"/>
      <c r="D819" s="193"/>
      <c r="F819" s="193"/>
    </row>
    <row r="820">
      <c r="B820" s="192"/>
      <c r="D820" s="193"/>
      <c r="F820" s="193"/>
    </row>
    <row r="821">
      <c r="B821" s="192"/>
      <c r="D821" s="193"/>
      <c r="F821" s="193"/>
    </row>
    <row r="822">
      <c r="B822" s="192"/>
      <c r="D822" s="193"/>
      <c r="F822" s="193"/>
    </row>
    <row r="823">
      <c r="B823" s="192"/>
      <c r="D823" s="193"/>
      <c r="F823" s="193"/>
    </row>
    <row r="824">
      <c r="B824" s="192"/>
      <c r="D824" s="193"/>
      <c r="F824" s="193"/>
    </row>
    <row r="825">
      <c r="B825" s="192"/>
      <c r="D825" s="193"/>
      <c r="F825" s="193"/>
    </row>
    <row r="826">
      <c r="B826" s="192"/>
      <c r="D826" s="193"/>
      <c r="F826" s="193"/>
    </row>
    <row r="827">
      <c r="B827" s="192"/>
      <c r="D827" s="193"/>
      <c r="F827" s="193"/>
    </row>
    <row r="828">
      <c r="B828" s="192"/>
      <c r="D828" s="193"/>
      <c r="F828" s="193"/>
    </row>
    <row r="829">
      <c r="B829" s="192"/>
      <c r="D829" s="193"/>
      <c r="F829" s="193"/>
    </row>
    <row r="830">
      <c r="B830" s="192"/>
      <c r="D830" s="193"/>
      <c r="F830" s="193"/>
    </row>
    <row r="831">
      <c r="B831" s="192"/>
      <c r="D831" s="193"/>
      <c r="F831" s="193"/>
    </row>
    <row r="832">
      <c r="B832" s="192"/>
      <c r="D832" s="193"/>
      <c r="F832" s="193"/>
    </row>
    <row r="833">
      <c r="B833" s="192"/>
      <c r="D833" s="193"/>
      <c r="F833" s="193"/>
    </row>
    <row r="834">
      <c r="B834" s="192"/>
      <c r="D834" s="193"/>
      <c r="F834" s="193"/>
    </row>
    <row r="835">
      <c r="B835" s="192"/>
      <c r="D835" s="193"/>
      <c r="F835" s="193"/>
    </row>
    <row r="836">
      <c r="B836" s="192"/>
      <c r="D836" s="193"/>
      <c r="F836" s="193"/>
    </row>
    <row r="837">
      <c r="B837" s="192"/>
      <c r="D837" s="193"/>
      <c r="F837" s="193"/>
    </row>
    <row r="838">
      <c r="B838" s="192"/>
      <c r="D838" s="193"/>
      <c r="F838" s="193"/>
    </row>
    <row r="839">
      <c r="B839" s="192"/>
      <c r="D839" s="193"/>
      <c r="F839" s="193"/>
    </row>
    <row r="840">
      <c r="B840" s="192"/>
      <c r="D840" s="193"/>
      <c r="F840" s="193"/>
    </row>
    <row r="841">
      <c r="B841" s="192"/>
      <c r="D841" s="193"/>
      <c r="F841" s="193"/>
    </row>
    <row r="842">
      <c r="B842" s="192"/>
      <c r="D842" s="193"/>
      <c r="F842" s="193"/>
    </row>
    <row r="843">
      <c r="B843" s="192"/>
      <c r="D843" s="193"/>
      <c r="F843" s="193"/>
    </row>
    <row r="844">
      <c r="B844" s="192"/>
      <c r="D844" s="193"/>
      <c r="F844" s="193"/>
    </row>
    <row r="845">
      <c r="B845" s="192"/>
      <c r="D845" s="193"/>
      <c r="F845" s="193"/>
    </row>
    <row r="846">
      <c r="B846" s="192"/>
      <c r="D846" s="193"/>
      <c r="F846" s="193"/>
    </row>
    <row r="847">
      <c r="B847" s="192"/>
      <c r="D847" s="193"/>
      <c r="F847" s="193"/>
    </row>
    <row r="848">
      <c r="B848" s="192"/>
      <c r="D848" s="193"/>
      <c r="F848" s="193"/>
    </row>
    <row r="849">
      <c r="B849" s="192"/>
      <c r="D849" s="193"/>
      <c r="F849" s="193"/>
    </row>
    <row r="850">
      <c r="B850" s="192"/>
      <c r="D850" s="193"/>
      <c r="F850" s="193"/>
    </row>
    <row r="851">
      <c r="B851" s="192"/>
      <c r="D851" s="193"/>
      <c r="F851" s="193"/>
    </row>
    <row r="852">
      <c r="B852" s="192"/>
      <c r="D852" s="193"/>
      <c r="F852" s="193"/>
    </row>
    <row r="853">
      <c r="B853" s="192"/>
      <c r="D853" s="193"/>
      <c r="F853" s="193"/>
    </row>
    <row r="854">
      <c r="B854" s="192"/>
      <c r="D854" s="193"/>
      <c r="F854" s="193"/>
    </row>
    <row r="855">
      <c r="B855" s="192"/>
      <c r="D855" s="193"/>
      <c r="F855" s="193"/>
    </row>
    <row r="856">
      <c r="B856" s="192"/>
      <c r="D856" s="193"/>
      <c r="F856" s="193"/>
    </row>
    <row r="857">
      <c r="B857" s="192"/>
      <c r="D857" s="193"/>
      <c r="F857" s="193"/>
    </row>
    <row r="858">
      <c r="B858" s="192"/>
      <c r="D858" s="193"/>
      <c r="F858" s="193"/>
    </row>
    <row r="859">
      <c r="B859" s="192"/>
      <c r="D859" s="193"/>
      <c r="F859" s="193"/>
    </row>
    <row r="860">
      <c r="B860" s="192"/>
      <c r="D860" s="193"/>
      <c r="F860" s="193"/>
    </row>
    <row r="861">
      <c r="B861" s="192"/>
      <c r="D861" s="193"/>
      <c r="F861" s="193"/>
    </row>
    <row r="862">
      <c r="B862" s="192"/>
      <c r="D862" s="193"/>
      <c r="F862" s="193"/>
    </row>
    <row r="863">
      <c r="B863" s="192"/>
      <c r="D863" s="193"/>
      <c r="F863" s="193"/>
    </row>
    <row r="864">
      <c r="B864" s="192"/>
      <c r="D864" s="193"/>
      <c r="F864" s="193"/>
    </row>
    <row r="865">
      <c r="B865" s="192"/>
      <c r="D865" s="193"/>
      <c r="F865" s="193"/>
    </row>
    <row r="866">
      <c r="B866" s="192"/>
      <c r="D866" s="193"/>
      <c r="F866" s="193"/>
    </row>
    <row r="867">
      <c r="B867" s="192"/>
      <c r="D867" s="193"/>
      <c r="F867" s="193"/>
    </row>
    <row r="868">
      <c r="B868" s="192"/>
      <c r="D868" s="193"/>
      <c r="F868" s="193"/>
    </row>
    <row r="869">
      <c r="B869" s="192"/>
      <c r="D869" s="193"/>
      <c r="F869" s="193"/>
    </row>
    <row r="870">
      <c r="B870" s="192"/>
      <c r="D870" s="193"/>
      <c r="F870" s="193"/>
    </row>
    <row r="871">
      <c r="B871" s="192"/>
      <c r="D871" s="193"/>
      <c r="F871" s="193"/>
    </row>
    <row r="872">
      <c r="B872" s="192"/>
      <c r="D872" s="193"/>
      <c r="F872" s="193"/>
    </row>
    <row r="873">
      <c r="B873" s="192"/>
      <c r="D873" s="193"/>
      <c r="F873" s="193"/>
    </row>
    <row r="874">
      <c r="B874" s="192"/>
      <c r="D874" s="193"/>
      <c r="F874" s="193"/>
    </row>
    <row r="875">
      <c r="B875" s="192"/>
      <c r="D875" s="193"/>
      <c r="F875" s="193"/>
    </row>
    <row r="876">
      <c r="B876" s="192"/>
      <c r="D876" s="193"/>
      <c r="F876" s="193"/>
    </row>
    <row r="877">
      <c r="B877" s="192"/>
      <c r="D877" s="193"/>
      <c r="F877" s="193"/>
    </row>
    <row r="878">
      <c r="B878" s="192"/>
      <c r="D878" s="193"/>
      <c r="F878" s="193"/>
    </row>
    <row r="879">
      <c r="B879" s="192"/>
      <c r="D879" s="193"/>
      <c r="F879" s="193"/>
    </row>
    <row r="880">
      <c r="B880" s="192"/>
      <c r="D880" s="193"/>
      <c r="F880" s="193"/>
    </row>
    <row r="881">
      <c r="B881" s="192"/>
      <c r="D881" s="193"/>
      <c r="F881" s="193"/>
    </row>
    <row r="882">
      <c r="B882" s="192"/>
      <c r="D882" s="193"/>
      <c r="F882" s="193"/>
    </row>
    <row r="883">
      <c r="B883" s="192"/>
      <c r="D883" s="193"/>
      <c r="F883" s="193"/>
    </row>
    <row r="884">
      <c r="B884" s="192"/>
      <c r="D884" s="193"/>
      <c r="F884" s="193"/>
    </row>
    <row r="885">
      <c r="B885" s="192"/>
      <c r="D885" s="193"/>
      <c r="F885" s="193"/>
    </row>
    <row r="886">
      <c r="B886" s="192"/>
      <c r="D886" s="193"/>
      <c r="F886" s="193"/>
    </row>
    <row r="887">
      <c r="B887" s="192"/>
      <c r="D887" s="193"/>
      <c r="F887" s="193"/>
    </row>
    <row r="888">
      <c r="B888" s="192"/>
      <c r="D888" s="193"/>
      <c r="F888" s="193"/>
    </row>
    <row r="889">
      <c r="B889" s="192"/>
      <c r="D889" s="193"/>
      <c r="F889" s="193"/>
    </row>
    <row r="890">
      <c r="B890" s="192"/>
      <c r="D890" s="193"/>
      <c r="F890" s="193"/>
    </row>
    <row r="891">
      <c r="B891" s="192"/>
      <c r="D891" s="193"/>
      <c r="F891" s="193"/>
    </row>
    <row r="892">
      <c r="B892" s="192"/>
      <c r="D892" s="193"/>
      <c r="F892" s="193"/>
    </row>
    <row r="893">
      <c r="B893" s="192"/>
      <c r="D893" s="193"/>
      <c r="F893" s="193"/>
    </row>
    <row r="894">
      <c r="B894" s="192"/>
      <c r="D894" s="193"/>
      <c r="F894" s="193"/>
    </row>
    <row r="895">
      <c r="B895" s="192"/>
      <c r="D895" s="193"/>
      <c r="F895" s="193"/>
    </row>
    <row r="896">
      <c r="B896" s="192"/>
      <c r="D896" s="193"/>
      <c r="F896" s="193"/>
    </row>
    <row r="897">
      <c r="B897" s="192"/>
      <c r="D897" s="193"/>
      <c r="F897" s="193"/>
    </row>
    <row r="898">
      <c r="B898" s="192"/>
      <c r="D898" s="193"/>
      <c r="F898" s="193"/>
    </row>
    <row r="899">
      <c r="B899" s="192"/>
      <c r="D899" s="193"/>
      <c r="F899" s="193"/>
    </row>
    <row r="900">
      <c r="B900" s="192"/>
      <c r="D900" s="193"/>
      <c r="F900" s="193"/>
    </row>
    <row r="901">
      <c r="B901" s="192"/>
      <c r="D901" s="193"/>
      <c r="F901" s="193"/>
    </row>
    <row r="902">
      <c r="B902" s="192"/>
      <c r="D902" s="193"/>
      <c r="F902" s="193"/>
    </row>
    <row r="903">
      <c r="B903" s="192"/>
      <c r="D903" s="193"/>
      <c r="F903" s="193"/>
    </row>
    <row r="904">
      <c r="B904" s="192"/>
      <c r="D904" s="193"/>
      <c r="F904" s="193"/>
    </row>
    <row r="905">
      <c r="B905" s="192"/>
      <c r="D905" s="193"/>
      <c r="F905" s="193"/>
    </row>
    <row r="906">
      <c r="B906" s="192"/>
      <c r="D906" s="193"/>
      <c r="F906" s="193"/>
    </row>
    <row r="907">
      <c r="B907" s="192"/>
      <c r="D907" s="193"/>
      <c r="F907" s="193"/>
    </row>
    <row r="908">
      <c r="B908" s="192"/>
      <c r="D908" s="193"/>
      <c r="F908" s="193"/>
    </row>
    <row r="909">
      <c r="B909" s="192"/>
      <c r="D909" s="193"/>
      <c r="F909" s="193"/>
    </row>
    <row r="910">
      <c r="B910" s="192"/>
      <c r="D910" s="193"/>
      <c r="F910" s="193"/>
    </row>
    <row r="911">
      <c r="B911" s="192"/>
      <c r="D911" s="193"/>
      <c r="F911" s="193"/>
    </row>
    <row r="912">
      <c r="B912" s="192"/>
      <c r="D912" s="193"/>
      <c r="F912" s="193"/>
    </row>
    <row r="913">
      <c r="B913" s="192"/>
      <c r="D913" s="193"/>
      <c r="F913" s="193"/>
    </row>
    <row r="914">
      <c r="B914" s="192"/>
      <c r="D914" s="193"/>
      <c r="F914" s="193"/>
    </row>
    <row r="915">
      <c r="B915" s="192"/>
      <c r="D915" s="193"/>
      <c r="F915" s="193"/>
    </row>
    <row r="916">
      <c r="B916" s="192"/>
      <c r="D916" s="193"/>
      <c r="F916" s="193"/>
    </row>
    <row r="917">
      <c r="B917" s="192"/>
      <c r="D917" s="193"/>
      <c r="F917" s="193"/>
    </row>
    <row r="918">
      <c r="B918" s="192"/>
      <c r="D918" s="193"/>
      <c r="F918" s="193"/>
    </row>
    <row r="919">
      <c r="B919" s="192"/>
      <c r="D919" s="193"/>
      <c r="F919" s="193"/>
    </row>
    <row r="920">
      <c r="B920" s="192"/>
      <c r="D920" s="193"/>
      <c r="F920" s="193"/>
    </row>
    <row r="921">
      <c r="B921" s="192"/>
      <c r="D921" s="193"/>
      <c r="F921" s="193"/>
    </row>
    <row r="922">
      <c r="B922" s="192"/>
      <c r="D922" s="193"/>
      <c r="F922" s="193"/>
    </row>
    <row r="923">
      <c r="B923" s="192"/>
      <c r="D923" s="193"/>
      <c r="F923" s="193"/>
    </row>
    <row r="924">
      <c r="B924" s="192"/>
      <c r="D924" s="193"/>
      <c r="F924" s="193"/>
    </row>
    <row r="925">
      <c r="B925" s="192"/>
      <c r="D925" s="193"/>
      <c r="F925" s="193"/>
    </row>
    <row r="926">
      <c r="B926" s="192"/>
      <c r="D926" s="193"/>
      <c r="F926" s="193"/>
    </row>
    <row r="927">
      <c r="B927" s="192"/>
      <c r="D927" s="193"/>
      <c r="F927" s="193"/>
    </row>
    <row r="928">
      <c r="B928" s="192"/>
      <c r="D928" s="193"/>
      <c r="F928" s="193"/>
    </row>
    <row r="929">
      <c r="B929" s="192"/>
      <c r="D929" s="193"/>
      <c r="F929" s="193"/>
    </row>
    <row r="930">
      <c r="B930" s="192"/>
      <c r="D930" s="193"/>
      <c r="F930" s="193"/>
    </row>
    <row r="931">
      <c r="B931" s="192"/>
      <c r="D931" s="193"/>
      <c r="F931" s="193"/>
    </row>
    <row r="932">
      <c r="B932" s="192"/>
      <c r="D932" s="193"/>
      <c r="F932" s="193"/>
    </row>
    <row r="933">
      <c r="B933" s="192"/>
      <c r="D933" s="193"/>
      <c r="F933" s="193"/>
    </row>
    <row r="934">
      <c r="B934" s="192"/>
      <c r="D934" s="193"/>
      <c r="F934" s="193"/>
    </row>
    <row r="935">
      <c r="B935" s="192"/>
      <c r="D935" s="193"/>
      <c r="F935" s="193"/>
    </row>
    <row r="936">
      <c r="B936" s="192"/>
      <c r="D936" s="193"/>
      <c r="F936" s="193"/>
    </row>
    <row r="937">
      <c r="B937" s="192"/>
      <c r="D937" s="193"/>
      <c r="F937" s="193"/>
    </row>
    <row r="938">
      <c r="B938" s="192"/>
      <c r="D938" s="193"/>
      <c r="F938" s="193"/>
    </row>
    <row r="939">
      <c r="B939" s="192"/>
      <c r="D939" s="193"/>
      <c r="F939" s="193"/>
    </row>
    <row r="940">
      <c r="B940" s="192"/>
      <c r="D940" s="193"/>
      <c r="F940" s="193"/>
    </row>
    <row r="941">
      <c r="B941" s="192"/>
      <c r="D941" s="193"/>
      <c r="F941" s="193"/>
    </row>
    <row r="942">
      <c r="B942" s="192"/>
      <c r="D942" s="193"/>
      <c r="F942" s="193"/>
    </row>
    <row r="943">
      <c r="B943" s="192"/>
      <c r="D943" s="193"/>
      <c r="F943" s="193"/>
    </row>
    <row r="944">
      <c r="B944" s="192"/>
      <c r="D944" s="193"/>
      <c r="F944" s="193"/>
    </row>
    <row r="945">
      <c r="B945" s="192"/>
      <c r="D945" s="193"/>
      <c r="F945" s="193"/>
    </row>
    <row r="946">
      <c r="B946" s="192"/>
      <c r="D946" s="193"/>
      <c r="F946" s="193"/>
    </row>
    <row r="947">
      <c r="B947" s="192"/>
      <c r="D947" s="193"/>
      <c r="F947" s="193"/>
    </row>
    <row r="948">
      <c r="B948" s="192"/>
      <c r="D948" s="193"/>
      <c r="F948" s="193"/>
    </row>
    <row r="949">
      <c r="B949" s="192"/>
      <c r="D949" s="193"/>
      <c r="F949" s="193"/>
    </row>
    <row r="950">
      <c r="B950" s="192"/>
      <c r="D950" s="193"/>
      <c r="F950" s="193"/>
    </row>
    <row r="951">
      <c r="B951" s="192"/>
      <c r="D951" s="193"/>
      <c r="F951" s="193"/>
    </row>
    <row r="952">
      <c r="B952" s="192"/>
      <c r="D952" s="193"/>
      <c r="F952" s="193"/>
    </row>
    <row r="953">
      <c r="B953" s="192"/>
      <c r="D953" s="193"/>
      <c r="F953" s="193"/>
    </row>
    <row r="954">
      <c r="B954" s="192"/>
      <c r="D954" s="193"/>
      <c r="F954" s="193"/>
    </row>
    <row r="955">
      <c r="B955" s="192"/>
      <c r="D955" s="193"/>
      <c r="F955" s="193"/>
    </row>
    <row r="956">
      <c r="B956" s="192"/>
      <c r="D956" s="193"/>
      <c r="F956" s="193"/>
    </row>
    <row r="957">
      <c r="B957" s="192"/>
      <c r="D957" s="193"/>
      <c r="F957" s="193"/>
    </row>
    <row r="958">
      <c r="B958" s="192"/>
      <c r="D958" s="193"/>
      <c r="F958" s="193"/>
    </row>
    <row r="959">
      <c r="B959" s="192"/>
      <c r="D959" s="193"/>
      <c r="F959" s="193"/>
    </row>
    <row r="960">
      <c r="B960" s="192"/>
      <c r="D960" s="193"/>
      <c r="F960" s="193"/>
    </row>
    <row r="961">
      <c r="B961" s="192"/>
      <c r="D961" s="193"/>
      <c r="F961" s="193"/>
    </row>
    <row r="962">
      <c r="B962" s="192"/>
      <c r="D962" s="193"/>
      <c r="F962" s="193"/>
    </row>
    <row r="963">
      <c r="B963" s="192"/>
      <c r="D963" s="193"/>
      <c r="F963" s="193"/>
    </row>
    <row r="964">
      <c r="B964" s="192"/>
      <c r="D964" s="193"/>
      <c r="F964" s="193"/>
    </row>
    <row r="965">
      <c r="B965" s="192"/>
      <c r="D965" s="193"/>
      <c r="F965" s="193"/>
    </row>
    <row r="966">
      <c r="B966" s="192"/>
      <c r="D966" s="193"/>
      <c r="F966" s="193"/>
    </row>
    <row r="967">
      <c r="B967" s="192"/>
      <c r="D967" s="193"/>
      <c r="F967" s="193"/>
    </row>
    <row r="968">
      <c r="B968" s="192"/>
      <c r="D968" s="193"/>
      <c r="F968" s="193"/>
    </row>
    <row r="969">
      <c r="B969" s="192"/>
      <c r="D969" s="193"/>
      <c r="F969" s="193"/>
    </row>
    <row r="970">
      <c r="B970" s="192"/>
      <c r="D970" s="193"/>
      <c r="F970" s="193"/>
    </row>
    <row r="971">
      <c r="B971" s="192"/>
      <c r="D971" s="193"/>
      <c r="F971" s="193"/>
    </row>
    <row r="972">
      <c r="B972" s="192"/>
      <c r="D972" s="193"/>
      <c r="F972" s="193"/>
    </row>
    <row r="973">
      <c r="B973" s="192"/>
      <c r="D973" s="193"/>
      <c r="F973" s="193"/>
    </row>
    <row r="974">
      <c r="B974" s="192"/>
      <c r="D974" s="193"/>
      <c r="F974" s="193"/>
    </row>
    <row r="975">
      <c r="B975" s="192"/>
      <c r="D975" s="193"/>
      <c r="F975" s="193"/>
    </row>
    <row r="976">
      <c r="B976" s="192"/>
      <c r="D976" s="193"/>
      <c r="F976" s="193"/>
    </row>
    <row r="977">
      <c r="B977" s="192"/>
      <c r="D977" s="193"/>
      <c r="F977" s="193"/>
    </row>
    <row r="978">
      <c r="B978" s="192"/>
      <c r="D978" s="193"/>
      <c r="F978" s="193"/>
    </row>
    <row r="979">
      <c r="B979" s="192"/>
      <c r="D979" s="193"/>
      <c r="F979" s="193"/>
    </row>
    <row r="980">
      <c r="B980" s="192"/>
      <c r="D980" s="193"/>
      <c r="F980" s="193"/>
    </row>
    <row r="981">
      <c r="B981" s="192"/>
      <c r="D981" s="193"/>
      <c r="F981" s="193"/>
    </row>
    <row r="982">
      <c r="B982" s="192"/>
      <c r="D982" s="193"/>
      <c r="F982" s="193"/>
    </row>
    <row r="983">
      <c r="B983" s="192"/>
      <c r="D983" s="193"/>
      <c r="F983" s="193"/>
    </row>
    <row r="984">
      <c r="B984" s="192"/>
      <c r="D984" s="193"/>
      <c r="F984" s="193"/>
    </row>
    <row r="985">
      <c r="B985" s="192"/>
      <c r="D985" s="193"/>
      <c r="F985" s="193"/>
    </row>
    <row r="986">
      <c r="B986" s="192"/>
      <c r="D986" s="193"/>
      <c r="F986" s="193"/>
    </row>
    <row r="987">
      <c r="B987" s="192"/>
      <c r="D987" s="193"/>
      <c r="F987" s="193"/>
    </row>
    <row r="988">
      <c r="B988" s="192"/>
      <c r="D988" s="193"/>
      <c r="F988" s="193"/>
    </row>
    <row r="989">
      <c r="B989" s="192"/>
      <c r="D989" s="193"/>
      <c r="F989" s="193"/>
    </row>
    <row r="990">
      <c r="B990" s="192"/>
      <c r="D990" s="193"/>
      <c r="F990" s="193"/>
    </row>
    <row r="991">
      <c r="B991" s="192"/>
      <c r="D991" s="193"/>
      <c r="F991" s="193"/>
    </row>
    <row r="992">
      <c r="B992" s="192"/>
      <c r="D992" s="193"/>
      <c r="F992" s="193"/>
    </row>
    <row r="993">
      <c r="B993" s="192"/>
      <c r="D993" s="193"/>
      <c r="F993" s="193"/>
    </row>
    <row r="994">
      <c r="B994" s="192"/>
      <c r="D994" s="193"/>
      <c r="F994" s="193"/>
    </row>
    <row r="995">
      <c r="B995" s="192"/>
      <c r="D995" s="193"/>
      <c r="F995" s="193"/>
    </row>
    <row r="996">
      <c r="B996" s="192"/>
      <c r="D996" s="193"/>
      <c r="F996" s="193"/>
    </row>
    <row r="997">
      <c r="B997" s="192"/>
      <c r="D997" s="193"/>
      <c r="F997" s="193"/>
    </row>
    <row r="998">
      <c r="B998" s="192"/>
      <c r="D998" s="193"/>
      <c r="F998" s="193"/>
    </row>
    <row r="999">
      <c r="B999" s="192"/>
      <c r="D999" s="193"/>
      <c r="F999" s="193"/>
    </row>
    <row r="1000">
      <c r="B1000" s="192"/>
      <c r="D1000" s="193"/>
      <c r="F1000" s="193"/>
    </row>
    <row r="1001">
      <c r="B1001" s="192"/>
      <c r="D1001" s="193"/>
      <c r="F1001" s="193"/>
    </row>
    <row r="1002">
      <c r="B1002" s="192"/>
      <c r="D1002" s="193"/>
      <c r="F1002" s="193"/>
    </row>
    <row r="1003">
      <c r="B1003" s="192"/>
      <c r="D1003" s="193"/>
      <c r="F1003" s="193"/>
    </row>
    <row r="1004">
      <c r="B1004" s="192"/>
      <c r="D1004" s="193"/>
      <c r="F1004" s="193"/>
    </row>
    <row r="1005">
      <c r="B1005" s="192"/>
      <c r="D1005" s="193"/>
      <c r="F1005" s="193"/>
    </row>
    <row r="1006">
      <c r="B1006" s="192"/>
      <c r="D1006" s="193"/>
      <c r="F1006" s="193"/>
    </row>
  </sheetData>
  <mergeCells count="51">
    <mergeCell ref="C2:E2"/>
    <mergeCell ref="B5:C5"/>
    <mergeCell ref="A9:H9"/>
    <mergeCell ref="A39:H39"/>
    <mergeCell ref="A40:H40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H56"/>
    <mergeCell ref="A59:E59"/>
    <mergeCell ref="A60:B60"/>
    <mergeCell ref="A63:H63"/>
    <mergeCell ref="B67:C67"/>
    <mergeCell ref="B70:D70"/>
    <mergeCell ref="A72:D72"/>
    <mergeCell ref="A73:H73"/>
    <mergeCell ref="A74:B74"/>
    <mergeCell ref="G82:H82"/>
    <mergeCell ref="G83:H83"/>
    <mergeCell ref="G84:H84"/>
    <mergeCell ref="A75:G75"/>
    <mergeCell ref="A76:G76"/>
    <mergeCell ref="A77:C77"/>
    <mergeCell ref="A78:H78"/>
    <mergeCell ref="G79:H79"/>
    <mergeCell ref="G80:H80"/>
    <mergeCell ref="G81:H81"/>
    <mergeCell ref="A88:F88"/>
    <mergeCell ref="A89:E89"/>
    <mergeCell ref="F89:H89"/>
    <mergeCell ref="A90:E90"/>
    <mergeCell ref="F90:H90"/>
    <mergeCell ref="A91:F91"/>
    <mergeCell ref="A80:B80"/>
    <mergeCell ref="A82:D82"/>
    <mergeCell ref="A84:D84"/>
    <mergeCell ref="A85:G85"/>
    <mergeCell ref="A86:H86"/>
    <mergeCell ref="B87:H87"/>
    <mergeCell ref="G88:H88"/>
  </mergeCells>
  <hyperlinks>
    <hyperlink r:id="rId4" ref="A1"/>
    <hyperlink r:id="rId5" ref="A72"/>
  </hyperlinks>
  <drawing r:id="rId6"/>
  <legacyDrawing r:id="rId7"/>
</worksheet>
</file>