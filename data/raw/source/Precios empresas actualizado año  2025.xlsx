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cios " sheetId="1" r:id="rId5"/>
    <sheet state="visible" name="Teambuilding y actividades" sheetId="2" r:id="rId6"/>
    <sheet state="visible" name="Capacidades maximas Salones y m" sheetId="3" r:id="rId7"/>
    <sheet state="visible" name="Cotizacion Tipo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tc={0d473733-0a0d-4a6b-a02a-57fd51ec955a}</author>
    <author>tc={101dae30-3ea5-41aa-9af7-0eb23454614f}</author>
    <author>tc={28f363a9-f497-4ece-b2fe-471eca70f463}</author>
    <author>tc={2f8a7b45-ca0e-4a84-8109-1a229a8d542c}</author>
    <author>tc={68bfdbc2-d35e-495a-9f7f-360dcb3c39f3}</author>
    <author>tc={6f9f47bf-845b-4b99-9272-ead9ea4e7de0}</author>
    <author>tc={73a6d561-7f84-46c2-a67e-830c89b3c1c1}</author>
    <author>tc={7fdccad7-7141-461a-b2e0-85ab4b1fa823}</author>
    <author>tc={842b8b59-6f51-4dbe-a0f5-acfc9e88b67c}</author>
    <author>tc={a02ede8e-3f82-4208-bf96-5a93d1ea9aae}</author>
    <author>tc={bdac5630-0760-47f2-8940-4da2eca194ee}</author>
    <author>tc={c0a7b9f0-a9c8-4f53-be1a-e3701405c226}</author>
    <author>tc={c2029d58-ec05-4f58-8561-0ad8a05ddef2}</author>
    <author>tc={c2579b37-0f8c-4269-95c5-a3408ead395d}</author>
    <author>tc={dc4356d3-1842-492d-ae42-26f74b53935e}</author>
    <author>tc={dfc6bab5-c377-4bb0-955b-adb53062e5a9}</author>
    <author>tc={ff14798a-c080-4846-b272-0eaf76b60ca7}</author>
  </authors>
  <commentList>
    <comment authorId="0" xr:uid="{0d473733-0a0d-4a6b-a02a-57fd51ec955a}" ref="A1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SAHNE NUSS
</t>
      </text>
    </comment>
    <comment authorId="1" xr:uid="{101dae30-3ea5-41aa-9af7-0eb23454614f}" ref="A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 Precio Fogon ($100.000)
</t>
      </text>
    </comment>
    <comment authorId="2" xr:uid="{28f363a9-f497-4ece-b2fe-471eca70f463}" ref="G1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bizcocho de zanahoria*
</t>
      </text>
    </comment>
    <comment authorId="3" xr:uid="{2f8a7b45-ca0e-4a84-8109-1a229a8d542c}" ref="A5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agregar ticket de cerveza
Reply:
	agregar precio de fogon
Marcado como resuelto
</t>
      </text>
    </comment>
    <comment authorId="4" xr:uid="{68bfdbc2-d35e-495a-9f7f-360dcb3c39f3}" ref="A5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agrgar ticket de cerveza
</t>
      </text>
    </comment>
    <comment authorId="5" xr:uid="{6f9f47bf-845b-4b99-9272-ead9ea4e7de0}" ref="G10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REPITE MIX DE QUESOS
</t>
      </text>
    </comment>
    <comment authorId="6" xr:uid="{73a6d561-7f84-46c2-a67e-830c89b3c1c1}" ref="G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 agua
</t>
      </text>
    </comment>
    <comment authorId="7" xr:uid="{7fdccad7-7141-461a-b2e0-85ab4b1fa823}" ref="B5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agregar fogon
</t>
      </text>
    </comment>
    <comment authorId="8" xr:uid="{842b8b59-6f51-4dbe-a0f5-acfc9e88b67c}" ref="A10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alhorno?
</t>
      </text>
    </comment>
    <comment authorId="9" xr:uid="{a02ede8e-3f82-4208-bf96-5a93d1ea9aae}" ref="G9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Viernes de hambuurguesas
</t>
      </text>
    </comment>
    <comment authorId="10" xr:uid="{bdac5630-0760-47f2-8940-4da2eca194e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hay claridad del espacio fisico del karaoke o dj incluyendo el salon
</t>
      </text>
    </comment>
    <comment authorId="11" xr:uid="{c0a7b9f0-a9c8-4f53-be1a-e3701405c226}" ref="G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 carne la hace el hotel no el evento
</t>
      </text>
    </comment>
    <comment authorId="12" xr:uid="{c2029d58-ec05-4f58-8561-0ad8a05ddef2}" ref="A5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agregar ticket de cerveza
</t>
      </text>
    </comment>
    <comment authorId="13" xr:uid="{c2579b37-0f8c-4269-95c5-a3408ead395d}" ref="G1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Bizcocho de vainilla relleno de dulce de leche y nuez, cubierta con crema chantilly
</t>
      </text>
    </comment>
    <comment authorId="14" xr:uid="{dc4356d3-1842-492d-ae42-26f74b53935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tenemos la actividad de la pizza (se elimina este ?)
</t>
      </text>
    </comment>
    <comment authorId="15" xr:uid="{dfc6bab5-c377-4bb0-955b-adb53062e5a9}" ref="G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Poner 1 top de masa de hoja, 1 mini muffin o 1 galleta
</t>
      </text>
    </comment>
    <comment authorId="16" xr:uid="{ff14798a-c080-4846-b272-0eaf76b60ca7}" ref="G9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eliminar lomito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tc={84d63073-789c-4574-8ea3-fe813ec157d6}</author>
    <author>tc={96879969-82c7-4759-ad19-fd786d19e0af}</author>
  </authors>
  <commentList>
    <comment authorId="0" ref="A3">
      <text>
        <t xml:space="preserve">escenario chinook 7,33 de largo / 3,92 de ancho/ altura 50  cm</t>
      </text>
    </comment>
    <comment authorId="0" ref="B3">
      <text>
        <t xml:space="preserve">320 con pasillos bien definidos al centro, atrás, costados y sin sillas detrás de los pilares.
350 sólo pasillo central y trasero</t>
      </text>
    </comment>
    <comment authorId="0" ref="C3">
      <text>
        <t xml:space="preserve">168, 28 mesas c/6 sillas, pasillos bien definidos entre mesas y mesones para coffee break y/o bares.
</t>
      </text>
    </comment>
    <comment authorId="0" ref="D3">
      <text>
        <t xml:space="preserve">72 mesas rectangulares c/3 sillas</t>
      </text>
    </comment>
    <comment authorId="0" ref="E3">
      <text>
        <t xml:space="preserve">Mesas por el perímetro del salón, con los pilares dentro de la U</t>
      </text>
    </comment>
    <comment authorId="0" ref="B4">
      <text>
        <t xml:space="preserve">70 con pasillos bien definidos al centro, atrás y costados. </t>
      </text>
    </comment>
    <comment authorId="0" ref="C4">
      <text>
        <t xml:space="preserve">8 mesas redondas con 6 sillas.</t>
      </text>
    </comment>
    <comment authorId="0" ref="D4">
      <text>
        <t xml:space="preserve">36 con 3 sillas por mesa
44 con sillas en las patas de las mesas</t>
      </text>
    </comment>
    <comment authorId="0" ref="E4">
      <text>
        <t xml:space="preserve">30 con 3 sillas por mesa
39 con sillas en las patas de las mesas</t>
      </text>
    </comment>
    <comment authorId="0" ref="F4">
      <text>
        <t xml:space="preserve">34 con 3 sillas por mesa
40 con sillas en las patas de las mesas</t>
      </text>
    </comment>
    <comment authorId="0" ref="B5">
      <text>
        <t xml:space="preserve">70 con pasillos bien definidos al centro, atrás y costados. </t>
      </text>
    </comment>
    <comment authorId="0" ref="C5">
      <text>
        <t xml:space="preserve">8 mesas redondas con 6 sillas.</t>
      </text>
    </comment>
    <comment authorId="0" ref="D5">
      <text>
        <t xml:space="preserve">36 con 3 sillas por mesa
44 con sillas en las patas de las mesas</t>
      </text>
    </comment>
    <comment authorId="0" ref="E5">
      <text>
        <t xml:space="preserve">30 con 3 sillas por mesa
39 con sillas en las patas de las mesas</t>
      </text>
    </comment>
    <comment authorId="0" ref="F5">
      <text>
        <t xml:space="preserve">34 con 3 sillas por mesa
40 con sillas en las patas de las mesas</t>
      </text>
    </comment>
    <comment authorId="0" ref="C6">
      <text>
        <t xml:space="preserve">17 mesas redondas con 6 sillas</t>
      </text>
    </comment>
    <comment authorId="0" ref="D6">
      <text>
        <t xml:space="preserve">75 con 3 sillas por mesa, contemplando COFFEE
99 con sillas en las patas de las mesas SIN COFFEE</t>
      </text>
    </comment>
    <comment authorId="0" ref="E6">
      <text>
        <t xml:space="preserve">74 con 3 sillas por mesa
89 con sillas en las patas de las mesas</t>
      </text>
    </comment>
    <comment authorId="0" ref="F6">
      <text>
        <t xml:space="preserve">64 con 3 sillas por mesa
82 con sillas en las patas de las mesas</t>
      </text>
    </comment>
    <comment authorId="0" ref="B7">
      <text>
        <t xml:space="preserve">80 con pasillos bien definidos al centro, atrás y costados.</t>
      </text>
    </comment>
    <comment authorId="0" ref="C7">
      <text>
        <t xml:space="preserve">9 mesas redondas con 6 sillas.</t>
      </text>
    </comment>
    <comment authorId="0" ref="D7">
      <text>
        <t xml:space="preserve">36 con 3 sillas por mesa
55 con sillas en las patas de las mesas</t>
      </text>
    </comment>
    <comment authorId="0" ref="E7">
      <text>
        <t xml:space="preserve">30 con 3 sillas por mesa
35 con sillas en las patas de las mesas</t>
      </text>
    </comment>
    <comment authorId="0" ref="F7">
      <text>
        <t xml:space="preserve">36 con 3 sillas por mesa
48 con sillas en las patas de las mesas</t>
      </text>
    </comment>
    <comment authorId="0" ref="B8">
      <text>
        <t xml:space="preserve">90 con pasillos bien definidos al centro, atrás y costados.</t>
      </text>
    </comment>
    <comment authorId="0" ref="C8">
      <text>
        <t xml:space="preserve">9 mesas redondas con 6 sillas.</t>
      </text>
    </comment>
    <comment authorId="0" ref="D8">
      <text>
        <t xml:space="preserve">36 con 3 sillas por mesa
55 con sillas en las patas de las mesas</t>
      </text>
    </comment>
    <comment authorId="0" ref="E8">
      <text>
        <t xml:space="preserve">30 con 3 sillas por mesa
35 con sillas en las patas de las mesas</t>
      </text>
    </comment>
    <comment authorId="0" ref="F8">
      <text>
        <t xml:space="preserve">36 con 3 sillas por mesa
48 con sillas en las patas de las mesas</t>
      </text>
    </comment>
    <comment authorId="0" ref="C9">
      <text>
        <t xml:space="preserve">24 mesas redondas de 6 a 7 sillas
con espacio de tránsito para el bufet, bar y parrilla</t>
      </text>
    </comment>
    <comment authorId="0" ref="C10">
      <text>
        <t xml:space="preserve">30 mesas redondas de 6 a 7 sillas
con espacio de tránsito para el bufet, bar y parrilla</t>
      </text>
    </comment>
    <comment authorId="0" ref="F11">
      <text>
        <t xml:space="preserve">16 en una gran mesa (cuatro mesas juntas)
28 en cuatro mesas separadas (7 personas por mesa, para que nadie le de la espalda al presentador)</t>
      </text>
    </comment>
    <comment authorId="1" xr:uid="{84d63073-789c-4574-8ea3-fe813ec157d6}" ref="E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max 37 apretado
</t>
      </text>
    </comment>
    <comment authorId="2" xr:uid="{96879969-82c7-4759-ad19-fd786d19e0af}" ref="E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max 37 apretado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tc={a42ee059-c353-418f-85a3-1eee5d7eb87b}</author>
    <author>tc={cb23abb2-56d1-4273-87bc-7064cc1b6a75}</author>
  </authors>
  <commentList>
    <comment authorId="0" xr:uid="{a42ee059-c353-418f-85a3-1eee5d7eb87b}" ref="G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bebida o agua
</t>
      </text>
    </comment>
    <comment authorId="1" xr:uid="{cb23abb2-56d1-4273-87bc-7064cc1b6a75}" ref="G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Agregar que el coffe en el salón tiene costo adicional
</t>
      </text>
    </comment>
  </commentList>
</comments>
</file>

<file path=xl/sharedStrings.xml><?xml version="1.0" encoding="utf-8"?>
<sst xmlns="http://schemas.openxmlformats.org/spreadsheetml/2006/main" count="688" uniqueCount="483">
  <si>
    <t>Arriendo de salones, audios y comedores</t>
  </si>
  <si>
    <t>Hora</t>
  </si>
  <si>
    <t>Uds</t>
  </si>
  <si>
    <t>Nº Pax</t>
  </si>
  <si>
    <t>Valor neto</t>
  </si>
  <si>
    <t>TOTAL</t>
  </si>
  <si>
    <t>Detalle de servicios.</t>
  </si>
  <si>
    <t xml:space="preserve">Salon Chinook uso diurno, hasta 320 personas </t>
  </si>
  <si>
    <t>8:30-19:30</t>
  </si>
  <si>
    <r>
      <rPr>
        <rFont val="Calibri"/>
        <color theme="1"/>
        <sz val="12.0"/>
      </rPr>
      <t xml:space="preserve">Equipado con papelógrafo, aire acondicionado y calefacción, 8 h Día. Incluye arranque trifasico para productoras </t>
    </r>
    <r>
      <rPr>
        <rFont val="Calibri"/>
        <b/>
        <color theme="1"/>
        <sz val="12.0"/>
      </rPr>
      <t>(Definir montaje)</t>
    </r>
  </si>
  <si>
    <t xml:space="preserve">Salon Coho uso diurno, hasta 120 personas </t>
  </si>
  <si>
    <r>
      <rPr>
        <rFont val="Calibri"/>
        <color theme="1"/>
        <sz val="12.0"/>
      </rPr>
      <t xml:space="preserve">Equipado con papelógrafo, aire acondicionado y calefacción, 8 h Día. </t>
    </r>
    <r>
      <rPr>
        <rFont val="Calibri"/>
        <b/>
        <color theme="1"/>
        <sz val="12.0"/>
      </rPr>
      <t>( Definir montaje)</t>
    </r>
  </si>
  <si>
    <t xml:space="preserve">Salon Fario uso diurno, hasta 70 personas </t>
  </si>
  <si>
    <r>
      <rPr>
        <rFont val="Calibri"/>
        <color theme="1"/>
        <sz val="12.0"/>
      </rPr>
      <t xml:space="preserve">Equipado con papelógrafo, aire acondicionado y calefacción, 8 h Día. </t>
    </r>
    <r>
      <rPr>
        <rFont val="Calibri"/>
        <b/>
        <color theme="1"/>
        <sz val="12.0"/>
      </rPr>
      <t>( Definir montaje)</t>
    </r>
  </si>
  <si>
    <t xml:space="preserve">Salón Arcoiris uso diurno, hasta 70 personas </t>
  </si>
  <si>
    <r>
      <rPr>
        <rFont val="Calibri"/>
        <color theme="1"/>
        <sz val="12.0"/>
      </rPr>
      <t xml:space="preserve">Equipado con papelógrafo, aire acondicionado y calefacción, 8 h Día. </t>
    </r>
    <r>
      <rPr>
        <rFont val="Calibri"/>
        <b/>
        <color theme="1"/>
        <sz val="12.0"/>
      </rPr>
      <t>( Definir montaje)</t>
    </r>
  </si>
  <si>
    <t>Directorio uso diurno para 16 personas, mesa imperial</t>
  </si>
  <si>
    <t>Equipado con TV, papelógrafo, aire acondicionado y calefacción, 8 h Día.</t>
  </si>
  <si>
    <t xml:space="preserve">Domo para 240 personas </t>
  </si>
  <si>
    <t>Domo rústico incluye arranque trifasico para productoras.</t>
  </si>
  <si>
    <t>Cambios de montaje  Chinook durante el arriendo de salon.</t>
  </si>
  <si>
    <t>Cambio de montaje durante la jornada de trabajo</t>
  </si>
  <si>
    <t>Cambios de montaje Coho durante el arriendo de salon.</t>
  </si>
  <si>
    <t>Cambios de montaje  Farios y Arcoiris durante el arriendo de salon.</t>
  </si>
  <si>
    <t>Comedor VIP y terraza (2do piso) para 80 personas 8 horas uso diurno</t>
  </si>
  <si>
    <t>Comedor en 2do piso con terraza para servicios de alimentacion exclusivos. Posee una terraza exclusiva.</t>
  </si>
  <si>
    <t>Comedor truchita o ex poo y terraza para 35 personas, 8 horas uso diurno</t>
  </si>
  <si>
    <t>Comedor exclusivo para maximo  35 personas</t>
  </si>
  <si>
    <t>Arriendo pergola con parrilla para 16 personas, 8 horas uso diurno</t>
  </si>
  <si>
    <t>Pergola exclusiva con parrilla</t>
  </si>
  <si>
    <t>Comedor VIP y terraza (2do piso) para 70 personas 1,5 hrs / AM O PM (ALMUERZO O CENA)</t>
  </si>
  <si>
    <t>Comedor truchita o ex pool y terraza para 35 personas 1,5 horas / AM O PM (ALMUERZO O CENA)</t>
  </si>
  <si>
    <t>Arriendo pergola con parrilla para 16 personas, 4 horas</t>
  </si>
  <si>
    <t>Arriendo pergola picadero solo con autorizacion, 2 dias antes.</t>
  </si>
  <si>
    <t>Arriendo por una pergola techada en el sector del picadero.</t>
  </si>
  <si>
    <t>Tecnica para salones uso diurno.</t>
  </si>
  <si>
    <t xml:space="preserve"> </t>
  </si>
  <si>
    <t>Data, amplificacion, 2 microfonos para uso en el dia.</t>
  </si>
  <si>
    <t>Audio 4 horas en la noche</t>
  </si>
  <si>
    <t>Data, amplificacion, 2 microfonos para uso noche.</t>
  </si>
  <si>
    <t>Amplificacion exterior</t>
  </si>
  <si>
    <t>2 parlantes con microfono ubicado en exteriores cercanos a algun punto electrico.</t>
  </si>
  <si>
    <t>Microfono inalambrico adicional</t>
  </si>
  <si>
    <t>Microfono solapa adicional</t>
  </si>
  <si>
    <t>Operador para audio 8 hrs</t>
  </si>
  <si>
    <t>8:30-18:30</t>
  </si>
  <si>
    <t>Operador de audio para salon diurno. Se debe agregar tecnica que desee operar.</t>
  </si>
  <si>
    <t>Papelografo adicional para el salon</t>
  </si>
  <si>
    <t>Total en el hotel 8</t>
  </si>
  <si>
    <t>Coffes y servicios relacionado a salones</t>
  </si>
  <si>
    <t>Coffee Básico</t>
  </si>
  <si>
    <t>Café, té, agua, jugo de pulpa, 1 tapadito, 1 top de masa de hoja+ 1 mini muffin o 1 galleta</t>
  </si>
  <si>
    <t xml:space="preserve">Coffee Intermedio  </t>
  </si>
  <si>
    <t>Café, té, agua, jugo de pulpa, 1 tapadito, 1 mini muffin, 1 facturita, 1 galleta y  una fruta.</t>
  </si>
  <si>
    <t>Coffe Full</t>
  </si>
  <si>
    <t>Café de grano, té, jugo de pulpa, 2 tapaditos, 2 mini muffin , 2 galletas, 1 facturita y una brocheta de fruta.</t>
  </si>
  <si>
    <t>Coffe Light</t>
  </si>
  <si>
    <t>Café, té, agua, jugo de pulpa, yogurt natural con granola y fruta, 1 tapadito integral, una brocheta de fruta</t>
  </si>
  <si>
    <t>Adicionar coffe dentro del Salon</t>
  </si>
  <si>
    <t>Servicios de coffe ubicados dentro del salon.</t>
  </si>
  <si>
    <t>Maquina Cafe Milano con carga para 120 cafes app. ( autoservicio)</t>
  </si>
  <si>
    <t>Maquina auto servicio que entrega app. 120 unidades entre Cafe, capuchinos, mocachino, late, expresos, americano, agua caliente chocolate.</t>
  </si>
  <si>
    <t xml:space="preserve">1 tapadito </t>
  </si>
  <si>
    <t>1 medialuna</t>
  </si>
  <si>
    <t>Galletas de mantequilla  3 por persona</t>
  </si>
  <si>
    <t>Cafe de grano o te en salon 8 hrs</t>
  </si>
  <si>
    <t>valor por persona</t>
  </si>
  <si>
    <t>Dispensador de agua 20 Lts en salon</t>
  </si>
  <si>
    <t>Dispensador de agua  20 lts con vasos en salón</t>
  </si>
  <si>
    <t>Recarga de bidon de 20 Lts para dispensador de agua</t>
  </si>
  <si>
    <t>Recarga de bidon de agua de 20 litros y vasos.</t>
  </si>
  <si>
    <t>Cafe de grano, te y agua fria /caliente en salon  por 8 horas.</t>
  </si>
  <si>
    <t xml:space="preserve">valor por persona </t>
  </si>
  <si>
    <t>Servicios para fiestas</t>
  </si>
  <si>
    <t>Luces perimetrales salon chinook o vip</t>
  </si>
  <si>
    <t>12 Luces decorativas perimetrales para una fiesta o karaoke.</t>
  </si>
  <si>
    <t>DJ y/o Karaoke por 4 hrs para grupos menores 50 Pax</t>
  </si>
  <si>
    <t>21:00- 1:00</t>
  </si>
  <si>
    <t>Dj y karaoke por 4 horas,( agregar salon)</t>
  </si>
  <si>
    <r>
      <rPr>
        <rFont val="Calibri"/>
        <b/>
        <color theme="1"/>
        <sz val="12.0"/>
      </rPr>
      <t xml:space="preserve">Hora extra </t>
    </r>
    <r>
      <rPr>
        <rFont val="Calibri"/>
        <color theme="1"/>
        <sz val="12.0"/>
      </rPr>
      <t>DJ y/o Karaoke por 4 hrs para grupos menores 50 Pax</t>
    </r>
  </si>
  <si>
    <t xml:space="preserve">hora extra </t>
  </si>
  <si>
    <t>DJ y/o Karaoke para grupos mayores a 50 Pax</t>
  </si>
  <si>
    <r>
      <rPr>
        <rFont val="Calibri"/>
        <b/>
        <color theme="1"/>
        <sz val="12.0"/>
      </rPr>
      <t>Hora extra</t>
    </r>
    <r>
      <rPr>
        <rFont val="Calibri"/>
        <color theme="1"/>
        <sz val="12.0"/>
      </rPr>
      <t xml:space="preserve"> DJ y/o Karaoke para grupos mayores a 50 Pax</t>
    </r>
  </si>
  <si>
    <t>Salon chinook con fogata, hasta 300 personas, 4 horas noche</t>
  </si>
  <si>
    <t>Salon para fiestas y karaokes con terraza exclusiva . Incluye fogata en terraza y tiene arranque trifasico para productoras</t>
  </si>
  <si>
    <t>Salon chinook con fogata, hasta 300 personas</t>
  </si>
  <si>
    <t>19:00.1:00</t>
  </si>
  <si>
    <t xml:space="preserve">Salon para fiestas y karaokes con terraza exclusiva . Incluye fogata en terraza y tiene arranque trifasico para productoras. </t>
  </si>
  <si>
    <t>Comedor VIP con fogata, 2 piso hasta 70 personas, 4 horas noche</t>
  </si>
  <si>
    <t>Comedor en 2do piso con terraza para fiestas o Karaokes exclusivos, incluye fogata en terraza</t>
  </si>
  <si>
    <t>Comedor VIP con fogata, 2 piso hasta 70 personas</t>
  </si>
  <si>
    <t>Espacio del Bar para karaoke, hasta 50 personas por 4 hrs noche</t>
  </si>
  <si>
    <t>Espacio del bar principal del hotel para la realizacion de karaokes</t>
  </si>
  <si>
    <t>Domo para fiestas con fogata, hasta 250 personas, 4 horas noche</t>
  </si>
  <si>
    <t>Domo para fiestas y karaokes con amplios jardines.Incluye fogata y tiene arranque trifasico para productoras.</t>
  </si>
  <si>
    <t>Lounge en terrazas con sillones, mesas y fogones, hasta 50 pax. Valor por persona</t>
  </si>
  <si>
    <t>Lugares: Terraza chinook, terraza comedor  chico( ex pool), terraza comedor 2do piso y Domo. Valor por persona</t>
  </si>
  <si>
    <t>Bebidas  y Bar</t>
  </si>
  <si>
    <t>Ticket de trago</t>
  </si>
  <si>
    <r>
      <rPr>
        <rFont val="Calibri"/>
        <b/>
        <color theme="1"/>
        <sz val="12.0"/>
      </rPr>
      <t>1 trago pp a escoger entre:</t>
    </r>
    <r>
      <rPr>
        <rFont val="Calibri"/>
        <color theme="1"/>
        <sz val="12.0"/>
      </rPr>
      <t xml:space="preserve"> Piscola ( Mistral 35), Roncola (Havanna),  vodka (wyborowa), Whisky( Ballantines finest 3 años), Gin beefeter, Ramazzotti,  Daiquiri, Pisco sour, Kir Royal, Piña Colada con y sin alcohol, Copa de vino castillo molina( blanco y tinto) , copa de espumante Viña Mar Brut, cervezas en botella tales como Sol, Heineken con y sin alcohol,  Austral y Kunstmann. Las bebidas son de marcas CCU.</t>
    </r>
  </si>
  <si>
    <t>Ticket de cerveza</t>
  </si>
  <si>
    <t>Ticket de cerveza en botella tales como: Sol, Heineken, Austral o Kunstmann.</t>
  </si>
  <si>
    <t>Ticket de trago Vip</t>
  </si>
  <si>
    <t>Piscola ( Mistral Nobel o 3R doble destilado), Roncola (Havanna reserva), Vodka( Absolut), Whisky (ballantines 7 años),Gin Kantal, Tequila Olmeca, Ramazzotti,  Daiquiri, Pisco sour, Kir Royal, Piña Colada, Vino  Gran Tarapacá( blanco y tinto) , Espumante Viña Mar Brut, cervezas en botella tales como Sol, Heineken,  Austral, Kunstmann botella y Barril Schop Kunstmann. Las bebidas son de marcas CCU.</t>
  </si>
  <si>
    <t>Bar abierto 4 horas, valor por persona</t>
  </si>
  <si>
    <t xml:space="preserve">Piscola ( Mistra 35), Roncola (Havanna),  vodka (wyborowa), Whisky( Ballantines finest 3 años), Gin beefeter, Ramazzotti,  Daiquiri, Pisco sour, Kir Royal, Piña Colada( con y sin alcohol), Copa de vino castillo molina( blanco y tinto) , copa de espumante Viña Mar Brut, cervezas en botella tales como Sol, Heineken con y sin alcohol,  Austral y Kunstmann. Las bebidas son de marcas CCU. </t>
  </si>
  <si>
    <r>
      <rPr>
        <rFont val="Calibri"/>
        <b/>
        <color theme="1"/>
        <sz val="12.0"/>
      </rPr>
      <t>Hora extra</t>
    </r>
    <r>
      <rPr>
        <rFont val="Calibri"/>
        <color theme="1"/>
        <sz val="12.0"/>
      </rPr>
      <t xml:space="preserve"> Bar abierto por persona</t>
    </r>
  </si>
  <si>
    <t>extensión de 1 hora para el bar abierto</t>
  </si>
  <si>
    <t>Bar abierto sin alcohol 4 horas, valor por persona</t>
  </si>
  <si>
    <t>Mocktails tales como Piña colada, Chardonnay sour , San Francisco (Mocktail en base a jugo de naranja), Paloma (Mocktail en base a pomelo), Cerveza sin alcohol (Heineken 0.0), Limonada, Jugos naturales, Vino blanco sin alcohol, Sangria sin alcohol. Las bebidas son de marcas CCU.</t>
  </si>
  <si>
    <r>
      <rPr>
        <rFont val="Calibri"/>
        <b/>
        <color theme="1"/>
        <sz val="12.0"/>
      </rPr>
      <t>Hora extra</t>
    </r>
    <r>
      <rPr>
        <rFont val="Calibri"/>
        <color theme="1"/>
        <sz val="12.0"/>
      </rPr>
      <t xml:space="preserve"> Bar abierto sin alcohol por persona</t>
    </r>
  </si>
  <si>
    <t>Bar abierto VIP  4 horas, valor por persona</t>
  </si>
  <si>
    <r>
      <rPr>
        <rFont val="Calibri"/>
        <b/>
        <color theme="1"/>
        <sz val="12.0"/>
      </rPr>
      <t>Hora extra</t>
    </r>
    <r>
      <rPr>
        <rFont val="Calibri"/>
        <color theme="1"/>
        <sz val="12.0"/>
      </rPr>
      <t xml:space="preserve"> Bar abierto Vip por persona</t>
    </r>
  </si>
  <si>
    <t>Bar Abierto de bebidas en vaso por 4 horas, por persona</t>
  </si>
  <si>
    <t>Botellas de 3 litros CCU servido en vaso desechable (ver tamaño)</t>
  </si>
  <si>
    <t>Bar Abierto de bebidas en vaso por 8 horas, por persona</t>
  </si>
  <si>
    <t xml:space="preserve">Bebidas </t>
  </si>
  <si>
    <t>Lata de bebida o agua  ccu</t>
  </si>
  <si>
    <t>Ticket de bebida o agua</t>
  </si>
  <si>
    <t>Lata de bebida o agua ccu</t>
  </si>
  <si>
    <t>Barril de cerveza kuntsman torobayo 30L</t>
  </si>
  <si>
    <t>Barril de cerveza torobayo exclusivo</t>
  </si>
  <si>
    <t>Bebestibles adicionales en Salón (Bebidas, Jugos Naturales, Agua Mineral)</t>
  </si>
  <si>
    <t>ver listado de bar</t>
  </si>
  <si>
    <t>Visitar QR para mayor detalles ( https://gour.media/san-francisco-lodge/ )</t>
  </si>
  <si>
    <t>Vino Castillo Molina</t>
  </si>
  <si>
    <t>Se recomienda 1 botella para 5 personas</t>
  </si>
  <si>
    <t>Vino Casillero del diablo Reserva Especial</t>
  </si>
  <si>
    <t>Vino Marques Casa Concha</t>
  </si>
  <si>
    <t>Cambios de horas y lugar en servicios de alimentacion</t>
  </si>
  <si>
    <t>Cambio de horario del desayuno 1 hora, minimo 30 personas</t>
  </si>
  <si>
    <t>7:30- 8:30 o 10:00- 11:00</t>
  </si>
  <si>
    <t>valor por persona, se adelanta o se extiende el desayuno por una hora</t>
  </si>
  <si>
    <t>Cambio de horario del desayuno por media hora , minimo 30 personas</t>
  </si>
  <si>
    <t>8:00-8:30 o 10:00- 10:30</t>
  </si>
  <si>
    <t>valor por persona, se adelanta o se extiende el desayuno por media hora</t>
  </si>
  <si>
    <t>Cambio de horario de almuerzo por media hora, minimo 30 personas</t>
  </si>
  <si>
    <t>13:00-13:30 o 15:00-15:30</t>
  </si>
  <si>
    <t>valor por persona, se adelanta o se extiende el almuerzo por media hora.</t>
  </si>
  <si>
    <t xml:space="preserve">Extension media hora horario de cena </t>
  </si>
  <si>
    <t>21:00-21:30</t>
  </si>
  <si>
    <t>valor por persona para extension de servicios de cena por media hora hasta las 21:30</t>
  </si>
  <si>
    <t>Cambio de lugar de servicio de alimentacion</t>
  </si>
  <si>
    <t>Valor por persona, se debe reservar adicionalmente el salon ( chinook, salon truchita o comedor vip)</t>
  </si>
  <si>
    <t>Alimentacion y banqueteria</t>
  </si>
  <si>
    <t>Desayuno</t>
  </si>
  <si>
    <t>8:30-10:00</t>
  </si>
  <si>
    <t>Tipos de Café, Chocolate, té, leche, jugo, yogurt, cereales, Fruta, jamón, quesos, huevos, tocino, chorizo, verduras asadas, mermeladas, mantequilla, distintos tipos de panes, minipastelitos, queques, croissant.</t>
  </si>
  <si>
    <t>Desayuno incluido por alojamiento</t>
  </si>
  <si>
    <t>Almuerzo Sugerencias del chef  en formato Buffet, mas de 30 pasajeros. Menos de 30 es carta</t>
  </si>
  <si>
    <t>13:30- 15:00</t>
  </si>
  <si>
    <t>Buffet tenedor libre con variedad de ensaladas, guarniciones y acompañamientos calientes. No incluye bebidas ni aperitivos. Si en el hotel hay menos de 30 personas el servicio a la carta, si contamos con mas de 30 personas será buffet.  Horario almuerzo desde 13:30 hasta 15:00 hrs</t>
  </si>
  <si>
    <t>Cena Sugerencias del chef  en formato Buffet, mas de 30 pasajeros. Menos de 30 es carta</t>
  </si>
  <si>
    <t>19:30- 21:00</t>
  </si>
  <si>
    <t>Buffet tenedor libre con opciones de Pizzas, fondos con carnes, acompañamientos, Salad bar, salsas, dressing, postres, sopas, inc café. . Horario cena desde 19:30 hasta 21:00.. Si en el hotel hay menos de 30 personas el servicio a la carta, si es mas de 30 personas será buffet.</t>
  </si>
  <si>
    <t>Almuerzo o cena a la carta</t>
  </si>
  <si>
    <t>Servicio de alimentacion a la carta, servido a la mesa. Es un menú único que debe elergirse con una semana de anticipación. Se sugiere agregar vinos para acompañar la comida</t>
  </si>
  <si>
    <t>Almuerzo o cena a la carta VIP</t>
  </si>
  <si>
    <t>Cena o Almuerzo parrilla, minimo 30 pax</t>
  </si>
  <si>
    <t>19:30-21:00</t>
  </si>
  <si>
    <t>Preparacion de carnes de vacuno, cerdo, chorizos y prietas la parrilla,  mas acompañamientos, ensaladas y postre y café.No incluye bebidas ni aperitivos</t>
  </si>
  <si>
    <t>Cena o Almuerzo parrilla, menos de 30 pax</t>
  </si>
  <si>
    <t>Preparacion de carnes, verduras y frutas a la parrilla,  mas acompañamientos, ensaladas y postre y café.No incluye bebidas ni aperitivos</t>
  </si>
  <si>
    <t xml:space="preserve">Once </t>
  </si>
  <si>
    <t>17:00 - 18:00</t>
  </si>
  <si>
    <t>Bebida o agua con Hamburguesa lechuga tomate y helado.</t>
  </si>
  <si>
    <t xml:space="preserve">Box lunch (Como una Once en cajitas individuales para que se la puedan llevar) </t>
  </si>
  <si>
    <t>Muffin o dos facturas, hamburguesa, una fruta, 1 bebida</t>
  </si>
  <si>
    <t>Cata de vinos con somelier, minimo 10 personas y hasta 40.  Duración 1 hora</t>
  </si>
  <si>
    <t>$300.000 fijo mas $24.000 por persona</t>
  </si>
  <si>
    <t>Cata de 4 vinos  reserva boutique, de la zona, con maridaje de quesos y encurtidos.</t>
  </si>
  <si>
    <t>Picoteo parrillando con amigos: minimo 20 personas</t>
  </si>
  <si>
    <t>400.000 fijo mas 20.000 por persona</t>
  </si>
  <si>
    <t>Este apertivo consiste en hacer  su propia parrilla modo picoteo.  Podran escoger 2 unidades dentro de las siguientes alternativas: pisco sour, vino, espumpante o cerveza. Duracion 1 hora. No reemplaza  comida</t>
  </si>
  <si>
    <t>Aperitivo tematico: Jugando en la barra, minimo 20 personas. Maximo 1,5 horas</t>
  </si>
  <si>
    <t>Bar abierto entretenido, donde ellos prepararan sus propios tragos con la ayuda de un bartender profesional. Acompañados con quesos y frutos secos. Duracion 1,5 horas</t>
  </si>
  <si>
    <t>Tabla de Queso 6 Pax</t>
  </si>
  <si>
    <t>Queso mantecoso, queso azul, queso cabra, camembert, esferas queso crema con ciboulette y mix frutos secos.</t>
  </si>
  <si>
    <t>Tabla Fiambres 6 Pax</t>
  </si>
  <si>
    <t>Jamon pierna, jamon serrano, salame, mix frutos secos</t>
  </si>
  <si>
    <t>Tabla Mixta Quesos y Fiambres 6 pax</t>
  </si>
  <si>
    <t>Jamon pierna, jamon serrano, salame, queso mantecoso, queso cabra, camembert, esferas queso crema y mix frutos secos.</t>
  </si>
  <si>
    <t xml:space="preserve">Tabla Mix Tapaditos, Quiches y Mini Empanadas 6 pax </t>
  </si>
  <si>
    <t>6 tapaditos salmon queso crema, 6 tapaditos Jamon serrano pesto aceituna, 6 mini quiches, 6 empanadas mini pino y empanadas napolitana.</t>
  </si>
  <si>
    <t>Tabla vegana 6 pax</t>
  </si>
  <si>
    <t>1 champiñon relleno, hummus, queso vegano especiado, crudites( bastones de verduras), grissinis de ajo, focaccia palmito, vegetales tempura, 1 brusqueta de rucula con tomate confit.</t>
  </si>
  <si>
    <t>Coctail basico, minimo 15 pasajeros.</t>
  </si>
  <si>
    <t>1 Bebestible por persona entre: Pisco sour, espumante, vino,  bebida o cerveza, 1 empanadita, 1 bruscheta queso crema tomate confit y reduccion de aceto, mix de quesos, brusqueta pesto con jamón serrano, queso azul frito con mermelada de frambuesa, y brocheta de fruta .</t>
  </si>
  <si>
    <t>Coctail chileno, minimo 15 pasajeros.</t>
  </si>
  <si>
    <t>1 Bebestible por persona entre: Pisco sour, espumante, vino,  bebida o cerveza. 1 empanadita de pino y 1 de queso, 1 bruscheta de prieta nogada, 1 mini anticucho, chorizo envuelto en masa de  hoja, chupe de camarón, mix de quesos y frutos secos.</t>
  </si>
  <si>
    <t>Cordero a la espada (Cordero con pan amasado y salsas para 20 pax)</t>
  </si>
  <si>
    <t>Cordero a la espada para picoteo, acompañado de panes amasados con distintas salsas tales como pebre, lactonesa ajo merkén y criolla.</t>
  </si>
  <si>
    <t>Pierna de cerdo 16 hrs al horno, con amasado y 3 salsas para picoteo</t>
  </si>
  <si>
    <t xml:space="preserve">Recomendado para  maximo 50 personas </t>
  </si>
  <si>
    <t>Empanadas coctel( pino, queso y napolitana)</t>
  </si>
  <si>
    <t>Empanada pino, queso, napolitana, valor unitario</t>
  </si>
  <si>
    <t>Servicio de trasnoche Consome 250cc con 2 tapaditos</t>
  </si>
  <si>
    <t>Fijo 50.000 mas 10.000 por persona</t>
  </si>
  <si>
    <t xml:space="preserve">Punto de hidratación </t>
  </si>
  <si>
    <t>1 barra de ceral, 1 agua mineral y 1 fruta de estación</t>
  </si>
  <si>
    <t>1 fruta de estación</t>
  </si>
  <si>
    <t xml:space="preserve">1 barra de cereal </t>
  </si>
  <si>
    <t>Torta Chocolate 16 pax</t>
  </si>
  <si>
    <t>Torta de chocolate envuelta en chips de chocolate.</t>
  </si>
  <si>
    <t>Torta Carrotcake 14 pax</t>
  </si>
  <si>
    <t>Esponjoso de zanahoria nuez, rellena frosting de queso crema</t>
  </si>
  <si>
    <t>Cheesecake de Oreo 14 pax</t>
  </si>
  <si>
    <t>Imperdible cheesecake Oreo</t>
  </si>
  <si>
    <t>Torta San Francisco manjar nuez 15 pax</t>
  </si>
  <si>
    <t>Esponjoso de chocolate rellena de dulce de leche y crema chantilly</t>
  </si>
  <si>
    <t>Trozo de torta servidas en comedores:</t>
  </si>
  <si>
    <t>Trozo de torta de Chocolate + estacion cafe o té en comedor</t>
  </si>
  <si>
    <t>Trozo servido a la mesa en el comedor con estacion de té y cafe disponible para autoservicio.</t>
  </si>
  <si>
    <t>Trozo de torta Carrot Cake + estacion cafe o té en comedor</t>
  </si>
  <si>
    <t>Trozo de Cheese Cake Oreo + estacion cafe o té en comedor</t>
  </si>
  <si>
    <t>Spa</t>
  </si>
  <si>
    <t>Masajista exclusiva, para masajes relax 30 minutos</t>
  </si>
  <si>
    <t>Horario de 10:30 a 20:00, puede hacer maximo 10 masajes de relajación por dia.</t>
  </si>
  <si>
    <t>Masajes de relajacion de media hora</t>
  </si>
  <si>
    <t>Horario de los masajes debe coordinarse previamente al evento. Minimo 3 dias de anticipacion</t>
  </si>
  <si>
    <t>Gorros de piscinas  lycra</t>
  </si>
  <si>
    <t xml:space="preserve">Gorro lycra </t>
  </si>
  <si>
    <t>Gorros de piscinas  latex</t>
  </si>
  <si>
    <t xml:space="preserve">Gorro Latex </t>
  </si>
  <si>
    <t>Piscina temperada nocturna exclusiva por 1 hora</t>
  </si>
  <si>
    <t>20:00- 21:00</t>
  </si>
  <si>
    <t>Piscina temperada nocturna exclusiva por 1 hora de 20:00 a 21:00</t>
  </si>
  <si>
    <t>Alojamiento</t>
  </si>
  <si>
    <t>Habitación single hotel B&amp;B</t>
  </si>
  <si>
    <t>Desayuno, cabalgatas, canopy, kayak, botes, standup paddle, canchas tenis, pesca con mosca y piscina temperada</t>
  </si>
  <si>
    <t>Habitación Doble hotel B&amp;B</t>
  </si>
  <si>
    <t>Habitación Triple hotel B&amp;B</t>
  </si>
  <si>
    <t>Habitación Cuadruple hotel  B&amp;B</t>
  </si>
  <si>
    <t>Habitación Quintuple hotel B&amp;B</t>
  </si>
  <si>
    <t>Valor 6 pasajeros, en cabaña B&amp;B</t>
  </si>
  <si>
    <t>Valor 7 pasajeros, en cabaña B&amp;B</t>
  </si>
  <si>
    <t>Valor 8 pasajeros, en cabaña B&amp;B</t>
  </si>
  <si>
    <t>Valor Pax adicional en la misma habitacion</t>
  </si>
  <si>
    <t>Check in de habitaciones desde las 4 PM.Incluye: desayuno, cabalgatas, canopy, kayak, botes, standup paddle, canchas tenis, minigolf, baby, pesca con mosca y piscina temperada</t>
  </si>
  <si>
    <t>Early check in, por habitacion de hotel</t>
  </si>
  <si>
    <t>Check in anticipado desde las 12:00, segun disponibilidad.</t>
  </si>
  <si>
    <t>Late check out, por habitacion de hotel</t>
  </si>
  <si>
    <t>Check out hasta las 16:00, segun disponibilidad</t>
  </si>
  <si>
    <t>Early check in, por cabaña</t>
  </si>
  <si>
    <t>Late check out, por cabaña</t>
  </si>
  <si>
    <t>Traslado de maletas, entrega y retiro fuera de las habitaciones, valor por persona</t>
  </si>
  <si>
    <t>Productos o regalos en las habitaciones, valor por persona</t>
  </si>
  <si>
    <t>Regalos, aguas o algun detalle en las habitaciones, precio por persona</t>
  </si>
  <si>
    <t xml:space="preserve">Otros articulos </t>
  </si>
  <si>
    <t>1 Ramo de flores, 6 rosas, rojas, blancas, rosadas, amarilla</t>
  </si>
  <si>
    <t>encargar hasta 72 horas antes</t>
  </si>
  <si>
    <t xml:space="preserve">1 Chocolate Sahne Nuss 250g + espumante o botella de vino </t>
  </si>
  <si>
    <t xml:space="preserve">Resma de Hojas </t>
  </si>
  <si>
    <t xml:space="preserve">Lapices azul Pasta </t>
  </si>
  <si>
    <t xml:space="preserve">Corrector lapiz </t>
  </si>
  <si>
    <t xml:space="preserve">Plumones permanente </t>
  </si>
  <si>
    <t xml:space="preserve">Plumones de pizarra </t>
  </si>
  <si>
    <t xml:space="preserve">Fotocopias o impresion color </t>
  </si>
  <si>
    <t xml:space="preserve">hoja de color tamaño carta </t>
  </si>
  <si>
    <t>Fotocopias o impresion negro</t>
  </si>
  <si>
    <t xml:space="preserve">hoja en blanco y negro tamaño carta </t>
  </si>
  <si>
    <t>Almuerzos productoras o choferes en buffet</t>
  </si>
  <si>
    <t xml:space="preserve">Exclusivo solo a los que traen a las empresas </t>
  </si>
  <si>
    <t xml:space="preserve">Actividades </t>
  </si>
  <si>
    <t>Guias exclusivos para caminatas</t>
  </si>
  <si>
    <t>1 guia cada 20 o 25 personas.( Ideal minimo dos para abrir y cerrar el grupo para caminatas)</t>
  </si>
  <si>
    <t>Caminata "la tenca" de forma exclusiva, 1,5 horas</t>
  </si>
  <si>
    <t>300.000+ 10.000 por persona</t>
  </si>
  <si>
    <t>Caminata por circuito la tenca, entremedio de bosques y arroyos del lugar. Es un recorrido por los alrededores del hotel. Tiene una dificultad baja, duracion 1,5 horas y una distancia de 2,3 kilometros. Incluye un agua por persona</t>
  </si>
  <si>
    <t>Caminata al mirador exclusiva.  Dificultad media, duracion: 1 hora</t>
  </si>
  <si>
    <t>Caminata a un mirador donde se puede observar el valle del aconcagua. Circuito ubicado al frente del hotel y es de dificultad media, dura 1 hora y tiene una distancia de 2 kilometros. Caminata incluyeun agua por persona</t>
  </si>
  <si>
    <t>Fogon pequeño (Fogata pequeña)</t>
  </si>
  <si>
    <t>Fogata chica en calderos o pergola. Duración 2.5 horas.</t>
  </si>
  <si>
    <t>Fogata grande</t>
  </si>
  <si>
    <t>Fogata grande en actividad de luz. Duración 2.5 horas.</t>
  </si>
  <si>
    <t>Clase de pesca con mosca 3 horas(9 am a 12pm)</t>
  </si>
  <si>
    <t xml:space="preserve">Arriendo de Caña </t>
  </si>
  <si>
    <t>Solo caña  todo el dia, las moscas tienen un valor adicional.</t>
  </si>
  <si>
    <t>Paseos a Caballo exclusivos, minimo 4 pasajeros, duracion 3-4 horas. Maximo 20 personas</t>
  </si>
  <si>
    <t>Paseo comienza con una clinica intruductoria y luego practica, donde conoceran el cajón de san francisco y sus bondades. Paseo incluye un agua por persona</t>
  </si>
  <si>
    <t>Paseo a caballo Vertiente del toro</t>
  </si>
  <si>
    <t>$109.000</t>
  </si>
  <si>
    <t>4 horas + induccion Almuerzo+cena+ activiades</t>
  </si>
  <si>
    <t>Paseo a caballo Altos del Guindo</t>
  </si>
  <si>
    <t>$119.000</t>
  </si>
  <si>
    <t>5 horas + induccion Almuerzo+cena+ activiades</t>
  </si>
  <si>
    <t>Uso de actividades</t>
  </si>
  <si>
    <t xml:space="preserve">Ver horarios publicados en recepción </t>
  </si>
  <si>
    <t>$21,008</t>
  </si>
  <si>
    <t>$945,360</t>
  </si>
  <si>
    <t>Cabalgatas, canopy, kayak, botes, stand up paddle, cancha de tenis, minigolf, piscina temperada, piscina exterior, camillas de cuarzo, circuitos de trekking etc..</t>
  </si>
  <si>
    <t>Uso de actividades por cortesía</t>
  </si>
  <si>
    <t>Yoga</t>
  </si>
  <si>
    <t>300.000 + 10.000 pesos por persona</t>
  </si>
  <si>
    <t>Yoga, actividades de respiracion y relajacion por 1 hora, incluye un agua mineral por persona</t>
  </si>
  <si>
    <t>Teambuilding</t>
  </si>
  <si>
    <t>Paintball</t>
  </si>
  <si>
    <t>1.000.000+ 35.000 por persona</t>
  </si>
  <si>
    <t>Juego de paintball, incluye un agua por persona. Duracion aproximada 2 horas. Inlcuye primera carga de pelotas, con posibilidad de recarga por 15.000+ iva por persona</t>
  </si>
  <si>
    <t>Busqueda de tesoro</t>
  </si>
  <si>
    <t>500.000+ 15.000 por persona</t>
  </si>
  <si>
    <t>duracion actividad 2,5 horas</t>
  </si>
  <si>
    <t>Actividad de la luz</t>
  </si>
  <si>
    <t>21:30- 23:00</t>
  </si>
  <si>
    <t>duracion actividad 1,5 horas aprox</t>
  </si>
  <si>
    <t>Alianzas</t>
  </si>
  <si>
    <t>Duracion 2 horas aprox</t>
  </si>
  <si>
    <t>El herido</t>
  </si>
  <si>
    <t>Duracion 2,5 horas aprox</t>
  </si>
  <si>
    <t>El Naufrago, La balsa</t>
  </si>
  <si>
    <t>1.000.000 + 20.000 por persona</t>
  </si>
  <si>
    <t>duracion 2 horas aprox</t>
  </si>
  <si>
    <t>El Naufrago Full</t>
  </si>
  <si>
    <t>Conquistando la Cumbre</t>
  </si>
  <si>
    <t>Tiro con Arco</t>
  </si>
  <si>
    <t>660.000+ 10.000 por persona</t>
  </si>
  <si>
    <t>Mision y Vision</t>
  </si>
  <si>
    <t>Fabrica de sal</t>
  </si>
  <si>
    <t>duracion 1 hora aprox</t>
  </si>
  <si>
    <t>La Pizza Nostra Per Tutti</t>
  </si>
  <si>
    <t>575.000+55.000 por persona</t>
  </si>
  <si>
    <t>1 hora 30 min</t>
  </si>
  <si>
    <t>La Pizza Nostra</t>
  </si>
  <si>
    <t>575.000+30.000 por persona</t>
  </si>
  <si>
    <t>The Boss Grill</t>
  </si>
  <si>
    <t>400.000 + 55.000 por persona</t>
  </si>
  <si>
    <t>Cocinando Equipos</t>
  </si>
  <si>
    <t>750.000 + 55.000 por persona</t>
  </si>
  <si>
    <t>Master chef</t>
  </si>
  <si>
    <t>750.000+30.000 por persona</t>
  </si>
  <si>
    <t>Cada grupo debe preparar los mejores platos</t>
  </si>
  <si>
    <t>De La Masa Al Plato</t>
  </si>
  <si>
    <t>500.000+ 55.000 por persona</t>
  </si>
  <si>
    <t>Parrillando en Equipo</t>
  </si>
  <si>
    <t>500.000+ 65.000 por persona</t>
  </si>
  <si>
    <t>Karaoke con copas y tapas</t>
  </si>
  <si>
    <t>650.000+ 46.800 por persona</t>
  </si>
  <si>
    <t>Cordero &amp; Vinos</t>
  </si>
  <si>
    <t>500.000+ 50.000 por persona</t>
  </si>
  <si>
    <t>Cata de Vinos</t>
  </si>
  <si>
    <t>300.000+ 24.000 por persona</t>
  </si>
  <si>
    <t>Teambuilding, actividades de pausa</t>
  </si>
  <si>
    <t>Los Neumaticos</t>
  </si>
  <si>
    <t>150.000 + 3.000 por persona</t>
  </si>
  <si>
    <t>actividades de pausa de 15- 30 minutos aprox. cada una</t>
  </si>
  <si>
    <t>Totem</t>
  </si>
  <si>
    <t>La estrella</t>
  </si>
  <si>
    <t>Tirar la cuerda</t>
  </si>
  <si>
    <t>El equilibrio</t>
  </si>
  <si>
    <t>El Enredo</t>
  </si>
  <si>
    <t>Baile Entretenido</t>
  </si>
  <si>
    <t xml:space="preserve">Gimnasia de Pausa </t>
  </si>
  <si>
    <t>La Bolita</t>
  </si>
  <si>
    <t>Ula Ula</t>
  </si>
  <si>
    <t xml:space="preserve">Carrera de Sacos </t>
  </si>
  <si>
    <t>Bob Esponja</t>
  </si>
  <si>
    <t>Salones</t>
  </si>
  <si>
    <t>Auditorio</t>
  </si>
  <si>
    <t>Mesas redondas de trabajo</t>
  </si>
  <si>
    <t>Escuela</t>
  </si>
  <si>
    <t>U c/mesas</t>
  </si>
  <si>
    <t>Imperial</t>
  </si>
  <si>
    <t>Medidas Salón</t>
  </si>
  <si>
    <t>Área(mts2)</t>
  </si>
  <si>
    <t>Chinook</t>
  </si>
  <si>
    <t>320 - 350</t>
  </si>
  <si>
    <t>-</t>
  </si>
  <si>
    <t>21 x 15</t>
  </si>
  <si>
    <t>Tarima chinook mide  4,1 x 7,4</t>
  </si>
  <si>
    <t>Arcoiris 1</t>
  </si>
  <si>
    <t>11,9 x 6,8</t>
  </si>
  <si>
    <t>Arcoiris 2</t>
  </si>
  <si>
    <t>11,8 x 6,7</t>
  </si>
  <si>
    <t>Coho</t>
  </si>
  <si>
    <t>19,5 x 6,7</t>
  </si>
  <si>
    <t>Fario 1</t>
  </si>
  <si>
    <t>11,3 x 8,1</t>
  </si>
  <si>
    <t>Fario 2</t>
  </si>
  <si>
    <t>Quincho(fiesta uso recomendado)</t>
  </si>
  <si>
    <t>Domo</t>
  </si>
  <si>
    <t>Diametro 19 metros</t>
  </si>
  <si>
    <t>Tarima domo mide 1,5 x 7,5</t>
  </si>
  <si>
    <t>Directorio</t>
  </si>
  <si>
    <t>NA</t>
  </si>
  <si>
    <t>16 - 28</t>
  </si>
  <si>
    <t>10,8 x 5,9</t>
  </si>
  <si>
    <t>VIP</t>
  </si>
  <si>
    <r>
      <rPr>
        <color rgb="FF1155CC"/>
        <u/>
      </rPr>
      <t>Presupuesto Valorizado</t>
    </r>
  </si>
  <si>
    <t>Cotización de servicios.</t>
  </si>
  <si>
    <t>Detalles Importantes:</t>
  </si>
  <si>
    <t>Nombre:</t>
  </si>
  <si>
    <t>*Almuerzo/Cena recomendaciones del chef formato buffet sobre 30 personas</t>
  </si>
  <si>
    <t>E Mail</t>
  </si>
  <si>
    <t>*Formato de pago: Contado o Crédito</t>
  </si>
  <si>
    <t>Fecha:</t>
  </si>
  <si>
    <t>17-19 Diciembre</t>
  </si>
  <si>
    <t>Nº Pasajeros</t>
  </si>
  <si>
    <t>*Alergias alimentarias</t>
  </si>
  <si>
    <t>Atiende:</t>
  </si>
  <si>
    <t>Telefono</t>
  </si>
  <si>
    <t>* La entrega de habitaciones es a las 16:00 y el check out es a las 12:00hrs</t>
  </si>
  <si>
    <t>*Observaciones adicionales</t>
  </si>
  <si>
    <t>Dia 1</t>
  </si>
  <si>
    <t>Valor</t>
  </si>
  <si>
    <t>Total</t>
  </si>
  <si>
    <t>Cena Sugerencias del chef  en formato Buffet, mas de 30 pasajeros</t>
  </si>
  <si>
    <t>Buffet tenedor libre con variedades de ensaladas, guarnisiones y acompañamientos calientes . Horario cena desde 19:30 hasta 21:00. No incluye bebidas ni aperitivos. Si en el hotel hay menos de 30 personas el servicio a la carta, si es mas de 30 personas será buffet.</t>
  </si>
  <si>
    <t>Lata de bebida  ccu</t>
  </si>
  <si>
    <t>1 trago por persona entre: Piscola (Mistral o 3R), Roncola (Havanna),  vodka (wyborowa), Whisky( Ballantines finest 3 años), Gin beefeter, Ramazzotti,  Daiquiri, Pisco sour, Kir Royal, Piña Colada, Copa de vino castillo molina( blanco y tinto) , copa de espumante Viña Mar Brut, cervezas en botella tales como Sol, Heineken,  Austral y Kunstmann. Las bebidas son de marcas CCU.</t>
  </si>
  <si>
    <t>Habitación single hotel</t>
  </si>
  <si>
    <t>Check in de habitaciones desde las 4 PM.Incluye: desayuno, cabalgatas, canopy, kayak, botes, standup paddle, canchas tenis, baby futbol y piscina temperada/exterior (previa confirmación de horarios)</t>
  </si>
  <si>
    <t>Dia 2</t>
  </si>
  <si>
    <t>Café, té, leche, yogurt, jamón, queso, huevos, mermeladas, mantequilla, panes, minipastelitos y cereales</t>
  </si>
  <si>
    <t>Naufrago para 12 personas / 3 grupos/ al azar / colores al azar</t>
  </si>
  <si>
    <t>10:00-12:00</t>
  </si>
  <si>
    <t>Según PDF enviado</t>
  </si>
  <si>
    <t>Almuerzo Sugerencias del chef  en formato Buffet, mas de 30 pasajeros</t>
  </si>
  <si>
    <r>
      <rPr>
        <rFont val="Calibri"/>
        <color theme="1"/>
        <sz val="12.0"/>
      </rPr>
      <t xml:space="preserve">Equipado con telón, papelógrafo, aire acondicionado y calefacción, 8 h Día. </t>
    </r>
    <r>
      <rPr>
        <rFont val="Calibri"/>
        <b/>
        <color theme="1"/>
        <sz val="12.0"/>
      </rPr>
      <t>(  ESCUELA)</t>
    </r>
  </si>
  <si>
    <t>Salon chinook, hasta 300 personas, 4 horas noche</t>
  </si>
  <si>
    <t xml:space="preserve">Salon para fiestas y karaokes con terraza exclusiva </t>
  </si>
  <si>
    <t>DJ por 4 horas para grupos menores a  35 pax</t>
  </si>
  <si>
    <t>Dj por 4 horas, incluye espacio fisico para realizar la actividad</t>
  </si>
  <si>
    <t>Dia 3</t>
  </si>
  <si>
    <t>Paintball para 12 personas</t>
  </si>
  <si>
    <t>10:00-11:30</t>
  </si>
  <si>
    <t>Según PDF enviado / 100 bolas de pintura por persona</t>
  </si>
  <si>
    <t>Total  evento neto</t>
  </si>
  <si>
    <t>Valor no incluye propinas.</t>
  </si>
  <si>
    <t>IVA</t>
  </si>
  <si>
    <t>Total evento con IVA</t>
  </si>
  <si>
    <t>Importante:</t>
  </si>
  <si>
    <t>· Para reserva de fecha solicitamos 50% del valor del programa.</t>
  </si>
  <si>
    <t>· Se puede cancelar el evento 15 dias antes sin complicaciones ni recargos.</t>
  </si>
  <si>
    <t>·  La cancelación del evento, una vez confirmado, ocasionará penalizacion si se realiza con menos de 15 días de anticipación.</t>
  </si>
  <si>
    <t>· Se puede realizar cambios de fecha hasta 7 dias antes del evento.</t>
  </si>
  <si>
    <t>· Las modificaciones de asistentes y servicios se deben realizar con minimo de 72 hrs de anticipación, luego se paga por lo reservado. Sin posibilidad de bajas o cambios.</t>
  </si>
  <si>
    <t>· Se deberá definir los horarios de los servicios y montajes de salones a más tardar 48 horas antes de iniciado el evento.</t>
  </si>
  <si>
    <t>·  Cualquier consumo adicional se cancela al momento del check-out, cada consumo debe tener autorización del encargado del evento, siempre y cuando se deje garantia o tengan credito aprobado. De lo contrario se pagan en el momento.</t>
  </si>
  <si>
    <t>·  Se prohibe ingresar alimentos y bebidas al recinto.</t>
  </si>
  <si>
    <t>·  El valor del descorche que se cobrará por ingreso a areas comunes y restoran es $15.000+IVA por botella.</t>
  </si>
  <si>
    <t>· El valor del descorche no declarado es de $45.000+IVA por botella.</t>
  </si>
  <si>
    <t>·  La entrega de habitaciones es a las 16:00 hrs el día de llegada y 12:00 hrs el día de salida / solo programa con alojamiento</t>
  </si>
  <si>
    <t>·  Se prohiben las fiestas en la habitaciones o en áreas comunes sin autorizacion de la Gerencia o Vendedora a Cargo. Existen multas asociadas por ruidos molestos en habitaciones.</t>
  </si>
  <si>
    <t>·  La empresa contratante deberá pagar por daños a las habitaciones o mobiliario. Esto es valor de la reparación o reposición mas los dias de no uso o no arriendo del bien o locacion.</t>
  </si>
  <si>
    <t>·  Se entiende que la empresa contratante, conoce y acepta cada uno de estos Itemes.</t>
  </si>
  <si>
    <t>Para Formalización y forma de pago:</t>
  </si>
  <si>
    <t>Pago Contado:</t>
  </si>
  <si>
    <t>·  Orden de compra indicando forma de pago abono y datos de la empresa.</t>
  </si>
  <si>
    <t>·  Se solicita un abono del 50% del total del Evento para efectuar reserva.</t>
  </si>
  <si>
    <t>·  Saldo restante se cancela directamente en el Lodge antes que comience el evento.</t>
  </si>
  <si>
    <t>·  Los extras se cancelan al check out, siempre y cuando se deje garantia para cargar a la habitación</t>
  </si>
  <si>
    <t>Para órdenes de compra y pagos</t>
  </si>
  <si>
    <t>Cuenta corriente:</t>
  </si>
  <si>
    <t>Nº620024-9.</t>
  </si>
  <si>
    <t>Banco</t>
  </si>
  <si>
    <t>Santander</t>
  </si>
  <si>
    <t>Razón Social:</t>
  </si>
  <si>
    <t>Aventuras Andinas LTDA.</t>
  </si>
  <si>
    <t>Rut:</t>
  </si>
  <si>
    <t>76.666.800-3</t>
  </si>
  <si>
    <t>Giro:</t>
  </si>
  <si>
    <t>Hoteleria y Turismo</t>
  </si>
  <si>
    <t>Dirección:</t>
  </si>
  <si>
    <t>Camino a la canabina s/n San Esteban, los andes,  v region.</t>
  </si>
  <si>
    <t>Fono:</t>
  </si>
  <si>
    <t>569 32472051</t>
  </si>
  <si>
    <r>
      <rPr>
        <rFont val="Calibri, sans-serif"/>
        <color rgb="FF1155CC"/>
        <sz val="11.0"/>
        <u/>
      </rPr>
      <t>Copiar abonos o transferencias a</t>
    </r>
    <r>
      <rPr>
        <rFont val="Calibri, sans-serif"/>
        <sz val="11.0"/>
      </rPr>
      <t xml:space="preserve"> sf@sflodge.cl y correo de la vendedora.</t>
    </r>
  </si>
  <si>
    <t>Empresas por el día sin alojamiento sin Crédito, sin OC.</t>
  </si>
  <si>
    <t>Al no tener crédito, si necesitan tener consumos extras, deben dejar garantía. Un porcentaje de garantía del total del programa,</t>
  </si>
  <si>
    <t>y los consumos deben ser autorizados y firmados por el encargado de la empresa. En caso de que no  se deje garantía,</t>
  </si>
  <si>
    <t>se deberá pagar los consumos en el momento que se soliciten.</t>
  </si>
  <si>
    <t>Tabla de garantía</t>
  </si>
  <si>
    <t>10% del evento en caso de eventos mayores a $10.000.000.</t>
  </si>
  <si>
    <t>15% en eventos de 10 a 5 millones.</t>
  </si>
  <si>
    <t>20% en eventos de 5 millones a 1 millón y en eventos más pequeños un 25%.</t>
  </si>
  <si>
    <t>Devolución de garantías</t>
  </si>
  <si>
    <t>La Garantía, es un monto que se retiene de la tarjeta de crédito(transbank)</t>
  </si>
  <si>
    <t>y se reintegra a la tarjeta según el acuerdo que tenga el banco generador de la tarjeta con transbank en 36, 48 o 72 horas hábiles.</t>
  </si>
  <si>
    <t>Forma de Pago.</t>
  </si>
  <si>
    <t>La forma de pago de facturas generadas por eventos realizados o extras generados a raíz  de dichos eventos,</t>
  </si>
  <si>
    <t>deberán ser pagadas vía transferencia o Deposito a la Cta. Cte. de Aventuras Andinas Ltda,</t>
  </si>
  <si>
    <t>rut 76666800-3, Nº 620024-9 del Banco Santander. En caso de atrasos los gastos de cobranza del Lodge ascienden a</t>
  </si>
  <si>
    <t>$200.000, que implican un chofer y una camioneta para traslado de personal de cobranzas por día y se cobrará el interes maximo convencional por mora.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</si>
</sst>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$]#,##0"/>
    <numFmt numFmtId="165" formatCode="&quot;$&quot;#,##0;[Red]&quot;$&quot;\-#,##0"/>
  </numFmts>
  <fonts count="30">
    <font>
      <sz val="10.0"/>
      <color rgb="FF000000"/>
      <name val="Arial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sz val="12.0"/>
      <color theme="1"/>
      <name val="Calibri"/>
    </font>
    <font>
      <sz val="12.0"/>
      <color rgb="FF434343"/>
      <name val="Calibri"/>
    </font>
    <font>
      <sz val="12.0"/>
      <color rgb="FF000000"/>
      <name val="Calibri"/>
    </font>
    <font>
      <color theme="1"/>
      <name val="Arial"/>
    </font>
    <font>
      <sz val="12.0"/>
      <color rgb="FFFF0000"/>
      <name val="Calibri"/>
    </font>
    <font>
      <b/>
      <sz val="12.0"/>
      <color rgb="FF434343"/>
      <name val="Calibri"/>
    </font>
    <font>
      <b/>
      <sz val="11.0"/>
      <color rgb="FF000000"/>
      <name val="Arial"/>
    </font>
    <font>
      <b/>
      <sz val="11.0"/>
      <color rgb="FF000000"/>
      <name val="Calibri"/>
    </font>
    <font>
      <color theme="1"/>
      <name val="Arial"/>
      <scheme val="minor"/>
    </font>
    <font>
      <sz val="11.0"/>
      <color rgb="FF000000"/>
      <name val="Calibri"/>
    </font>
    <font>
      <i/>
      <color theme="1"/>
      <name val="Arial"/>
    </font>
    <font>
      <b/>
      <color theme="1"/>
      <name val="Arial"/>
    </font>
    <font>
      <b/>
      <sz val="11.0"/>
      <color theme="1"/>
      <name val="Helvetica"/>
    </font>
    <font>
      <sz val="11.0"/>
      <color theme="1"/>
      <name val="Helvetica"/>
    </font>
    <font>
      <u/>
      <color rgb="FF0000FF"/>
    </font>
    <font>
      <sz val="14.0"/>
      <color rgb="FF000000"/>
      <name val="Calibri"/>
    </font>
    <font>
      <b/>
      <sz val="16.0"/>
      <color rgb="FF000000"/>
      <name val="Calibri"/>
    </font>
    <font/>
    <font>
      <color rgb="FF000000"/>
      <name val="Calibri"/>
    </font>
    <font>
      <b/>
      <color rgb="FF000000"/>
      <name val="Calibri"/>
    </font>
    <font>
      <color rgb="FFFF0000"/>
      <name val="Calibri"/>
    </font>
    <font>
      <u/>
      <sz val="12.0"/>
      <color rgb="FF0000FF"/>
      <name val="Calibri"/>
    </font>
    <font>
      <u/>
      <color rgb="FF0000FF"/>
      <name val="Calibri"/>
    </font>
    <font>
      <color rgb="FF538DD5"/>
      <name val="Calibri"/>
    </font>
    <font>
      <b/>
      <sz val="11.0"/>
      <color rgb="FFFF0000"/>
      <name val="Calibri"/>
    </font>
    <font>
      <sz val="11.0"/>
      <color rgb="FFFF0000"/>
      <name val="Calibri"/>
    </font>
    <font>
      <u/>
      <sz val="11.0"/>
      <color rgb="FF0000FF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8DB3E2"/>
        <bgColor rgb="FF8DB3E2"/>
      </patternFill>
    </fill>
    <fill>
      <patternFill patternType="solid">
        <fgColor rgb="FF8DB4E2"/>
        <bgColor rgb="FF8DB4E2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B7B7B7"/>
        <bgColor rgb="FFB7B7B7"/>
      </patternFill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  <fill>
      <patternFill patternType="solid">
        <fgColor rgb="FF92CDDC"/>
        <bgColor rgb="FF92CDDC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/>
      <right style="thin">
        <color rgb="FF000000"/>
      </right>
      <top/>
      <bottom style="thin">
        <color rgb="FF000000"/>
      </bottom>
    </border>
    <border>
      <left style="hair">
        <color rgb="FFD3D3D3"/>
      </left>
      <right style="hair">
        <color rgb="FFD3D3D3"/>
      </right>
      <top style="hair">
        <color rgb="FFD3D3D3"/>
      </top>
      <bottom style="hair">
        <color rgb="FFD3D3D3"/>
      </bottom>
    </border>
    <border>
      <left style="hair">
        <color rgb="FFD3D3D3"/>
      </left>
      <top style="hair">
        <color rgb="FFD3D3D3"/>
      </top>
      <bottom style="hair">
        <color rgb="FFD3D3D3"/>
      </bottom>
    </border>
    <border>
      <top style="hair">
        <color rgb="FFD3D3D3"/>
      </top>
      <bottom style="hair">
        <color rgb="FFD3D3D3"/>
      </bottom>
    </border>
    <border>
      <right style="hair">
        <color rgb="FFD3D3D3"/>
      </right>
      <top style="hair">
        <color rgb="FFD3D3D3"/>
      </top>
      <bottom style="hair">
        <color rgb="FFD3D3D3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1" fillId="3" fontId="2" numFmtId="164" xfId="0" applyAlignment="1" applyBorder="1" applyFill="1" applyFont="1" applyNumberFormat="1">
      <alignment horizontal="center" readingOrder="0" shrinkToFit="0" vertical="bottom" wrapText="0"/>
    </xf>
    <xf borderId="2" fillId="3" fontId="2" numFmtId="3" xfId="0" applyAlignment="1" applyBorder="1" applyFont="1" applyNumberFormat="1">
      <alignment horizontal="center" readingOrder="0" shrinkToFit="0" vertical="bottom" wrapText="0"/>
    </xf>
    <xf borderId="1" fillId="2" fontId="1" numFmtId="164" xfId="0" applyAlignment="1" applyBorder="1" applyFont="1" applyNumberFormat="1">
      <alignment horizontal="center" vertical="bottom"/>
    </xf>
    <xf borderId="1" fillId="2" fontId="1" numFmtId="21" xfId="0" applyAlignment="1" applyBorder="1" applyFont="1" applyNumberFormat="1">
      <alignment horizontal="center" vertical="bottom"/>
    </xf>
    <xf borderId="0" fillId="4" fontId="3" numFmtId="164" xfId="0" applyAlignment="1" applyFill="1" applyFont="1" applyNumberFormat="1">
      <alignment vertical="bottom"/>
    </xf>
    <xf borderId="0" fillId="4" fontId="3" numFmtId="0" xfId="0" applyAlignment="1" applyFont="1">
      <alignment vertical="bottom"/>
    </xf>
    <xf borderId="0" fillId="4" fontId="3" numFmtId="0" xfId="0" applyFont="1"/>
    <xf borderId="1" fillId="4" fontId="3" numFmtId="0" xfId="0" applyAlignment="1" applyBorder="1" applyFont="1">
      <alignment readingOrder="0" vertical="bottom"/>
    </xf>
    <xf borderId="1" fillId="4" fontId="3" numFmtId="3" xfId="0" applyAlignment="1" applyBorder="1" applyFont="1" applyNumberFormat="1">
      <alignment horizontal="right" readingOrder="0" vertical="bottom"/>
    </xf>
    <xf borderId="1" fillId="4" fontId="3" numFmtId="165" xfId="0" applyAlignment="1" applyBorder="1" applyFont="1" applyNumberFormat="1">
      <alignment horizontal="right" vertical="bottom"/>
    </xf>
    <xf borderId="1" fillId="4" fontId="3" numFmtId="164" xfId="0" applyAlignment="1" applyBorder="1" applyFont="1" applyNumberFormat="1">
      <alignment readingOrder="0" shrinkToFit="0" vertical="bottom" wrapText="1"/>
    </xf>
    <xf borderId="1" fillId="0" fontId="3" numFmtId="0" xfId="0" applyAlignment="1" applyBorder="1" applyFont="1">
      <alignment readingOrder="0" vertical="bottom"/>
    </xf>
    <xf borderId="1" fillId="0" fontId="3" numFmtId="165" xfId="0" applyAlignment="1" applyBorder="1" applyFont="1" applyNumberFormat="1">
      <alignment horizontal="right" readingOrder="0" vertical="bottom"/>
    </xf>
    <xf borderId="0" fillId="0" fontId="3" numFmtId="164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3" numFmtId="0" xfId="0" applyFont="1"/>
    <xf borderId="1" fillId="0" fontId="3" numFmtId="164" xfId="0" applyAlignment="1" applyBorder="1" applyFont="1" applyNumberFormat="1">
      <alignment vertical="bottom"/>
    </xf>
    <xf borderId="1" fillId="0" fontId="3" numFmtId="164" xfId="0" applyAlignment="1" applyBorder="1" applyFont="1" applyNumberFormat="1">
      <alignment readingOrder="0" shrinkToFit="0" vertical="bottom" wrapText="1"/>
    </xf>
    <xf borderId="1" fillId="0" fontId="3" numFmtId="165" xfId="0" applyAlignment="1" applyBorder="1" applyFont="1" applyNumberFormat="1">
      <alignment horizontal="right" vertical="bottom"/>
    </xf>
    <xf borderId="1" fillId="4" fontId="4" numFmtId="0" xfId="0" applyAlignment="1" applyBorder="1" applyFont="1">
      <alignment readingOrder="0" shrinkToFit="0" vertical="bottom" wrapText="1"/>
    </xf>
    <xf borderId="1" fillId="0" fontId="3" numFmtId="0" xfId="0" applyAlignment="1" applyBorder="1" applyFont="1">
      <alignment readingOrder="0" shrinkToFit="0" vertical="bottom" wrapText="1"/>
    </xf>
    <xf borderId="1" fillId="4" fontId="1" numFmtId="164" xfId="0" applyAlignment="1" applyBorder="1" applyFont="1" applyNumberFormat="1">
      <alignment horizontal="right" vertical="bottom"/>
    </xf>
    <xf borderId="1" fillId="4" fontId="1" numFmtId="164" xfId="0" applyAlignment="1" applyBorder="1" applyFont="1" applyNumberFormat="1">
      <alignment horizontal="right" readingOrder="0" vertical="bottom"/>
    </xf>
    <xf borderId="1" fillId="0" fontId="1" numFmtId="0" xfId="0" applyAlignment="1" applyBorder="1" applyFont="1">
      <alignment vertical="bottom"/>
    </xf>
    <xf borderId="1" fillId="0" fontId="3" numFmtId="164" xfId="0" applyAlignment="1" applyBorder="1" applyFont="1" applyNumberFormat="1">
      <alignment shrinkToFit="0" vertical="bottom" wrapText="1"/>
    </xf>
    <xf borderId="1" fillId="0" fontId="3" numFmtId="3" xfId="0" applyAlignment="1" applyBorder="1" applyFont="1" applyNumberFormat="1">
      <alignment horizontal="right" readingOrder="0" vertical="bottom"/>
    </xf>
    <xf borderId="1" fillId="4" fontId="3" numFmtId="21" xfId="0" applyAlignment="1" applyBorder="1" applyFont="1" applyNumberFormat="1">
      <alignment vertical="bottom"/>
    </xf>
    <xf borderId="1" fillId="4" fontId="3" numFmtId="165" xfId="0" applyAlignment="1" applyBorder="1" applyFont="1" applyNumberFormat="1">
      <alignment horizontal="right" readingOrder="0" vertical="bottom"/>
    </xf>
    <xf borderId="1" fillId="4" fontId="3" numFmtId="0" xfId="0" applyAlignment="1" applyBorder="1" applyFont="1">
      <alignment vertical="bottom"/>
    </xf>
    <xf borderId="1" fillId="4" fontId="3" numFmtId="164" xfId="0" applyAlignment="1" applyBorder="1" applyFont="1" applyNumberFormat="1">
      <alignment readingOrder="0" vertical="bottom"/>
    </xf>
    <xf borderId="1" fillId="4" fontId="3" numFmtId="164" xfId="0" applyAlignment="1" applyBorder="1" applyFont="1" applyNumberFormat="1">
      <alignment vertical="bottom"/>
    </xf>
    <xf borderId="1" fillId="0" fontId="3" numFmtId="0" xfId="0" applyAlignment="1" applyBorder="1" applyFont="1">
      <alignment shrinkToFit="0" vertical="bottom" wrapText="1"/>
    </xf>
    <xf borderId="1" fillId="4" fontId="3" numFmtId="164" xfId="0" applyAlignment="1" applyBorder="1" applyFont="1" applyNumberFormat="1">
      <alignment shrinkToFit="0" vertical="bottom" wrapText="1"/>
    </xf>
    <xf borderId="1" fillId="2" fontId="1" numFmtId="164" xfId="0" applyAlignment="1" applyBorder="1" applyFont="1" applyNumberFormat="1">
      <alignment horizontal="center" shrinkToFit="0" vertical="bottom" wrapText="1"/>
    </xf>
    <xf borderId="1" fillId="4" fontId="3" numFmtId="0" xfId="0" applyAlignment="1" applyBorder="1" applyFont="1">
      <alignment vertical="bottom"/>
    </xf>
    <xf borderId="1" fillId="4" fontId="3" numFmtId="0" xfId="0" applyAlignment="1" applyBorder="1" applyFont="1">
      <alignment readingOrder="0" shrinkToFit="0" vertical="bottom" wrapText="1"/>
    </xf>
    <xf borderId="1" fillId="0" fontId="3" numFmtId="0" xfId="0" applyAlignment="1" applyBorder="1" applyFont="1">
      <alignment vertical="bottom"/>
    </xf>
    <xf borderId="2" fillId="4" fontId="3" numFmtId="21" xfId="0" applyAlignment="1" applyBorder="1" applyFont="1" applyNumberFormat="1">
      <alignment vertical="bottom"/>
    </xf>
    <xf borderId="2" fillId="4" fontId="3" numFmtId="165" xfId="0" applyAlignment="1" applyBorder="1" applyFont="1" applyNumberFormat="1">
      <alignment horizontal="right" readingOrder="0" vertical="bottom"/>
    </xf>
    <xf borderId="2" fillId="4" fontId="3" numFmtId="0" xfId="0" applyAlignment="1" applyBorder="1" applyFont="1">
      <alignment readingOrder="0" vertical="bottom"/>
    </xf>
    <xf borderId="1" fillId="4" fontId="4" numFmtId="0" xfId="0" applyAlignment="1" applyBorder="1" applyFont="1">
      <alignment shrinkToFit="0" vertical="bottom" wrapText="1"/>
    </xf>
    <xf borderId="1" fillId="4" fontId="5" numFmtId="0" xfId="0" applyAlignment="1" applyBorder="1" applyFont="1">
      <alignment readingOrder="0" shrinkToFit="0" vertical="bottom" wrapText="1"/>
    </xf>
    <xf borderId="1" fillId="4" fontId="5" numFmtId="164" xfId="0" applyAlignment="1" applyBorder="1" applyFont="1" applyNumberFormat="1">
      <alignment horizontal="right" vertical="bottom"/>
    </xf>
    <xf borderId="1" fillId="4" fontId="5" numFmtId="164" xfId="0" applyAlignment="1" applyBorder="1" applyFont="1" applyNumberFormat="1">
      <alignment horizontal="right" readingOrder="0" vertical="bottom"/>
    </xf>
    <xf borderId="0" fillId="0" fontId="5" numFmtId="0" xfId="0" applyAlignment="1" applyFont="1">
      <alignment vertical="bottom"/>
    </xf>
    <xf borderId="0" fillId="0" fontId="5" numFmtId="0" xfId="0" applyFont="1"/>
    <xf borderId="1" fillId="0" fontId="5" numFmtId="0" xfId="0" applyAlignment="1" applyBorder="1" applyFont="1">
      <alignment readingOrder="0" shrinkToFit="0" vertical="bottom" wrapText="1"/>
    </xf>
    <xf borderId="2" fillId="4" fontId="3" numFmtId="164" xfId="0" applyAlignment="1" applyBorder="1" applyFont="1" applyNumberFormat="1">
      <alignment readingOrder="0" shrinkToFit="0" vertical="bottom" wrapText="1"/>
    </xf>
    <xf borderId="2" fillId="4" fontId="3" numFmtId="164" xfId="0" applyAlignment="1" applyBorder="1" applyFont="1" applyNumberFormat="1">
      <alignment shrinkToFit="0" vertical="bottom" wrapText="1"/>
    </xf>
    <xf borderId="3" fillId="0" fontId="3" numFmtId="0" xfId="0" applyAlignment="1" applyBorder="1" applyFont="1">
      <alignment readingOrder="0" vertical="bottom"/>
    </xf>
    <xf borderId="4" fillId="0" fontId="3" numFmtId="165" xfId="0" applyAlignment="1" applyBorder="1" applyFont="1" applyNumberFormat="1">
      <alignment horizontal="right" readingOrder="0" vertical="bottom"/>
    </xf>
    <xf borderId="5" fillId="0" fontId="3" numFmtId="0" xfId="0" applyAlignment="1" applyBorder="1" applyFont="1">
      <alignment readingOrder="0" vertical="bottom"/>
    </xf>
    <xf borderId="5" fillId="4" fontId="3" numFmtId="0" xfId="0" applyAlignment="1" applyBorder="1" applyFont="1">
      <alignment readingOrder="0" vertical="bottom"/>
    </xf>
    <xf borderId="4" fillId="4" fontId="3" numFmtId="164" xfId="0" applyAlignment="1" applyBorder="1" applyFont="1" applyNumberFormat="1">
      <alignment readingOrder="0" vertical="bottom"/>
    </xf>
    <xf borderId="4" fillId="0" fontId="3" numFmtId="164" xfId="0" applyAlignment="1" applyBorder="1" applyFont="1" applyNumberFormat="1">
      <alignment horizontal="right" readingOrder="0" vertical="bottom"/>
    </xf>
    <xf borderId="4" fillId="0" fontId="3" numFmtId="164" xfId="0" applyAlignment="1" applyBorder="1" applyFont="1" applyNumberFormat="1">
      <alignment readingOrder="0" vertical="bottom"/>
    </xf>
    <xf borderId="1" fillId="0" fontId="6" numFmtId="164" xfId="0" applyAlignment="1" applyBorder="1" applyFont="1" applyNumberFormat="1">
      <alignment readingOrder="0" vertical="bottom"/>
    </xf>
    <xf borderId="4" fillId="0" fontId="7" numFmtId="164" xfId="0" applyAlignment="1" applyBorder="1" applyFont="1" applyNumberFormat="1">
      <alignment horizontal="right" readingOrder="0" vertical="bottom"/>
    </xf>
    <xf borderId="1" fillId="4" fontId="7" numFmtId="164" xfId="0" applyAlignment="1" applyBorder="1" applyFont="1" applyNumberFormat="1">
      <alignment readingOrder="0" shrinkToFit="0" vertical="bottom" wrapText="1"/>
    </xf>
    <xf borderId="1" fillId="4" fontId="3" numFmtId="3" xfId="0" applyAlignment="1" applyBorder="1" applyFont="1" applyNumberFormat="1">
      <alignment horizontal="right" vertical="bottom"/>
    </xf>
    <xf borderId="1" fillId="0" fontId="7" numFmtId="165" xfId="0" applyAlignment="1" applyBorder="1" applyFont="1" applyNumberFormat="1">
      <alignment horizontal="right" vertical="bottom"/>
    </xf>
    <xf borderId="1" fillId="4" fontId="7" numFmtId="164" xfId="0" applyAlignment="1" applyBorder="1" applyFont="1" applyNumberFormat="1">
      <alignment horizontal="right" shrinkToFit="0" vertical="bottom" wrapText="1"/>
    </xf>
    <xf borderId="0" fillId="0" fontId="6" numFmtId="164" xfId="0" applyAlignment="1" applyFont="1" applyNumberFormat="1">
      <alignment vertical="bottom"/>
    </xf>
    <xf borderId="0" fillId="0" fontId="6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4" fillId="0" fontId="3" numFmtId="21" xfId="0" applyAlignment="1" applyBorder="1" applyFont="1" applyNumberFormat="1">
      <alignment vertical="bottom"/>
    </xf>
    <xf borderId="4" fillId="0" fontId="3" numFmtId="164" xfId="0" applyAlignment="1" applyBorder="1" applyFont="1" applyNumberFormat="1">
      <alignment horizontal="right" vertical="bottom"/>
    </xf>
    <xf borderId="4" fillId="0" fontId="3" numFmtId="164" xfId="0" applyAlignment="1" applyBorder="1" applyFont="1" applyNumberFormat="1">
      <alignment vertical="bottom"/>
    </xf>
    <xf borderId="1" fillId="5" fontId="8" numFmtId="0" xfId="0" applyAlignment="1" applyBorder="1" applyFill="1" applyFont="1">
      <alignment horizontal="center" readingOrder="0" shrinkToFit="0" vertical="bottom" wrapText="1"/>
    </xf>
    <xf borderId="1" fillId="4" fontId="1" numFmtId="21" xfId="0" applyAlignment="1" applyBorder="1" applyFont="1" applyNumberFormat="1">
      <alignment vertical="bottom"/>
    </xf>
    <xf borderId="0" fillId="0" fontId="1" numFmtId="0" xfId="0" applyAlignment="1" applyFont="1">
      <alignment vertical="bottom"/>
    </xf>
    <xf borderId="0" fillId="0" fontId="1" numFmtId="0" xfId="0" applyFont="1"/>
    <xf borderId="1" fillId="4" fontId="5" numFmtId="0" xfId="0" applyAlignment="1" applyBorder="1" applyFont="1">
      <alignment shrinkToFit="0" vertical="bottom" wrapText="1"/>
    </xf>
    <xf borderId="1" fillId="4" fontId="3" numFmtId="16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readingOrder="0" vertical="bottom"/>
    </xf>
    <xf borderId="1" fillId="6" fontId="8" numFmtId="0" xfId="0" applyAlignment="1" applyBorder="1" applyFill="1" applyFont="1">
      <alignment horizontal="center" readingOrder="0" shrinkToFit="0" vertical="bottom" wrapText="1"/>
    </xf>
    <xf borderId="1" fillId="0" fontId="4" numFmtId="0" xfId="0" applyAlignment="1" applyBorder="1" applyFont="1">
      <alignment shrinkToFit="0" vertical="bottom" wrapText="1"/>
    </xf>
    <xf borderId="1" fillId="0" fontId="1" numFmtId="164" xfId="0" applyAlignment="1" applyBorder="1" applyFont="1" applyNumberFormat="1">
      <alignment horizontal="right" vertical="bottom"/>
    </xf>
    <xf borderId="1" fillId="4" fontId="8" numFmtId="0" xfId="0" applyAlignment="1" applyBorder="1" applyFont="1">
      <alignment horizontal="center" readingOrder="0" shrinkToFit="0" vertical="bottom" wrapText="1"/>
    </xf>
    <xf borderId="1" fillId="4" fontId="1" numFmtId="164" xfId="0" applyAlignment="1" applyBorder="1" applyFont="1" applyNumberFormat="1">
      <alignment horizontal="right" shrinkToFit="0" vertical="bottom" wrapText="1"/>
    </xf>
    <xf borderId="1" fillId="4" fontId="1" numFmtId="164" xfId="0" applyAlignment="1" applyBorder="1" applyFont="1" applyNumberFormat="1">
      <alignment horizontal="center" shrinkToFit="0" vertical="bottom" wrapText="1"/>
    </xf>
    <xf borderId="1" fillId="4" fontId="3" numFmtId="0" xfId="0" applyAlignment="1" applyBorder="1" applyFont="1">
      <alignment horizontal="right" readingOrder="0" vertical="bottom"/>
    </xf>
    <xf borderId="1" fillId="0" fontId="3" numFmtId="0" xfId="0" applyAlignment="1" applyBorder="1" applyFont="1">
      <alignment shrinkToFit="0" wrapText="1"/>
    </xf>
    <xf borderId="1" fillId="4" fontId="3" numFmtId="0" xfId="0" applyAlignment="1" applyBorder="1" applyFont="1">
      <alignment shrinkToFit="0" vertical="bottom" wrapText="1"/>
    </xf>
    <xf borderId="1" fillId="0" fontId="3" numFmtId="21" xfId="0" applyAlignment="1" applyBorder="1" applyFont="1" applyNumberFormat="1">
      <alignment vertical="bottom"/>
    </xf>
    <xf borderId="1" fillId="0" fontId="3" numFmtId="3" xfId="0" applyAlignment="1" applyBorder="1" applyFont="1" applyNumberFormat="1">
      <alignment horizontal="right" vertical="bottom"/>
    </xf>
    <xf borderId="1" fillId="0" fontId="3" numFmtId="164" xfId="0" applyAlignment="1" applyBorder="1" applyFont="1" applyNumberFormat="1">
      <alignment horizontal="right" shrinkToFit="0" vertical="bottom" wrapText="1"/>
    </xf>
    <xf borderId="1" fillId="4" fontId="3" numFmtId="164" xfId="0" applyAlignment="1" applyBorder="1" applyFont="1" applyNumberFormat="1">
      <alignment horizontal="right" readingOrder="0" vertical="bottom"/>
    </xf>
    <xf borderId="0" fillId="4" fontId="4" numFmtId="0" xfId="0" applyAlignment="1" applyFont="1">
      <alignment horizontal="left" readingOrder="0"/>
    </xf>
    <xf borderId="1" fillId="4" fontId="4" numFmtId="0" xfId="0" applyAlignment="1" applyBorder="1" applyFont="1">
      <alignment readingOrder="0" vertical="bottom"/>
    </xf>
    <xf borderId="1" fillId="4" fontId="4" numFmtId="0" xfId="0" applyAlignment="1" applyBorder="1" applyFont="1">
      <alignment vertical="bottom"/>
    </xf>
    <xf borderId="1" fillId="4" fontId="4" numFmtId="0" xfId="0" applyAlignment="1" applyBorder="1" applyFont="1">
      <alignment horizontal="center" readingOrder="0" shrinkToFit="0" vertical="bottom" wrapText="1"/>
    </xf>
    <xf borderId="6" fillId="5" fontId="8" numFmtId="0" xfId="0" applyAlignment="1" applyBorder="1" applyFont="1">
      <alignment horizontal="center" readingOrder="0" shrinkToFit="0" vertical="bottom" wrapText="1"/>
    </xf>
    <xf borderId="2" fillId="0" fontId="2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1" fillId="4" fontId="1" numFmtId="0" xfId="0" applyAlignment="1" applyBorder="1" applyFont="1">
      <alignment readingOrder="0" vertical="bottom"/>
    </xf>
    <xf borderId="1" fillId="4" fontId="1" numFmtId="165" xfId="0" applyAlignment="1" applyBorder="1" applyFont="1" applyNumberFormat="1">
      <alignment horizontal="right" vertical="bottom"/>
    </xf>
    <xf borderId="1" fillId="4" fontId="1" numFmtId="0" xfId="0" applyAlignment="1" applyBorder="1" applyFont="1">
      <alignment readingOrder="0" shrinkToFit="0" vertical="bottom" wrapText="1"/>
    </xf>
    <xf borderId="1" fillId="5" fontId="1" numFmtId="0" xfId="0" applyAlignment="1" applyBorder="1" applyFont="1">
      <alignment horizontal="center" readingOrder="0" vertical="bottom"/>
    </xf>
    <xf borderId="0" fillId="5" fontId="1" numFmtId="0" xfId="0" applyAlignment="1" applyFont="1">
      <alignment horizontal="center" vertical="bottom"/>
    </xf>
    <xf borderId="0" fillId="5" fontId="1" numFmtId="0" xfId="0" applyAlignment="1" applyFont="1">
      <alignment horizontal="center"/>
    </xf>
    <xf borderId="1" fillId="0" fontId="5" numFmtId="0" xfId="0" applyAlignment="1" applyBorder="1" applyFont="1">
      <alignment horizontal="left" readingOrder="0" shrinkToFit="0" vertical="bottom" wrapText="0"/>
    </xf>
    <xf borderId="2" fillId="0" fontId="5" numFmtId="21" xfId="0" applyAlignment="1" applyBorder="1" applyFont="1" applyNumberFormat="1">
      <alignment horizontal="center" shrinkToFit="0" vertical="bottom" wrapText="0"/>
    </xf>
    <xf borderId="2" fillId="0" fontId="5" numFmtId="165" xfId="0" applyAlignment="1" applyBorder="1" applyFont="1" applyNumberFormat="1">
      <alignment horizontal="right" readingOrder="0" shrinkToFit="0" vertical="bottom" wrapText="0"/>
    </xf>
    <xf borderId="2" fillId="0" fontId="3" numFmtId="0" xfId="0" applyAlignment="1" applyBorder="1" applyFont="1">
      <alignment vertical="bottom"/>
    </xf>
    <xf borderId="2" fillId="0" fontId="5" numFmtId="0" xfId="0" applyAlignment="1" applyBorder="1" applyFont="1">
      <alignment horizontal="left" readingOrder="0" shrinkToFit="0" vertical="bottom" wrapText="0"/>
    </xf>
    <xf borderId="0" fillId="0" fontId="5" numFmtId="0" xfId="0" applyAlignment="1" applyFont="1">
      <alignment horizontal="center" shrinkToFit="0" vertical="bottom" wrapText="0"/>
    </xf>
    <xf borderId="0" fillId="0" fontId="5" numFmtId="0" xfId="0" applyAlignment="1" applyFont="1">
      <alignment shrinkToFit="0" vertical="bottom" wrapText="0"/>
    </xf>
    <xf borderId="7" fillId="0" fontId="5" numFmtId="0" xfId="0" applyAlignment="1" applyBorder="1" applyFont="1">
      <alignment horizontal="left" readingOrder="0" shrinkToFit="0" vertical="bottom" wrapText="0"/>
    </xf>
    <xf borderId="8" fillId="0" fontId="5" numFmtId="21" xfId="0" applyAlignment="1" applyBorder="1" applyFont="1" applyNumberFormat="1">
      <alignment horizontal="center" shrinkToFit="0" vertical="bottom" wrapText="0"/>
    </xf>
    <xf borderId="8" fillId="0" fontId="5" numFmtId="165" xfId="0" applyAlignment="1" applyBorder="1" applyFont="1" applyNumberFormat="1">
      <alignment horizontal="right" readingOrder="0" shrinkToFit="0" vertical="bottom" wrapText="0"/>
    </xf>
    <xf borderId="8" fillId="0" fontId="3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8" fillId="0" fontId="5" numFmtId="0" xfId="0" applyAlignment="1" applyBorder="1" applyFont="1">
      <alignment horizontal="left" readingOrder="0" shrinkToFit="0" vertical="bottom" wrapText="0"/>
    </xf>
    <xf borderId="0" fillId="4" fontId="3" numFmtId="165" xfId="0" applyAlignment="1" applyFont="1" applyNumberFormat="1">
      <alignment horizontal="right" readingOrder="0" vertical="bottom"/>
    </xf>
    <xf borderId="9" fillId="0" fontId="5" numFmtId="0" xfId="0" applyAlignment="1" applyBorder="1" applyFont="1">
      <alignment horizontal="left" readingOrder="0" shrinkToFit="0" vertical="bottom" wrapText="0"/>
    </xf>
    <xf borderId="8" fillId="4" fontId="3" numFmtId="21" xfId="0" applyAlignment="1" applyBorder="1" applyFont="1" applyNumberFormat="1">
      <alignment vertical="bottom"/>
    </xf>
    <xf borderId="7" fillId="4" fontId="3" numFmtId="0" xfId="0" applyAlignment="1" applyBorder="1" applyFont="1">
      <alignment readingOrder="0" vertical="bottom"/>
    </xf>
    <xf borderId="5" fillId="4" fontId="3" numFmtId="0" xfId="0" applyAlignment="1" applyBorder="1" applyFont="1">
      <alignment vertical="bottom"/>
    </xf>
    <xf borderId="4" fillId="4" fontId="3" numFmtId="21" xfId="0" applyAlignment="1" applyBorder="1" applyFont="1" applyNumberFormat="1">
      <alignment vertical="bottom"/>
    </xf>
    <xf borderId="4" fillId="4" fontId="3" numFmtId="165" xfId="0" applyAlignment="1" applyBorder="1" applyFont="1" applyNumberFormat="1">
      <alignment horizontal="right" vertical="bottom"/>
    </xf>
    <xf borderId="4" fillId="4" fontId="3" numFmtId="0" xfId="0" applyAlignment="1" applyBorder="1" applyFont="1">
      <alignment shrinkToFit="0" vertical="bottom" wrapText="1"/>
    </xf>
    <xf borderId="1" fillId="0" fontId="3" numFmtId="164" xfId="0" applyAlignment="1" applyBorder="1" applyFont="1" applyNumberFormat="1">
      <alignment readingOrder="0" vertical="bottom"/>
    </xf>
    <xf borderId="0" fillId="0" fontId="3" numFmtId="0" xfId="0" applyAlignment="1" applyFont="1">
      <alignment readingOrder="0" vertical="bottom"/>
    </xf>
    <xf borderId="1" fillId="4" fontId="1" numFmtId="0" xfId="0" applyAlignment="1" applyBorder="1" applyFont="1">
      <alignment horizontal="center" readingOrder="0" vertical="bottom"/>
    </xf>
    <xf borderId="0" fillId="5" fontId="3" numFmtId="0" xfId="0" applyAlignment="1" applyFont="1">
      <alignment vertical="bottom"/>
    </xf>
    <xf borderId="0" fillId="5" fontId="3" numFmtId="0" xfId="0" applyFont="1"/>
    <xf borderId="1" fillId="4" fontId="1" numFmtId="164" xfId="0" applyAlignment="1" applyBorder="1" applyFont="1" applyNumberFormat="1">
      <alignment vertical="bottom"/>
    </xf>
    <xf borderId="1" fillId="4" fontId="3" numFmtId="3" xfId="0" applyAlignment="1" applyBorder="1" applyFont="1" applyNumberFormat="1">
      <alignment vertical="bottom"/>
    </xf>
    <xf borderId="0" fillId="4" fontId="3" numFmtId="3" xfId="0" applyAlignment="1" applyFont="1" applyNumberFormat="1">
      <alignment vertical="bottom"/>
    </xf>
    <xf borderId="1" fillId="5" fontId="9" numFmtId="0" xfId="0" applyAlignment="1" applyBorder="1" applyFont="1">
      <alignment horizontal="center" readingOrder="0" shrinkToFit="0" vertical="bottom" wrapText="1"/>
    </xf>
    <xf borderId="1" fillId="3" fontId="10" numFmtId="164" xfId="0" applyAlignment="1" applyBorder="1" applyFont="1" applyNumberFormat="1">
      <alignment horizontal="center" readingOrder="0" shrinkToFit="0" vertical="bottom" wrapText="0"/>
    </xf>
    <xf borderId="2" fillId="3" fontId="10" numFmtId="3" xfId="0" applyAlignment="1" applyBorder="1" applyFont="1" applyNumberFormat="1">
      <alignment horizontal="center" readingOrder="0" shrinkToFit="0" vertical="bottom" wrapText="0"/>
    </xf>
    <xf borderId="2" fillId="3" fontId="10" numFmtId="164" xfId="0" applyAlignment="1" applyBorder="1" applyFont="1" applyNumberFormat="1">
      <alignment horizontal="center" readingOrder="0" shrinkToFit="0" vertical="bottom" wrapText="0"/>
    </xf>
    <xf borderId="1" fillId="4" fontId="6" numFmtId="21" xfId="0" applyAlignment="1" applyBorder="1" applyFont="1" applyNumberFormat="1">
      <alignment vertical="bottom"/>
    </xf>
    <xf borderId="1" fillId="4" fontId="3" numFmtId="3" xfId="0" applyAlignment="1" applyBorder="1" applyFont="1" applyNumberFormat="1">
      <alignment horizontal="center" vertical="bottom"/>
    </xf>
    <xf borderId="1" fillId="0" fontId="5" numFmtId="0" xfId="0" applyAlignment="1" applyBorder="1" applyFont="1">
      <alignment readingOrder="0" shrinkToFit="0" vertical="bottom" wrapText="0"/>
    </xf>
    <xf borderId="1" fillId="0" fontId="5" numFmtId="3" xfId="0" applyAlignment="1" applyBorder="1" applyFont="1" applyNumberFormat="1">
      <alignment horizontal="right" readingOrder="0" shrinkToFit="0" vertical="bottom" wrapText="0"/>
    </xf>
    <xf borderId="1" fillId="0" fontId="5" numFmtId="164" xfId="0" applyAlignment="1" applyBorder="1" applyFont="1" applyNumberFormat="1">
      <alignment readingOrder="0" shrinkToFit="0" vertical="bottom" wrapText="0"/>
    </xf>
    <xf borderId="1" fillId="0" fontId="5" numFmtId="164" xfId="0" applyAlignment="1" applyBorder="1" applyFont="1" applyNumberFormat="1">
      <alignment horizontal="right" readingOrder="0" shrinkToFit="0" vertical="bottom" wrapText="0"/>
    </xf>
    <xf borderId="0" fillId="0" fontId="5" numFmtId="164" xfId="0" applyAlignment="1" applyFont="1" applyNumberFormat="1">
      <alignment horizontal="right" readingOrder="0" shrinkToFit="0" vertical="bottom" wrapText="0"/>
    </xf>
    <xf borderId="0" fillId="0" fontId="5" numFmtId="164" xfId="0" applyAlignment="1" applyFont="1" applyNumberFormat="1">
      <alignment readingOrder="0" shrinkToFit="0" vertical="bottom" wrapText="0"/>
    </xf>
    <xf borderId="2" fillId="0" fontId="2" numFmtId="164" xfId="0" applyAlignment="1" applyBorder="1" applyFont="1" applyNumberFormat="1">
      <alignment horizontal="right" readingOrder="0" shrinkToFit="0" vertical="bottom" wrapText="0"/>
    </xf>
    <xf borderId="0" fillId="4" fontId="6" numFmtId="0" xfId="0" applyAlignment="1" applyFont="1">
      <alignment vertical="bottom"/>
    </xf>
    <xf borderId="0" fillId="4" fontId="11" numFmtId="0" xfId="0" applyFont="1"/>
    <xf borderId="5" fillId="0" fontId="5" numFmtId="0" xfId="0" applyAlignment="1" applyBorder="1" applyFont="1">
      <alignment horizontal="left" readingOrder="0" shrinkToFit="0" wrapText="0"/>
    </xf>
    <xf borderId="10" fillId="0" fontId="12" numFmtId="164" xfId="0" applyAlignment="1" applyBorder="1" applyFont="1" applyNumberFormat="1">
      <alignment horizontal="center" shrinkToFit="0" wrapText="1"/>
    </xf>
    <xf borderId="4" fillId="0" fontId="12" numFmtId="164" xfId="0" applyAlignment="1" applyBorder="1" applyFont="1" applyNumberFormat="1">
      <alignment horizontal="center" readingOrder="0" shrinkToFit="0" wrapText="0"/>
    </xf>
    <xf borderId="4" fillId="4" fontId="12" numFmtId="164" xfId="0" applyAlignment="1" applyBorder="1" applyFont="1" applyNumberFormat="1">
      <alignment horizontal="center" readingOrder="0" shrinkToFit="0" wrapText="0"/>
    </xf>
    <xf borderId="4" fillId="4" fontId="12" numFmtId="0" xfId="0" applyAlignment="1" applyBorder="1" applyFont="1">
      <alignment horizontal="left" readingOrder="0"/>
    </xf>
    <xf borderId="0" fillId="0" fontId="6" numFmtId="164" xfId="0" applyAlignment="1" applyFont="1" applyNumberFormat="1">
      <alignment readingOrder="0" vertical="bottom"/>
    </xf>
    <xf borderId="0" fillId="0" fontId="6" numFmtId="0" xfId="0" applyAlignment="1" applyFont="1">
      <alignment readingOrder="0" vertical="bottom"/>
    </xf>
    <xf borderId="1" fillId="0" fontId="3" numFmtId="164" xfId="0" applyAlignment="1" applyBorder="1" applyFont="1" applyNumberFormat="1">
      <alignment horizontal="right" readingOrder="0" vertical="bottom"/>
    </xf>
    <xf borderId="1" fillId="0" fontId="3" numFmtId="164" xfId="0" applyAlignment="1" applyBorder="1" applyFont="1" applyNumberFormat="1">
      <alignment horizontal="right" vertical="bottom"/>
    </xf>
    <xf borderId="1" fillId="7" fontId="6" numFmtId="0" xfId="0" applyAlignment="1" applyBorder="1" applyFill="1" applyFont="1">
      <alignment horizontal="center" vertical="bottom"/>
    </xf>
    <xf borderId="1" fillId="7" fontId="6" numFmtId="1" xfId="0" applyAlignment="1" applyBorder="1" applyFont="1" applyNumberFormat="1">
      <alignment horizontal="center" vertical="bottom"/>
    </xf>
    <xf borderId="0" fillId="0" fontId="6" numFmtId="0" xfId="0" applyAlignment="1" applyFont="1">
      <alignment vertical="bottom"/>
    </xf>
    <xf borderId="0" fillId="0" fontId="6" numFmtId="1" xfId="0" applyAlignment="1" applyFont="1" applyNumberFormat="1">
      <alignment vertical="bottom"/>
    </xf>
    <xf borderId="1" fillId="8" fontId="6" numFmtId="0" xfId="0" applyAlignment="1" applyBorder="1" applyFill="1" applyFont="1">
      <alignment vertical="bottom"/>
    </xf>
    <xf borderId="1" fillId="8" fontId="6" numFmtId="0" xfId="0" applyAlignment="1" applyBorder="1" applyFont="1">
      <alignment horizontal="center" vertical="bottom"/>
    </xf>
    <xf borderId="1" fillId="8" fontId="6" numFmtId="0" xfId="0" applyAlignment="1" applyBorder="1" applyFont="1">
      <alignment horizontal="center" readingOrder="0" vertical="bottom"/>
    </xf>
    <xf borderId="1" fillId="8" fontId="6" numFmtId="1" xfId="0" applyAlignment="1" applyBorder="1" applyFont="1" applyNumberFormat="1">
      <alignment horizontal="center" vertical="bottom"/>
    </xf>
    <xf borderId="1" fillId="9" fontId="6" numFmtId="0" xfId="0" applyAlignment="1" applyBorder="1" applyFill="1" applyFont="1">
      <alignment vertical="bottom"/>
    </xf>
    <xf borderId="1" fillId="9" fontId="6" numFmtId="0" xfId="0" applyAlignment="1" applyBorder="1" applyFont="1">
      <alignment horizontal="center" readingOrder="0" vertical="bottom"/>
    </xf>
    <xf borderId="1" fillId="9" fontId="6" numFmtId="0" xfId="0" applyAlignment="1" applyBorder="1" applyFont="1">
      <alignment horizontal="center" vertical="bottom"/>
    </xf>
    <xf borderId="1" fillId="9" fontId="6" numFmtId="1" xfId="0" applyAlignment="1" applyBorder="1" applyFont="1" applyNumberFormat="1">
      <alignment horizontal="center" vertical="bottom"/>
    </xf>
    <xf borderId="1" fillId="9" fontId="6" numFmtId="1" xfId="0" applyAlignment="1" applyBorder="1" applyFont="1" applyNumberFormat="1">
      <alignment vertical="bottom"/>
    </xf>
    <xf borderId="1" fillId="9" fontId="6" numFmtId="0" xfId="0" applyAlignment="1" applyBorder="1" applyFont="1">
      <alignment readingOrder="0" vertical="bottom"/>
    </xf>
    <xf borderId="1" fillId="9" fontId="13" numFmtId="0" xfId="0" applyAlignment="1" applyBorder="1" applyFont="1">
      <alignment horizontal="center" vertical="bottom"/>
    </xf>
    <xf borderId="0" fillId="0" fontId="14" numFmtId="0" xfId="0" applyAlignment="1" applyFont="1">
      <alignment readingOrder="0" vertical="bottom"/>
    </xf>
    <xf borderId="0" fillId="0" fontId="14" numFmtId="0" xfId="0" applyAlignment="1" applyFont="1">
      <alignment vertical="bottom"/>
    </xf>
    <xf borderId="0" fillId="0" fontId="6" numFmtId="0" xfId="0" applyAlignment="1" applyFont="1">
      <alignment horizontal="center" vertical="bottom"/>
    </xf>
    <xf borderId="0" fillId="0" fontId="15" numFmtId="0" xfId="0" applyAlignment="1" applyFont="1">
      <alignment vertical="bottom"/>
    </xf>
    <xf borderId="0" fillId="0" fontId="16" numFmtId="0" xfId="0" applyAlignment="1" applyFont="1">
      <alignment horizontal="center" vertical="bottom"/>
    </xf>
    <xf borderId="0" fillId="0" fontId="17" numFmtId="0" xfId="0" applyAlignment="1" applyFont="1">
      <alignment readingOrder="0" shrinkToFit="0" wrapText="0"/>
    </xf>
    <xf borderId="0" fillId="0" fontId="11" numFmtId="0" xfId="0" applyAlignment="1" applyFont="1">
      <alignment horizontal="center"/>
    </xf>
    <xf borderId="0" fillId="0" fontId="11" numFmtId="3" xfId="0" applyFont="1" applyNumberFormat="1"/>
    <xf borderId="11" fillId="4" fontId="5" numFmtId="0" xfId="0" applyAlignment="1" applyBorder="1" applyFont="1">
      <alignment horizontal="left" shrinkToFit="0" vertical="bottom" wrapText="0"/>
    </xf>
    <xf borderId="11" fillId="4" fontId="18" numFmtId="0" xfId="0" applyAlignment="1" applyBorder="1" applyFont="1">
      <alignment horizontal="center" shrinkToFit="0" vertical="bottom" wrapText="0"/>
    </xf>
    <xf borderId="12" fillId="4" fontId="19" numFmtId="0" xfId="0" applyAlignment="1" applyBorder="1" applyFont="1">
      <alignment horizontal="left" readingOrder="0" shrinkToFit="0" wrapText="0"/>
    </xf>
    <xf borderId="13" fillId="0" fontId="20" numFmtId="0" xfId="0" applyBorder="1" applyFont="1"/>
    <xf borderId="14" fillId="0" fontId="20" numFmtId="0" xfId="0" applyBorder="1" applyFont="1"/>
    <xf borderId="11" fillId="4" fontId="5" numFmtId="3" xfId="0" applyAlignment="1" applyBorder="1" applyFont="1" applyNumberFormat="1">
      <alignment shrinkToFit="0" vertical="bottom" wrapText="0"/>
    </xf>
    <xf borderId="11" fillId="4" fontId="5" numFmtId="0" xfId="0" applyAlignment="1" applyBorder="1" applyFont="1">
      <alignment shrinkToFit="0" vertical="bottom" wrapText="0"/>
    </xf>
    <xf borderId="11" fillId="4" fontId="21" numFmtId="0" xfId="0" applyAlignment="1" applyBorder="1" applyFont="1">
      <alignment shrinkToFit="0" wrapText="0"/>
    </xf>
    <xf borderId="11" fillId="4" fontId="21" numFmtId="0" xfId="0" applyAlignment="1" applyBorder="1" applyFont="1">
      <alignment horizontal="center" shrinkToFit="0" wrapText="0"/>
    </xf>
    <xf borderId="11" fillId="4" fontId="21" numFmtId="3" xfId="0" applyAlignment="1" applyBorder="1" applyFont="1" applyNumberFormat="1">
      <alignment shrinkToFit="0" wrapText="0"/>
    </xf>
    <xf borderId="11" fillId="4" fontId="22" numFmtId="0" xfId="0" applyAlignment="1" applyBorder="1" applyFont="1">
      <alignment horizontal="left" readingOrder="0" shrinkToFit="0" wrapText="0"/>
    </xf>
    <xf borderId="11" fillId="4" fontId="21" numFmtId="0" xfId="0" applyAlignment="1" applyBorder="1" applyFont="1">
      <alignment horizontal="right" readingOrder="0" shrinkToFit="0" wrapText="0"/>
    </xf>
    <xf borderId="11" fillId="4" fontId="21" numFmtId="0" xfId="0" applyAlignment="1" applyBorder="1" applyFont="1">
      <alignment horizontal="center" readingOrder="0" shrinkToFit="0" wrapText="0"/>
    </xf>
    <xf borderId="11" fillId="4" fontId="21" numFmtId="0" xfId="0" applyAlignment="1" applyBorder="1" applyFont="1">
      <alignment horizontal="left" shrinkToFit="0" wrapText="0"/>
    </xf>
    <xf borderId="11" fillId="4" fontId="23" numFmtId="0" xfId="0" applyAlignment="1" applyBorder="1" applyFont="1">
      <alignment readingOrder="0" shrinkToFit="0" wrapText="0"/>
    </xf>
    <xf borderId="12" fillId="0" fontId="3" numFmtId="0" xfId="0" applyAlignment="1" applyBorder="1" applyFont="1">
      <alignment horizontal="center" readingOrder="0" shrinkToFit="0" wrapText="0"/>
    </xf>
    <xf borderId="11" fillId="4" fontId="24" numFmtId="3" xfId="0" applyAlignment="1" applyBorder="1" applyFont="1" applyNumberFormat="1">
      <alignment horizontal="left" shrinkToFit="0" wrapText="0"/>
    </xf>
    <xf borderId="11" fillId="4" fontId="21" numFmtId="0" xfId="0" applyAlignment="1" applyBorder="1" applyFont="1">
      <alignment horizontal="right" shrinkToFit="0" wrapText="0"/>
    </xf>
    <xf borderId="11" fillId="4" fontId="21" numFmtId="3" xfId="0" applyAlignment="1" applyBorder="1" applyFont="1" applyNumberFormat="1">
      <alignment readingOrder="0" shrinkToFit="0" wrapText="0"/>
    </xf>
    <xf borderId="11" fillId="4" fontId="22" numFmtId="0" xfId="0" applyAlignment="1" applyBorder="1" applyFont="1">
      <alignment horizontal="right" readingOrder="0" shrinkToFit="0" wrapText="0"/>
    </xf>
    <xf borderId="11" fillId="4" fontId="22" numFmtId="0" xfId="0" applyAlignment="1" applyBorder="1" applyFont="1">
      <alignment shrinkToFit="0" wrapText="0"/>
    </xf>
    <xf borderId="11" fillId="4" fontId="22" numFmtId="3" xfId="0" applyAlignment="1" applyBorder="1" applyFont="1" applyNumberFormat="1">
      <alignment readingOrder="0" shrinkToFit="0" wrapText="0"/>
    </xf>
    <xf borderId="11" fillId="4" fontId="23" numFmtId="0" xfId="0" applyAlignment="1" applyBorder="1" applyFont="1">
      <alignment readingOrder="0"/>
    </xf>
    <xf borderId="12" fillId="4" fontId="5" numFmtId="0" xfId="0" applyAlignment="1" applyBorder="1" applyFont="1">
      <alignment shrinkToFit="0" vertical="bottom" wrapText="0"/>
    </xf>
    <xf borderId="1" fillId="3" fontId="10" numFmtId="0" xfId="0" applyAlignment="1" applyBorder="1" applyFont="1">
      <alignment horizontal="center" readingOrder="0" shrinkToFit="0" vertical="bottom" wrapText="0"/>
    </xf>
    <xf borderId="2" fillId="3" fontId="10" numFmtId="0" xfId="0" applyAlignment="1" applyBorder="1" applyFont="1">
      <alignment horizontal="center" readingOrder="0" shrinkToFit="0" vertical="bottom" wrapText="0"/>
    </xf>
    <xf borderId="1" fillId="4" fontId="6" numFmtId="0" xfId="0" applyAlignment="1" applyBorder="1" applyFont="1">
      <alignment horizontal="center" readingOrder="0" vertical="bottom"/>
    </xf>
    <xf borderId="1" fillId="4" fontId="3" numFmtId="3" xfId="0" applyAlignment="1" applyBorder="1" applyFont="1" applyNumberFormat="1">
      <alignment horizontal="center" readingOrder="0" vertical="bottom"/>
    </xf>
    <xf borderId="1" fillId="4" fontId="6" numFmtId="3" xfId="0" applyAlignment="1" applyBorder="1" applyFont="1" applyNumberFormat="1">
      <alignment horizontal="center" readingOrder="0" vertical="bottom"/>
    </xf>
    <xf borderId="1" fillId="4" fontId="3" numFmtId="165" xfId="0" applyAlignment="1" applyBorder="1" applyFont="1" applyNumberFormat="1">
      <alignment horizontal="center" vertical="bottom"/>
    </xf>
    <xf borderId="1" fillId="4" fontId="3" numFmtId="3" xfId="0" applyAlignment="1" applyBorder="1" applyFont="1" applyNumberFormat="1">
      <alignment shrinkToFit="0" vertical="bottom" wrapText="1"/>
    </xf>
    <xf borderId="5" fillId="4" fontId="12" numFmtId="0" xfId="0" applyAlignment="1" applyBorder="1" applyFont="1">
      <alignment horizontal="left" readingOrder="0" shrinkToFit="0" wrapText="0"/>
    </xf>
    <xf borderId="4" fillId="4" fontId="12" numFmtId="0" xfId="0" applyAlignment="1" applyBorder="1" applyFont="1">
      <alignment horizontal="center" shrinkToFit="0" wrapText="0"/>
    </xf>
    <xf borderId="4" fillId="4" fontId="12" numFmtId="3" xfId="0" applyAlignment="1" applyBorder="1" applyFont="1" applyNumberFormat="1">
      <alignment horizontal="center" readingOrder="0" shrinkToFit="0" wrapText="0"/>
    </xf>
    <xf borderId="4" fillId="4" fontId="12" numFmtId="0" xfId="0" applyAlignment="1" applyBorder="1" applyFont="1">
      <alignment horizontal="left" readingOrder="0" vertical="bottom"/>
    </xf>
    <xf borderId="11" fillId="4" fontId="22" numFmtId="0" xfId="0" applyAlignment="1" applyBorder="1" applyFont="1">
      <alignment shrinkToFit="0" vertical="bottom" wrapText="0"/>
    </xf>
    <xf borderId="11" fillId="4" fontId="25" numFmtId="0" xfId="0" applyAlignment="1" applyBorder="1" applyFont="1">
      <alignment horizontal="center" shrinkToFit="0" vertical="bottom" wrapText="0"/>
    </xf>
    <xf borderId="11" fillId="4" fontId="22" numFmtId="3" xfId="0" applyAlignment="1" applyBorder="1" applyFont="1" applyNumberFormat="1">
      <alignment horizontal="center" shrinkToFit="0" vertical="bottom" wrapText="0"/>
    </xf>
    <xf borderId="11" fillId="4" fontId="12" numFmtId="3" xfId="0" applyAlignment="1" applyBorder="1" applyFont="1" applyNumberFormat="1">
      <alignment horizontal="center" readingOrder="0" shrinkToFit="0" wrapText="0"/>
    </xf>
    <xf borderId="11" fillId="4" fontId="26" numFmtId="0" xfId="0" applyAlignment="1" applyBorder="1" applyFont="1">
      <alignment shrinkToFit="0" vertical="bottom" wrapText="0"/>
    </xf>
    <xf borderId="1" fillId="4" fontId="3" numFmtId="165" xfId="0" applyAlignment="1" applyBorder="1" applyFont="1" applyNumberFormat="1">
      <alignment horizontal="center" readingOrder="0" vertical="bottom"/>
    </xf>
    <xf borderId="1" fillId="4" fontId="3" numFmtId="165" xfId="0" applyAlignment="1" applyBorder="1" applyFont="1" applyNumberFormat="1">
      <alignment horizontal="center" shrinkToFit="0" vertical="bottom" wrapText="1"/>
    </xf>
    <xf borderId="5" fillId="4" fontId="12" numFmtId="0" xfId="0" applyAlignment="1" applyBorder="1" applyFont="1">
      <alignment horizontal="left" readingOrder="0"/>
    </xf>
    <xf borderId="4" fillId="4" fontId="12" numFmtId="0" xfId="0" applyAlignment="1" applyBorder="1" applyFont="1">
      <alignment horizontal="center" readingOrder="0"/>
    </xf>
    <xf borderId="4" fillId="4" fontId="12" numFmtId="3" xfId="0" applyAlignment="1" applyBorder="1" applyFont="1" applyNumberFormat="1">
      <alignment horizontal="center" readingOrder="0"/>
    </xf>
    <xf borderId="4" fillId="4" fontId="12" numFmtId="165" xfId="0" applyAlignment="1" applyBorder="1" applyFont="1" applyNumberFormat="1">
      <alignment horizontal="center" readingOrder="0" shrinkToFit="0" wrapText="0"/>
    </xf>
    <xf borderId="1" fillId="4" fontId="3" numFmtId="165" xfId="0" applyAlignment="1" applyBorder="1" applyFont="1" applyNumberFormat="1">
      <alignment horizontal="center" readingOrder="0" shrinkToFit="0" vertical="bottom" wrapText="1"/>
    </xf>
    <xf borderId="0" fillId="4" fontId="6" numFmtId="164" xfId="0" applyAlignment="1" applyFont="1" applyNumberFormat="1">
      <alignment vertical="bottom"/>
    </xf>
    <xf borderId="1" fillId="4" fontId="6" numFmtId="164" xfId="0" applyAlignment="1" applyBorder="1" applyFont="1" applyNumberFormat="1">
      <alignment readingOrder="0" vertical="bottom"/>
    </xf>
    <xf borderId="4" fillId="0" fontId="6" numFmtId="3" xfId="0" applyAlignment="1" applyBorder="1" applyFont="1" applyNumberFormat="1">
      <alignment vertical="bottom"/>
    </xf>
    <xf borderId="4" fillId="0" fontId="6" numFmtId="164" xfId="0" applyAlignment="1" applyBorder="1" applyFont="1" applyNumberFormat="1">
      <alignment vertical="bottom"/>
    </xf>
    <xf borderId="4" fillId="0" fontId="6" numFmtId="164" xfId="0" applyAlignment="1" applyBorder="1" applyFont="1" applyNumberFormat="1">
      <alignment readingOrder="0" vertical="bottom"/>
    </xf>
    <xf borderId="6" fillId="0" fontId="3" numFmtId="0" xfId="0" applyAlignment="1" applyBorder="1" applyFont="1">
      <alignment readingOrder="0" vertical="bottom"/>
    </xf>
    <xf borderId="2" fillId="4" fontId="6" numFmtId="3" xfId="0" applyAlignment="1" applyBorder="1" applyFont="1" applyNumberFormat="1">
      <alignment vertical="bottom"/>
    </xf>
    <xf borderId="2" fillId="4" fontId="6" numFmtId="164" xfId="0" applyAlignment="1" applyBorder="1" applyFont="1" applyNumberFormat="1">
      <alignment vertical="bottom"/>
    </xf>
    <xf borderId="2" fillId="0" fontId="3" numFmtId="165" xfId="0" applyAlignment="1" applyBorder="1" applyFont="1" applyNumberFormat="1">
      <alignment horizontal="right" readingOrder="0" vertical="bottom"/>
    </xf>
    <xf borderId="8" fillId="4" fontId="12" numFmtId="0" xfId="0" applyAlignment="1" applyBorder="1" applyFont="1">
      <alignment horizontal="left" shrinkToFit="0" wrapText="0"/>
    </xf>
    <xf borderId="11" fillId="4" fontId="12" numFmtId="0" xfId="0" applyAlignment="1" applyBorder="1" applyFont="1">
      <alignment horizontal="center" shrinkToFit="0" wrapText="0"/>
    </xf>
    <xf borderId="11" fillId="4" fontId="12" numFmtId="3" xfId="0" applyAlignment="1" applyBorder="1" applyFont="1" applyNumberFormat="1">
      <alignment horizontal="center" shrinkToFit="0" wrapText="0"/>
    </xf>
    <xf borderId="11" fillId="4" fontId="12" numFmtId="165" xfId="0" applyAlignment="1" applyBorder="1" applyFont="1" applyNumberFormat="1">
      <alignment horizontal="center" shrinkToFit="0" wrapText="0"/>
    </xf>
    <xf borderId="11" fillId="4" fontId="12" numFmtId="165" xfId="0" applyAlignment="1" applyBorder="1" applyFont="1" applyNumberFormat="1">
      <alignment horizontal="center" readingOrder="0" shrinkToFit="0" wrapText="0"/>
    </xf>
    <xf borderId="11" fillId="4" fontId="12" numFmtId="0" xfId="0" applyAlignment="1" applyBorder="1" applyFont="1">
      <alignment horizontal="left"/>
    </xf>
    <xf borderId="2" fillId="3" fontId="10" numFmtId="165" xfId="0" applyAlignment="1" applyBorder="1" applyFont="1" applyNumberFormat="1">
      <alignment horizontal="center" readingOrder="0" shrinkToFit="0" vertical="bottom" wrapText="0"/>
    </xf>
    <xf borderId="4" fillId="4" fontId="12" numFmtId="165" xfId="0" applyAlignment="1" applyBorder="1" applyFont="1" applyNumberFormat="1">
      <alignment horizontal="center" readingOrder="0"/>
    </xf>
    <xf borderId="5" fillId="0" fontId="12" numFmtId="0" xfId="0" applyAlignment="1" applyBorder="1" applyFont="1">
      <alignment horizontal="left" readingOrder="0" shrinkToFit="0" wrapText="0"/>
    </xf>
    <xf borderId="1" fillId="4" fontId="10" numFmtId="0" xfId="0" applyAlignment="1" applyBorder="1" applyFont="1">
      <alignment horizontal="right" readingOrder="0" shrinkToFit="0" wrapText="0"/>
    </xf>
    <xf borderId="15" fillId="4" fontId="12" numFmtId="0" xfId="0" applyAlignment="1" applyBorder="1" applyFont="1">
      <alignment horizontal="center" shrinkToFit="0" wrapText="0"/>
    </xf>
    <xf borderId="15" fillId="4" fontId="12" numFmtId="0" xfId="0" applyAlignment="1" applyBorder="1" applyFont="1">
      <alignment horizontal="center" shrinkToFit="0" vertical="bottom" wrapText="0"/>
    </xf>
    <xf borderId="15" fillId="4" fontId="12" numFmtId="3" xfId="0" applyAlignment="1" applyBorder="1" applyFont="1" applyNumberFormat="1">
      <alignment horizontal="center" shrinkToFit="0" vertical="bottom" wrapText="0"/>
    </xf>
    <xf borderId="15" fillId="4" fontId="12" numFmtId="0" xfId="0" applyAlignment="1" applyBorder="1" applyFont="1">
      <alignment horizontal="right" shrinkToFit="0" vertical="bottom" wrapText="0"/>
    </xf>
    <xf borderId="2" fillId="4" fontId="12" numFmtId="3" xfId="0" applyAlignment="1" applyBorder="1" applyFont="1" applyNumberFormat="1">
      <alignment horizontal="right" readingOrder="0" shrinkToFit="0" vertical="bottom" wrapText="0"/>
    </xf>
    <xf borderId="11" fillId="4" fontId="10" numFmtId="0" xfId="0" applyAlignment="1" applyBorder="1" applyFont="1">
      <alignment horizontal="left" readingOrder="0" shrinkToFit="0" vertical="bottom" wrapText="0"/>
    </xf>
    <xf borderId="7" fillId="4" fontId="10" numFmtId="0" xfId="0" applyAlignment="1" applyBorder="1" applyFont="1">
      <alignment horizontal="right" readingOrder="0" shrinkToFit="0" vertical="bottom" wrapText="0"/>
    </xf>
    <xf borderId="11" fillId="4" fontId="12" numFmtId="0" xfId="0" applyAlignment="1" applyBorder="1" applyFont="1">
      <alignment horizontal="center" shrinkToFit="0" vertical="bottom" wrapText="0"/>
    </xf>
    <xf borderId="11" fillId="4" fontId="12" numFmtId="3" xfId="0" applyAlignment="1" applyBorder="1" applyFont="1" applyNumberFormat="1">
      <alignment horizontal="center" shrinkToFit="0" vertical="bottom" wrapText="0"/>
    </xf>
    <xf borderId="11" fillId="4" fontId="12" numFmtId="0" xfId="0" applyAlignment="1" applyBorder="1" applyFont="1">
      <alignment horizontal="right" shrinkToFit="0" vertical="bottom" wrapText="0"/>
    </xf>
    <xf borderId="8" fillId="4" fontId="12" numFmtId="3" xfId="0" applyAlignment="1" applyBorder="1" applyFont="1" applyNumberFormat="1">
      <alignment horizontal="right" readingOrder="0" shrinkToFit="0" vertical="bottom" wrapText="0"/>
    </xf>
    <xf borderId="11" fillId="4" fontId="12" numFmtId="0" xfId="0" applyAlignment="1" applyBorder="1" applyFont="1">
      <alignment shrinkToFit="0" vertical="bottom" wrapText="0"/>
    </xf>
    <xf borderId="1" fillId="10" fontId="10" numFmtId="0" xfId="0" applyAlignment="1" applyBorder="1" applyFill="1" applyFont="1">
      <alignment horizontal="right" readingOrder="0" shrinkToFit="0" vertical="bottom" wrapText="0"/>
    </xf>
    <xf borderId="15" fillId="10" fontId="10" numFmtId="0" xfId="0" applyAlignment="1" applyBorder="1" applyFont="1">
      <alignment horizontal="center" shrinkToFit="0" vertical="bottom" wrapText="0"/>
    </xf>
    <xf borderId="15" fillId="10" fontId="10" numFmtId="3" xfId="0" applyAlignment="1" applyBorder="1" applyFont="1" applyNumberFormat="1">
      <alignment horizontal="center" shrinkToFit="0" vertical="bottom" wrapText="0"/>
    </xf>
    <xf borderId="15" fillId="10" fontId="10" numFmtId="0" xfId="0" applyAlignment="1" applyBorder="1" applyFont="1">
      <alignment horizontal="right" shrinkToFit="0" vertical="bottom" wrapText="0"/>
    </xf>
    <xf borderId="2" fillId="10" fontId="10" numFmtId="3" xfId="0" applyAlignment="1" applyBorder="1" applyFont="1" applyNumberFormat="1">
      <alignment horizontal="right" readingOrder="0" shrinkToFit="0" vertical="bottom" wrapText="0"/>
    </xf>
    <xf borderId="11" fillId="4" fontId="27" numFmtId="0" xfId="0" applyAlignment="1" applyBorder="1" applyFont="1">
      <alignment horizontal="left" readingOrder="0" shrinkToFit="0" wrapText="0"/>
    </xf>
    <xf borderId="11" fillId="4" fontId="12" numFmtId="0" xfId="0" applyAlignment="1" applyBorder="1" applyFont="1">
      <alignment shrinkToFit="0" wrapText="0"/>
    </xf>
    <xf borderId="11" fillId="4" fontId="12" numFmtId="3" xfId="0" applyAlignment="1" applyBorder="1" applyFont="1" applyNumberFormat="1">
      <alignment shrinkToFit="0" wrapText="0"/>
    </xf>
    <xf borderId="12" fillId="4" fontId="28" numFmtId="0" xfId="0" applyAlignment="1" applyBorder="1" applyFont="1">
      <alignment horizontal="left" readingOrder="0" shrinkToFit="0" wrapText="1"/>
    </xf>
    <xf borderId="14" fillId="4" fontId="28" numFmtId="0" xfId="0" applyAlignment="1" applyBorder="1" applyFont="1">
      <alignment horizontal="left" readingOrder="0" shrinkToFit="0" wrapText="0"/>
    </xf>
    <xf borderId="13" fillId="4" fontId="28" numFmtId="0" xfId="0" applyAlignment="1" applyBorder="1" applyFont="1">
      <alignment horizontal="left" readingOrder="0" shrinkToFit="0" wrapText="0"/>
    </xf>
    <xf borderId="11" fillId="4" fontId="10" numFmtId="0" xfId="0" applyAlignment="1" applyBorder="1" applyFont="1">
      <alignment readingOrder="0" shrinkToFit="0" wrapText="0"/>
    </xf>
    <xf borderId="11" fillId="4" fontId="12" numFmtId="3" xfId="0" applyAlignment="1" applyBorder="1" applyFont="1" applyNumberFormat="1">
      <alignment shrinkToFit="0" vertical="bottom" wrapText="0"/>
    </xf>
    <xf borderId="11" fillId="4" fontId="12" numFmtId="3" xfId="0" applyAlignment="1" applyBorder="1" applyFont="1" applyNumberFormat="1">
      <alignment horizontal="left" shrinkToFit="0" wrapText="0"/>
    </xf>
    <xf borderId="12" fillId="4" fontId="12" numFmtId="0" xfId="0" applyAlignment="1" applyBorder="1" applyFont="1">
      <alignment horizontal="left" readingOrder="0" shrinkToFit="0" wrapText="0"/>
    </xf>
    <xf borderId="11" fillId="4" fontId="12" numFmtId="0" xfId="0" applyAlignment="1" applyBorder="1" applyFont="1">
      <alignment horizontal="left" readingOrder="0" shrinkToFit="0" wrapText="0"/>
    </xf>
    <xf borderId="11" fillId="4" fontId="12" numFmtId="0" xfId="0" applyAlignment="1" applyBorder="1" applyFont="1">
      <alignment horizontal="center" readingOrder="0" shrinkToFit="0" vertical="bottom" wrapText="0"/>
    </xf>
    <xf borderId="11" fillId="4" fontId="10" numFmtId="0" xfId="0" applyAlignment="1" applyBorder="1" applyFont="1">
      <alignment readingOrder="0" shrinkToFit="0" vertical="bottom" wrapText="0"/>
    </xf>
    <xf borderId="11" fillId="4" fontId="12" numFmtId="0" xfId="0" applyAlignment="1" applyBorder="1" applyFont="1">
      <alignment readingOrder="0" shrinkToFit="0" vertical="bottom" wrapText="0"/>
    </xf>
    <xf borderId="11" fillId="4" fontId="12" numFmtId="0" xfId="0" applyAlignment="1" applyBorder="1" applyFont="1">
      <alignment horizontal="center" readingOrder="0" shrinkToFit="0" wrapText="0"/>
    </xf>
    <xf borderId="12" fillId="4" fontId="12" numFmtId="0" xfId="0" applyAlignment="1" applyBorder="1" applyFont="1">
      <alignment horizontal="center" readingOrder="0" shrinkToFit="0" wrapText="0"/>
    </xf>
    <xf borderId="11" fillId="4" fontId="12" numFmtId="0" xfId="0" applyAlignment="1" applyBorder="1" applyFont="1">
      <alignment readingOrder="0" shrinkToFit="0" wrapText="0"/>
    </xf>
    <xf borderId="12" fillId="0" fontId="29" numFmtId="0" xfId="0" applyAlignment="1" applyBorder="1" applyFont="1">
      <alignment readingOrder="0" shrinkToFit="0" wrapText="0"/>
    </xf>
    <xf borderId="12" fillId="4" fontId="12" numFmtId="0" xfId="0" applyAlignment="1" applyBorder="1" applyFont="1">
      <alignment readingOrder="0" shrinkToFit="0" vertical="bottom" wrapText="0"/>
    </xf>
    <xf borderId="12" fillId="0" fontId="21" numFmtId="0" xfId="0" applyAlignment="1" applyBorder="1" applyFont="1">
      <alignment horizontal="center" readingOrder="0" shrinkToFit="0" vertical="bottom" wrapText="0"/>
    </xf>
    <xf borderId="12" fillId="4" fontId="5" numFmtId="3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CHEF SF Lodge" id="{74173dcb-6351-40c4-8c84-69bddd1a9ee5}" providerId="google-sheets"/>
  <x18tc:person displayName="Matias Correa" id="{e8866b6e-3d6d-4b77-b9f4-0242d736cac5}" providerId="google-sheets"/>
  <x18tc:person displayName="Sebastián Correa" id="{b33004ad-0310-4336-81fa-e0d18ff7fe41}" providerId="google-sheets"/>
  <x18tc:person displayName="Comedores y Salones San Francisco Lodge" id="{54da1e19-9897-45e5-828e-3e879ac61d05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08" dT="2025-04-01T21:17:33.00" personId="{e8866b6e-3d6d-4b77-b9f4-0242d736cac5}" id="{842b8b59-6f51-4dbe-a0f5-acfc9e88b67c}" done="1">
    <x18tc:text xml:space="preserve">alhorno?</x18tc:text>
  </x18tc:threadedComment>
  <x18tc:threadedComment ref="A44" dT="2025-05-28T22:19:55.00" personId="{e8866b6e-3d6d-4b77-b9f4-0242d736cac5}" id="{101dae30-3ea5-41aa-9af7-0eb23454614f}" done="1">
    <x18tc:text xml:space="preserve">Falta Precio Fogon ($100.000)</x18tc:text>
  </x18tc:threadedComment>
  <x18tc:threadedComment ref="G31" dT="2025-01-03T21:39:39.00" personId="{e8866b6e-3d6d-4b77-b9f4-0242d736cac5}" id="{dfc6bab5-c377-4bb0-955b-adb53062e5a9}" done="1">
    <x18tc:text xml:space="preserve">Poner 1 top de masa de hoja, 1 mini muffin o 1 galleta</x18tc:text>
  </x18tc:threadedComment>
  <x18tc:threadedComment ref="A58" dT="2025-05-30T16:05:55.00" personId="{54da1e19-9897-45e5-828e-3e879ac61d05}" id="{68bfdbc2-d35e-495a-9f7f-360dcb3c39f3}" done="1">
    <x18tc:text xml:space="preserve">agrgar ticket de cerveza</x18tc:text>
  </x18tc:threadedComment>
  <x18tc:threadedComment ref="A1" dT="2025-05-09T13:31:23.00" personId="{74173dcb-6351-40c4-8c84-69bddd1a9ee5}" id="{dc4356d3-1842-492d-ae42-26f74b53935e}" done="1">
    <x18tc:text xml:space="preserve">tenemos la actividad de la pizza (se elimina este ?)</x18tc:text>
  </x18tc:threadedComment>
  <x18tc:threadedComment ref="G96" dT="2025-04-04T15:34:52.00" personId="{e8866b6e-3d6d-4b77-b9f4-0242d736cac5}" id="{ff14798a-c080-4846-b272-0eaf76b60ca7}" done="1">
    <x18tc:text xml:space="preserve">eliminar lomito</x18tc:text>
  </x18tc:threadedComment>
  <x18tc:threadedComment ref="G118" dT="2025-04-01T21:22:44.00" personId="{e8866b6e-3d6d-4b77-b9f4-0242d736cac5}" id="{c2579b37-0f8c-4269-95c5-a3408ead395d}" done="0">
    <x18tc:text xml:space="preserve">Bizcocho de vainilla relleno de dulce de leche y nuez, cubierta con crema chantilly</x18tc:text>
  </x18tc:threadedComment>
  <x18tc:threadedComment ref="A58" dT="2025-05-30T16:05:12.00" personId="{54da1e19-9897-45e5-828e-3e879ac61d05}" id="{c2029d58-ec05-4f58-8561-0ad8a05ddef2}" done="1">
    <x18tc:text xml:space="preserve">agregar ticket de cerveza</x18tc:text>
  </x18tc:threadedComment>
  <x18tc:threadedComment ref="G116" dT="2025-04-01T21:20:28.00" personId="{e8866b6e-3d6d-4b77-b9f4-0242d736cac5}" id="{28f363a9-f497-4ece-b2fe-471eca70f463}" done="1">
    <x18tc:text xml:space="preserve">bizcocho de zanahoria*</x18tc:text>
  </x18tc:threadedComment>
  <x18tc:threadedComment ref="A1" dT="2024-12-10T19:52:05.00" personId="{b33004ad-0310-4336-81fa-e0d18ff7fe41}" id="{bdac5630-0760-47f2-8940-4da2eca194ee}" done="1">
    <x18tc:text xml:space="preserve">no hay claridad del espacio fisico del karaoke o dj incluyendo el salon</x18tc:text>
  </x18tc:threadedComment>
  <x18tc:threadedComment ref="G70" dT="2024-12-16T20:09:52.00" personId="{e8866b6e-3d6d-4b77-b9f4-0242d736cac5}" id="{73a6d561-7f84-46c2-a67e-830c89b3c1c1}" done="1">
    <x18tc:text xml:space="preserve">o agua</x18tc:text>
  </x18tc:threadedComment>
  <x18tc:threadedComment ref="G107" dT="2025-06-10T18:08:36.00" personId="{74173dcb-6351-40c4-8c84-69bddd1a9ee5}" id="{6f9f47bf-845b-4b99-9272-ead9ea4e7de0}" done="1">
    <x18tc:text xml:space="preserve">SE REPITE MIX DE QUESOS</x18tc:text>
  </x18tc:threadedComment>
  <x18tc:threadedComment ref="A152" dT="2024-12-14T16:15:56.00" personId="{e8866b6e-3d6d-4b77-b9f4-0242d736cac5}" id="{0d473733-0a0d-4a6b-a02a-57fd51ec955a}" done="1">
    <x18tc:text xml:space="preserve">SAHNE NUSS</x18tc:text>
  </x18tc:threadedComment>
  <x18tc:threadedComment ref="B58" dT="2025-05-30T16:06:09.00" personId="{54da1e19-9897-45e5-828e-3e879ac61d05}" id="{7fdccad7-7141-461a-b2e0-85ab4b1fa823}" done="1">
    <x18tc:text xml:space="preserve">agregar fogon</x18tc:text>
  </x18tc:threadedComment>
  <x18tc:threadedComment ref="G99" dT="2025-04-01T21:09:39.00" personId="{e8866b6e-3d6d-4b77-b9f4-0242d736cac5}" id="{c0a7b9f0-a9c8-4f53-be1a-e3701405c226}" done="1">
    <x18tc:text xml:space="preserve">La carne la hace el hotel no el evento</x18tc:text>
  </x18tc:threadedComment>
  <x18tc:threadedComment ref="G90" dT="2025-04-01T21:06:57.00" personId="{e8866b6e-3d6d-4b77-b9f4-0242d736cac5}" id="{a02ede8e-3f82-4208-bf96-5a93d1ea9aae}" done="1">
    <x18tc:text xml:space="preserve">Viernes de hambuurguesas</x18tc:text>
  </x18tc:threadedComment>
  <x18tc:threadedComment ref="A58" dT="2025-05-30T16:04:35.00" personId="{54da1e19-9897-45e5-828e-3e879ac61d05}" id="{2f8a7b45-ca0e-4a84-8109-1a229a8d542c}" done="1">
    <x18tc:text xml:space="preserve">agregar ticket de cerveza</x18tc:text>
  </x18tc:threadedComment>
  <x18tc:threadedComment ref="A58" dT="2025-05-30T16:04:52.00" personId="{54da1e19-9897-45e5-828e-3e879ac61d05}" id="{19852a0f-8fc4-4a2b-a291-7f0d9e2767da}" parentId="{2f8a7b45-ca0e-4a84-8109-1a229a8d542c}">
    <x18tc:text xml:space="preserve">agregar precio de fogon
Marcado como resuelto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5" dT="2024-12-16T19:42:18.00" personId="{e8866b6e-3d6d-4b77-b9f4-0242d736cac5}" id="{96879969-82c7-4759-ad19-fd786d19e0af}" done="1">
    <x18tc:text xml:space="preserve">max 37 apretado</x18tc:text>
  </x18tc:threadedComment>
  <x18tc:threadedComment ref="E4" dT="2024-12-16T19:42:07.00" personId="{e8866b6e-3d6d-4b77-b9f4-0242d736cac5}" id="{84d63073-789c-4574-8ea3-fe813ec157d6}" done="1">
    <x18tc:text xml:space="preserve">max 37 apretado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3" dT="2024-12-14T16:14:16.00" personId="{e8866b6e-3d6d-4b77-b9f4-0242d736cac5}" id="{cb23abb2-56d1-4273-87bc-7064cc1b6a75}" done="0">
    <x18tc:text xml:space="preserve">Agregar que el coffe en el salón tiene costo adicional</x18tc:text>
  </x18tc:threadedComment>
  <x18tc:threadedComment ref="G12" dT="2024-12-16T20:07:05.00" personId="{e8866b6e-3d6d-4b77-b9f4-0242d736cac5}" id="{a42ee059-c353-418f-85a3-1eee5d7eb87b}" done="1">
    <x18tc:text xml:space="preserve">bebida o agua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hyperlink" Target="https://uc57bbdf4dc97ad436079d324ea2.previews.dropboxusercontent.com/p/xls_html/ACfNBgXoTzS_wolVt0iJyl--p0tOvhV_TSLbavohSaKBqipJcu22ZA1ZUv5rUI_ssP64W6lJuYgn7At_gh7jpESqMfI7ZYcmV72vQlFpcq3d_viAvE1FYmHuRiuUKA1jZXAEygft5HQZNuzG01SIA9fE5s5y2LVzyyeyLwe2xt9dTkhhis5nTpg2eX11zNBfNO1LaRJ2NGEHcSGeYRbn6o_510qnbL33E8XswQMxRIygYrWz-FtEzcxYXHjK9_vvUQ6psV3tne_5ld84uaQ0s7tIHkq7gR1RU9U2yayGYHyh1tQ3-gljxFpuyhOJtjIfPGM/p.html?is_prewarmed=true" TargetMode="External"/><Relationship Id="rId5" Type="http://schemas.openxmlformats.org/officeDocument/2006/relationships/hyperlink" Target="mailto:sf@sflodge.cl" TargetMode="External"/><Relationship Id="rId6" Type="http://schemas.openxmlformats.org/officeDocument/2006/relationships/drawing" Target="../drawings/drawing4.xml"/><Relationship Id="rId7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1.13"/>
    <col customWidth="1" min="2" max="2" width="20.13"/>
    <col customWidth="1" min="3" max="3" width="3.88"/>
    <col customWidth="1" min="4" max="4" width="6.13"/>
    <col customWidth="1" min="5" max="5" width="34.88"/>
    <col customWidth="1" min="6" max="6" width="8.5"/>
    <col customWidth="1" min="7" max="7" width="95.38"/>
    <col customWidth="1" min="8" max="8" width="1.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1" t="s">
        <v>5</v>
      </c>
      <c r="G1" s="5" t="s">
        <v>6</v>
      </c>
      <c r="H1" s="6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8"/>
      <c r="AD1" s="8"/>
    </row>
    <row r="2">
      <c r="A2" s="9" t="s">
        <v>7</v>
      </c>
      <c r="B2" s="9" t="s">
        <v>8</v>
      </c>
      <c r="C2" s="10">
        <v>1.0</v>
      </c>
      <c r="D2" s="10">
        <v>1.0</v>
      </c>
      <c r="E2" s="11">
        <f>350000*1.1</f>
        <v>385000</v>
      </c>
      <c r="F2" s="12">
        <f t="shared" ref="F2:F4" si="1">C2*D2*E2</f>
        <v>385000</v>
      </c>
      <c r="G2" s="12" t="s">
        <v>9</v>
      </c>
      <c r="H2" s="6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8"/>
      <c r="AD2" s="8"/>
    </row>
    <row r="3">
      <c r="A3" s="9" t="s">
        <v>10</v>
      </c>
      <c r="B3" s="9" t="s">
        <v>8</v>
      </c>
      <c r="C3" s="10">
        <v>1.0</v>
      </c>
      <c r="D3" s="10">
        <v>1.0</v>
      </c>
      <c r="E3" s="11">
        <f>300000*1.1</f>
        <v>330000</v>
      </c>
      <c r="F3" s="12">
        <f t="shared" si="1"/>
        <v>330000</v>
      </c>
      <c r="G3" s="12" t="s">
        <v>11</v>
      </c>
      <c r="H3" s="6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8"/>
      <c r="AD3" s="8"/>
    </row>
    <row r="4">
      <c r="A4" s="9" t="s">
        <v>12</v>
      </c>
      <c r="B4" s="9" t="s">
        <v>8</v>
      </c>
      <c r="C4" s="10">
        <v>1.0</v>
      </c>
      <c r="D4" s="10">
        <v>1.0</v>
      </c>
      <c r="E4" s="11">
        <f>220000*1.1</f>
        <v>242000</v>
      </c>
      <c r="F4" s="12">
        <f t="shared" si="1"/>
        <v>242000</v>
      </c>
      <c r="G4" s="12" t="s">
        <v>13</v>
      </c>
      <c r="H4" s="6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8"/>
      <c r="AD4" s="8"/>
    </row>
    <row r="5">
      <c r="A5" s="13" t="s">
        <v>14</v>
      </c>
      <c r="B5" s="13" t="s">
        <v>8</v>
      </c>
      <c r="C5" s="10">
        <v>1.0</v>
      </c>
      <c r="D5" s="10">
        <v>1.0</v>
      </c>
      <c r="E5" s="14">
        <v>209000.0</v>
      </c>
      <c r="F5" s="12">
        <v>209000.0</v>
      </c>
      <c r="G5" s="12" t="s">
        <v>15</v>
      </c>
      <c r="H5" s="15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7"/>
      <c r="AD5" s="17"/>
    </row>
    <row r="6">
      <c r="A6" s="9" t="s">
        <v>16</v>
      </c>
      <c r="B6" s="9" t="s">
        <v>8</v>
      </c>
      <c r="C6" s="10">
        <v>1.0</v>
      </c>
      <c r="D6" s="10">
        <v>1.0</v>
      </c>
      <c r="E6" s="11">
        <f>290000*1.1</f>
        <v>319000</v>
      </c>
      <c r="F6" s="12">
        <f t="shared" ref="F6:F7" si="2">C6*D6*E6</f>
        <v>319000</v>
      </c>
      <c r="G6" s="12" t="s">
        <v>17</v>
      </c>
      <c r="H6" s="6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8"/>
      <c r="AD6" s="8"/>
    </row>
    <row r="7">
      <c r="A7" s="9" t="s">
        <v>18</v>
      </c>
      <c r="B7" s="9" t="s">
        <v>8</v>
      </c>
      <c r="C7" s="10">
        <v>1.0</v>
      </c>
      <c r="D7" s="10">
        <v>1.0</v>
      </c>
      <c r="E7" s="11">
        <f>500000*1.1</f>
        <v>550000</v>
      </c>
      <c r="F7" s="12">
        <f t="shared" si="2"/>
        <v>550000</v>
      </c>
      <c r="G7" s="12" t="s">
        <v>19</v>
      </c>
      <c r="H7" s="6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8"/>
      <c r="AD7" s="8"/>
    </row>
    <row r="8">
      <c r="A8" s="13"/>
      <c r="B8" s="18"/>
      <c r="C8" s="10"/>
      <c r="D8" s="10"/>
      <c r="E8" s="14"/>
      <c r="F8" s="12"/>
      <c r="G8" s="19"/>
      <c r="H8" s="15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7"/>
      <c r="AD8" s="17"/>
    </row>
    <row r="9">
      <c r="A9" s="13"/>
      <c r="B9" s="18"/>
      <c r="C9" s="10">
        <v>1.0</v>
      </c>
      <c r="D9" s="10">
        <v>1.0</v>
      </c>
      <c r="E9" s="14"/>
      <c r="F9" s="12"/>
      <c r="G9" s="19"/>
      <c r="H9" s="15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7"/>
      <c r="AD9" s="17"/>
    </row>
    <row r="10">
      <c r="A10" s="13" t="s">
        <v>20</v>
      </c>
      <c r="B10" s="18"/>
      <c r="C10" s="10">
        <v>1.0</v>
      </c>
      <c r="D10" s="10">
        <v>1.0</v>
      </c>
      <c r="E10" s="14">
        <v>150000.0</v>
      </c>
      <c r="F10" s="12">
        <f t="shared" ref="F10:F12" si="3">C10*D10*E10</f>
        <v>150000</v>
      </c>
      <c r="G10" s="19" t="s">
        <v>21</v>
      </c>
      <c r="H10" s="15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7"/>
      <c r="AD10" s="17"/>
    </row>
    <row r="11">
      <c r="A11" s="13" t="s">
        <v>22</v>
      </c>
      <c r="B11" s="18"/>
      <c r="C11" s="10">
        <v>1.0</v>
      </c>
      <c r="D11" s="10">
        <v>1.0</v>
      </c>
      <c r="E11" s="14">
        <v>100000.0</v>
      </c>
      <c r="F11" s="12">
        <f t="shared" si="3"/>
        <v>100000</v>
      </c>
      <c r="G11" s="19" t="s">
        <v>21</v>
      </c>
      <c r="H11" s="15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7"/>
      <c r="AD11" s="17"/>
    </row>
    <row r="12">
      <c r="A12" s="13" t="s">
        <v>23</v>
      </c>
      <c r="B12" s="18"/>
      <c r="C12" s="10">
        <v>1.0</v>
      </c>
      <c r="D12" s="10">
        <v>1.0</v>
      </c>
      <c r="E12" s="14">
        <v>80000.0</v>
      </c>
      <c r="F12" s="12">
        <f t="shared" si="3"/>
        <v>80000</v>
      </c>
      <c r="G12" s="19" t="s">
        <v>21</v>
      </c>
      <c r="H12" s="15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7"/>
      <c r="AD12" s="17"/>
    </row>
    <row r="13">
      <c r="A13" s="13"/>
      <c r="B13" s="18"/>
      <c r="C13" s="10"/>
      <c r="D13" s="10"/>
      <c r="E13" s="20"/>
      <c r="F13" s="12"/>
      <c r="G13" s="12"/>
      <c r="H13" s="15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7"/>
      <c r="AD13" s="17"/>
    </row>
    <row r="14">
      <c r="A14" s="13" t="s">
        <v>24</v>
      </c>
      <c r="B14" s="18"/>
      <c r="C14" s="10">
        <v>1.0</v>
      </c>
      <c r="D14" s="10">
        <v>1.0</v>
      </c>
      <c r="E14" s="14">
        <v>365000.0</v>
      </c>
      <c r="F14" s="12">
        <f t="shared" ref="F14:F20" si="4">C14*D14*E14</f>
        <v>365000</v>
      </c>
      <c r="G14" s="12" t="s">
        <v>25</v>
      </c>
      <c r="H14" s="15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7"/>
      <c r="AD14" s="17"/>
    </row>
    <row r="15">
      <c r="A15" s="13" t="s">
        <v>26</v>
      </c>
      <c r="B15" s="18"/>
      <c r="C15" s="10">
        <v>1.0</v>
      </c>
      <c r="D15" s="10">
        <v>1.0</v>
      </c>
      <c r="E15" s="14">
        <v>250000.0</v>
      </c>
      <c r="F15" s="12">
        <f t="shared" si="4"/>
        <v>250000</v>
      </c>
      <c r="G15" s="19" t="s">
        <v>27</v>
      </c>
      <c r="H15" s="15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7"/>
      <c r="AD15" s="17"/>
    </row>
    <row r="16">
      <c r="A16" s="21" t="s">
        <v>28</v>
      </c>
      <c r="B16" s="18"/>
      <c r="C16" s="10">
        <v>1.0</v>
      </c>
      <c r="D16" s="10">
        <v>1.0</v>
      </c>
      <c r="E16" s="14">
        <v>250000.0</v>
      </c>
      <c r="F16" s="12">
        <f t="shared" si="4"/>
        <v>250000</v>
      </c>
      <c r="G16" s="22" t="s">
        <v>29</v>
      </c>
      <c r="H16" s="15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7"/>
      <c r="AD16" s="17"/>
    </row>
    <row r="17">
      <c r="A17" s="13" t="s">
        <v>30</v>
      </c>
      <c r="B17" s="18"/>
      <c r="C17" s="10">
        <v>1.0</v>
      </c>
      <c r="D17" s="10">
        <v>1.0</v>
      </c>
      <c r="E17" s="14">
        <v>265000.0</v>
      </c>
      <c r="F17" s="12">
        <f t="shared" si="4"/>
        <v>265000</v>
      </c>
      <c r="G17" s="12" t="s">
        <v>25</v>
      </c>
      <c r="H17" s="15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7"/>
      <c r="AD17" s="17"/>
    </row>
    <row r="18">
      <c r="A18" s="13" t="s">
        <v>31</v>
      </c>
      <c r="B18" s="18"/>
      <c r="C18" s="10">
        <v>1.0</v>
      </c>
      <c r="D18" s="10">
        <v>1.0</v>
      </c>
      <c r="E18" s="14">
        <v>150000.0</v>
      </c>
      <c r="F18" s="12">
        <f t="shared" si="4"/>
        <v>150000</v>
      </c>
      <c r="G18" s="19" t="s">
        <v>27</v>
      </c>
      <c r="H18" s="15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7"/>
      <c r="AD18" s="17"/>
    </row>
    <row r="19">
      <c r="A19" s="21" t="s">
        <v>32</v>
      </c>
      <c r="B19" s="23"/>
      <c r="C19" s="10">
        <v>1.0</v>
      </c>
      <c r="D19" s="10">
        <v>1.0</v>
      </c>
      <c r="E19" s="24">
        <v>150000.0</v>
      </c>
      <c r="F19" s="12">
        <f t="shared" si="4"/>
        <v>150000</v>
      </c>
      <c r="G19" s="22" t="s">
        <v>29</v>
      </c>
      <c r="H19" s="6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8"/>
      <c r="AD19" s="8"/>
    </row>
    <row r="20">
      <c r="A20" s="13" t="s">
        <v>33</v>
      </c>
      <c r="B20" s="18"/>
      <c r="C20" s="10">
        <v>1.0</v>
      </c>
      <c r="D20" s="10">
        <v>1.0</v>
      </c>
      <c r="E20" s="14">
        <v>100000.0</v>
      </c>
      <c r="F20" s="12">
        <f t="shared" si="4"/>
        <v>100000</v>
      </c>
      <c r="G20" s="19" t="s">
        <v>34</v>
      </c>
      <c r="H20" s="15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7"/>
      <c r="AD20" s="17"/>
    </row>
    <row r="21">
      <c r="A21" s="25"/>
      <c r="B21" s="18"/>
      <c r="C21" s="10"/>
      <c r="D21" s="10"/>
      <c r="E21" s="20"/>
      <c r="F21" s="12"/>
      <c r="G21" s="26"/>
      <c r="H21" s="15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7"/>
      <c r="AD21" s="17"/>
    </row>
    <row r="22">
      <c r="A22" s="13" t="s">
        <v>35</v>
      </c>
      <c r="B22" s="18" t="s">
        <v>36</v>
      </c>
      <c r="C22" s="27">
        <v>1.0</v>
      </c>
      <c r="D22" s="27">
        <v>1.0</v>
      </c>
      <c r="E22" s="20">
        <v>165000.0</v>
      </c>
      <c r="F22" s="19">
        <f>C22*D22*E22</f>
        <v>165000</v>
      </c>
      <c r="G22" s="19" t="s">
        <v>37</v>
      </c>
      <c r="H22" s="15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7"/>
      <c r="AD22" s="17"/>
    </row>
    <row r="23">
      <c r="A23" s="9" t="s">
        <v>38</v>
      </c>
      <c r="B23" s="28"/>
      <c r="C23" s="10">
        <v>1.0</v>
      </c>
      <c r="D23" s="10">
        <v>1.0</v>
      </c>
      <c r="E23" s="29">
        <v>300000.0</v>
      </c>
      <c r="F23" s="12">
        <f>D23*E23</f>
        <v>300000</v>
      </c>
      <c r="G23" s="19" t="s">
        <v>39</v>
      </c>
      <c r="H23" s="6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8"/>
      <c r="AD23" s="8"/>
    </row>
    <row r="24">
      <c r="A24" s="30" t="s">
        <v>40</v>
      </c>
      <c r="B24" s="28"/>
      <c r="C24" s="10">
        <v>1.0</v>
      </c>
      <c r="D24" s="10">
        <v>1.0</v>
      </c>
      <c r="E24" s="11">
        <v>200000.0</v>
      </c>
      <c r="F24" s="12">
        <f t="shared" ref="F24:F28" si="5">C24*D24*E24</f>
        <v>200000</v>
      </c>
      <c r="G24" s="31" t="s">
        <v>41</v>
      </c>
      <c r="H24" s="6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8"/>
      <c r="AD24" s="8"/>
    </row>
    <row r="25">
      <c r="A25" s="9" t="s">
        <v>42</v>
      </c>
      <c r="B25" s="28"/>
      <c r="C25" s="10">
        <v>1.0</v>
      </c>
      <c r="D25" s="10">
        <v>1.0</v>
      </c>
      <c r="E25" s="11">
        <v>50000.0</v>
      </c>
      <c r="F25" s="12">
        <f t="shared" si="5"/>
        <v>50000</v>
      </c>
      <c r="G25" s="32"/>
      <c r="H25" s="6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8"/>
      <c r="AD25" s="8"/>
    </row>
    <row r="26">
      <c r="A26" s="9" t="s">
        <v>43</v>
      </c>
      <c r="B26" s="28"/>
      <c r="C26" s="10">
        <v>1.0</v>
      </c>
      <c r="D26" s="10">
        <v>1.0</v>
      </c>
      <c r="E26" s="11">
        <v>50000.0</v>
      </c>
      <c r="F26" s="12">
        <f t="shared" si="5"/>
        <v>50000</v>
      </c>
      <c r="G26" s="32"/>
      <c r="H26" s="6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8"/>
      <c r="AD26" s="8"/>
    </row>
    <row r="27">
      <c r="A27" s="9" t="s">
        <v>44</v>
      </c>
      <c r="B27" s="9" t="s">
        <v>45</v>
      </c>
      <c r="C27" s="10">
        <v>1.0</v>
      </c>
      <c r="D27" s="10">
        <v>1.0</v>
      </c>
      <c r="E27" s="29">
        <v>140000.0</v>
      </c>
      <c r="F27" s="12">
        <f t="shared" si="5"/>
        <v>140000</v>
      </c>
      <c r="G27" s="12" t="s">
        <v>46</v>
      </c>
      <c r="H27" s="6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8"/>
      <c r="AD27" s="8"/>
    </row>
    <row r="28">
      <c r="A28" s="21" t="s">
        <v>47</v>
      </c>
      <c r="B28" s="23"/>
      <c r="C28" s="10">
        <v>1.0</v>
      </c>
      <c r="D28" s="10">
        <v>1.0</v>
      </c>
      <c r="E28" s="23">
        <v>30000.0</v>
      </c>
      <c r="F28" s="12">
        <f t="shared" si="5"/>
        <v>30000</v>
      </c>
      <c r="G28" s="33" t="s">
        <v>48</v>
      </c>
      <c r="H28" s="6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8"/>
      <c r="AD28" s="8"/>
    </row>
    <row r="29">
      <c r="A29" s="9"/>
      <c r="B29" s="9"/>
      <c r="C29" s="10"/>
      <c r="D29" s="10"/>
      <c r="E29" s="29"/>
      <c r="F29" s="34"/>
      <c r="G29" s="12"/>
      <c r="H29" s="6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8"/>
      <c r="AD29" s="8"/>
    </row>
    <row r="30">
      <c r="A30" s="1" t="s">
        <v>49</v>
      </c>
      <c r="B30" s="2" t="s">
        <v>1</v>
      </c>
      <c r="C30" s="3" t="s">
        <v>2</v>
      </c>
      <c r="D30" s="3" t="s">
        <v>3</v>
      </c>
      <c r="E30" s="4" t="s">
        <v>4</v>
      </c>
      <c r="F30" s="35"/>
      <c r="G30" s="35" t="s">
        <v>6</v>
      </c>
      <c r="H30" s="6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8"/>
      <c r="AD30" s="8"/>
    </row>
    <row r="31">
      <c r="A31" s="36" t="s">
        <v>50</v>
      </c>
      <c r="B31" s="28"/>
      <c r="C31" s="10">
        <v>1.0</v>
      </c>
      <c r="D31" s="10">
        <v>1.0</v>
      </c>
      <c r="E31" s="11">
        <f>5800*1.1</f>
        <v>6380</v>
      </c>
      <c r="F31" s="12">
        <f t="shared" ref="F31:F33" si="6">C31*D31*E31</f>
        <v>6380</v>
      </c>
      <c r="G31" s="37" t="s">
        <v>51</v>
      </c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7"/>
      <c r="AD31" s="17"/>
    </row>
    <row r="32">
      <c r="A32" s="38" t="s">
        <v>52</v>
      </c>
      <c r="B32" s="18"/>
      <c r="C32" s="10">
        <v>1.0</v>
      </c>
      <c r="D32" s="10">
        <v>1.0</v>
      </c>
      <c r="E32" s="11">
        <f>9450*1.1</f>
        <v>10395</v>
      </c>
      <c r="F32" s="12">
        <f t="shared" si="6"/>
        <v>10395</v>
      </c>
      <c r="G32" s="13" t="s">
        <v>53</v>
      </c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7"/>
      <c r="AD32" s="17"/>
    </row>
    <row r="33">
      <c r="A33" s="36" t="s">
        <v>54</v>
      </c>
      <c r="B33" s="28"/>
      <c r="C33" s="10">
        <v>1.0</v>
      </c>
      <c r="D33" s="10">
        <v>1.0</v>
      </c>
      <c r="E33" s="11">
        <f>15000*1.1</f>
        <v>16500</v>
      </c>
      <c r="F33" s="12">
        <f t="shared" si="6"/>
        <v>16500</v>
      </c>
      <c r="G33" s="37" t="s">
        <v>55</v>
      </c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7"/>
      <c r="AD33" s="17"/>
    </row>
    <row r="34">
      <c r="A34" s="9" t="s">
        <v>56</v>
      </c>
      <c r="B34" s="39"/>
      <c r="C34" s="10">
        <v>1.0</v>
      </c>
      <c r="D34" s="10">
        <v>1.0</v>
      </c>
      <c r="E34" s="40">
        <v>10395.0</v>
      </c>
      <c r="F34" s="12">
        <v>10395.0</v>
      </c>
      <c r="G34" s="13" t="s">
        <v>57</v>
      </c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7"/>
      <c r="AD34" s="17"/>
    </row>
    <row r="35">
      <c r="A35" s="9" t="s">
        <v>58</v>
      </c>
      <c r="B35" s="39"/>
      <c r="C35" s="10">
        <v>1.0</v>
      </c>
      <c r="D35" s="10">
        <v>1.0</v>
      </c>
      <c r="E35" s="40">
        <v>3500.0</v>
      </c>
      <c r="F35" s="12">
        <f t="shared" ref="F35:F41" si="7">C35*D35*E35</f>
        <v>3500</v>
      </c>
      <c r="G35" s="41" t="s">
        <v>59</v>
      </c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7"/>
      <c r="AD35" s="17"/>
    </row>
    <row r="36">
      <c r="A36" s="21" t="s">
        <v>60</v>
      </c>
      <c r="B36" s="23"/>
      <c r="C36" s="10">
        <v>1.0</v>
      </c>
      <c r="D36" s="10">
        <v>1.0</v>
      </c>
      <c r="E36" s="23">
        <v>200000.0</v>
      </c>
      <c r="F36" s="12">
        <f t="shared" si="7"/>
        <v>200000</v>
      </c>
      <c r="G36" s="22" t="s">
        <v>61</v>
      </c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7"/>
      <c r="AD36" s="17"/>
    </row>
    <row r="37">
      <c r="A37" s="42" t="s">
        <v>62</v>
      </c>
      <c r="B37" s="23"/>
      <c r="C37" s="10">
        <v>1.0</v>
      </c>
      <c r="D37" s="10">
        <v>1.0</v>
      </c>
      <c r="E37" s="24">
        <v>2500.0</v>
      </c>
      <c r="F37" s="12">
        <f t="shared" si="7"/>
        <v>2500</v>
      </c>
      <c r="G37" s="33"/>
      <c r="H37" s="16"/>
      <c r="I37" s="7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7"/>
      <c r="AD37" s="17"/>
    </row>
    <row r="38">
      <c r="A38" s="42" t="s">
        <v>63</v>
      </c>
      <c r="B38" s="23"/>
      <c r="C38" s="10">
        <v>1.0</v>
      </c>
      <c r="D38" s="10">
        <v>1.0</v>
      </c>
      <c r="E38" s="24">
        <v>1800.0</v>
      </c>
      <c r="F38" s="12">
        <f t="shared" si="7"/>
        <v>1800</v>
      </c>
      <c r="G38" s="38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7"/>
      <c r="AD38" s="17"/>
    </row>
    <row r="39">
      <c r="A39" s="42" t="s">
        <v>64</v>
      </c>
      <c r="B39" s="23"/>
      <c r="C39" s="10">
        <v>1.0</v>
      </c>
      <c r="D39" s="10">
        <v>1.0</v>
      </c>
      <c r="E39" s="23">
        <v>1500.0</v>
      </c>
      <c r="F39" s="12">
        <f t="shared" si="7"/>
        <v>1500</v>
      </c>
      <c r="G39" s="38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7"/>
      <c r="AD39" s="17"/>
    </row>
    <row r="40">
      <c r="A40" s="43" t="s">
        <v>65</v>
      </c>
      <c r="B40" s="44"/>
      <c r="C40" s="10">
        <v>1.0</v>
      </c>
      <c r="D40" s="10">
        <v>1.0</v>
      </c>
      <c r="E40" s="45">
        <v>7500.0</v>
      </c>
      <c r="F40" s="12">
        <f t="shared" si="7"/>
        <v>7500</v>
      </c>
      <c r="G40" s="38" t="s">
        <v>66</v>
      </c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7"/>
      <c r="AD40" s="47"/>
    </row>
    <row r="41">
      <c r="A41" s="43" t="s">
        <v>67</v>
      </c>
      <c r="B41" s="44"/>
      <c r="C41" s="10">
        <v>1.0</v>
      </c>
      <c r="D41" s="10">
        <v>1.0</v>
      </c>
      <c r="E41" s="45">
        <v>60000.0</v>
      </c>
      <c r="F41" s="12">
        <f t="shared" si="7"/>
        <v>60000</v>
      </c>
      <c r="G41" s="48" t="s">
        <v>68</v>
      </c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7"/>
      <c r="AD41" s="47"/>
    </row>
    <row r="42">
      <c r="A42" s="9" t="s">
        <v>69</v>
      </c>
      <c r="B42" s="41"/>
      <c r="C42" s="10">
        <v>1.0</v>
      </c>
      <c r="D42" s="10">
        <v>1.0</v>
      </c>
      <c r="E42" s="40">
        <v>40000.0</v>
      </c>
      <c r="F42" s="49">
        <v>40000.0</v>
      </c>
      <c r="G42" s="49" t="s">
        <v>70</v>
      </c>
      <c r="H42" s="6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8"/>
      <c r="AD42" s="8"/>
    </row>
    <row r="43">
      <c r="A43" s="9" t="s">
        <v>71</v>
      </c>
      <c r="B43" s="41"/>
      <c r="C43" s="10">
        <v>1.0</v>
      </c>
      <c r="D43" s="10">
        <v>1.0</v>
      </c>
      <c r="E43" s="40">
        <v>10000.0</v>
      </c>
      <c r="F43" s="50"/>
      <c r="G43" s="49" t="s">
        <v>72</v>
      </c>
      <c r="H43" s="6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8"/>
      <c r="AD43" s="8"/>
    </row>
    <row r="44">
      <c r="A44" s="1" t="s">
        <v>73</v>
      </c>
      <c r="B44" s="2" t="s">
        <v>1</v>
      </c>
      <c r="C44" s="3" t="s">
        <v>2</v>
      </c>
      <c r="D44" s="3" t="s">
        <v>3</v>
      </c>
      <c r="E44" s="4" t="s">
        <v>4</v>
      </c>
      <c r="F44" s="1" t="s">
        <v>5</v>
      </c>
      <c r="G44" s="35" t="s">
        <v>6</v>
      </c>
      <c r="H44" s="6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8"/>
      <c r="AD44" s="8"/>
    </row>
    <row r="45">
      <c r="A45" s="9" t="s">
        <v>74</v>
      </c>
      <c r="B45" s="28"/>
      <c r="C45" s="10">
        <v>1.0</v>
      </c>
      <c r="D45" s="10">
        <v>1.0</v>
      </c>
      <c r="E45" s="11">
        <v>160000.0</v>
      </c>
      <c r="F45" s="12">
        <f t="shared" ref="F45:F56" si="8">C45*D45*E45</f>
        <v>160000</v>
      </c>
      <c r="G45" s="12" t="s">
        <v>75</v>
      </c>
      <c r="H45" s="6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8"/>
      <c r="AD45" s="8"/>
    </row>
    <row r="46">
      <c r="A46" s="51" t="s">
        <v>76</v>
      </c>
      <c r="B46" s="31" t="s">
        <v>77</v>
      </c>
      <c r="C46" s="10">
        <v>1.0</v>
      </c>
      <c r="D46" s="10">
        <v>1.0</v>
      </c>
      <c r="E46" s="52">
        <v>850000.0</v>
      </c>
      <c r="F46" s="12">
        <f t="shared" si="8"/>
        <v>850000</v>
      </c>
      <c r="G46" s="31" t="s">
        <v>78</v>
      </c>
      <c r="H46" s="6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8"/>
      <c r="AD46" s="8"/>
    </row>
    <row r="47">
      <c r="A47" s="51" t="s">
        <v>79</v>
      </c>
      <c r="B47" s="31"/>
      <c r="C47" s="10">
        <v>1.0</v>
      </c>
      <c r="D47" s="10">
        <v>1.0</v>
      </c>
      <c r="E47" s="52">
        <f>850000/4*1.3</f>
        <v>276250</v>
      </c>
      <c r="F47" s="12">
        <f t="shared" si="8"/>
        <v>276250</v>
      </c>
      <c r="G47" s="31" t="s">
        <v>80</v>
      </c>
      <c r="H47" s="6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8"/>
      <c r="AD47" s="8"/>
    </row>
    <row r="48">
      <c r="A48" s="53" t="s">
        <v>81</v>
      </c>
      <c r="B48" s="31" t="s">
        <v>77</v>
      </c>
      <c r="C48" s="10">
        <v>1.0</v>
      </c>
      <c r="D48" s="10">
        <v>1.0</v>
      </c>
      <c r="E48" s="52">
        <v>1200000.0</v>
      </c>
      <c r="F48" s="12">
        <f t="shared" si="8"/>
        <v>1200000</v>
      </c>
      <c r="G48" s="31" t="s">
        <v>78</v>
      </c>
      <c r="H48" s="6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8"/>
      <c r="AD48" s="8"/>
    </row>
    <row r="49">
      <c r="A49" s="54" t="s">
        <v>82</v>
      </c>
      <c r="B49" s="55"/>
      <c r="C49" s="10">
        <v>1.0</v>
      </c>
      <c r="D49" s="10">
        <v>1.0</v>
      </c>
      <c r="E49" s="52">
        <f>1200000/4*1.3</f>
        <v>390000</v>
      </c>
      <c r="F49" s="12">
        <f t="shared" si="8"/>
        <v>390000</v>
      </c>
      <c r="G49" s="31" t="s">
        <v>80</v>
      </c>
      <c r="H49" s="6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8"/>
      <c r="AD49" s="8"/>
    </row>
    <row r="50">
      <c r="A50" s="9" t="s">
        <v>83</v>
      </c>
      <c r="B50" s="31" t="s">
        <v>77</v>
      </c>
      <c r="C50" s="10">
        <v>1.0</v>
      </c>
      <c r="D50" s="10">
        <v>1.0</v>
      </c>
      <c r="E50" s="56">
        <v>500000.0</v>
      </c>
      <c r="F50" s="12">
        <f t="shared" si="8"/>
        <v>500000</v>
      </c>
      <c r="G50" s="57" t="s">
        <v>84</v>
      </c>
      <c r="H50" s="6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8"/>
      <c r="AD50" s="8"/>
    </row>
    <row r="51">
      <c r="A51" s="9" t="s">
        <v>85</v>
      </c>
      <c r="B51" s="58" t="s">
        <v>86</v>
      </c>
      <c r="C51" s="10">
        <v>1.0</v>
      </c>
      <c r="D51" s="10">
        <v>1.0</v>
      </c>
      <c r="E51" s="59">
        <v>750000.0</v>
      </c>
      <c r="F51" s="60">
        <f t="shared" si="8"/>
        <v>750000</v>
      </c>
      <c r="G51" s="57" t="s">
        <v>87</v>
      </c>
      <c r="H51" s="6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8"/>
      <c r="AD51" s="8"/>
    </row>
    <row r="52">
      <c r="A52" s="53" t="s">
        <v>88</v>
      </c>
      <c r="B52" s="31" t="s">
        <v>77</v>
      </c>
      <c r="C52" s="10">
        <v>1.0</v>
      </c>
      <c r="D52" s="10">
        <v>1.0</v>
      </c>
      <c r="E52" s="56">
        <v>360000.0</v>
      </c>
      <c r="F52" s="12">
        <f t="shared" si="8"/>
        <v>360000</v>
      </c>
      <c r="G52" s="57" t="s">
        <v>89</v>
      </c>
      <c r="H52" s="6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8"/>
      <c r="AD52" s="8"/>
    </row>
    <row r="53">
      <c r="A53" s="53" t="s">
        <v>90</v>
      </c>
      <c r="B53" s="58" t="s">
        <v>86</v>
      </c>
      <c r="C53" s="61">
        <v>1.0</v>
      </c>
      <c r="D53" s="61">
        <v>1.0</v>
      </c>
      <c r="E53" s="62">
        <f>E52*1.5</f>
        <v>540000</v>
      </c>
      <c r="F53" s="63">
        <f t="shared" si="8"/>
        <v>540000</v>
      </c>
      <c r="G53" s="34" t="s">
        <v>25</v>
      </c>
      <c r="H53" s="64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  <c r="AB53" s="65"/>
      <c r="AC53" s="65"/>
      <c r="AD53" s="65"/>
    </row>
    <row r="54">
      <c r="A54" s="53" t="s">
        <v>91</v>
      </c>
      <c r="B54" s="31" t="s">
        <v>77</v>
      </c>
      <c r="C54" s="10">
        <v>1.0</v>
      </c>
      <c r="D54" s="10">
        <v>1.0</v>
      </c>
      <c r="E54" s="56">
        <v>300000.0</v>
      </c>
      <c r="F54" s="12">
        <f t="shared" si="8"/>
        <v>300000</v>
      </c>
      <c r="G54" s="57" t="s">
        <v>92</v>
      </c>
      <c r="H54" s="6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8"/>
      <c r="AD54" s="8"/>
    </row>
    <row r="55">
      <c r="A55" s="53" t="s">
        <v>93</v>
      </c>
      <c r="B55" s="31" t="s">
        <v>77</v>
      </c>
      <c r="C55" s="10">
        <v>1.0</v>
      </c>
      <c r="D55" s="10">
        <v>1.0</v>
      </c>
      <c r="E55" s="56">
        <v>600000.0</v>
      </c>
      <c r="F55" s="12">
        <f t="shared" si="8"/>
        <v>600000</v>
      </c>
      <c r="G55" s="57" t="s">
        <v>94</v>
      </c>
      <c r="H55" s="6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8"/>
      <c r="AD55" s="8"/>
    </row>
    <row r="56">
      <c r="A56" s="43" t="s">
        <v>95</v>
      </c>
      <c r="B56" s="23"/>
      <c r="C56" s="10">
        <v>1.0</v>
      </c>
      <c r="D56" s="10">
        <v>1.0</v>
      </c>
      <c r="E56" s="24">
        <v>8000.0</v>
      </c>
      <c r="F56" s="12">
        <f t="shared" si="8"/>
        <v>8000</v>
      </c>
      <c r="G56" s="22" t="s">
        <v>96</v>
      </c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7"/>
      <c r="AD56" s="17"/>
    </row>
    <row r="57">
      <c r="A57" s="66"/>
      <c r="B57" s="67"/>
      <c r="C57" s="10"/>
      <c r="D57" s="10"/>
      <c r="E57" s="68"/>
      <c r="F57" s="69"/>
      <c r="G57" s="69"/>
      <c r="H57" s="6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8"/>
      <c r="AD57" s="8"/>
    </row>
    <row r="58">
      <c r="A58" s="70" t="s">
        <v>97</v>
      </c>
      <c r="B58" s="2" t="s">
        <v>1</v>
      </c>
      <c r="C58" s="3" t="s">
        <v>2</v>
      </c>
      <c r="D58" s="3" t="s">
        <v>3</v>
      </c>
      <c r="E58" s="4" t="s">
        <v>4</v>
      </c>
      <c r="F58" s="1" t="s">
        <v>5</v>
      </c>
      <c r="G58" s="35" t="s">
        <v>6</v>
      </c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7"/>
      <c r="AD58" s="17"/>
    </row>
    <row r="59">
      <c r="A59" s="9" t="s">
        <v>98</v>
      </c>
      <c r="B59" s="28"/>
      <c r="C59" s="10">
        <v>1.0</v>
      </c>
      <c r="D59" s="10">
        <v>1.0</v>
      </c>
      <c r="E59" s="11">
        <v>4850.0</v>
      </c>
      <c r="F59" s="12">
        <f t="shared" ref="F59:F72" si="9">C59*D59*E59</f>
        <v>4850</v>
      </c>
      <c r="G59" s="37" t="s">
        <v>99</v>
      </c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7"/>
      <c r="AD59" s="17"/>
    </row>
    <row r="60">
      <c r="A60" s="9" t="s">
        <v>100</v>
      </c>
      <c r="B60" s="28"/>
      <c r="C60" s="10">
        <v>1.0</v>
      </c>
      <c r="D60" s="10">
        <v>1.0</v>
      </c>
      <c r="E60" s="29">
        <f>4200/1.19</f>
        <v>3529.411765</v>
      </c>
      <c r="F60" s="12">
        <f t="shared" si="9"/>
        <v>3529.411765</v>
      </c>
      <c r="G60" s="37" t="s">
        <v>101</v>
      </c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7"/>
      <c r="AD60" s="17"/>
    </row>
    <row r="61">
      <c r="A61" s="9" t="s">
        <v>102</v>
      </c>
      <c r="B61" s="28"/>
      <c r="C61" s="10">
        <v>1.0</v>
      </c>
      <c r="D61" s="10">
        <v>1.0</v>
      </c>
      <c r="E61" s="29">
        <v>6800.0</v>
      </c>
      <c r="F61" s="12">
        <f t="shared" si="9"/>
        <v>6800</v>
      </c>
      <c r="G61" s="37" t="s">
        <v>103</v>
      </c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7"/>
      <c r="AD61" s="17"/>
    </row>
    <row r="62">
      <c r="A62" s="9" t="s">
        <v>104</v>
      </c>
      <c r="B62" s="28"/>
      <c r="C62" s="10">
        <v>1.0</v>
      </c>
      <c r="D62" s="10">
        <v>1.0</v>
      </c>
      <c r="E62" s="11">
        <f>28000*1.1</f>
        <v>30800</v>
      </c>
      <c r="F62" s="12">
        <f t="shared" si="9"/>
        <v>30800</v>
      </c>
      <c r="G62" s="37" t="s">
        <v>105</v>
      </c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7"/>
      <c r="AD62" s="17"/>
    </row>
    <row r="63">
      <c r="A63" s="9" t="s">
        <v>106</v>
      </c>
      <c r="B63" s="28"/>
      <c r="C63" s="10">
        <v>1.0</v>
      </c>
      <c r="D63" s="10">
        <v>1.0</v>
      </c>
      <c r="E63" s="29">
        <f>E62/4*1.3</f>
        <v>10010</v>
      </c>
      <c r="F63" s="12">
        <f t="shared" si="9"/>
        <v>10010</v>
      </c>
      <c r="G63" s="37" t="s">
        <v>107</v>
      </c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7"/>
      <c r="AD63" s="17"/>
    </row>
    <row r="64">
      <c r="A64" s="9" t="s">
        <v>108</v>
      </c>
      <c r="B64" s="28"/>
      <c r="C64" s="10">
        <v>1.0</v>
      </c>
      <c r="D64" s="10">
        <v>1.0</v>
      </c>
      <c r="E64" s="29">
        <v>32000.0</v>
      </c>
      <c r="F64" s="12">
        <f t="shared" si="9"/>
        <v>32000</v>
      </c>
      <c r="G64" s="37" t="s">
        <v>109</v>
      </c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7"/>
      <c r="AD64" s="17"/>
    </row>
    <row r="65">
      <c r="A65" s="9" t="s">
        <v>110</v>
      </c>
      <c r="B65" s="28"/>
      <c r="C65" s="10">
        <v>1.0</v>
      </c>
      <c r="D65" s="10">
        <v>1.0</v>
      </c>
      <c r="E65" s="29">
        <f>E64/4*1.3</f>
        <v>10400</v>
      </c>
      <c r="F65" s="12">
        <f t="shared" si="9"/>
        <v>10400</v>
      </c>
      <c r="G65" s="37" t="s">
        <v>107</v>
      </c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7"/>
      <c r="AD65" s="17"/>
    </row>
    <row r="66">
      <c r="A66" s="9" t="s">
        <v>111</v>
      </c>
      <c r="B66" s="28"/>
      <c r="C66" s="10">
        <v>1.0</v>
      </c>
      <c r="D66" s="10">
        <v>1.0</v>
      </c>
      <c r="E66" s="29">
        <v>38000.0</v>
      </c>
      <c r="F66" s="12">
        <f t="shared" si="9"/>
        <v>38000</v>
      </c>
      <c r="G66" s="37" t="s">
        <v>103</v>
      </c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7"/>
      <c r="AD66" s="17"/>
    </row>
    <row r="67">
      <c r="A67" s="9" t="s">
        <v>112</v>
      </c>
      <c r="B67" s="71"/>
      <c r="C67" s="10">
        <v>1.0</v>
      </c>
      <c r="D67" s="10">
        <v>1.0</v>
      </c>
      <c r="E67" s="29">
        <f>E66/4*1.3</f>
        <v>12350</v>
      </c>
      <c r="F67" s="12">
        <f t="shared" si="9"/>
        <v>12350</v>
      </c>
      <c r="G67" s="37" t="s">
        <v>107</v>
      </c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3"/>
      <c r="AD67" s="73"/>
    </row>
    <row r="68">
      <c r="A68" s="9" t="s">
        <v>113</v>
      </c>
      <c r="B68" s="71"/>
      <c r="C68" s="10">
        <v>1.0</v>
      </c>
      <c r="D68" s="10">
        <v>1.0</v>
      </c>
      <c r="E68" s="29">
        <v>12000.0</v>
      </c>
      <c r="F68" s="12">
        <f t="shared" si="9"/>
        <v>12000</v>
      </c>
      <c r="G68" s="37" t="s">
        <v>114</v>
      </c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3"/>
      <c r="AD68" s="73"/>
    </row>
    <row r="69">
      <c r="A69" s="9" t="s">
        <v>115</v>
      </c>
      <c r="B69" s="71"/>
      <c r="C69" s="10">
        <v>1.0</v>
      </c>
      <c r="D69" s="10">
        <v>1.0</v>
      </c>
      <c r="E69" s="29">
        <v>20000.0</v>
      </c>
      <c r="F69" s="12">
        <f t="shared" si="9"/>
        <v>20000</v>
      </c>
      <c r="G69" s="37" t="s">
        <v>114</v>
      </c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7"/>
      <c r="AD69" s="17"/>
    </row>
    <row r="70">
      <c r="A70" s="9" t="s">
        <v>116</v>
      </c>
      <c r="B70" s="28"/>
      <c r="C70" s="10">
        <v>1.0</v>
      </c>
      <c r="D70" s="10">
        <v>1.0</v>
      </c>
      <c r="E70" s="29">
        <v>1933.0</v>
      </c>
      <c r="F70" s="12">
        <f t="shared" si="9"/>
        <v>1933</v>
      </c>
      <c r="G70" s="37" t="s">
        <v>117</v>
      </c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7"/>
      <c r="AD70" s="17"/>
    </row>
    <row r="71">
      <c r="A71" s="9" t="s">
        <v>118</v>
      </c>
      <c r="B71" s="28"/>
      <c r="C71" s="10">
        <v>1.0</v>
      </c>
      <c r="D71" s="10">
        <v>1.0</v>
      </c>
      <c r="E71" s="29">
        <v>1933.0</v>
      </c>
      <c r="F71" s="12">
        <f t="shared" si="9"/>
        <v>1933</v>
      </c>
      <c r="G71" s="37" t="s">
        <v>119</v>
      </c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7"/>
      <c r="AD71" s="17"/>
    </row>
    <row r="72">
      <c r="A72" s="74" t="s">
        <v>120</v>
      </c>
      <c r="B72" s="75"/>
      <c r="C72" s="10">
        <v>1.0</v>
      </c>
      <c r="D72" s="10">
        <v>1.0</v>
      </c>
      <c r="E72" s="75">
        <f>220000</f>
        <v>220000</v>
      </c>
      <c r="F72" s="12">
        <f t="shared" si="9"/>
        <v>220000</v>
      </c>
      <c r="G72" s="22" t="s">
        <v>121</v>
      </c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7"/>
      <c r="AD72" s="17"/>
    </row>
    <row r="73">
      <c r="A73" s="74" t="s">
        <v>122</v>
      </c>
      <c r="B73" s="23"/>
      <c r="C73" s="10">
        <v>1.0</v>
      </c>
      <c r="D73" s="10">
        <v>1.0</v>
      </c>
      <c r="E73" s="23" t="s">
        <v>123</v>
      </c>
      <c r="F73" s="12"/>
      <c r="G73" s="22" t="s">
        <v>124</v>
      </c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7"/>
      <c r="AD73" s="17"/>
    </row>
    <row r="74">
      <c r="A74" s="43" t="s">
        <v>125</v>
      </c>
      <c r="B74" s="67"/>
      <c r="C74" s="10">
        <v>1.0</v>
      </c>
      <c r="D74" s="10">
        <v>1.0</v>
      </c>
      <c r="E74" s="68">
        <f>15500/1.19</f>
        <v>13025.21008</v>
      </c>
      <c r="F74" s="12">
        <f t="shared" ref="F74:F76" si="10">C74*D74*E74</f>
        <v>13025.21008</v>
      </c>
      <c r="G74" s="57" t="s">
        <v>126</v>
      </c>
      <c r="H74" s="6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8"/>
      <c r="AD74" s="8"/>
    </row>
    <row r="75">
      <c r="A75" s="76" t="s">
        <v>127</v>
      </c>
      <c r="B75" s="67"/>
      <c r="C75" s="10">
        <v>1.0</v>
      </c>
      <c r="D75" s="10">
        <v>1.0</v>
      </c>
      <c r="E75" s="68">
        <f>16000/1.19</f>
        <v>13445.37815</v>
      </c>
      <c r="F75" s="12">
        <f t="shared" si="10"/>
        <v>13445.37815</v>
      </c>
      <c r="G75" s="57" t="s">
        <v>126</v>
      </c>
      <c r="H75" s="6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8"/>
      <c r="AD75" s="8"/>
    </row>
    <row r="76">
      <c r="A76" s="76" t="s">
        <v>128</v>
      </c>
      <c r="B76" s="67"/>
      <c r="C76" s="10">
        <v>1.0</v>
      </c>
      <c r="D76" s="10">
        <v>1.0</v>
      </c>
      <c r="E76" s="56">
        <f>24000/1.19</f>
        <v>20168.06723</v>
      </c>
      <c r="F76" s="12">
        <f t="shared" si="10"/>
        <v>20168.06723</v>
      </c>
      <c r="G76" s="57" t="s">
        <v>126</v>
      </c>
      <c r="H76" s="6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8"/>
      <c r="AD76" s="8"/>
    </row>
    <row r="77">
      <c r="A77" s="66"/>
      <c r="B77" s="67"/>
      <c r="C77" s="10"/>
      <c r="D77" s="10"/>
      <c r="E77" s="68"/>
      <c r="F77" s="69"/>
      <c r="G77" s="69"/>
      <c r="H77" s="6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8"/>
      <c r="AD77" s="8"/>
    </row>
    <row r="78">
      <c r="A78" s="66"/>
      <c r="B78" s="67"/>
      <c r="C78" s="10"/>
      <c r="D78" s="10"/>
      <c r="E78" s="68"/>
      <c r="F78" s="69"/>
      <c r="G78" s="69"/>
      <c r="H78" s="6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8"/>
      <c r="AD78" s="8"/>
    </row>
    <row r="79">
      <c r="A79" s="77" t="s">
        <v>129</v>
      </c>
      <c r="B79" s="2" t="s">
        <v>1</v>
      </c>
      <c r="C79" s="3" t="s">
        <v>2</v>
      </c>
      <c r="D79" s="3" t="s">
        <v>3</v>
      </c>
      <c r="E79" s="4" t="s">
        <v>4</v>
      </c>
      <c r="F79" s="35"/>
      <c r="G79" s="35" t="s">
        <v>6</v>
      </c>
      <c r="H79" s="6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8"/>
      <c r="AD79" s="8"/>
    </row>
    <row r="80">
      <c r="A80" s="21" t="s">
        <v>130</v>
      </c>
      <c r="B80" s="24" t="s">
        <v>131</v>
      </c>
      <c r="C80" s="10">
        <v>1.0</v>
      </c>
      <c r="D80" s="10">
        <v>1.0</v>
      </c>
      <c r="E80" s="68">
        <v>6500.0</v>
      </c>
      <c r="F80" s="12">
        <f t="shared" ref="F80:F84" si="11">C80*D80*E80</f>
        <v>6500</v>
      </c>
      <c r="G80" s="13" t="s">
        <v>132</v>
      </c>
      <c r="H80" s="6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8"/>
      <c r="AD80" s="8"/>
    </row>
    <row r="81">
      <c r="A81" s="21" t="s">
        <v>133</v>
      </c>
      <c r="B81" s="24" t="s">
        <v>134</v>
      </c>
      <c r="C81" s="10">
        <v>1.0</v>
      </c>
      <c r="D81" s="10">
        <v>1.0</v>
      </c>
      <c r="E81" s="68">
        <v>4000.0</v>
      </c>
      <c r="F81" s="12">
        <f t="shared" si="11"/>
        <v>4000</v>
      </c>
      <c r="G81" s="13" t="s">
        <v>135</v>
      </c>
      <c r="H81" s="6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8"/>
      <c r="AD81" s="8"/>
    </row>
    <row r="82">
      <c r="A82" s="21" t="s">
        <v>136</v>
      </c>
      <c r="B82" s="24" t="s">
        <v>137</v>
      </c>
      <c r="C82" s="10">
        <v>1.0</v>
      </c>
      <c r="D82" s="10">
        <v>1.0</v>
      </c>
      <c r="E82" s="68">
        <v>6500.0</v>
      </c>
      <c r="F82" s="12">
        <f t="shared" si="11"/>
        <v>6500</v>
      </c>
      <c r="G82" s="13" t="s">
        <v>138</v>
      </c>
      <c r="H82" s="6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8"/>
      <c r="AD82" s="8"/>
    </row>
    <row r="83">
      <c r="A83" s="21" t="s">
        <v>139</v>
      </c>
      <c r="B83" s="24" t="s">
        <v>140</v>
      </c>
      <c r="C83" s="10">
        <v>1.0</v>
      </c>
      <c r="D83" s="10">
        <v>1.0</v>
      </c>
      <c r="E83" s="68">
        <v>8000.0</v>
      </c>
      <c r="F83" s="12">
        <f t="shared" si="11"/>
        <v>8000</v>
      </c>
      <c r="G83" s="13" t="s">
        <v>141</v>
      </c>
      <c r="H83" s="6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8"/>
      <c r="AD83" s="8"/>
    </row>
    <row r="84">
      <c r="A84" s="78" t="s">
        <v>142</v>
      </c>
      <c r="B84" s="79"/>
      <c r="C84" s="27">
        <v>1.0</v>
      </c>
      <c r="D84" s="27">
        <v>1.0</v>
      </c>
      <c r="E84" s="68">
        <v>10000.0</v>
      </c>
      <c r="F84" s="19">
        <f t="shared" si="11"/>
        <v>10000</v>
      </c>
      <c r="G84" s="22" t="s">
        <v>143</v>
      </c>
      <c r="H84" s="15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7"/>
      <c r="AD84" s="17"/>
    </row>
    <row r="85">
      <c r="A85" s="80"/>
      <c r="B85" s="81"/>
      <c r="C85" s="10"/>
      <c r="D85" s="10"/>
      <c r="E85" s="81"/>
      <c r="F85" s="82"/>
      <c r="G85" s="82"/>
      <c r="H85" s="6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8"/>
      <c r="AD85" s="8"/>
    </row>
    <row r="86">
      <c r="A86" s="77" t="s">
        <v>144</v>
      </c>
      <c r="B86" s="2" t="s">
        <v>1</v>
      </c>
      <c r="C86" s="3" t="s">
        <v>2</v>
      </c>
      <c r="D86" s="3" t="s">
        <v>3</v>
      </c>
      <c r="E86" s="4" t="s">
        <v>4</v>
      </c>
      <c r="F86" s="1" t="s">
        <v>5</v>
      </c>
      <c r="G86" s="35" t="s">
        <v>6</v>
      </c>
      <c r="H86" s="18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7"/>
      <c r="AD86" s="17"/>
    </row>
    <row r="87">
      <c r="A87" s="36" t="s">
        <v>145</v>
      </c>
      <c r="B87" s="9" t="s">
        <v>146</v>
      </c>
      <c r="C87" s="10">
        <v>1.0</v>
      </c>
      <c r="D87" s="10">
        <v>1.0</v>
      </c>
      <c r="E87" s="11">
        <f>12500</f>
        <v>12500</v>
      </c>
      <c r="F87" s="12">
        <f t="shared" ref="F87:F96" si="12">C87*D87*E87</f>
        <v>12500</v>
      </c>
      <c r="G87" s="37" t="s">
        <v>147</v>
      </c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7"/>
      <c r="AD87" s="17"/>
    </row>
    <row r="88">
      <c r="A88" s="9" t="s">
        <v>148</v>
      </c>
      <c r="B88" s="9" t="s">
        <v>146</v>
      </c>
      <c r="C88" s="10">
        <v>1.0</v>
      </c>
      <c r="D88" s="10">
        <v>1.0</v>
      </c>
      <c r="E88" s="29">
        <v>0.0</v>
      </c>
      <c r="F88" s="12">
        <f t="shared" si="12"/>
        <v>0</v>
      </c>
      <c r="G88" s="37" t="s">
        <v>147</v>
      </c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7"/>
      <c r="AD88" s="17"/>
    </row>
    <row r="89">
      <c r="A89" s="9" t="s">
        <v>149</v>
      </c>
      <c r="B89" s="83" t="s">
        <v>150</v>
      </c>
      <c r="C89" s="10">
        <v>1.0</v>
      </c>
      <c r="D89" s="10">
        <v>1.0</v>
      </c>
      <c r="E89" s="11">
        <f t="shared" ref="E89:E90" si="13">32500/1.19</f>
        <v>27310.92437</v>
      </c>
      <c r="F89" s="12">
        <f t="shared" si="12"/>
        <v>27310.92437</v>
      </c>
      <c r="G89" s="84" t="s">
        <v>151</v>
      </c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7"/>
      <c r="AD89" s="17"/>
    </row>
    <row r="90">
      <c r="A90" s="9" t="s">
        <v>152</v>
      </c>
      <c r="B90" s="83" t="s">
        <v>153</v>
      </c>
      <c r="C90" s="10">
        <v>1.0</v>
      </c>
      <c r="D90" s="10">
        <v>1.0</v>
      </c>
      <c r="E90" s="11">
        <f t="shared" si="13"/>
        <v>27310.92437</v>
      </c>
      <c r="F90" s="12">
        <f t="shared" si="12"/>
        <v>27310.92437</v>
      </c>
      <c r="G90" s="37" t="s">
        <v>154</v>
      </c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7"/>
      <c r="AD90" s="17"/>
    </row>
    <row r="91">
      <c r="A91" s="36" t="s">
        <v>155</v>
      </c>
      <c r="B91" s="83" t="s">
        <v>150</v>
      </c>
      <c r="C91" s="10">
        <v>1.0</v>
      </c>
      <c r="D91" s="10">
        <v>1.0</v>
      </c>
      <c r="E91" s="11">
        <v>35000.0</v>
      </c>
      <c r="F91" s="12">
        <f t="shared" si="12"/>
        <v>35000</v>
      </c>
      <c r="G91" s="37" t="s">
        <v>156</v>
      </c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7"/>
      <c r="AD91" s="17"/>
    </row>
    <row r="92">
      <c r="A92" s="36" t="s">
        <v>157</v>
      </c>
      <c r="B92" s="83" t="s">
        <v>150</v>
      </c>
      <c r="C92" s="10">
        <v>1.0</v>
      </c>
      <c r="D92" s="10">
        <v>1.0</v>
      </c>
      <c r="E92" s="11">
        <v>45000.0</v>
      </c>
      <c r="F92" s="12">
        <f t="shared" si="12"/>
        <v>45000</v>
      </c>
      <c r="G92" s="22" t="s">
        <v>156</v>
      </c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7"/>
      <c r="AD92" s="17"/>
    </row>
    <row r="93">
      <c r="A93" s="36" t="s">
        <v>158</v>
      </c>
      <c r="B93" s="9" t="s">
        <v>159</v>
      </c>
      <c r="C93" s="10">
        <v>1.0</v>
      </c>
      <c r="D93" s="10">
        <v>1.0</v>
      </c>
      <c r="E93" s="11">
        <v>35000.0</v>
      </c>
      <c r="F93" s="12">
        <f t="shared" si="12"/>
        <v>35000</v>
      </c>
      <c r="G93" s="22" t="s">
        <v>160</v>
      </c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7"/>
      <c r="AD93" s="17"/>
    </row>
    <row r="94">
      <c r="A94" s="36" t="s">
        <v>161</v>
      </c>
      <c r="B94" s="9" t="s">
        <v>159</v>
      </c>
      <c r="C94" s="10">
        <v>1.0</v>
      </c>
      <c r="D94" s="10">
        <v>1.0</v>
      </c>
      <c r="E94" s="11">
        <v>45000.0</v>
      </c>
      <c r="F94" s="12">
        <f t="shared" si="12"/>
        <v>45000</v>
      </c>
      <c r="G94" s="85" t="s">
        <v>162</v>
      </c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7"/>
      <c r="AD94" s="17"/>
    </row>
    <row r="95">
      <c r="A95" s="36" t="s">
        <v>163</v>
      </c>
      <c r="B95" s="83" t="s">
        <v>164</v>
      </c>
      <c r="C95" s="10">
        <v>1.0</v>
      </c>
      <c r="D95" s="10">
        <v>1.0</v>
      </c>
      <c r="E95" s="11">
        <v>9800.0</v>
      </c>
      <c r="F95" s="12">
        <f t="shared" si="12"/>
        <v>9800</v>
      </c>
      <c r="G95" s="37" t="s">
        <v>165</v>
      </c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7"/>
      <c r="AD95" s="17"/>
    </row>
    <row r="96">
      <c r="A96" s="21" t="s">
        <v>166</v>
      </c>
      <c r="B96" s="23"/>
      <c r="C96" s="10">
        <v>1.0</v>
      </c>
      <c r="D96" s="10">
        <v>1.0</v>
      </c>
      <c r="E96" s="23">
        <v>12000.0</v>
      </c>
      <c r="F96" s="12">
        <f t="shared" si="12"/>
        <v>12000</v>
      </c>
      <c r="G96" s="37" t="s">
        <v>167</v>
      </c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7"/>
      <c r="AD96" s="17"/>
    </row>
    <row r="97">
      <c r="A97" s="9" t="s">
        <v>168</v>
      </c>
      <c r="B97" s="28"/>
      <c r="C97" s="10">
        <v>1.0</v>
      </c>
      <c r="D97" s="10">
        <v>1.0</v>
      </c>
      <c r="E97" s="29" t="s">
        <v>169</v>
      </c>
      <c r="F97" s="12">
        <f>400000+C97*D97*24000</f>
        <v>424000</v>
      </c>
      <c r="G97" s="37" t="s">
        <v>170</v>
      </c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7"/>
      <c r="AD97" s="17"/>
    </row>
    <row r="98">
      <c r="A98" s="13"/>
      <c r="B98" s="86"/>
      <c r="C98" s="27"/>
      <c r="D98" s="27"/>
      <c r="E98" s="29"/>
      <c r="F98" s="12"/>
      <c r="G98" s="37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7"/>
      <c r="AD98" s="17"/>
    </row>
    <row r="99">
      <c r="A99" s="13" t="s">
        <v>171</v>
      </c>
      <c r="B99" s="86"/>
      <c r="C99" s="27">
        <v>1.0</v>
      </c>
      <c r="D99" s="27">
        <v>1.0</v>
      </c>
      <c r="E99" s="20" t="s">
        <v>172</v>
      </c>
      <c r="F99" s="19"/>
      <c r="G99" s="22" t="s">
        <v>173</v>
      </c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7"/>
      <c r="AD99" s="17"/>
    </row>
    <row r="100">
      <c r="A100" s="13" t="s">
        <v>174</v>
      </c>
      <c r="B100" s="86"/>
      <c r="C100" s="27">
        <v>1.0</v>
      </c>
      <c r="D100" s="27">
        <v>1.0</v>
      </c>
      <c r="E100" s="20" t="s">
        <v>172</v>
      </c>
      <c r="F100" s="19"/>
      <c r="G100" s="22" t="s">
        <v>175</v>
      </c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7"/>
      <c r="AD100" s="17"/>
    </row>
    <row r="101">
      <c r="A101" s="42" t="s">
        <v>176</v>
      </c>
      <c r="B101" s="23"/>
      <c r="C101" s="10">
        <v>1.0</v>
      </c>
      <c r="D101" s="10">
        <v>1.0</v>
      </c>
      <c r="E101" s="24">
        <v>30000.0</v>
      </c>
      <c r="F101" s="12">
        <f t="shared" ref="F101:F104" si="14">C101*D101*E101</f>
        <v>30000</v>
      </c>
      <c r="G101" s="37" t="s">
        <v>177</v>
      </c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7"/>
      <c r="AD101" s="17"/>
    </row>
    <row r="102">
      <c r="A102" s="42" t="s">
        <v>178</v>
      </c>
      <c r="B102" s="23"/>
      <c r="C102" s="10">
        <v>1.0</v>
      </c>
      <c r="D102" s="10">
        <v>1.0</v>
      </c>
      <c r="E102" s="24">
        <v>30000.0</v>
      </c>
      <c r="F102" s="12">
        <f t="shared" si="14"/>
        <v>30000</v>
      </c>
      <c r="G102" s="37" t="s">
        <v>179</v>
      </c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7"/>
      <c r="AD102" s="17"/>
    </row>
    <row r="103">
      <c r="A103" s="42" t="s">
        <v>180</v>
      </c>
      <c r="B103" s="23"/>
      <c r="C103" s="10">
        <v>1.0</v>
      </c>
      <c r="D103" s="10">
        <v>1.0</v>
      </c>
      <c r="E103" s="24">
        <v>30000.0</v>
      </c>
      <c r="F103" s="12">
        <f t="shared" si="14"/>
        <v>30000</v>
      </c>
      <c r="G103" s="37" t="s">
        <v>181</v>
      </c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7"/>
      <c r="AD103" s="17"/>
    </row>
    <row r="104">
      <c r="A104" s="42" t="s">
        <v>182</v>
      </c>
      <c r="B104" s="23"/>
      <c r="C104" s="10">
        <v>1.0</v>
      </c>
      <c r="D104" s="10">
        <v>1.0</v>
      </c>
      <c r="E104" s="24">
        <v>60000.0</v>
      </c>
      <c r="F104" s="12">
        <f t="shared" si="14"/>
        <v>60000</v>
      </c>
      <c r="G104" s="37" t="s">
        <v>183</v>
      </c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7"/>
      <c r="AD104" s="17"/>
    </row>
    <row r="105">
      <c r="A105" s="13" t="s">
        <v>184</v>
      </c>
      <c r="B105" s="86"/>
      <c r="C105" s="27"/>
      <c r="D105" s="27"/>
      <c r="E105" s="14">
        <v>60000.0</v>
      </c>
      <c r="F105" s="19">
        <v>60000.0</v>
      </c>
      <c r="G105" s="22" t="s">
        <v>185</v>
      </c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7"/>
      <c r="AD105" s="17"/>
    </row>
    <row r="106">
      <c r="A106" s="38" t="s">
        <v>186</v>
      </c>
      <c r="B106" s="86"/>
      <c r="C106" s="27">
        <v>1.0</v>
      </c>
      <c r="D106" s="27">
        <v>1.0</v>
      </c>
      <c r="E106" s="20">
        <f>12000*1.1</f>
        <v>13200</v>
      </c>
      <c r="F106" s="19">
        <f t="shared" ref="F106:F110" si="15">C106*D106*E106</f>
        <v>13200</v>
      </c>
      <c r="G106" s="22" t="s">
        <v>187</v>
      </c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7"/>
      <c r="AD106" s="17"/>
    </row>
    <row r="107">
      <c r="A107" s="13" t="s">
        <v>188</v>
      </c>
      <c r="B107" s="86"/>
      <c r="C107" s="87">
        <v>1.0</v>
      </c>
      <c r="D107" s="87">
        <v>1.0</v>
      </c>
      <c r="E107" s="20">
        <f>15000</f>
        <v>15000</v>
      </c>
      <c r="F107" s="88">
        <f t="shared" si="15"/>
        <v>15000</v>
      </c>
      <c r="G107" s="22" t="s">
        <v>189</v>
      </c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7"/>
      <c r="AD107" s="17"/>
    </row>
    <row r="108">
      <c r="A108" s="21" t="s">
        <v>190</v>
      </c>
      <c r="B108" s="23"/>
      <c r="C108" s="10">
        <v>1.0</v>
      </c>
      <c r="D108" s="10">
        <v>1.0</v>
      </c>
      <c r="E108" s="89">
        <v>380000.0</v>
      </c>
      <c r="F108" s="12">
        <f t="shared" si="15"/>
        <v>380000</v>
      </c>
      <c r="G108" s="22" t="s">
        <v>191</v>
      </c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7"/>
      <c r="AD108" s="17"/>
    </row>
    <row r="109">
      <c r="A109" s="21" t="s">
        <v>192</v>
      </c>
      <c r="B109" s="23"/>
      <c r="C109" s="10">
        <v>1.0</v>
      </c>
      <c r="D109" s="10">
        <v>1.0</v>
      </c>
      <c r="E109" s="89">
        <v>380000.0</v>
      </c>
      <c r="F109" s="12">
        <f t="shared" si="15"/>
        <v>380000</v>
      </c>
      <c r="G109" s="22" t="s">
        <v>193</v>
      </c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7"/>
      <c r="AD109" s="17"/>
    </row>
    <row r="110">
      <c r="A110" s="42" t="s">
        <v>194</v>
      </c>
      <c r="B110" s="75"/>
      <c r="C110" s="10">
        <v>1.0</v>
      </c>
      <c r="D110" s="10">
        <v>1.0</v>
      </c>
      <c r="E110" s="89">
        <v>1000.0</v>
      </c>
      <c r="F110" s="12">
        <f t="shared" si="15"/>
        <v>1000</v>
      </c>
      <c r="G110" s="22" t="s">
        <v>195</v>
      </c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7"/>
      <c r="AD110" s="17"/>
    </row>
    <row r="111">
      <c r="A111" s="42" t="s">
        <v>196</v>
      </c>
      <c r="B111" s="23"/>
      <c r="C111" s="10">
        <v>1.0</v>
      </c>
      <c r="D111" s="10">
        <v>1.0</v>
      </c>
      <c r="E111" s="75" t="s">
        <v>197</v>
      </c>
      <c r="F111" s="12"/>
      <c r="G111" s="38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7"/>
      <c r="AD111" s="17"/>
    </row>
    <row r="112">
      <c r="A112" s="21" t="s">
        <v>198</v>
      </c>
      <c r="B112" s="75"/>
      <c r="C112" s="10">
        <v>1.0</v>
      </c>
      <c r="D112" s="10">
        <v>1.0</v>
      </c>
      <c r="E112" s="75">
        <v>6000.0</v>
      </c>
      <c r="F112" s="12">
        <f t="shared" ref="F112:F118" si="16">C112*D112*E112</f>
        <v>6000</v>
      </c>
      <c r="G112" s="90" t="s">
        <v>199</v>
      </c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7"/>
      <c r="AD112" s="17"/>
    </row>
    <row r="113">
      <c r="A113" s="42" t="s">
        <v>200</v>
      </c>
      <c r="B113" s="23"/>
      <c r="C113" s="10">
        <v>1.0</v>
      </c>
      <c r="D113" s="10">
        <v>1.0</v>
      </c>
      <c r="E113" s="75">
        <v>1500.0</v>
      </c>
      <c r="F113" s="12">
        <f t="shared" si="16"/>
        <v>1500</v>
      </c>
      <c r="G113" s="38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7"/>
      <c r="AD113" s="17"/>
    </row>
    <row r="114">
      <c r="A114" s="42" t="s">
        <v>201</v>
      </c>
      <c r="B114" s="23"/>
      <c r="C114" s="10">
        <v>1.0</v>
      </c>
      <c r="D114" s="10">
        <v>1.0</v>
      </c>
      <c r="E114" s="89">
        <v>1500.0</v>
      </c>
      <c r="F114" s="12">
        <f t="shared" si="16"/>
        <v>1500</v>
      </c>
      <c r="G114" s="38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7"/>
      <c r="AD114" s="17"/>
    </row>
    <row r="115">
      <c r="A115" s="91" t="s">
        <v>202</v>
      </c>
      <c r="B115" s="23"/>
      <c r="C115" s="10">
        <v>1.0</v>
      </c>
      <c r="D115" s="10">
        <v>1.0</v>
      </c>
      <c r="E115" s="89">
        <v>53000.0</v>
      </c>
      <c r="F115" s="12">
        <f t="shared" si="16"/>
        <v>53000</v>
      </c>
      <c r="G115" s="13" t="s">
        <v>203</v>
      </c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8"/>
      <c r="AD115" s="8"/>
    </row>
    <row r="116">
      <c r="A116" s="91" t="s">
        <v>204</v>
      </c>
      <c r="B116" s="23"/>
      <c r="C116" s="10">
        <v>1.0</v>
      </c>
      <c r="D116" s="10">
        <v>1.0</v>
      </c>
      <c r="E116" s="89">
        <v>53000.0</v>
      </c>
      <c r="F116" s="12">
        <f t="shared" si="16"/>
        <v>53000</v>
      </c>
      <c r="G116" s="38" t="s">
        <v>205</v>
      </c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8"/>
      <c r="AD116" s="8"/>
    </row>
    <row r="117">
      <c r="A117" s="91" t="s">
        <v>206</v>
      </c>
      <c r="B117" s="23"/>
      <c r="C117" s="10">
        <v>1.0</v>
      </c>
      <c r="D117" s="10">
        <v>1.0</v>
      </c>
      <c r="E117" s="89">
        <v>53000.0</v>
      </c>
      <c r="F117" s="12">
        <f t="shared" si="16"/>
        <v>53000</v>
      </c>
      <c r="G117" s="13" t="s">
        <v>207</v>
      </c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8"/>
      <c r="AD117" s="8"/>
    </row>
    <row r="118">
      <c r="A118" s="92" t="s">
        <v>208</v>
      </c>
      <c r="B118" s="23"/>
      <c r="C118" s="10">
        <v>1.0</v>
      </c>
      <c r="D118" s="10">
        <v>1.0</v>
      </c>
      <c r="E118" s="89">
        <v>53000.0</v>
      </c>
      <c r="F118" s="12">
        <f t="shared" si="16"/>
        <v>53000</v>
      </c>
      <c r="G118" s="38" t="s">
        <v>209</v>
      </c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8"/>
      <c r="AD118" s="8"/>
    </row>
    <row r="119">
      <c r="A119" s="80" t="s">
        <v>210</v>
      </c>
      <c r="B119" s="75"/>
      <c r="C119" s="10"/>
      <c r="D119" s="10"/>
      <c r="E119" s="75"/>
      <c r="F119" s="85"/>
      <c r="G119" s="85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8"/>
      <c r="AD119" s="8"/>
    </row>
    <row r="120">
      <c r="A120" s="93" t="s">
        <v>211</v>
      </c>
      <c r="B120" s="75"/>
      <c r="C120" s="10">
        <v>1.0</v>
      </c>
      <c r="D120" s="10">
        <v>1.0</v>
      </c>
      <c r="E120" s="89">
        <v>7983.0</v>
      </c>
      <c r="F120" s="12">
        <f t="shared" ref="F120:F122" si="17">C120*D120*E120</f>
        <v>7983</v>
      </c>
      <c r="G120" s="37" t="s">
        <v>212</v>
      </c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8"/>
      <c r="AD120" s="8"/>
    </row>
    <row r="121">
      <c r="A121" s="93" t="s">
        <v>213</v>
      </c>
      <c r="B121" s="75"/>
      <c r="C121" s="10">
        <v>1.0</v>
      </c>
      <c r="D121" s="10">
        <v>1.0</v>
      </c>
      <c r="E121" s="89">
        <v>7983.0</v>
      </c>
      <c r="F121" s="12">
        <f t="shared" si="17"/>
        <v>7983</v>
      </c>
      <c r="G121" s="37" t="s">
        <v>212</v>
      </c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8"/>
      <c r="AD121" s="8"/>
    </row>
    <row r="122">
      <c r="A122" s="93" t="s">
        <v>214</v>
      </c>
      <c r="B122" s="75"/>
      <c r="C122" s="10">
        <v>1.0</v>
      </c>
      <c r="D122" s="10">
        <v>1.0</v>
      </c>
      <c r="E122" s="89">
        <v>7983.0</v>
      </c>
      <c r="F122" s="12">
        <f t="shared" si="17"/>
        <v>7983</v>
      </c>
      <c r="G122" s="37" t="s">
        <v>212</v>
      </c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8"/>
      <c r="AD122" s="8"/>
    </row>
    <row r="123">
      <c r="A123" s="80"/>
      <c r="B123" s="75"/>
      <c r="C123" s="10"/>
      <c r="D123" s="10"/>
      <c r="E123" s="75"/>
      <c r="F123" s="85"/>
      <c r="G123" s="85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8"/>
      <c r="AD123" s="8"/>
    </row>
    <row r="124">
      <c r="A124" s="80"/>
      <c r="B124" s="75"/>
      <c r="C124" s="10"/>
      <c r="D124" s="10"/>
      <c r="E124" s="75"/>
      <c r="F124" s="85"/>
      <c r="G124" s="85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8"/>
      <c r="AD124" s="8"/>
    </row>
    <row r="125">
      <c r="A125" s="94" t="s">
        <v>215</v>
      </c>
      <c r="B125" s="2" t="s">
        <v>1</v>
      </c>
      <c r="C125" s="3" t="s">
        <v>2</v>
      </c>
      <c r="D125" s="3" t="s">
        <v>3</v>
      </c>
      <c r="E125" s="4" t="s">
        <v>4</v>
      </c>
      <c r="F125" s="1" t="s">
        <v>5</v>
      </c>
      <c r="G125" s="35" t="s">
        <v>6</v>
      </c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7"/>
      <c r="AD125" s="17"/>
    </row>
    <row r="126">
      <c r="A126" s="21" t="s">
        <v>216</v>
      </c>
      <c r="B126" s="23"/>
      <c r="C126" s="10">
        <v>1.0</v>
      </c>
      <c r="D126" s="10">
        <v>1.0</v>
      </c>
      <c r="E126" s="23">
        <v>300000.0</v>
      </c>
      <c r="F126" s="12">
        <f t="shared" ref="F126:F130" si="18">C126*D126*E126</f>
        <v>300000</v>
      </c>
      <c r="G126" s="22" t="s">
        <v>217</v>
      </c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7"/>
      <c r="AD126" s="17"/>
    </row>
    <row r="127">
      <c r="A127" s="36" t="s">
        <v>218</v>
      </c>
      <c r="B127" s="28" t="s">
        <v>36</v>
      </c>
      <c r="C127" s="10">
        <v>1.0</v>
      </c>
      <c r="D127" s="10">
        <v>1.0</v>
      </c>
      <c r="E127" s="11">
        <v>25210.0</v>
      </c>
      <c r="F127" s="12">
        <f t="shared" si="18"/>
        <v>25210</v>
      </c>
      <c r="G127" s="37" t="s">
        <v>219</v>
      </c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7"/>
      <c r="AD127" s="17"/>
    </row>
    <row r="128">
      <c r="A128" s="9" t="s">
        <v>220</v>
      </c>
      <c r="B128" s="28"/>
      <c r="C128" s="10">
        <v>1.0</v>
      </c>
      <c r="D128" s="10">
        <v>1.0</v>
      </c>
      <c r="E128" s="11">
        <v>3782.0</v>
      </c>
      <c r="F128" s="12">
        <f t="shared" si="18"/>
        <v>3782</v>
      </c>
      <c r="G128" s="85" t="s">
        <v>221</v>
      </c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8"/>
      <c r="AD128" s="8"/>
    </row>
    <row r="129">
      <c r="A129" s="9" t="s">
        <v>222</v>
      </c>
      <c r="B129" s="28"/>
      <c r="C129" s="10">
        <v>1.0</v>
      </c>
      <c r="D129" s="10">
        <v>1.0</v>
      </c>
      <c r="E129" s="11">
        <v>2101.0</v>
      </c>
      <c r="F129" s="12">
        <f t="shared" si="18"/>
        <v>2101</v>
      </c>
      <c r="G129" s="85" t="s">
        <v>223</v>
      </c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8"/>
      <c r="AD129" s="8"/>
    </row>
    <row r="130">
      <c r="A130" s="9" t="s">
        <v>224</v>
      </c>
      <c r="B130" s="9" t="s">
        <v>225</v>
      </c>
      <c r="C130" s="10">
        <v>1.0</v>
      </c>
      <c r="D130" s="10">
        <v>1.0</v>
      </c>
      <c r="E130" s="29">
        <v>150000.0</v>
      </c>
      <c r="F130" s="12">
        <f t="shared" si="18"/>
        <v>150000</v>
      </c>
      <c r="G130" s="9" t="s">
        <v>226</v>
      </c>
      <c r="H130" s="95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  <c r="AA130" s="96"/>
      <c r="AB130" s="7"/>
      <c r="AC130" s="8"/>
      <c r="AD130" s="8"/>
    </row>
    <row r="131">
      <c r="A131" s="97"/>
      <c r="B131" s="71"/>
      <c r="C131" s="10"/>
      <c r="D131" s="10"/>
      <c r="E131" s="98"/>
      <c r="F131" s="99"/>
      <c r="G131" s="99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3"/>
      <c r="AD131" s="73"/>
    </row>
    <row r="132">
      <c r="A132" s="100" t="s">
        <v>227</v>
      </c>
      <c r="B132" s="2" t="s">
        <v>1</v>
      </c>
      <c r="C132" s="3" t="s">
        <v>2</v>
      </c>
      <c r="D132" s="3" t="s">
        <v>3</v>
      </c>
      <c r="E132" s="4" t="s">
        <v>4</v>
      </c>
      <c r="F132" s="1" t="s">
        <v>5</v>
      </c>
      <c r="G132" s="35" t="s">
        <v>6</v>
      </c>
      <c r="H132" s="101"/>
      <c r="I132" s="101"/>
      <c r="J132" s="101"/>
      <c r="K132" s="101"/>
      <c r="L132" s="101"/>
      <c r="M132" s="101"/>
      <c r="N132" s="101"/>
      <c r="O132" s="101"/>
      <c r="P132" s="101"/>
      <c r="Q132" s="101"/>
      <c r="R132" s="101"/>
      <c r="S132" s="101"/>
      <c r="T132" s="101"/>
      <c r="U132" s="101"/>
      <c r="V132" s="101"/>
      <c r="W132" s="101"/>
      <c r="X132" s="101"/>
      <c r="Y132" s="101"/>
      <c r="Z132" s="101"/>
      <c r="AA132" s="101"/>
      <c r="AB132" s="101"/>
      <c r="AC132" s="102"/>
      <c r="AD132" s="102"/>
    </row>
    <row r="133">
      <c r="A133" s="103" t="s">
        <v>228</v>
      </c>
      <c r="B133" s="104"/>
      <c r="C133" s="10">
        <v>1.0</v>
      </c>
      <c r="D133" s="10">
        <v>1.0</v>
      </c>
      <c r="E133" s="105">
        <v>120630.0</v>
      </c>
      <c r="F133" s="12">
        <f t="shared" ref="F133:F140" si="19">C133*D133*E133</f>
        <v>120630</v>
      </c>
      <c r="G133" s="106" t="s">
        <v>229</v>
      </c>
      <c r="H133" s="107"/>
      <c r="I133" s="108"/>
      <c r="J133" s="109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109"/>
      <c r="Y133" s="109"/>
      <c r="Z133" s="109"/>
      <c r="AA133" s="109"/>
      <c r="AB133" s="16"/>
      <c r="AC133" s="17"/>
      <c r="AD133" s="17"/>
    </row>
    <row r="134">
      <c r="A134" s="110" t="s">
        <v>230</v>
      </c>
      <c r="B134" s="111"/>
      <c r="C134" s="10">
        <v>1.0</v>
      </c>
      <c r="D134" s="10">
        <v>1.0</v>
      </c>
      <c r="E134" s="112">
        <v>189219.0</v>
      </c>
      <c r="F134" s="12">
        <f t="shared" si="19"/>
        <v>189219</v>
      </c>
      <c r="G134" s="113" t="s">
        <v>229</v>
      </c>
      <c r="H134" s="107"/>
      <c r="I134" s="108"/>
      <c r="J134" s="109"/>
      <c r="K134" s="109"/>
      <c r="L134" s="109"/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109"/>
      <c r="Y134" s="109"/>
      <c r="Z134" s="109"/>
      <c r="AA134" s="109"/>
      <c r="AB134" s="16"/>
      <c r="AC134" s="17"/>
      <c r="AD134" s="17"/>
    </row>
    <row r="135">
      <c r="A135" s="103" t="s">
        <v>231</v>
      </c>
      <c r="B135" s="104"/>
      <c r="C135" s="10">
        <v>1.0</v>
      </c>
      <c r="D135" s="10">
        <v>1.0</v>
      </c>
      <c r="E135" s="105">
        <v>239712.0</v>
      </c>
      <c r="F135" s="12">
        <f t="shared" si="19"/>
        <v>239712</v>
      </c>
      <c r="G135" s="114" t="s">
        <v>229</v>
      </c>
      <c r="H135" s="115"/>
      <c r="I135" s="108"/>
      <c r="J135" s="109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109"/>
      <c r="Y135" s="109"/>
      <c r="Z135" s="109"/>
      <c r="AA135" s="109"/>
      <c r="AB135" s="16"/>
      <c r="AC135" s="17"/>
      <c r="AD135" s="17"/>
    </row>
    <row r="136">
      <c r="A136" s="110" t="s">
        <v>232</v>
      </c>
      <c r="B136" s="111"/>
      <c r="C136" s="10">
        <v>1.0</v>
      </c>
      <c r="D136" s="10">
        <v>1.0</v>
      </c>
      <c r="E136" s="116">
        <v>290206.0</v>
      </c>
      <c r="F136" s="12">
        <f t="shared" si="19"/>
        <v>290206</v>
      </c>
      <c r="G136" s="114" t="s">
        <v>229</v>
      </c>
      <c r="H136" s="117"/>
      <c r="I136" s="108"/>
      <c r="J136" s="109"/>
      <c r="K136" s="109"/>
      <c r="L136" s="109"/>
      <c r="M136" s="109"/>
      <c r="N136" s="109"/>
      <c r="O136" s="109"/>
      <c r="P136" s="109"/>
      <c r="Q136" s="109"/>
      <c r="R136" s="109"/>
      <c r="S136" s="109"/>
      <c r="T136" s="109"/>
      <c r="U136" s="109"/>
      <c r="V136" s="109"/>
      <c r="W136" s="109"/>
      <c r="X136" s="109"/>
      <c r="Y136" s="109"/>
      <c r="Z136" s="109"/>
      <c r="AA136" s="109"/>
      <c r="AB136" s="16"/>
      <c r="AC136" s="17"/>
      <c r="AD136" s="17"/>
    </row>
    <row r="137">
      <c r="A137" s="110" t="s">
        <v>233</v>
      </c>
      <c r="B137" s="118"/>
      <c r="C137" s="10">
        <v>1.0</v>
      </c>
      <c r="D137" s="10">
        <v>1.0</v>
      </c>
      <c r="E137" s="116">
        <v>342097.0</v>
      </c>
      <c r="F137" s="12">
        <f t="shared" si="19"/>
        <v>342097</v>
      </c>
      <c r="G137" s="114" t="s">
        <v>229</v>
      </c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7"/>
      <c r="AD137" s="17"/>
    </row>
    <row r="138">
      <c r="A138" s="119" t="s">
        <v>234</v>
      </c>
      <c r="B138" s="118"/>
      <c r="C138" s="10">
        <v>1.0</v>
      </c>
      <c r="D138" s="10">
        <v>1.0</v>
      </c>
      <c r="E138" s="116">
        <v>393987.0</v>
      </c>
      <c r="F138" s="12">
        <f t="shared" si="19"/>
        <v>393987</v>
      </c>
      <c r="G138" s="114" t="s">
        <v>229</v>
      </c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7"/>
      <c r="AD138" s="17"/>
    </row>
    <row r="139">
      <c r="A139" s="119" t="s">
        <v>235</v>
      </c>
      <c r="B139" s="118"/>
      <c r="C139" s="10">
        <v>1.0</v>
      </c>
      <c r="D139" s="10">
        <v>1.0</v>
      </c>
      <c r="E139" s="116">
        <v>445870.0</v>
      </c>
      <c r="F139" s="12">
        <f t="shared" si="19"/>
        <v>445870</v>
      </c>
      <c r="G139" s="114" t="s">
        <v>229</v>
      </c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7"/>
      <c r="AD139" s="17"/>
    </row>
    <row r="140">
      <c r="A140" s="119" t="s">
        <v>236</v>
      </c>
      <c r="B140" s="118"/>
      <c r="C140" s="10">
        <v>1.0</v>
      </c>
      <c r="D140" s="10">
        <v>1.0</v>
      </c>
      <c r="E140" s="116">
        <v>497769.0</v>
      </c>
      <c r="F140" s="12">
        <f t="shared" si="19"/>
        <v>497769</v>
      </c>
      <c r="G140" s="114" t="s">
        <v>229</v>
      </c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7"/>
      <c r="AD140" s="17"/>
    </row>
    <row r="141">
      <c r="A141" s="120"/>
      <c r="B141" s="121"/>
      <c r="C141" s="10"/>
      <c r="D141" s="10"/>
      <c r="E141" s="122"/>
      <c r="F141" s="12"/>
      <c r="G141" s="123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7"/>
      <c r="AD141" s="17"/>
    </row>
    <row r="142">
      <c r="A142" s="36" t="s">
        <v>237</v>
      </c>
      <c r="B142" s="28"/>
      <c r="C142" s="10">
        <v>1.0</v>
      </c>
      <c r="D142" s="10">
        <v>1.0</v>
      </c>
      <c r="E142" s="11">
        <f>39916*1.1</f>
        <v>43907.6</v>
      </c>
      <c r="F142" s="12">
        <f t="shared" ref="F142:F148" si="20">C142*D142*E142</f>
        <v>43907.6</v>
      </c>
      <c r="G142" s="85" t="s">
        <v>238</v>
      </c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7"/>
      <c r="AD142" s="17"/>
    </row>
    <row r="143">
      <c r="A143" s="36" t="s">
        <v>239</v>
      </c>
      <c r="B143" s="28"/>
      <c r="C143" s="10">
        <v>1.0</v>
      </c>
      <c r="D143" s="10">
        <v>1.0</v>
      </c>
      <c r="E143" s="11">
        <f t="shared" ref="E143:E144" si="21">35000/1.19</f>
        <v>29411.76471</v>
      </c>
      <c r="F143" s="12">
        <f t="shared" si="20"/>
        <v>29411.76471</v>
      </c>
      <c r="G143" s="85" t="s">
        <v>240</v>
      </c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7"/>
      <c r="AD143" s="17"/>
    </row>
    <row r="144">
      <c r="A144" s="36" t="s">
        <v>241</v>
      </c>
      <c r="B144" s="28"/>
      <c r="C144" s="10">
        <v>1.0</v>
      </c>
      <c r="D144" s="10">
        <v>1.0</v>
      </c>
      <c r="E144" s="11">
        <f t="shared" si="21"/>
        <v>29411.76471</v>
      </c>
      <c r="F144" s="12">
        <f t="shared" si="20"/>
        <v>29411.76471</v>
      </c>
      <c r="G144" s="85" t="s">
        <v>242</v>
      </c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7"/>
      <c r="AD144" s="17"/>
    </row>
    <row r="145">
      <c r="A145" s="36" t="s">
        <v>243</v>
      </c>
      <c r="B145" s="28"/>
      <c r="C145" s="10">
        <v>1.0</v>
      </c>
      <c r="D145" s="10">
        <v>1.0</v>
      </c>
      <c r="E145" s="11">
        <f t="shared" ref="E145:E146" si="22">55000/1.19</f>
        <v>46218.48739</v>
      </c>
      <c r="F145" s="12">
        <f t="shared" si="20"/>
        <v>46218.48739</v>
      </c>
      <c r="G145" s="85" t="s">
        <v>240</v>
      </c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7"/>
      <c r="AD145" s="17"/>
    </row>
    <row r="146">
      <c r="A146" s="36" t="s">
        <v>244</v>
      </c>
      <c r="B146" s="28"/>
      <c r="C146" s="10">
        <v>1.0</v>
      </c>
      <c r="D146" s="10">
        <v>1.0</v>
      </c>
      <c r="E146" s="11">
        <f t="shared" si="22"/>
        <v>46218.48739</v>
      </c>
      <c r="F146" s="12">
        <f t="shared" si="20"/>
        <v>46218.48739</v>
      </c>
      <c r="G146" s="85" t="s">
        <v>242</v>
      </c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7"/>
      <c r="AD146" s="17"/>
    </row>
    <row r="147">
      <c r="A147" s="9" t="s">
        <v>245</v>
      </c>
      <c r="B147" s="32"/>
      <c r="C147" s="10">
        <v>1.0</v>
      </c>
      <c r="D147" s="10">
        <v>1.0</v>
      </c>
      <c r="E147" s="124">
        <v>5000.0</v>
      </c>
      <c r="F147" s="12">
        <f t="shared" si="20"/>
        <v>5000</v>
      </c>
      <c r="G147" s="16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3"/>
      <c r="AD147" s="73"/>
    </row>
    <row r="148">
      <c r="A148" s="9" t="s">
        <v>246</v>
      </c>
      <c r="B148" s="32"/>
      <c r="C148" s="10">
        <v>1.0</v>
      </c>
      <c r="D148" s="10">
        <v>1.0</v>
      </c>
      <c r="E148" s="124">
        <v>2000.0</v>
      </c>
      <c r="F148" s="12">
        <f t="shared" si="20"/>
        <v>2000</v>
      </c>
      <c r="G148" s="125" t="s">
        <v>247</v>
      </c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3"/>
      <c r="AD148" s="73"/>
    </row>
    <row r="149">
      <c r="A149" s="126"/>
      <c r="B149" s="32"/>
      <c r="C149" s="10"/>
      <c r="D149" s="10"/>
      <c r="E149" s="32"/>
      <c r="F149" s="12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8"/>
      <c r="AD149" s="8"/>
    </row>
    <row r="150">
      <c r="A150" s="100" t="s">
        <v>248</v>
      </c>
      <c r="B150" s="2" t="s">
        <v>1</v>
      </c>
      <c r="C150" s="3" t="s">
        <v>2</v>
      </c>
      <c r="D150" s="3" t="s">
        <v>3</v>
      </c>
      <c r="E150" s="4" t="s">
        <v>4</v>
      </c>
      <c r="F150" s="1" t="s">
        <v>5</v>
      </c>
      <c r="G150" s="35" t="s">
        <v>6</v>
      </c>
      <c r="H150" s="127"/>
      <c r="I150" s="127"/>
      <c r="J150" s="127"/>
      <c r="K150" s="127"/>
      <c r="L150" s="127"/>
      <c r="M150" s="127"/>
      <c r="N150" s="127"/>
      <c r="O150" s="127"/>
      <c r="P150" s="127"/>
      <c r="Q150" s="127"/>
      <c r="R150" s="127"/>
      <c r="S150" s="127"/>
      <c r="T150" s="127"/>
      <c r="U150" s="127"/>
      <c r="V150" s="127"/>
      <c r="W150" s="127"/>
      <c r="X150" s="127"/>
      <c r="Y150" s="127"/>
      <c r="Z150" s="127"/>
      <c r="AA150" s="127"/>
      <c r="AB150" s="127"/>
      <c r="AC150" s="128"/>
      <c r="AD150" s="128"/>
    </row>
    <row r="151">
      <c r="A151" s="42" t="s">
        <v>249</v>
      </c>
      <c r="B151" s="23"/>
      <c r="C151" s="10">
        <v>1.0</v>
      </c>
      <c r="D151" s="10">
        <v>1.0</v>
      </c>
      <c r="E151" s="75">
        <v>50000.0</v>
      </c>
      <c r="F151" s="12">
        <f t="shared" ref="F151:F161" si="23">C151*D151*E151</f>
        <v>50000</v>
      </c>
      <c r="G151" s="33" t="s">
        <v>250</v>
      </c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7"/>
      <c r="AD151" s="17"/>
    </row>
    <row r="152">
      <c r="A152" s="21" t="s">
        <v>251</v>
      </c>
      <c r="B152" s="23"/>
      <c r="C152" s="10">
        <v>1.0</v>
      </c>
      <c r="D152" s="10">
        <v>1.0</v>
      </c>
      <c r="E152" s="89">
        <v>25000.0</v>
      </c>
      <c r="F152" s="12">
        <f t="shared" si="23"/>
        <v>25000</v>
      </c>
      <c r="G152" s="13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3"/>
      <c r="AD152" s="73"/>
    </row>
    <row r="153">
      <c r="A153" s="42"/>
      <c r="B153" s="23"/>
      <c r="C153" s="10">
        <v>1.0</v>
      </c>
      <c r="D153" s="10">
        <v>1.0</v>
      </c>
      <c r="E153" s="75"/>
      <c r="F153" s="12">
        <f t="shared" si="23"/>
        <v>0</v>
      </c>
      <c r="G153" s="38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7"/>
      <c r="AD153" s="17"/>
    </row>
    <row r="154">
      <c r="A154" s="9" t="s">
        <v>252</v>
      </c>
      <c r="B154" s="129"/>
      <c r="C154" s="10">
        <v>1.0</v>
      </c>
      <c r="D154" s="10">
        <v>1.0</v>
      </c>
      <c r="E154" s="31">
        <v>12000.0</v>
      </c>
      <c r="F154" s="12">
        <f t="shared" si="23"/>
        <v>12000</v>
      </c>
      <c r="G154" s="16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3"/>
      <c r="AD154" s="73"/>
    </row>
    <row r="155">
      <c r="A155" s="9" t="s">
        <v>253</v>
      </c>
      <c r="B155" s="129"/>
      <c r="C155" s="10">
        <v>1.0</v>
      </c>
      <c r="D155" s="10">
        <v>1.0</v>
      </c>
      <c r="E155" s="31">
        <v>1000.0</v>
      </c>
      <c r="F155" s="12">
        <f t="shared" si="23"/>
        <v>1000</v>
      </c>
      <c r="G155" s="16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3"/>
      <c r="AD155" s="73"/>
    </row>
    <row r="156">
      <c r="A156" s="9" t="s">
        <v>254</v>
      </c>
      <c r="B156" s="129"/>
      <c r="C156" s="10">
        <v>1.0</v>
      </c>
      <c r="D156" s="10">
        <v>1.0</v>
      </c>
      <c r="E156" s="31">
        <v>3500.0</v>
      </c>
      <c r="F156" s="12">
        <f t="shared" si="23"/>
        <v>3500</v>
      </c>
      <c r="G156" s="16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3"/>
      <c r="AD156" s="73"/>
    </row>
    <row r="157">
      <c r="A157" s="9" t="s">
        <v>255</v>
      </c>
      <c r="B157" s="129"/>
      <c r="C157" s="10">
        <v>1.0</v>
      </c>
      <c r="D157" s="10">
        <v>1.0</v>
      </c>
      <c r="E157" s="31">
        <v>1000.0</v>
      </c>
      <c r="F157" s="12">
        <f t="shared" si="23"/>
        <v>1000</v>
      </c>
      <c r="G157" s="16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3"/>
      <c r="AD157" s="73"/>
    </row>
    <row r="158">
      <c r="A158" s="9" t="s">
        <v>256</v>
      </c>
      <c r="B158" s="129"/>
      <c r="C158" s="10">
        <v>1.0</v>
      </c>
      <c r="D158" s="10">
        <v>1.0</v>
      </c>
      <c r="E158" s="31">
        <v>800.0</v>
      </c>
      <c r="F158" s="12">
        <f t="shared" si="23"/>
        <v>800</v>
      </c>
      <c r="G158" s="16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3"/>
      <c r="AD158" s="73"/>
    </row>
    <row r="159">
      <c r="A159" s="9" t="s">
        <v>257</v>
      </c>
      <c r="B159" s="129"/>
      <c r="C159" s="10">
        <v>1.0</v>
      </c>
      <c r="D159" s="10">
        <v>1.0</v>
      </c>
      <c r="E159" s="31">
        <v>600.0</v>
      </c>
      <c r="F159" s="12">
        <f t="shared" si="23"/>
        <v>600</v>
      </c>
      <c r="G159" s="125" t="s">
        <v>258</v>
      </c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3"/>
      <c r="AD159" s="73"/>
    </row>
    <row r="160">
      <c r="A160" s="9" t="s">
        <v>259</v>
      </c>
      <c r="B160" s="129"/>
      <c r="C160" s="10">
        <v>1.0</v>
      </c>
      <c r="D160" s="10">
        <v>1.0</v>
      </c>
      <c r="E160" s="31">
        <v>300.0</v>
      </c>
      <c r="F160" s="12">
        <f t="shared" si="23"/>
        <v>300</v>
      </c>
      <c r="G160" s="125" t="s">
        <v>260</v>
      </c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3"/>
      <c r="AD160" s="73"/>
    </row>
    <row r="161">
      <c r="A161" s="13" t="s">
        <v>261</v>
      </c>
      <c r="B161" s="32"/>
      <c r="C161" s="10">
        <v>1.0</v>
      </c>
      <c r="D161" s="10">
        <v>1.0</v>
      </c>
      <c r="E161" s="18">
        <f>E89*0.6</f>
        <v>16386.55462</v>
      </c>
      <c r="F161" s="12">
        <f t="shared" si="23"/>
        <v>16386.55462</v>
      </c>
      <c r="G161" s="125" t="s">
        <v>262</v>
      </c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7"/>
      <c r="AD161" s="17"/>
    </row>
    <row r="162">
      <c r="A162" s="36"/>
      <c r="B162" s="32"/>
      <c r="C162" s="130"/>
      <c r="D162" s="130"/>
      <c r="E162" s="32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7"/>
      <c r="AD162" s="17"/>
    </row>
    <row r="163">
      <c r="A163" s="36"/>
      <c r="B163" s="32"/>
      <c r="C163" s="130"/>
      <c r="D163" s="130"/>
      <c r="E163" s="32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7"/>
      <c r="AD163" s="17"/>
    </row>
    <row r="164">
      <c r="A164" s="36"/>
      <c r="B164" s="32"/>
      <c r="C164" s="130"/>
      <c r="D164" s="130"/>
      <c r="E164" s="32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7"/>
      <c r="AD164" s="17"/>
    </row>
    <row r="165">
      <c r="A165" s="36"/>
      <c r="B165" s="32"/>
      <c r="C165" s="130"/>
      <c r="D165" s="130"/>
      <c r="E165" s="32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7"/>
      <c r="AD165" s="17"/>
    </row>
    <row r="166">
      <c r="A166" s="36"/>
      <c r="B166" s="32"/>
      <c r="C166" s="130"/>
      <c r="D166" s="130"/>
      <c r="E166" s="32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7"/>
      <c r="AD166" s="17"/>
    </row>
    <row r="167">
      <c r="A167" s="36"/>
      <c r="B167" s="32"/>
      <c r="C167" s="130"/>
      <c r="D167" s="130"/>
      <c r="E167" s="32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7"/>
      <c r="AD167" s="17"/>
    </row>
    <row r="168">
      <c r="A168" s="36"/>
      <c r="B168" s="32"/>
      <c r="C168" s="130"/>
      <c r="D168" s="130"/>
      <c r="E168" s="32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7"/>
      <c r="AD168" s="17"/>
    </row>
    <row r="169">
      <c r="A169" s="36"/>
      <c r="B169" s="32"/>
      <c r="C169" s="130"/>
      <c r="D169" s="130"/>
      <c r="E169" s="32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7"/>
      <c r="AD169" s="17"/>
    </row>
    <row r="170">
      <c r="A170" s="36"/>
      <c r="B170" s="32"/>
      <c r="C170" s="130"/>
      <c r="D170" s="130"/>
      <c r="E170" s="32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7"/>
      <c r="AD170" s="17"/>
    </row>
    <row r="171">
      <c r="A171" s="36"/>
      <c r="B171" s="32"/>
      <c r="C171" s="130"/>
      <c r="D171" s="130"/>
      <c r="E171" s="32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7"/>
      <c r="AD171" s="17"/>
    </row>
    <row r="172">
      <c r="A172" s="36"/>
      <c r="B172" s="32"/>
      <c r="C172" s="130"/>
      <c r="D172" s="130"/>
      <c r="E172" s="32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7"/>
      <c r="AD172" s="17"/>
    </row>
    <row r="173">
      <c r="A173" s="36"/>
      <c r="B173" s="32"/>
      <c r="C173" s="130"/>
      <c r="D173" s="130"/>
      <c r="E173" s="32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7"/>
      <c r="AD173" s="17"/>
    </row>
    <row r="174">
      <c r="A174" s="36"/>
      <c r="B174" s="32"/>
      <c r="C174" s="130"/>
      <c r="D174" s="130"/>
      <c r="E174" s="32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7"/>
      <c r="AD174" s="17"/>
    </row>
    <row r="175">
      <c r="A175" s="36"/>
      <c r="B175" s="32"/>
      <c r="C175" s="130"/>
      <c r="D175" s="130"/>
      <c r="E175" s="32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7"/>
      <c r="AD175" s="17"/>
    </row>
    <row r="176">
      <c r="A176" s="36"/>
      <c r="B176" s="32"/>
      <c r="C176" s="130"/>
      <c r="D176" s="130"/>
      <c r="E176" s="32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7"/>
      <c r="AD176" s="17"/>
    </row>
    <row r="177">
      <c r="A177" s="36"/>
      <c r="B177" s="32"/>
      <c r="C177" s="130"/>
      <c r="D177" s="130"/>
      <c r="E177" s="32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7"/>
      <c r="AD177" s="17"/>
    </row>
    <row r="178">
      <c r="A178" s="36"/>
      <c r="B178" s="32"/>
      <c r="C178" s="130"/>
      <c r="D178" s="130"/>
      <c r="E178" s="32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7"/>
      <c r="AD178" s="17"/>
    </row>
    <row r="179">
      <c r="A179" s="36"/>
      <c r="B179" s="32"/>
      <c r="C179" s="130"/>
      <c r="D179" s="130"/>
      <c r="E179" s="32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7"/>
      <c r="AD179" s="17"/>
    </row>
    <row r="180">
      <c r="A180" s="36"/>
      <c r="B180" s="32"/>
      <c r="C180" s="130"/>
      <c r="D180" s="130"/>
      <c r="E180" s="32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7"/>
      <c r="AD180" s="17"/>
    </row>
    <row r="181">
      <c r="A181" s="36"/>
      <c r="B181" s="32"/>
      <c r="C181" s="130"/>
      <c r="D181" s="130"/>
      <c r="E181" s="32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7"/>
      <c r="AD181" s="17"/>
    </row>
    <row r="182">
      <c r="A182" s="36"/>
      <c r="B182" s="32"/>
      <c r="C182" s="130"/>
      <c r="D182" s="130"/>
      <c r="E182" s="32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7"/>
      <c r="AD182" s="17"/>
    </row>
    <row r="183">
      <c r="A183" s="36"/>
      <c r="B183" s="32"/>
      <c r="C183" s="130"/>
      <c r="D183" s="130"/>
      <c r="E183" s="32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7"/>
      <c r="AD183" s="17"/>
    </row>
    <row r="184">
      <c r="A184" s="36"/>
      <c r="B184" s="32"/>
      <c r="C184" s="130"/>
      <c r="D184" s="130"/>
      <c r="E184" s="32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7"/>
      <c r="AD184" s="17"/>
    </row>
    <row r="185">
      <c r="A185" s="36"/>
      <c r="B185" s="32"/>
      <c r="C185" s="130"/>
      <c r="D185" s="130"/>
      <c r="E185" s="32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7"/>
      <c r="AD185" s="17"/>
    </row>
    <row r="186">
      <c r="A186" s="36"/>
      <c r="B186" s="32"/>
      <c r="C186" s="130"/>
      <c r="D186" s="130"/>
      <c r="E186" s="32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7"/>
      <c r="AD186" s="17"/>
    </row>
    <row r="187">
      <c r="A187" s="36"/>
      <c r="B187" s="32"/>
      <c r="C187" s="130"/>
      <c r="D187" s="130"/>
      <c r="E187" s="32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7"/>
      <c r="AD187" s="17"/>
    </row>
    <row r="188">
      <c r="A188" s="36"/>
      <c r="B188" s="32"/>
      <c r="C188" s="130"/>
      <c r="D188" s="130"/>
      <c r="E188" s="32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7"/>
      <c r="AD188" s="17"/>
    </row>
    <row r="189">
      <c r="A189" s="36"/>
      <c r="B189" s="32"/>
      <c r="C189" s="130"/>
      <c r="D189" s="130"/>
      <c r="E189" s="32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7"/>
      <c r="AD189" s="17"/>
    </row>
    <row r="190">
      <c r="A190" s="36"/>
      <c r="B190" s="32"/>
      <c r="C190" s="130"/>
      <c r="D190" s="130"/>
      <c r="E190" s="32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7"/>
      <c r="AD190" s="17"/>
    </row>
    <row r="191">
      <c r="A191" s="36"/>
      <c r="B191" s="32"/>
      <c r="C191" s="130"/>
      <c r="D191" s="130"/>
      <c r="E191" s="32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7"/>
      <c r="AD191" s="17"/>
    </row>
    <row r="192">
      <c r="A192" s="36"/>
      <c r="B192" s="32"/>
      <c r="C192" s="130"/>
      <c r="D192" s="130"/>
      <c r="E192" s="32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7"/>
      <c r="AD192" s="17"/>
    </row>
    <row r="193">
      <c r="A193" s="36"/>
      <c r="B193" s="32"/>
      <c r="C193" s="130"/>
      <c r="D193" s="130"/>
      <c r="E193" s="32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7"/>
      <c r="AD193" s="17"/>
    </row>
    <row r="194">
      <c r="A194" s="36"/>
      <c r="B194" s="32"/>
      <c r="C194" s="130"/>
      <c r="D194" s="130"/>
      <c r="E194" s="32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7"/>
      <c r="AD194" s="17"/>
    </row>
    <row r="195">
      <c r="A195" s="36"/>
      <c r="B195" s="32"/>
      <c r="C195" s="130"/>
      <c r="D195" s="130"/>
      <c r="E195" s="32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7"/>
      <c r="AD195" s="17"/>
    </row>
    <row r="196">
      <c r="A196" s="36"/>
      <c r="B196" s="32"/>
      <c r="C196" s="130"/>
      <c r="D196" s="130"/>
      <c r="E196" s="32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7"/>
      <c r="AD196" s="17"/>
    </row>
    <row r="197">
      <c r="A197" s="36"/>
      <c r="B197" s="32"/>
      <c r="C197" s="130"/>
      <c r="D197" s="130"/>
      <c r="E197" s="32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7"/>
      <c r="AD197" s="17"/>
    </row>
    <row r="198">
      <c r="A198" s="36"/>
      <c r="B198" s="32"/>
      <c r="C198" s="130"/>
      <c r="D198" s="130"/>
      <c r="E198" s="32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7"/>
      <c r="AD198" s="17"/>
    </row>
    <row r="199">
      <c r="A199" s="36"/>
      <c r="B199" s="32"/>
      <c r="C199" s="130"/>
      <c r="D199" s="130"/>
      <c r="E199" s="32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7"/>
      <c r="AD199" s="17"/>
    </row>
    <row r="200">
      <c r="A200" s="36"/>
      <c r="B200" s="32"/>
      <c r="C200" s="130"/>
      <c r="D200" s="130"/>
      <c r="E200" s="32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7"/>
      <c r="AD200" s="17"/>
    </row>
    <row r="201">
      <c r="A201" s="36"/>
      <c r="B201" s="32"/>
      <c r="C201" s="130"/>
      <c r="D201" s="130"/>
      <c r="E201" s="32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7"/>
      <c r="AD201" s="17"/>
    </row>
    <row r="202">
      <c r="A202" s="36"/>
      <c r="B202" s="32"/>
      <c r="C202" s="130"/>
      <c r="D202" s="130"/>
      <c r="E202" s="32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7"/>
      <c r="AD202" s="17"/>
    </row>
    <row r="203">
      <c r="A203" s="36"/>
      <c r="B203" s="32"/>
      <c r="C203" s="130"/>
      <c r="D203" s="130"/>
      <c r="E203" s="32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7"/>
      <c r="AD203" s="17"/>
    </row>
    <row r="204">
      <c r="A204" s="36"/>
      <c r="B204" s="32"/>
      <c r="C204" s="130"/>
      <c r="D204" s="130"/>
      <c r="E204" s="32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7"/>
      <c r="AD204" s="17"/>
    </row>
    <row r="205">
      <c r="A205" s="36"/>
      <c r="B205" s="32"/>
      <c r="C205" s="130"/>
      <c r="D205" s="130"/>
      <c r="E205" s="32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7"/>
      <c r="AD205" s="17"/>
    </row>
    <row r="206">
      <c r="A206" s="36"/>
      <c r="B206" s="32"/>
      <c r="C206" s="130"/>
      <c r="D206" s="130"/>
      <c r="E206" s="32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7"/>
      <c r="AD206" s="17"/>
    </row>
    <row r="207">
      <c r="A207" s="36"/>
      <c r="B207" s="32"/>
      <c r="C207" s="130"/>
      <c r="D207" s="130"/>
      <c r="E207" s="32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7"/>
      <c r="AD207" s="17"/>
    </row>
    <row r="208">
      <c r="A208" s="36"/>
      <c r="B208" s="32"/>
      <c r="C208" s="130"/>
      <c r="D208" s="130"/>
      <c r="E208" s="32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7"/>
      <c r="AD208" s="17"/>
    </row>
    <row r="209">
      <c r="A209" s="36"/>
      <c r="B209" s="32"/>
      <c r="C209" s="130"/>
      <c r="D209" s="130"/>
      <c r="E209" s="32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7"/>
      <c r="AD209" s="17"/>
    </row>
    <row r="210">
      <c r="A210" s="36"/>
      <c r="B210" s="32"/>
      <c r="C210" s="130"/>
      <c r="D210" s="130"/>
      <c r="E210" s="32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7"/>
      <c r="AD210" s="17"/>
    </row>
    <row r="211">
      <c r="A211" s="36"/>
      <c r="B211" s="32"/>
      <c r="C211" s="130"/>
      <c r="D211" s="130"/>
      <c r="E211" s="32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7"/>
      <c r="AD211" s="17"/>
    </row>
    <row r="212">
      <c r="A212" s="36"/>
      <c r="B212" s="32"/>
      <c r="C212" s="130"/>
      <c r="D212" s="130"/>
      <c r="E212" s="32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7"/>
      <c r="AD212" s="17"/>
    </row>
    <row r="213">
      <c r="A213" s="36"/>
      <c r="B213" s="32"/>
      <c r="C213" s="130"/>
      <c r="D213" s="130"/>
      <c r="E213" s="32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7"/>
      <c r="AD213" s="17"/>
    </row>
    <row r="214">
      <c r="A214" s="36"/>
      <c r="B214" s="32"/>
      <c r="C214" s="130"/>
      <c r="D214" s="130"/>
      <c r="E214" s="32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7"/>
      <c r="AD214" s="17"/>
    </row>
    <row r="215">
      <c r="A215" s="36"/>
      <c r="B215" s="32"/>
      <c r="C215" s="130"/>
      <c r="D215" s="130"/>
      <c r="E215" s="32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7"/>
      <c r="AD215" s="17"/>
    </row>
    <row r="216">
      <c r="A216" s="36"/>
      <c r="B216" s="32"/>
      <c r="C216" s="130"/>
      <c r="D216" s="130"/>
      <c r="E216" s="32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7"/>
      <c r="AD216" s="17"/>
    </row>
    <row r="217">
      <c r="A217" s="36"/>
      <c r="B217" s="32"/>
      <c r="C217" s="130"/>
      <c r="D217" s="130"/>
      <c r="E217" s="32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7"/>
      <c r="AD217" s="17"/>
    </row>
    <row r="218">
      <c r="A218" s="36"/>
      <c r="B218" s="32"/>
      <c r="C218" s="130"/>
      <c r="D218" s="130"/>
      <c r="E218" s="32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7"/>
      <c r="AD218" s="17"/>
    </row>
    <row r="219">
      <c r="A219" s="36"/>
      <c r="B219" s="32"/>
      <c r="C219" s="130"/>
      <c r="D219" s="130"/>
      <c r="E219" s="32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7"/>
      <c r="AD219" s="17"/>
    </row>
    <row r="220">
      <c r="A220" s="36"/>
      <c r="B220" s="32"/>
      <c r="C220" s="130"/>
      <c r="D220" s="130"/>
      <c r="E220" s="32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7"/>
      <c r="AD220" s="17"/>
    </row>
    <row r="221">
      <c r="A221" s="36"/>
      <c r="B221" s="32"/>
      <c r="C221" s="130"/>
      <c r="D221" s="130"/>
      <c r="E221" s="32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7"/>
      <c r="AD221" s="17"/>
    </row>
    <row r="222">
      <c r="A222" s="36"/>
      <c r="B222" s="32"/>
      <c r="C222" s="130"/>
      <c r="D222" s="130"/>
      <c r="E222" s="32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7"/>
      <c r="AD222" s="17"/>
    </row>
    <row r="223">
      <c r="A223" s="36"/>
      <c r="B223" s="32"/>
      <c r="C223" s="130"/>
      <c r="D223" s="130"/>
      <c r="E223" s="32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7"/>
      <c r="AD223" s="17"/>
    </row>
    <row r="224">
      <c r="A224" s="36"/>
      <c r="B224" s="32"/>
      <c r="C224" s="130"/>
      <c r="D224" s="130"/>
      <c r="E224" s="32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7"/>
      <c r="AD224" s="17"/>
    </row>
    <row r="225">
      <c r="A225" s="36"/>
      <c r="B225" s="32"/>
      <c r="C225" s="130"/>
      <c r="D225" s="130"/>
      <c r="E225" s="32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7"/>
      <c r="AD225" s="17"/>
    </row>
    <row r="226">
      <c r="A226" s="36"/>
      <c r="B226" s="32"/>
      <c r="C226" s="130"/>
      <c r="D226" s="130"/>
      <c r="E226" s="32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7"/>
      <c r="AD226" s="17"/>
    </row>
    <row r="227">
      <c r="A227" s="36"/>
      <c r="B227" s="32"/>
      <c r="C227" s="130"/>
      <c r="D227" s="130"/>
      <c r="E227" s="32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7"/>
      <c r="AD227" s="17"/>
    </row>
    <row r="228">
      <c r="A228" s="36"/>
      <c r="B228" s="32"/>
      <c r="C228" s="130"/>
      <c r="D228" s="130"/>
      <c r="E228" s="32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7"/>
      <c r="AD228" s="17"/>
    </row>
    <row r="229">
      <c r="A229" s="36"/>
      <c r="B229" s="32"/>
      <c r="C229" s="130"/>
      <c r="D229" s="130"/>
      <c r="E229" s="32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7"/>
      <c r="AD229" s="17"/>
    </row>
    <row r="230">
      <c r="A230" s="36"/>
      <c r="B230" s="32"/>
      <c r="C230" s="130"/>
      <c r="D230" s="130"/>
      <c r="E230" s="32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7"/>
      <c r="AD230" s="17"/>
    </row>
    <row r="231">
      <c r="A231" s="36"/>
      <c r="B231" s="32"/>
      <c r="C231" s="130"/>
      <c r="D231" s="130"/>
      <c r="E231" s="32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7"/>
      <c r="AD231" s="17"/>
    </row>
    <row r="232">
      <c r="A232" s="36"/>
      <c r="B232" s="32"/>
      <c r="C232" s="130"/>
      <c r="D232" s="130"/>
      <c r="E232" s="32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7"/>
      <c r="AD232" s="17"/>
    </row>
    <row r="233">
      <c r="A233" s="36"/>
      <c r="B233" s="32"/>
      <c r="C233" s="130"/>
      <c r="D233" s="130"/>
      <c r="E233" s="32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7"/>
      <c r="AD233" s="17"/>
    </row>
    <row r="234">
      <c r="A234" s="36"/>
      <c r="B234" s="32"/>
      <c r="C234" s="130"/>
      <c r="D234" s="130"/>
      <c r="E234" s="32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7"/>
      <c r="AD234" s="17"/>
    </row>
    <row r="235">
      <c r="A235" s="36"/>
      <c r="B235" s="32"/>
      <c r="C235" s="130"/>
      <c r="D235" s="130"/>
      <c r="E235" s="32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7"/>
      <c r="AD235" s="17"/>
    </row>
    <row r="236">
      <c r="A236" s="36"/>
      <c r="B236" s="32"/>
      <c r="C236" s="130"/>
      <c r="D236" s="130"/>
      <c r="E236" s="32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7"/>
      <c r="AD236" s="17"/>
    </row>
    <row r="237">
      <c r="A237" s="36"/>
      <c r="B237" s="32"/>
      <c r="C237" s="130"/>
      <c r="D237" s="130"/>
      <c r="E237" s="32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7"/>
      <c r="AD237" s="17"/>
    </row>
    <row r="238">
      <c r="A238" s="36"/>
      <c r="B238" s="32"/>
      <c r="C238" s="130"/>
      <c r="D238" s="130"/>
      <c r="E238" s="32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7"/>
      <c r="AD238" s="17"/>
    </row>
    <row r="239">
      <c r="A239" s="36"/>
      <c r="B239" s="32"/>
      <c r="C239" s="130"/>
      <c r="D239" s="130"/>
      <c r="E239" s="32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7"/>
      <c r="AD239" s="17"/>
    </row>
    <row r="240">
      <c r="A240" s="36"/>
      <c r="B240" s="32"/>
      <c r="C240" s="130"/>
      <c r="D240" s="130"/>
      <c r="E240" s="32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7"/>
      <c r="AD240" s="17"/>
    </row>
    <row r="241">
      <c r="A241" s="36"/>
      <c r="B241" s="32"/>
      <c r="C241" s="130"/>
      <c r="D241" s="130"/>
      <c r="E241" s="32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7"/>
      <c r="AD241" s="17"/>
    </row>
    <row r="242">
      <c r="A242" s="36"/>
      <c r="B242" s="32"/>
      <c r="C242" s="130"/>
      <c r="D242" s="130"/>
      <c r="E242" s="32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7"/>
      <c r="AD242" s="17"/>
    </row>
    <row r="243">
      <c r="A243" s="36"/>
      <c r="B243" s="32"/>
      <c r="C243" s="130"/>
      <c r="D243" s="130"/>
      <c r="E243" s="32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7"/>
      <c r="AD243" s="17"/>
    </row>
    <row r="244">
      <c r="A244" s="36"/>
      <c r="B244" s="32"/>
      <c r="C244" s="130"/>
      <c r="D244" s="130"/>
      <c r="E244" s="32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7"/>
      <c r="AD244" s="17"/>
    </row>
    <row r="245">
      <c r="A245" s="36"/>
      <c r="B245" s="32"/>
      <c r="C245" s="130"/>
      <c r="D245" s="130"/>
      <c r="E245" s="32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7"/>
      <c r="AD245" s="17"/>
    </row>
    <row r="246">
      <c r="A246" s="36"/>
      <c r="B246" s="32"/>
      <c r="C246" s="130"/>
      <c r="D246" s="130"/>
      <c r="E246" s="32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7"/>
      <c r="AD246" s="17"/>
    </row>
    <row r="247">
      <c r="A247" s="36"/>
      <c r="B247" s="32"/>
      <c r="C247" s="130"/>
      <c r="D247" s="130"/>
      <c r="E247" s="32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7"/>
      <c r="AD247" s="17"/>
    </row>
    <row r="248">
      <c r="A248" s="36"/>
      <c r="B248" s="32"/>
      <c r="C248" s="130"/>
      <c r="D248" s="130"/>
      <c r="E248" s="32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7"/>
      <c r="AD248" s="17"/>
    </row>
    <row r="249">
      <c r="A249" s="36"/>
      <c r="B249" s="32"/>
      <c r="C249" s="130"/>
      <c r="D249" s="130"/>
      <c r="E249" s="32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7"/>
      <c r="AD249" s="17"/>
    </row>
    <row r="250">
      <c r="A250" s="36"/>
      <c r="B250" s="32"/>
      <c r="C250" s="130"/>
      <c r="D250" s="130"/>
      <c r="E250" s="32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7"/>
      <c r="AD250" s="17"/>
    </row>
    <row r="251">
      <c r="A251" s="36"/>
      <c r="B251" s="32"/>
      <c r="C251" s="130"/>
      <c r="D251" s="130"/>
      <c r="E251" s="32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7"/>
      <c r="AD251" s="17"/>
    </row>
    <row r="252">
      <c r="A252" s="36"/>
      <c r="B252" s="32"/>
      <c r="C252" s="130"/>
      <c r="D252" s="130"/>
      <c r="E252" s="32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7"/>
      <c r="AD252" s="17"/>
    </row>
    <row r="253">
      <c r="A253" s="36"/>
      <c r="B253" s="32"/>
      <c r="C253" s="130"/>
      <c r="D253" s="130"/>
      <c r="E253" s="32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7"/>
      <c r="AD253" s="17"/>
    </row>
    <row r="254">
      <c r="A254" s="36"/>
      <c r="B254" s="32"/>
      <c r="C254" s="130"/>
      <c r="D254" s="130"/>
      <c r="E254" s="32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7"/>
      <c r="AD254" s="17"/>
    </row>
    <row r="255">
      <c r="A255" s="36"/>
      <c r="B255" s="32"/>
      <c r="C255" s="130"/>
      <c r="D255" s="130"/>
      <c r="E255" s="32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7"/>
      <c r="AD255" s="17"/>
    </row>
    <row r="256">
      <c r="A256" s="36"/>
      <c r="B256" s="32"/>
      <c r="C256" s="130"/>
      <c r="D256" s="130"/>
      <c r="E256" s="32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7"/>
      <c r="AD256" s="17"/>
    </row>
    <row r="257">
      <c r="A257" s="36"/>
      <c r="B257" s="32"/>
      <c r="C257" s="130"/>
      <c r="D257" s="130"/>
      <c r="E257" s="32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7"/>
      <c r="AD257" s="17"/>
    </row>
    <row r="258">
      <c r="A258" s="36"/>
      <c r="B258" s="32"/>
      <c r="C258" s="130"/>
      <c r="D258" s="130"/>
      <c r="E258" s="32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7"/>
      <c r="AD258" s="17"/>
    </row>
    <row r="259">
      <c r="A259" s="36"/>
      <c r="B259" s="32"/>
      <c r="C259" s="130"/>
      <c r="D259" s="130"/>
      <c r="E259" s="32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7"/>
      <c r="AD259" s="17"/>
    </row>
    <row r="260">
      <c r="A260" s="36"/>
      <c r="B260" s="32"/>
      <c r="C260" s="130"/>
      <c r="D260" s="130"/>
      <c r="E260" s="32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7"/>
      <c r="AD260" s="17"/>
    </row>
    <row r="261">
      <c r="A261" s="36"/>
      <c r="B261" s="32"/>
      <c r="C261" s="130"/>
      <c r="D261" s="130"/>
      <c r="E261" s="32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7"/>
      <c r="AD261" s="17"/>
    </row>
    <row r="262">
      <c r="A262" s="36"/>
      <c r="B262" s="32"/>
      <c r="C262" s="130"/>
      <c r="D262" s="130"/>
      <c r="E262" s="32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7"/>
      <c r="AD262" s="17"/>
    </row>
    <row r="263">
      <c r="A263" s="36"/>
      <c r="B263" s="32"/>
      <c r="C263" s="130"/>
      <c r="D263" s="130"/>
      <c r="E263" s="32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7"/>
      <c r="AD263" s="17"/>
    </row>
    <row r="264">
      <c r="A264" s="36"/>
      <c r="B264" s="32"/>
      <c r="C264" s="130"/>
      <c r="D264" s="130"/>
      <c r="E264" s="32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7"/>
      <c r="AD264" s="17"/>
    </row>
    <row r="265">
      <c r="A265" s="36"/>
      <c r="B265" s="32"/>
      <c r="C265" s="130"/>
      <c r="D265" s="130"/>
      <c r="E265" s="32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7"/>
      <c r="AD265" s="17"/>
    </row>
    <row r="266">
      <c r="A266" s="36"/>
      <c r="B266" s="32"/>
      <c r="C266" s="130"/>
      <c r="D266" s="130"/>
      <c r="E266" s="32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7"/>
      <c r="AD266" s="17"/>
    </row>
    <row r="267">
      <c r="A267" s="36"/>
      <c r="B267" s="32"/>
      <c r="C267" s="130"/>
      <c r="D267" s="130"/>
      <c r="E267" s="32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7"/>
      <c r="AD267" s="17"/>
    </row>
    <row r="268">
      <c r="A268" s="36"/>
      <c r="B268" s="32"/>
      <c r="C268" s="130"/>
      <c r="D268" s="130"/>
      <c r="E268" s="32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7"/>
      <c r="AD268" s="17"/>
    </row>
    <row r="269">
      <c r="A269" s="36"/>
      <c r="B269" s="32"/>
      <c r="C269" s="130"/>
      <c r="D269" s="130"/>
      <c r="E269" s="32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7"/>
      <c r="AD269" s="17"/>
    </row>
    <row r="270">
      <c r="A270" s="36"/>
      <c r="B270" s="32"/>
      <c r="C270" s="130"/>
      <c r="D270" s="130"/>
      <c r="E270" s="32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7"/>
      <c r="AD270" s="17"/>
    </row>
    <row r="271">
      <c r="A271" s="36"/>
      <c r="B271" s="32"/>
      <c r="C271" s="130"/>
      <c r="D271" s="130"/>
      <c r="E271" s="32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7"/>
      <c r="AD271" s="17"/>
    </row>
    <row r="272">
      <c r="A272" s="36"/>
      <c r="B272" s="32"/>
      <c r="C272" s="130"/>
      <c r="D272" s="130"/>
      <c r="E272" s="32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7"/>
      <c r="AD272" s="17"/>
    </row>
    <row r="273">
      <c r="A273" s="36"/>
      <c r="B273" s="32"/>
      <c r="C273" s="130"/>
      <c r="D273" s="130"/>
      <c r="E273" s="32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7"/>
      <c r="AD273" s="17"/>
    </row>
    <row r="274">
      <c r="A274" s="36"/>
      <c r="B274" s="32"/>
      <c r="C274" s="130"/>
      <c r="D274" s="130"/>
      <c r="E274" s="32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7"/>
      <c r="AD274" s="17"/>
    </row>
    <row r="275">
      <c r="A275" s="36"/>
      <c r="B275" s="32"/>
      <c r="C275" s="130"/>
      <c r="D275" s="130"/>
      <c r="E275" s="32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7"/>
      <c r="AD275" s="17"/>
    </row>
    <row r="276">
      <c r="A276" s="36"/>
      <c r="B276" s="32"/>
      <c r="C276" s="130"/>
      <c r="D276" s="130"/>
      <c r="E276" s="32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7"/>
      <c r="AD276" s="17"/>
    </row>
    <row r="277">
      <c r="A277" s="36"/>
      <c r="B277" s="32"/>
      <c r="C277" s="130"/>
      <c r="D277" s="130"/>
      <c r="E277" s="32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7"/>
      <c r="AD277" s="17"/>
    </row>
    <row r="278">
      <c r="A278" s="36"/>
      <c r="B278" s="32"/>
      <c r="C278" s="130"/>
      <c r="D278" s="130"/>
      <c r="E278" s="32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7"/>
      <c r="AD278" s="17"/>
    </row>
    <row r="279">
      <c r="A279" s="36"/>
      <c r="B279" s="32"/>
      <c r="C279" s="130"/>
      <c r="D279" s="130"/>
      <c r="E279" s="32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7"/>
      <c r="AD279" s="17"/>
    </row>
    <row r="280">
      <c r="A280" s="36"/>
      <c r="B280" s="32"/>
      <c r="C280" s="130"/>
      <c r="D280" s="130"/>
      <c r="E280" s="32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7"/>
      <c r="AD280" s="17"/>
    </row>
    <row r="281">
      <c r="A281" s="36"/>
      <c r="B281" s="32"/>
      <c r="C281" s="130"/>
      <c r="D281" s="130"/>
      <c r="E281" s="32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7"/>
      <c r="AD281" s="17"/>
    </row>
    <row r="282">
      <c r="A282" s="36"/>
      <c r="B282" s="32"/>
      <c r="C282" s="130"/>
      <c r="D282" s="130"/>
      <c r="E282" s="32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7"/>
      <c r="AD282" s="17"/>
    </row>
    <row r="283">
      <c r="A283" s="36"/>
      <c r="B283" s="32"/>
      <c r="C283" s="130"/>
      <c r="D283" s="130"/>
      <c r="E283" s="32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7"/>
      <c r="AD283" s="17"/>
    </row>
    <row r="284">
      <c r="A284" s="36"/>
      <c r="B284" s="32"/>
      <c r="C284" s="130"/>
      <c r="D284" s="130"/>
      <c r="E284" s="32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7"/>
      <c r="AD284" s="17"/>
    </row>
    <row r="285">
      <c r="A285" s="36"/>
      <c r="B285" s="32"/>
      <c r="C285" s="130"/>
      <c r="D285" s="130"/>
      <c r="E285" s="32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7"/>
      <c r="AD285" s="17"/>
    </row>
    <row r="286">
      <c r="A286" s="36"/>
      <c r="B286" s="32"/>
      <c r="C286" s="130"/>
      <c r="D286" s="130"/>
      <c r="E286" s="32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7"/>
      <c r="AD286" s="17"/>
    </row>
    <row r="287">
      <c r="A287" s="36"/>
      <c r="B287" s="32"/>
      <c r="C287" s="130"/>
      <c r="D287" s="130"/>
      <c r="E287" s="32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7"/>
      <c r="AD287" s="17"/>
    </row>
    <row r="288">
      <c r="A288" s="36"/>
      <c r="B288" s="32"/>
      <c r="C288" s="130"/>
      <c r="D288" s="130"/>
      <c r="E288" s="32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7"/>
      <c r="AD288" s="17"/>
    </row>
    <row r="289">
      <c r="A289" s="36"/>
      <c r="B289" s="32"/>
      <c r="C289" s="130"/>
      <c r="D289" s="130"/>
      <c r="E289" s="32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7"/>
      <c r="AD289" s="17"/>
    </row>
    <row r="290">
      <c r="A290" s="36"/>
      <c r="B290" s="32"/>
      <c r="C290" s="130"/>
      <c r="D290" s="130"/>
      <c r="E290" s="32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7"/>
      <c r="AD290" s="17"/>
    </row>
    <row r="291">
      <c r="A291" s="36"/>
      <c r="B291" s="32"/>
      <c r="C291" s="130"/>
      <c r="D291" s="130"/>
      <c r="E291" s="32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7"/>
      <c r="AD291" s="17"/>
    </row>
    <row r="292">
      <c r="A292" s="36"/>
      <c r="B292" s="32"/>
      <c r="C292" s="130"/>
      <c r="D292" s="130"/>
      <c r="E292" s="32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7"/>
      <c r="AD292" s="17"/>
    </row>
    <row r="293">
      <c r="A293" s="36"/>
      <c r="B293" s="32"/>
      <c r="C293" s="130"/>
      <c r="D293" s="130"/>
      <c r="E293" s="32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7"/>
      <c r="AD293" s="17"/>
    </row>
    <row r="294">
      <c r="A294" s="36"/>
      <c r="B294" s="32"/>
      <c r="C294" s="130"/>
      <c r="D294" s="130"/>
      <c r="E294" s="32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7"/>
      <c r="AD294" s="17"/>
    </row>
    <row r="295">
      <c r="A295" s="36"/>
      <c r="B295" s="32"/>
      <c r="C295" s="130"/>
      <c r="D295" s="130"/>
      <c r="E295" s="32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7"/>
      <c r="AD295" s="17"/>
    </row>
    <row r="296">
      <c r="A296" s="36"/>
      <c r="B296" s="32"/>
      <c r="C296" s="130"/>
      <c r="D296" s="130"/>
      <c r="E296" s="32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7"/>
      <c r="AD296" s="17"/>
    </row>
    <row r="297">
      <c r="A297" s="36"/>
      <c r="B297" s="32"/>
      <c r="C297" s="130"/>
      <c r="D297" s="130"/>
      <c r="E297" s="32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7"/>
      <c r="AD297" s="17"/>
    </row>
    <row r="298">
      <c r="A298" s="36"/>
      <c r="B298" s="32"/>
      <c r="C298" s="130"/>
      <c r="D298" s="130"/>
      <c r="E298" s="32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7"/>
      <c r="AD298" s="17"/>
    </row>
    <row r="299">
      <c r="A299" s="36"/>
      <c r="B299" s="32"/>
      <c r="C299" s="130"/>
      <c r="D299" s="130"/>
      <c r="E299" s="32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7"/>
      <c r="AD299" s="17"/>
    </row>
    <row r="300">
      <c r="A300" s="36"/>
      <c r="B300" s="32"/>
      <c r="C300" s="130"/>
      <c r="D300" s="130"/>
      <c r="E300" s="32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7"/>
      <c r="AD300" s="17"/>
    </row>
    <row r="301">
      <c r="A301" s="36"/>
      <c r="B301" s="32"/>
      <c r="C301" s="130"/>
      <c r="D301" s="130"/>
      <c r="E301" s="32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7"/>
      <c r="AD301" s="17"/>
    </row>
    <row r="302">
      <c r="A302" s="36"/>
      <c r="B302" s="32"/>
      <c r="C302" s="130"/>
      <c r="D302" s="130"/>
      <c r="E302" s="32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7"/>
      <c r="AD302" s="17"/>
    </row>
    <row r="303">
      <c r="A303" s="36"/>
      <c r="B303" s="32"/>
      <c r="C303" s="130"/>
      <c r="D303" s="130"/>
      <c r="E303" s="32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7"/>
      <c r="AD303" s="17"/>
    </row>
    <row r="304">
      <c r="A304" s="36"/>
      <c r="B304" s="32"/>
      <c r="C304" s="130"/>
      <c r="D304" s="130"/>
      <c r="E304" s="32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7"/>
      <c r="AD304" s="17"/>
    </row>
    <row r="305">
      <c r="A305" s="36"/>
      <c r="B305" s="32"/>
      <c r="C305" s="130"/>
      <c r="D305" s="130"/>
      <c r="E305" s="32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7"/>
      <c r="AD305" s="17"/>
    </row>
    <row r="306">
      <c r="A306" s="36"/>
      <c r="B306" s="32"/>
      <c r="C306" s="130"/>
      <c r="D306" s="130"/>
      <c r="E306" s="32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7"/>
      <c r="AD306" s="17"/>
    </row>
    <row r="307">
      <c r="A307" s="36"/>
      <c r="B307" s="32"/>
      <c r="C307" s="130"/>
      <c r="D307" s="130"/>
      <c r="E307" s="32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7"/>
      <c r="AD307" s="17"/>
    </row>
    <row r="308">
      <c r="A308" s="36"/>
      <c r="B308" s="32"/>
      <c r="C308" s="130"/>
      <c r="D308" s="130"/>
      <c r="E308" s="32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7"/>
      <c r="AD308" s="17"/>
    </row>
    <row r="309">
      <c r="A309" s="36"/>
      <c r="B309" s="32"/>
      <c r="C309" s="130"/>
      <c r="D309" s="130"/>
      <c r="E309" s="32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7"/>
      <c r="AD309" s="17"/>
    </row>
    <row r="310">
      <c r="A310" s="36"/>
      <c r="B310" s="32"/>
      <c r="C310" s="130"/>
      <c r="D310" s="130"/>
      <c r="E310" s="32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7"/>
      <c r="AD310" s="17"/>
    </row>
    <row r="311">
      <c r="A311" s="36"/>
      <c r="B311" s="32"/>
      <c r="C311" s="130"/>
      <c r="D311" s="130"/>
      <c r="E311" s="32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7"/>
      <c r="AD311" s="17"/>
    </row>
    <row r="312">
      <c r="A312" s="36"/>
      <c r="B312" s="32"/>
      <c r="C312" s="130"/>
      <c r="D312" s="130"/>
      <c r="E312" s="32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7"/>
      <c r="AD312" s="17"/>
    </row>
    <row r="313">
      <c r="A313" s="36"/>
      <c r="B313" s="32"/>
      <c r="C313" s="130"/>
      <c r="D313" s="130"/>
      <c r="E313" s="32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7"/>
      <c r="AD313" s="17"/>
    </row>
    <row r="314">
      <c r="A314" s="36"/>
      <c r="B314" s="32"/>
      <c r="C314" s="130"/>
      <c r="D314" s="130"/>
      <c r="E314" s="32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7"/>
      <c r="AD314" s="17"/>
    </row>
    <row r="315">
      <c r="A315" s="36"/>
      <c r="B315" s="32"/>
      <c r="C315" s="130"/>
      <c r="D315" s="130"/>
      <c r="E315" s="32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7"/>
      <c r="AD315" s="17"/>
    </row>
    <row r="316">
      <c r="A316" s="36"/>
      <c r="B316" s="32"/>
      <c r="C316" s="130"/>
      <c r="D316" s="130"/>
      <c r="E316" s="32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7"/>
      <c r="AD316" s="17"/>
    </row>
    <row r="317">
      <c r="A317" s="36"/>
      <c r="B317" s="32"/>
      <c r="C317" s="130"/>
      <c r="D317" s="130"/>
      <c r="E317" s="32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7"/>
      <c r="AD317" s="17"/>
    </row>
    <row r="318">
      <c r="A318" s="36"/>
      <c r="B318" s="32"/>
      <c r="C318" s="130"/>
      <c r="D318" s="130"/>
      <c r="E318" s="32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7"/>
      <c r="AD318" s="17"/>
    </row>
    <row r="319">
      <c r="A319" s="36"/>
      <c r="B319" s="32"/>
      <c r="C319" s="130"/>
      <c r="D319" s="130"/>
      <c r="E319" s="32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7"/>
      <c r="AD319" s="17"/>
    </row>
    <row r="320">
      <c r="A320" s="36"/>
      <c r="B320" s="32"/>
      <c r="C320" s="130"/>
      <c r="D320" s="130"/>
      <c r="E320" s="32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7"/>
      <c r="AD320" s="17"/>
    </row>
    <row r="321">
      <c r="A321" s="36"/>
      <c r="B321" s="32"/>
      <c r="C321" s="130"/>
      <c r="D321" s="130"/>
      <c r="E321" s="32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7"/>
      <c r="AD321" s="17"/>
    </row>
    <row r="322">
      <c r="A322" s="36"/>
      <c r="B322" s="32"/>
      <c r="C322" s="130"/>
      <c r="D322" s="130"/>
      <c r="E322" s="32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7"/>
      <c r="AD322" s="17"/>
    </row>
    <row r="323">
      <c r="A323" s="36"/>
      <c r="B323" s="32"/>
      <c r="C323" s="130"/>
      <c r="D323" s="130"/>
      <c r="E323" s="32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7"/>
      <c r="AD323" s="17"/>
    </row>
    <row r="324">
      <c r="A324" s="36"/>
      <c r="B324" s="32"/>
      <c r="C324" s="130"/>
      <c r="D324" s="130"/>
      <c r="E324" s="32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7"/>
      <c r="AD324" s="17"/>
    </row>
    <row r="325">
      <c r="A325" s="36"/>
      <c r="B325" s="32"/>
      <c r="C325" s="130"/>
      <c r="D325" s="130"/>
      <c r="E325" s="32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7"/>
      <c r="AD325" s="17"/>
    </row>
    <row r="326">
      <c r="A326" s="36"/>
      <c r="B326" s="32"/>
      <c r="C326" s="130"/>
      <c r="D326" s="130"/>
      <c r="E326" s="32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7"/>
      <c r="AD326" s="17"/>
    </row>
    <row r="327">
      <c r="A327" s="36"/>
      <c r="B327" s="32"/>
      <c r="C327" s="130"/>
      <c r="D327" s="130"/>
      <c r="E327" s="32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7"/>
      <c r="AD327" s="17"/>
    </row>
    <row r="328">
      <c r="A328" s="36"/>
      <c r="B328" s="32"/>
      <c r="C328" s="130"/>
      <c r="D328" s="130"/>
      <c r="E328" s="32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7"/>
      <c r="AD328" s="17"/>
    </row>
    <row r="329">
      <c r="A329" s="36"/>
      <c r="B329" s="32"/>
      <c r="C329" s="130"/>
      <c r="D329" s="130"/>
      <c r="E329" s="32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7"/>
      <c r="AD329" s="17"/>
    </row>
    <row r="330">
      <c r="A330" s="36"/>
      <c r="B330" s="32"/>
      <c r="C330" s="130"/>
      <c r="D330" s="130"/>
      <c r="E330" s="32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7"/>
      <c r="AD330" s="17"/>
    </row>
    <row r="331">
      <c r="A331" s="36"/>
      <c r="B331" s="32"/>
      <c r="C331" s="130"/>
      <c r="D331" s="130"/>
      <c r="E331" s="32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7"/>
      <c r="AD331" s="17"/>
    </row>
    <row r="332">
      <c r="A332" s="36"/>
      <c r="B332" s="32"/>
      <c r="C332" s="130"/>
      <c r="D332" s="130"/>
      <c r="E332" s="32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7"/>
      <c r="AD332" s="17"/>
    </row>
    <row r="333">
      <c r="A333" s="36"/>
      <c r="B333" s="32"/>
      <c r="C333" s="130"/>
      <c r="D333" s="130"/>
      <c r="E333" s="32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7"/>
      <c r="AD333" s="17"/>
    </row>
    <row r="334">
      <c r="A334" s="36"/>
      <c r="B334" s="32"/>
      <c r="C334" s="130"/>
      <c r="D334" s="130"/>
      <c r="E334" s="32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7"/>
      <c r="AD334" s="17"/>
    </row>
    <row r="335">
      <c r="A335" s="36"/>
      <c r="B335" s="32"/>
      <c r="C335" s="130"/>
      <c r="D335" s="130"/>
      <c r="E335" s="32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7"/>
      <c r="AD335" s="17"/>
    </row>
    <row r="336">
      <c r="A336" s="36"/>
      <c r="B336" s="32"/>
      <c r="C336" s="130"/>
      <c r="D336" s="130"/>
      <c r="E336" s="32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7"/>
      <c r="AD336" s="17"/>
    </row>
    <row r="337">
      <c r="A337" s="36"/>
      <c r="B337" s="32"/>
      <c r="C337" s="130"/>
      <c r="D337" s="130"/>
      <c r="E337" s="32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7"/>
      <c r="AD337" s="17"/>
    </row>
    <row r="338">
      <c r="A338" s="36"/>
      <c r="B338" s="32"/>
      <c r="C338" s="130"/>
      <c r="D338" s="130"/>
      <c r="E338" s="32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7"/>
      <c r="AD338" s="17"/>
    </row>
    <row r="339">
      <c r="A339" s="36"/>
      <c r="B339" s="32"/>
      <c r="C339" s="130"/>
      <c r="D339" s="130"/>
      <c r="E339" s="32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7"/>
      <c r="AD339" s="17"/>
    </row>
    <row r="340">
      <c r="A340" s="36"/>
      <c r="B340" s="32"/>
      <c r="C340" s="130"/>
      <c r="D340" s="130"/>
      <c r="E340" s="32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7"/>
      <c r="AD340" s="17"/>
    </row>
    <row r="341">
      <c r="A341" s="36"/>
      <c r="B341" s="32"/>
      <c r="C341" s="130"/>
      <c r="D341" s="130"/>
      <c r="E341" s="32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7"/>
      <c r="AD341" s="17"/>
    </row>
    <row r="342">
      <c r="A342" s="36"/>
      <c r="B342" s="32"/>
      <c r="C342" s="130"/>
      <c r="D342" s="130"/>
      <c r="E342" s="32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7"/>
      <c r="AD342" s="17"/>
    </row>
    <row r="343">
      <c r="A343" s="36"/>
      <c r="B343" s="32"/>
      <c r="C343" s="130"/>
      <c r="D343" s="130"/>
      <c r="E343" s="32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7"/>
      <c r="AD343" s="17"/>
    </row>
    <row r="344">
      <c r="A344" s="36"/>
      <c r="B344" s="32"/>
      <c r="C344" s="130"/>
      <c r="D344" s="130"/>
      <c r="E344" s="32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7"/>
      <c r="AD344" s="17"/>
    </row>
    <row r="345">
      <c r="A345" s="36"/>
      <c r="B345" s="32"/>
      <c r="C345" s="130"/>
      <c r="D345" s="130"/>
      <c r="E345" s="32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7"/>
      <c r="AD345" s="17"/>
    </row>
    <row r="346">
      <c r="A346" s="36"/>
      <c r="B346" s="32"/>
      <c r="C346" s="130"/>
      <c r="D346" s="130"/>
      <c r="E346" s="32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7"/>
      <c r="AD346" s="17"/>
    </row>
    <row r="347">
      <c r="A347" s="36"/>
      <c r="B347" s="32"/>
      <c r="C347" s="130"/>
      <c r="D347" s="130"/>
      <c r="E347" s="32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7"/>
      <c r="AD347" s="17"/>
    </row>
    <row r="348">
      <c r="A348" s="36"/>
      <c r="B348" s="32"/>
      <c r="C348" s="130"/>
      <c r="D348" s="130"/>
      <c r="E348" s="32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7"/>
      <c r="AD348" s="17"/>
    </row>
    <row r="349">
      <c r="A349" s="36"/>
      <c r="B349" s="32"/>
      <c r="C349" s="130"/>
      <c r="D349" s="130"/>
      <c r="E349" s="32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7"/>
      <c r="AD349" s="17"/>
    </row>
    <row r="350">
      <c r="A350" s="36"/>
      <c r="B350" s="32"/>
      <c r="C350" s="130"/>
      <c r="D350" s="130"/>
      <c r="E350" s="32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7"/>
      <c r="AD350" s="17"/>
    </row>
    <row r="351">
      <c r="A351" s="36"/>
      <c r="B351" s="32"/>
      <c r="C351" s="130"/>
      <c r="D351" s="130"/>
      <c r="E351" s="32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7"/>
      <c r="AD351" s="17"/>
    </row>
    <row r="352">
      <c r="A352" s="36"/>
      <c r="B352" s="32"/>
      <c r="C352" s="130"/>
      <c r="D352" s="130"/>
      <c r="E352" s="32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7"/>
      <c r="AD352" s="17"/>
    </row>
    <row r="353">
      <c r="A353" s="36"/>
      <c r="B353" s="32"/>
      <c r="C353" s="130"/>
      <c r="D353" s="130"/>
      <c r="E353" s="32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7"/>
      <c r="AD353" s="17"/>
    </row>
    <row r="354">
      <c r="A354" s="36"/>
      <c r="B354" s="32"/>
      <c r="C354" s="130"/>
      <c r="D354" s="130"/>
      <c r="E354" s="32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7"/>
      <c r="AD354" s="17"/>
    </row>
    <row r="355">
      <c r="A355" s="36"/>
      <c r="B355" s="32"/>
      <c r="C355" s="130"/>
      <c r="D355" s="130"/>
      <c r="E355" s="32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7"/>
      <c r="AD355" s="17"/>
    </row>
    <row r="356">
      <c r="A356" s="36"/>
      <c r="B356" s="32"/>
      <c r="C356" s="130"/>
      <c r="D356" s="130"/>
      <c r="E356" s="32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7"/>
      <c r="AD356" s="17"/>
    </row>
    <row r="357">
      <c r="A357" s="36"/>
      <c r="B357" s="32"/>
      <c r="C357" s="130"/>
      <c r="D357" s="130"/>
      <c r="E357" s="32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7"/>
      <c r="AD357" s="17"/>
    </row>
    <row r="358">
      <c r="A358" s="36"/>
      <c r="B358" s="32"/>
      <c r="C358" s="130"/>
      <c r="D358" s="130"/>
      <c r="E358" s="32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7"/>
      <c r="AD358" s="17"/>
    </row>
    <row r="359">
      <c r="A359" s="36"/>
      <c r="B359" s="32"/>
      <c r="C359" s="130"/>
      <c r="D359" s="130"/>
      <c r="E359" s="32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7"/>
      <c r="AD359" s="17"/>
    </row>
    <row r="360">
      <c r="A360" s="36"/>
      <c r="B360" s="32"/>
      <c r="C360" s="130"/>
      <c r="D360" s="130"/>
      <c r="E360" s="32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7"/>
      <c r="AD360" s="17"/>
    </row>
    <row r="361">
      <c r="A361" s="36"/>
      <c r="B361" s="32"/>
      <c r="C361" s="130"/>
      <c r="D361" s="130"/>
      <c r="E361" s="32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7"/>
      <c r="AD361" s="17"/>
    </row>
    <row r="362">
      <c r="A362" s="36"/>
      <c r="B362" s="32"/>
      <c r="C362" s="130"/>
      <c r="D362" s="130"/>
      <c r="E362" s="32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7"/>
      <c r="AD362" s="17"/>
    </row>
    <row r="363">
      <c r="A363" s="36"/>
      <c r="B363" s="32"/>
      <c r="C363" s="130"/>
      <c r="D363" s="130"/>
      <c r="E363" s="32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7"/>
      <c r="AD363" s="17"/>
    </row>
    <row r="364">
      <c r="A364" s="36"/>
      <c r="B364" s="32"/>
      <c r="C364" s="130"/>
      <c r="D364" s="130"/>
      <c r="E364" s="32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7"/>
      <c r="AD364" s="17"/>
    </row>
    <row r="365">
      <c r="A365" s="36"/>
      <c r="B365" s="32"/>
      <c r="C365" s="130"/>
      <c r="D365" s="130"/>
      <c r="E365" s="32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7"/>
      <c r="AD365" s="17"/>
    </row>
    <row r="366">
      <c r="A366" s="36"/>
      <c r="B366" s="32"/>
      <c r="C366" s="130"/>
      <c r="D366" s="130"/>
      <c r="E366" s="32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7"/>
      <c r="AD366" s="17"/>
    </row>
    <row r="367">
      <c r="A367" s="36"/>
      <c r="B367" s="32"/>
      <c r="C367" s="130"/>
      <c r="D367" s="130"/>
      <c r="E367" s="32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7"/>
      <c r="AD367" s="17"/>
    </row>
    <row r="368">
      <c r="A368" s="36"/>
      <c r="B368" s="32"/>
      <c r="C368" s="130"/>
      <c r="D368" s="130"/>
      <c r="E368" s="32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7"/>
      <c r="AD368" s="17"/>
    </row>
    <row r="369">
      <c r="A369" s="36"/>
      <c r="B369" s="32"/>
      <c r="C369" s="130"/>
      <c r="D369" s="130"/>
      <c r="E369" s="32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7"/>
      <c r="AD369" s="17"/>
    </row>
    <row r="370">
      <c r="A370" s="36"/>
      <c r="B370" s="32"/>
      <c r="C370" s="130"/>
      <c r="D370" s="130"/>
      <c r="E370" s="32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7"/>
      <c r="AD370" s="17"/>
    </row>
    <row r="371">
      <c r="A371" s="36"/>
      <c r="B371" s="32"/>
      <c r="C371" s="130"/>
      <c r="D371" s="130"/>
      <c r="E371" s="32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7"/>
      <c r="AD371" s="17"/>
    </row>
    <row r="372">
      <c r="A372" s="36"/>
      <c r="B372" s="32"/>
      <c r="C372" s="130"/>
      <c r="D372" s="130"/>
      <c r="E372" s="32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7"/>
      <c r="AD372" s="17"/>
    </row>
    <row r="373">
      <c r="A373" s="36"/>
      <c r="B373" s="32"/>
      <c r="C373" s="130"/>
      <c r="D373" s="130"/>
      <c r="E373" s="32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7"/>
      <c r="AD373" s="17"/>
    </row>
    <row r="374">
      <c r="A374" s="36"/>
      <c r="B374" s="32"/>
      <c r="C374" s="130"/>
      <c r="D374" s="130"/>
      <c r="E374" s="32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7"/>
      <c r="AD374" s="17"/>
    </row>
    <row r="375">
      <c r="A375" s="36"/>
      <c r="B375" s="32"/>
      <c r="C375" s="130"/>
      <c r="D375" s="130"/>
      <c r="E375" s="32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7"/>
      <c r="AD375" s="17"/>
    </row>
    <row r="376">
      <c r="A376" s="36"/>
      <c r="B376" s="32"/>
      <c r="C376" s="130"/>
      <c r="D376" s="130"/>
      <c r="E376" s="32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7"/>
      <c r="AD376" s="17"/>
    </row>
    <row r="377">
      <c r="A377" s="36"/>
      <c r="B377" s="32"/>
      <c r="C377" s="130"/>
      <c r="D377" s="130"/>
      <c r="E377" s="32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7"/>
      <c r="AD377" s="17"/>
    </row>
    <row r="378">
      <c r="A378" s="36"/>
      <c r="B378" s="32"/>
      <c r="C378" s="130"/>
      <c r="D378" s="130"/>
      <c r="E378" s="32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7"/>
      <c r="AD378" s="17"/>
    </row>
    <row r="379">
      <c r="A379" s="36"/>
      <c r="B379" s="32"/>
      <c r="C379" s="130"/>
      <c r="D379" s="130"/>
      <c r="E379" s="32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7"/>
      <c r="AD379" s="17"/>
    </row>
    <row r="380">
      <c r="A380" s="36"/>
      <c r="B380" s="32"/>
      <c r="C380" s="130"/>
      <c r="D380" s="130"/>
      <c r="E380" s="32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7"/>
      <c r="AD380" s="17"/>
    </row>
    <row r="381">
      <c r="A381" s="36"/>
      <c r="B381" s="32"/>
      <c r="C381" s="130"/>
      <c r="D381" s="130"/>
      <c r="E381" s="32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7"/>
      <c r="AD381" s="17"/>
    </row>
    <row r="382">
      <c r="A382" s="36"/>
      <c r="B382" s="32"/>
      <c r="C382" s="130"/>
      <c r="D382" s="130"/>
      <c r="E382" s="32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7"/>
      <c r="AD382" s="17"/>
    </row>
    <row r="383">
      <c r="A383" s="36"/>
      <c r="B383" s="32"/>
      <c r="C383" s="130"/>
      <c r="D383" s="130"/>
      <c r="E383" s="32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7"/>
      <c r="AD383" s="17"/>
    </row>
    <row r="384">
      <c r="A384" s="36"/>
      <c r="B384" s="32"/>
      <c r="C384" s="130"/>
      <c r="D384" s="130"/>
      <c r="E384" s="32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7"/>
      <c r="AD384" s="17"/>
    </row>
    <row r="385">
      <c r="A385" s="36"/>
      <c r="B385" s="32"/>
      <c r="C385" s="130"/>
      <c r="D385" s="130"/>
      <c r="E385" s="32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7"/>
      <c r="AD385" s="17"/>
    </row>
    <row r="386">
      <c r="A386" s="36"/>
      <c r="B386" s="32"/>
      <c r="C386" s="130"/>
      <c r="D386" s="130"/>
      <c r="E386" s="32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7"/>
      <c r="AD386" s="17"/>
    </row>
    <row r="387">
      <c r="A387" s="36"/>
      <c r="B387" s="32"/>
      <c r="C387" s="130"/>
      <c r="D387" s="130"/>
      <c r="E387" s="32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7"/>
      <c r="AD387" s="17"/>
    </row>
    <row r="388">
      <c r="A388" s="36"/>
      <c r="B388" s="32"/>
      <c r="C388" s="130"/>
      <c r="D388" s="130"/>
      <c r="E388" s="32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7"/>
      <c r="AD388" s="17"/>
    </row>
    <row r="389">
      <c r="A389" s="36"/>
      <c r="B389" s="32"/>
      <c r="C389" s="130"/>
      <c r="D389" s="130"/>
      <c r="E389" s="32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7"/>
      <c r="AD389" s="17"/>
    </row>
    <row r="390">
      <c r="A390" s="36"/>
      <c r="B390" s="32"/>
      <c r="C390" s="130"/>
      <c r="D390" s="130"/>
      <c r="E390" s="32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7"/>
      <c r="AD390" s="17"/>
    </row>
    <row r="391">
      <c r="A391" s="36"/>
      <c r="B391" s="32"/>
      <c r="C391" s="130"/>
      <c r="D391" s="130"/>
      <c r="E391" s="32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7"/>
      <c r="AD391" s="17"/>
    </row>
    <row r="392">
      <c r="A392" s="36"/>
      <c r="B392" s="32"/>
      <c r="C392" s="130"/>
      <c r="D392" s="130"/>
      <c r="E392" s="32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7"/>
      <c r="AD392" s="17"/>
    </row>
    <row r="393">
      <c r="A393" s="36"/>
      <c r="B393" s="32"/>
      <c r="C393" s="130"/>
      <c r="D393" s="130"/>
      <c r="E393" s="32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7"/>
      <c r="AD393" s="17"/>
    </row>
    <row r="394">
      <c r="A394" s="36"/>
      <c r="B394" s="32"/>
      <c r="C394" s="130"/>
      <c r="D394" s="130"/>
      <c r="E394" s="32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7"/>
      <c r="AD394" s="17"/>
    </row>
    <row r="395">
      <c r="A395" s="36"/>
      <c r="B395" s="32"/>
      <c r="C395" s="130"/>
      <c r="D395" s="130"/>
      <c r="E395" s="32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7"/>
      <c r="AD395" s="17"/>
    </row>
    <row r="396">
      <c r="A396" s="36"/>
      <c r="B396" s="32"/>
      <c r="C396" s="130"/>
      <c r="D396" s="130"/>
      <c r="E396" s="32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7"/>
      <c r="AD396" s="17"/>
    </row>
    <row r="397">
      <c r="A397" s="36"/>
      <c r="B397" s="32"/>
      <c r="C397" s="130"/>
      <c r="D397" s="130"/>
      <c r="E397" s="32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7"/>
      <c r="AD397" s="17"/>
    </row>
    <row r="398">
      <c r="A398" s="36"/>
      <c r="B398" s="32"/>
      <c r="C398" s="130"/>
      <c r="D398" s="130"/>
      <c r="E398" s="32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7"/>
      <c r="AD398" s="17"/>
    </row>
    <row r="399">
      <c r="A399" s="36"/>
      <c r="B399" s="32"/>
      <c r="C399" s="130"/>
      <c r="D399" s="130"/>
      <c r="E399" s="32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7"/>
      <c r="AD399" s="17"/>
    </row>
    <row r="400">
      <c r="A400" s="36"/>
      <c r="B400" s="32"/>
      <c r="C400" s="130"/>
      <c r="D400" s="130"/>
      <c r="E400" s="32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7"/>
      <c r="AD400" s="17"/>
    </row>
    <row r="401">
      <c r="A401" s="36"/>
      <c r="B401" s="32"/>
      <c r="C401" s="130"/>
      <c r="D401" s="130"/>
      <c r="E401" s="32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7"/>
      <c r="AD401" s="17"/>
    </row>
    <row r="402">
      <c r="A402" s="36"/>
      <c r="B402" s="32"/>
      <c r="C402" s="130"/>
      <c r="D402" s="130"/>
      <c r="E402" s="32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7"/>
      <c r="AD402" s="17"/>
    </row>
    <row r="403">
      <c r="A403" s="36"/>
      <c r="B403" s="32"/>
      <c r="C403" s="130"/>
      <c r="D403" s="130"/>
      <c r="E403" s="32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7"/>
      <c r="AD403" s="17"/>
    </row>
    <row r="404">
      <c r="A404" s="36"/>
      <c r="B404" s="32"/>
      <c r="C404" s="130"/>
      <c r="D404" s="130"/>
      <c r="E404" s="32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7"/>
      <c r="AD404" s="17"/>
    </row>
    <row r="405">
      <c r="A405" s="36"/>
      <c r="B405" s="32"/>
      <c r="C405" s="130"/>
      <c r="D405" s="130"/>
      <c r="E405" s="32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7"/>
      <c r="AD405" s="17"/>
    </row>
    <row r="406">
      <c r="A406" s="36"/>
      <c r="B406" s="32"/>
      <c r="C406" s="130"/>
      <c r="D406" s="130"/>
      <c r="E406" s="32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7"/>
      <c r="AD406" s="17"/>
    </row>
    <row r="407">
      <c r="A407" s="36"/>
      <c r="B407" s="32"/>
      <c r="C407" s="130"/>
      <c r="D407" s="130"/>
      <c r="E407" s="32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7"/>
      <c r="AD407" s="17"/>
    </row>
    <row r="408">
      <c r="A408" s="36"/>
      <c r="B408" s="32"/>
      <c r="C408" s="130"/>
      <c r="D408" s="130"/>
      <c r="E408" s="32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7"/>
      <c r="AD408" s="17"/>
    </row>
    <row r="409">
      <c r="A409" s="36"/>
      <c r="B409" s="32"/>
      <c r="C409" s="130"/>
      <c r="D409" s="130"/>
      <c r="E409" s="32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7"/>
      <c r="AD409" s="17"/>
    </row>
    <row r="410">
      <c r="A410" s="36"/>
      <c r="B410" s="32"/>
      <c r="C410" s="130"/>
      <c r="D410" s="130"/>
      <c r="E410" s="32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7"/>
      <c r="AD410" s="17"/>
    </row>
    <row r="411">
      <c r="A411" s="36"/>
      <c r="B411" s="32"/>
      <c r="C411" s="130"/>
      <c r="D411" s="130"/>
      <c r="E411" s="32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7"/>
      <c r="AD411" s="17"/>
    </row>
    <row r="412">
      <c r="A412" s="36"/>
      <c r="B412" s="32"/>
      <c r="C412" s="130"/>
      <c r="D412" s="130"/>
      <c r="E412" s="32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7"/>
      <c r="AD412" s="17"/>
    </row>
    <row r="413">
      <c r="A413" s="36"/>
      <c r="B413" s="32"/>
      <c r="C413" s="130"/>
      <c r="D413" s="130"/>
      <c r="E413" s="32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7"/>
      <c r="AD413" s="17"/>
    </row>
    <row r="414">
      <c r="A414" s="36"/>
      <c r="B414" s="32"/>
      <c r="C414" s="130"/>
      <c r="D414" s="130"/>
      <c r="E414" s="32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7"/>
      <c r="AD414" s="17"/>
    </row>
    <row r="415">
      <c r="A415" s="36"/>
      <c r="B415" s="32"/>
      <c r="C415" s="130"/>
      <c r="D415" s="130"/>
      <c r="E415" s="32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7"/>
      <c r="AD415" s="17"/>
    </row>
    <row r="416">
      <c r="A416" s="36"/>
      <c r="B416" s="32"/>
      <c r="C416" s="130"/>
      <c r="D416" s="130"/>
      <c r="E416" s="32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7"/>
      <c r="AD416" s="17"/>
    </row>
    <row r="417">
      <c r="A417" s="36"/>
      <c r="B417" s="32"/>
      <c r="C417" s="130"/>
      <c r="D417" s="130"/>
      <c r="E417" s="32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7"/>
      <c r="AD417" s="17"/>
    </row>
    <row r="418">
      <c r="A418" s="36"/>
      <c r="B418" s="32"/>
      <c r="C418" s="130"/>
      <c r="D418" s="130"/>
      <c r="E418" s="32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7"/>
      <c r="AD418" s="17"/>
    </row>
    <row r="419">
      <c r="A419" s="36"/>
      <c r="B419" s="32"/>
      <c r="C419" s="130"/>
      <c r="D419" s="130"/>
      <c r="E419" s="32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7"/>
      <c r="AD419" s="17"/>
    </row>
    <row r="420">
      <c r="A420" s="36"/>
      <c r="B420" s="32"/>
      <c r="C420" s="130"/>
      <c r="D420" s="130"/>
      <c r="E420" s="32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7"/>
      <c r="AD420" s="17"/>
    </row>
    <row r="421">
      <c r="A421" s="36"/>
      <c r="B421" s="32"/>
      <c r="C421" s="130"/>
      <c r="D421" s="130"/>
      <c r="E421" s="32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7"/>
      <c r="AD421" s="17"/>
    </row>
    <row r="422">
      <c r="A422" s="36"/>
      <c r="B422" s="32"/>
      <c r="C422" s="130"/>
      <c r="D422" s="130"/>
      <c r="E422" s="32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7"/>
      <c r="AD422" s="17"/>
    </row>
    <row r="423">
      <c r="A423" s="36"/>
      <c r="B423" s="32"/>
      <c r="C423" s="130"/>
      <c r="D423" s="130"/>
      <c r="E423" s="32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7"/>
      <c r="AD423" s="17"/>
    </row>
    <row r="424">
      <c r="A424" s="36"/>
      <c r="B424" s="32"/>
      <c r="C424" s="130"/>
      <c r="D424" s="130"/>
      <c r="E424" s="32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7"/>
      <c r="AD424" s="17"/>
    </row>
    <row r="425">
      <c r="A425" s="36"/>
      <c r="B425" s="32"/>
      <c r="C425" s="130"/>
      <c r="D425" s="130"/>
      <c r="E425" s="32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7"/>
      <c r="AD425" s="17"/>
    </row>
    <row r="426">
      <c r="A426" s="36"/>
      <c r="B426" s="32"/>
      <c r="C426" s="130"/>
      <c r="D426" s="130"/>
      <c r="E426" s="32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7"/>
      <c r="AD426" s="17"/>
    </row>
    <row r="427">
      <c r="A427" s="36"/>
      <c r="B427" s="32"/>
      <c r="C427" s="130"/>
      <c r="D427" s="130"/>
      <c r="E427" s="32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7"/>
      <c r="AD427" s="17"/>
    </row>
    <row r="428">
      <c r="A428" s="36"/>
      <c r="B428" s="32"/>
      <c r="C428" s="130"/>
      <c r="D428" s="130"/>
      <c r="E428" s="32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7"/>
      <c r="AD428" s="17"/>
    </row>
    <row r="429">
      <c r="A429" s="36"/>
      <c r="B429" s="32"/>
      <c r="C429" s="130"/>
      <c r="D429" s="130"/>
      <c r="E429" s="32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7"/>
      <c r="AD429" s="17"/>
    </row>
    <row r="430">
      <c r="A430" s="36"/>
      <c r="B430" s="32"/>
      <c r="C430" s="130"/>
      <c r="D430" s="130"/>
      <c r="E430" s="32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7"/>
      <c r="AD430" s="17"/>
    </row>
    <row r="431">
      <c r="A431" s="36"/>
      <c r="B431" s="32"/>
      <c r="C431" s="130"/>
      <c r="D431" s="130"/>
      <c r="E431" s="32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7"/>
      <c r="AD431" s="17"/>
    </row>
    <row r="432">
      <c r="A432" s="36"/>
      <c r="B432" s="32"/>
      <c r="C432" s="130"/>
      <c r="D432" s="130"/>
      <c r="E432" s="32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7"/>
      <c r="AD432" s="17"/>
    </row>
    <row r="433">
      <c r="A433" s="36"/>
      <c r="B433" s="32"/>
      <c r="C433" s="130"/>
      <c r="D433" s="130"/>
      <c r="E433" s="32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7"/>
      <c r="AD433" s="17"/>
    </row>
    <row r="434">
      <c r="A434" s="36"/>
      <c r="B434" s="32"/>
      <c r="C434" s="130"/>
      <c r="D434" s="130"/>
      <c r="E434" s="32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7"/>
      <c r="AD434" s="17"/>
    </row>
    <row r="435">
      <c r="A435" s="36"/>
      <c r="B435" s="32"/>
      <c r="C435" s="130"/>
      <c r="D435" s="130"/>
      <c r="E435" s="32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7"/>
      <c r="AD435" s="17"/>
    </row>
    <row r="436">
      <c r="A436" s="36"/>
      <c r="B436" s="32"/>
      <c r="C436" s="130"/>
      <c r="D436" s="130"/>
      <c r="E436" s="32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7"/>
      <c r="AD436" s="17"/>
    </row>
    <row r="437">
      <c r="A437" s="36"/>
      <c r="B437" s="32"/>
      <c r="C437" s="130"/>
      <c r="D437" s="130"/>
      <c r="E437" s="32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7"/>
      <c r="AD437" s="17"/>
    </row>
    <row r="438">
      <c r="A438" s="36"/>
      <c r="B438" s="32"/>
      <c r="C438" s="130"/>
      <c r="D438" s="130"/>
      <c r="E438" s="32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7"/>
      <c r="AD438" s="17"/>
    </row>
    <row r="439">
      <c r="A439" s="36"/>
      <c r="B439" s="32"/>
      <c r="C439" s="130"/>
      <c r="D439" s="130"/>
      <c r="E439" s="32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7"/>
      <c r="AD439" s="17"/>
    </row>
    <row r="440">
      <c r="A440" s="36"/>
      <c r="B440" s="32"/>
      <c r="C440" s="130"/>
      <c r="D440" s="130"/>
      <c r="E440" s="32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7"/>
      <c r="AD440" s="17"/>
    </row>
    <row r="441">
      <c r="A441" s="36"/>
      <c r="B441" s="32"/>
      <c r="C441" s="130"/>
      <c r="D441" s="130"/>
      <c r="E441" s="32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7"/>
      <c r="AD441" s="17"/>
    </row>
    <row r="442">
      <c r="A442" s="36"/>
      <c r="B442" s="32"/>
      <c r="C442" s="130"/>
      <c r="D442" s="130"/>
      <c r="E442" s="32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7"/>
      <c r="AD442" s="17"/>
    </row>
    <row r="443">
      <c r="A443" s="36"/>
      <c r="B443" s="32"/>
      <c r="C443" s="130"/>
      <c r="D443" s="130"/>
      <c r="E443" s="32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7"/>
      <c r="AD443" s="17"/>
    </row>
    <row r="444">
      <c r="A444" s="36"/>
      <c r="B444" s="32"/>
      <c r="C444" s="130"/>
      <c r="D444" s="130"/>
      <c r="E444" s="32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7"/>
      <c r="AD444" s="17"/>
    </row>
    <row r="445">
      <c r="A445" s="36"/>
      <c r="B445" s="32"/>
      <c r="C445" s="130"/>
      <c r="D445" s="130"/>
      <c r="E445" s="32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7"/>
      <c r="AD445" s="17"/>
    </row>
    <row r="446">
      <c r="A446" s="36"/>
      <c r="B446" s="32"/>
      <c r="C446" s="130"/>
      <c r="D446" s="130"/>
      <c r="E446" s="32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7"/>
      <c r="AD446" s="17"/>
    </row>
    <row r="447">
      <c r="A447" s="36"/>
      <c r="B447" s="32"/>
      <c r="C447" s="130"/>
      <c r="D447" s="130"/>
      <c r="E447" s="32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7"/>
      <c r="AD447" s="17"/>
    </row>
    <row r="448">
      <c r="A448" s="36"/>
      <c r="B448" s="32"/>
      <c r="C448" s="130"/>
      <c r="D448" s="130"/>
      <c r="E448" s="32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7"/>
      <c r="AD448" s="17"/>
    </row>
    <row r="449">
      <c r="A449" s="36"/>
      <c r="B449" s="32"/>
      <c r="C449" s="130"/>
      <c r="D449" s="130"/>
      <c r="E449" s="32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7"/>
      <c r="AD449" s="17"/>
    </row>
    <row r="450">
      <c r="A450" s="36"/>
      <c r="B450" s="32"/>
      <c r="C450" s="130"/>
      <c r="D450" s="130"/>
      <c r="E450" s="32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7"/>
      <c r="AD450" s="17"/>
    </row>
    <row r="451">
      <c r="A451" s="36"/>
      <c r="B451" s="32"/>
      <c r="C451" s="130"/>
      <c r="D451" s="130"/>
      <c r="E451" s="32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7"/>
      <c r="AD451" s="17"/>
    </row>
    <row r="452">
      <c r="A452" s="36"/>
      <c r="B452" s="32"/>
      <c r="C452" s="130"/>
      <c r="D452" s="130"/>
      <c r="E452" s="32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7"/>
      <c r="AD452" s="17"/>
    </row>
    <row r="453">
      <c r="A453" s="36"/>
      <c r="B453" s="32"/>
      <c r="C453" s="130"/>
      <c r="D453" s="130"/>
      <c r="E453" s="32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7"/>
      <c r="AD453" s="17"/>
    </row>
    <row r="454">
      <c r="A454" s="36"/>
      <c r="B454" s="32"/>
      <c r="C454" s="130"/>
      <c r="D454" s="130"/>
      <c r="E454" s="32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7"/>
      <c r="AD454" s="17"/>
    </row>
    <row r="455">
      <c r="A455" s="36"/>
      <c r="B455" s="32"/>
      <c r="C455" s="130"/>
      <c r="D455" s="130"/>
      <c r="E455" s="32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7"/>
      <c r="AD455" s="17"/>
    </row>
    <row r="456">
      <c r="A456" s="36"/>
      <c r="B456" s="32"/>
      <c r="C456" s="130"/>
      <c r="D456" s="130"/>
      <c r="E456" s="32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7"/>
      <c r="AD456" s="17"/>
    </row>
    <row r="457">
      <c r="A457" s="36"/>
      <c r="B457" s="32"/>
      <c r="C457" s="130"/>
      <c r="D457" s="130"/>
      <c r="E457" s="32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7"/>
      <c r="AD457" s="17"/>
    </row>
    <row r="458">
      <c r="A458" s="36"/>
      <c r="B458" s="32"/>
      <c r="C458" s="130"/>
      <c r="D458" s="130"/>
      <c r="E458" s="32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7"/>
      <c r="AD458" s="17"/>
    </row>
    <row r="459">
      <c r="A459" s="36"/>
      <c r="B459" s="32"/>
      <c r="C459" s="130"/>
      <c r="D459" s="130"/>
      <c r="E459" s="32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7"/>
      <c r="AD459" s="17"/>
    </row>
    <row r="460">
      <c r="A460" s="36"/>
      <c r="B460" s="32"/>
      <c r="C460" s="130"/>
      <c r="D460" s="130"/>
      <c r="E460" s="32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7"/>
      <c r="AD460" s="17"/>
    </row>
    <row r="461">
      <c r="A461" s="36"/>
      <c r="B461" s="32"/>
      <c r="C461" s="130"/>
      <c r="D461" s="130"/>
      <c r="E461" s="32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7"/>
      <c r="AD461" s="17"/>
    </row>
    <row r="462">
      <c r="A462" s="36"/>
      <c r="B462" s="32"/>
      <c r="C462" s="130"/>
      <c r="D462" s="130"/>
      <c r="E462" s="32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7"/>
      <c r="AD462" s="17"/>
    </row>
    <row r="463">
      <c r="A463" s="36"/>
      <c r="B463" s="32"/>
      <c r="C463" s="130"/>
      <c r="D463" s="130"/>
      <c r="E463" s="32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7"/>
      <c r="AD463" s="17"/>
    </row>
    <row r="464">
      <c r="A464" s="36"/>
      <c r="B464" s="32"/>
      <c r="C464" s="130"/>
      <c r="D464" s="130"/>
      <c r="E464" s="32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7"/>
      <c r="AD464" s="17"/>
    </row>
    <row r="465">
      <c r="A465" s="36"/>
      <c r="B465" s="32"/>
      <c r="C465" s="130"/>
      <c r="D465" s="130"/>
      <c r="E465" s="32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7"/>
      <c r="AD465" s="17"/>
    </row>
    <row r="466">
      <c r="A466" s="36"/>
      <c r="B466" s="32"/>
      <c r="C466" s="130"/>
      <c r="D466" s="130"/>
      <c r="E466" s="32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7"/>
      <c r="AD466" s="17"/>
    </row>
    <row r="467">
      <c r="A467" s="36"/>
      <c r="B467" s="32"/>
      <c r="C467" s="130"/>
      <c r="D467" s="130"/>
      <c r="E467" s="32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7"/>
      <c r="AD467" s="17"/>
    </row>
    <row r="468">
      <c r="A468" s="36"/>
      <c r="B468" s="32"/>
      <c r="C468" s="130"/>
      <c r="D468" s="130"/>
      <c r="E468" s="32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7"/>
      <c r="AD468" s="17"/>
    </row>
    <row r="469">
      <c r="A469" s="36"/>
      <c r="B469" s="32"/>
      <c r="C469" s="130"/>
      <c r="D469" s="130"/>
      <c r="E469" s="32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7"/>
      <c r="AD469" s="17"/>
    </row>
    <row r="470">
      <c r="A470" s="36"/>
      <c r="B470" s="32"/>
      <c r="C470" s="130"/>
      <c r="D470" s="130"/>
      <c r="E470" s="32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7"/>
      <c r="AD470" s="17"/>
    </row>
    <row r="471">
      <c r="A471" s="36"/>
      <c r="B471" s="32"/>
      <c r="C471" s="130"/>
      <c r="D471" s="130"/>
      <c r="E471" s="32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7"/>
      <c r="AD471" s="17"/>
    </row>
    <row r="472">
      <c r="A472" s="36"/>
      <c r="B472" s="32"/>
      <c r="C472" s="130"/>
      <c r="D472" s="130"/>
      <c r="E472" s="32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7"/>
      <c r="AD472" s="17"/>
    </row>
    <row r="473">
      <c r="A473" s="36"/>
      <c r="B473" s="32"/>
      <c r="C473" s="130"/>
      <c r="D473" s="130"/>
      <c r="E473" s="32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7"/>
      <c r="AD473" s="17"/>
    </row>
    <row r="474">
      <c r="A474" s="36"/>
      <c r="B474" s="32"/>
      <c r="C474" s="130"/>
      <c r="D474" s="130"/>
      <c r="E474" s="32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7"/>
      <c r="AD474" s="17"/>
    </row>
    <row r="475">
      <c r="A475" s="36"/>
      <c r="B475" s="32"/>
      <c r="C475" s="130"/>
      <c r="D475" s="130"/>
      <c r="E475" s="32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7"/>
      <c r="AD475" s="17"/>
    </row>
    <row r="476">
      <c r="A476" s="36"/>
      <c r="B476" s="32"/>
      <c r="C476" s="130"/>
      <c r="D476" s="130"/>
      <c r="E476" s="32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7"/>
      <c r="AD476" s="17"/>
    </row>
    <row r="477">
      <c r="A477" s="36"/>
      <c r="B477" s="32"/>
      <c r="C477" s="130"/>
      <c r="D477" s="130"/>
      <c r="E477" s="32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7"/>
      <c r="AD477" s="17"/>
    </row>
    <row r="478">
      <c r="A478" s="36"/>
      <c r="B478" s="32"/>
      <c r="C478" s="130"/>
      <c r="D478" s="130"/>
      <c r="E478" s="32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7"/>
      <c r="AD478" s="17"/>
    </row>
    <row r="479">
      <c r="A479" s="36"/>
      <c r="B479" s="32"/>
      <c r="C479" s="130"/>
      <c r="D479" s="130"/>
      <c r="E479" s="32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7"/>
      <c r="AD479" s="17"/>
    </row>
    <row r="480">
      <c r="A480" s="36"/>
      <c r="B480" s="32"/>
      <c r="C480" s="130"/>
      <c r="D480" s="130"/>
      <c r="E480" s="32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7"/>
      <c r="AD480" s="17"/>
    </row>
    <row r="481">
      <c r="A481" s="36"/>
      <c r="B481" s="32"/>
      <c r="C481" s="130"/>
      <c r="D481" s="130"/>
      <c r="E481" s="32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7"/>
      <c r="AD481" s="17"/>
    </row>
    <row r="482">
      <c r="A482" s="36"/>
      <c r="B482" s="32"/>
      <c r="C482" s="130"/>
      <c r="D482" s="130"/>
      <c r="E482" s="32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7"/>
      <c r="AD482" s="17"/>
    </row>
    <row r="483">
      <c r="A483" s="36"/>
      <c r="B483" s="32"/>
      <c r="C483" s="130"/>
      <c r="D483" s="130"/>
      <c r="E483" s="32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7"/>
      <c r="AD483" s="17"/>
    </row>
    <row r="484">
      <c r="A484" s="36"/>
      <c r="B484" s="32"/>
      <c r="C484" s="130"/>
      <c r="D484" s="130"/>
      <c r="E484" s="32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7"/>
      <c r="AD484" s="17"/>
    </row>
    <row r="485">
      <c r="A485" s="36"/>
      <c r="B485" s="32"/>
      <c r="C485" s="130"/>
      <c r="D485" s="130"/>
      <c r="E485" s="32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7"/>
      <c r="AD485" s="17"/>
    </row>
    <row r="486">
      <c r="A486" s="36"/>
      <c r="B486" s="32"/>
      <c r="C486" s="130"/>
      <c r="D486" s="130"/>
      <c r="E486" s="32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7"/>
      <c r="AD486" s="17"/>
    </row>
    <row r="487">
      <c r="A487" s="36"/>
      <c r="B487" s="32"/>
      <c r="C487" s="130"/>
      <c r="D487" s="130"/>
      <c r="E487" s="32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7"/>
      <c r="AD487" s="17"/>
    </row>
    <row r="488">
      <c r="A488" s="36"/>
      <c r="B488" s="32"/>
      <c r="C488" s="130"/>
      <c r="D488" s="130"/>
      <c r="E488" s="32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7"/>
      <c r="AD488" s="17"/>
    </row>
    <row r="489">
      <c r="A489" s="36"/>
      <c r="B489" s="32"/>
      <c r="C489" s="130"/>
      <c r="D489" s="130"/>
      <c r="E489" s="32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7"/>
      <c r="AD489" s="17"/>
    </row>
    <row r="490">
      <c r="A490" s="36"/>
      <c r="B490" s="32"/>
      <c r="C490" s="130"/>
      <c r="D490" s="130"/>
      <c r="E490" s="32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7"/>
      <c r="AD490" s="17"/>
    </row>
    <row r="491">
      <c r="A491" s="36"/>
      <c r="B491" s="32"/>
      <c r="C491" s="130"/>
      <c r="D491" s="130"/>
      <c r="E491" s="32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7"/>
      <c r="AD491" s="17"/>
    </row>
    <row r="492">
      <c r="A492" s="36"/>
      <c r="B492" s="32"/>
      <c r="C492" s="130"/>
      <c r="D492" s="130"/>
      <c r="E492" s="32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7"/>
      <c r="AD492" s="17"/>
    </row>
    <row r="493">
      <c r="A493" s="36"/>
      <c r="B493" s="32"/>
      <c r="C493" s="130"/>
      <c r="D493" s="130"/>
      <c r="E493" s="32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7"/>
      <c r="AD493" s="17"/>
    </row>
    <row r="494">
      <c r="A494" s="36"/>
      <c r="B494" s="32"/>
      <c r="C494" s="130"/>
      <c r="D494" s="130"/>
      <c r="E494" s="32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7"/>
      <c r="AD494" s="17"/>
    </row>
    <row r="495">
      <c r="A495" s="36"/>
      <c r="B495" s="32"/>
      <c r="C495" s="130"/>
      <c r="D495" s="130"/>
      <c r="E495" s="32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7"/>
      <c r="AD495" s="17"/>
    </row>
    <row r="496">
      <c r="A496" s="36"/>
      <c r="B496" s="32"/>
      <c r="C496" s="130"/>
      <c r="D496" s="130"/>
      <c r="E496" s="32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7"/>
      <c r="AD496" s="17"/>
    </row>
    <row r="497">
      <c r="A497" s="36"/>
      <c r="B497" s="32"/>
      <c r="C497" s="130"/>
      <c r="D497" s="130"/>
      <c r="E497" s="32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7"/>
      <c r="AD497" s="17"/>
    </row>
    <row r="498">
      <c r="A498" s="36"/>
      <c r="B498" s="32"/>
      <c r="C498" s="130"/>
      <c r="D498" s="130"/>
      <c r="E498" s="32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7"/>
      <c r="AD498" s="17"/>
    </row>
    <row r="499">
      <c r="A499" s="36"/>
      <c r="B499" s="32"/>
      <c r="C499" s="130"/>
      <c r="D499" s="130"/>
      <c r="E499" s="32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7"/>
      <c r="AD499" s="17"/>
    </row>
    <row r="500">
      <c r="A500" s="36"/>
      <c r="B500" s="32"/>
      <c r="C500" s="130"/>
      <c r="D500" s="130"/>
      <c r="E500" s="32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7"/>
      <c r="AD500" s="17"/>
    </row>
    <row r="501">
      <c r="A501" s="36"/>
      <c r="B501" s="32"/>
      <c r="C501" s="130"/>
      <c r="D501" s="130"/>
      <c r="E501" s="32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7"/>
      <c r="AD501" s="17"/>
    </row>
    <row r="502">
      <c r="A502" s="36"/>
      <c r="B502" s="32"/>
      <c r="C502" s="130"/>
      <c r="D502" s="130"/>
      <c r="E502" s="32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7"/>
      <c r="AD502" s="17"/>
    </row>
    <row r="503">
      <c r="A503" s="36"/>
      <c r="B503" s="32"/>
      <c r="C503" s="130"/>
      <c r="D503" s="130"/>
      <c r="E503" s="32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7"/>
      <c r="AD503" s="17"/>
    </row>
    <row r="504">
      <c r="A504" s="36"/>
      <c r="B504" s="32"/>
      <c r="C504" s="130"/>
      <c r="D504" s="130"/>
      <c r="E504" s="32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7"/>
      <c r="AD504" s="17"/>
    </row>
    <row r="505">
      <c r="A505" s="36"/>
      <c r="B505" s="32"/>
      <c r="C505" s="130"/>
      <c r="D505" s="130"/>
      <c r="E505" s="32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7"/>
      <c r="AD505" s="17"/>
    </row>
    <row r="506">
      <c r="A506" s="36"/>
      <c r="B506" s="32"/>
      <c r="C506" s="130"/>
      <c r="D506" s="130"/>
      <c r="E506" s="32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7"/>
      <c r="AD506" s="17"/>
    </row>
    <row r="507">
      <c r="A507" s="36"/>
      <c r="B507" s="32"/>
      <c r="C507" s="130"/>
      <c r="D507" s="130"/>
      <c r="E507" s="32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7"/>
      <c r="AD507" s="17"/>
    </row>
    <row r="508">
      <c r="A508" s="36"/>
      <c r="B508" s="32"/>
      <c r="C508" s="130"/>
      <c r="D508" s="130"/>
      <c r="E508" s="32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7"/>
      <c r="AD508" s="17"/>
    </row>
    <row r="509">
      <c r="A509" s="36"/>
      <c r="B509" s="32"/>
      <c r="C509" s="130"/>
      <c r="D509" s="130"/>
      <c r="E509" s="32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7"/>
      <c r="AD509" s="17"/>
    </row>
    <row r="510">
      <c r="A510" s="36"/>
      <c r="B510" s="32"/>
      <c r="C510" s="130"/>
      <c r="D510" s="130"/>
      <c r="E510" s="32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7"/>
      <c r="AD510" s="17"/>
    </row>
    <row r="511">
      <c r="A511" s="36"/>
      <c r="B511" s="32"/>
      <c r="C511" s="130"/>
      <c r="D511" s="130"/>
      <c r="E511" s="32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7"/>
      <c r="AD511" s="17"/>
    </row>
    <row r="512">
      <c r="A512" s="36"/>
      <c r="B512" s="32"/>
      <c r="C512" s="130"/>
      <c r="D512" s="130"/>
      <c r="E512" s="32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7"/>
      <c r="AD512" s="17"/>
    </row>
    <row r="513">
      <c r="A513" s="36"/>
      <c r="B513" s="32"/>
      <c r="C513" s="130"/>
      <c r="D513" s="130"/>
      <c r="E513" s="32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7"/>
      <c r="AD513" s="17"/>
    </row>
    <row r="514">
      <c r="A514" s="36"/>
      <c r="B514" s="32"/>
      <c r="C514" s="130"/>
      <c r="D514" s="130"/>
      <c r="E514" s="32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7"/>
      <c r="AD514" s="17"/>
    </row>
    <row r="515">
      <c r="A515" s="36"/>
      <c r="B515" s="32"/>
      <c r="C515" s="130"/>
      <c r="D515" s="130"/>
      <c r="E515" s="32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7"/>
      <c r="AD515" s="17"/>
    </row>
    <row r="516">
      <c r="A516" s="36"/>
      <c r="B516" s="32"/>
      <c r="C516" s="130"/>
      <c r="D516" s="130"/>
      <c r="E516" s="32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7"/>
      <c r="AD516" s="17"/>
    </row>
    <row r="517">
      <c r="A517" s="36"/>
      <c r="B517" s="32"/>
      <c r="C517" s="130"/>
      <c r="D517" s="130"/>
      <c r="E517" s="32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7"/>
      <c r="AD517" s="17"/>
    </row>
    <row r="518">
      <c r="A518" s="36"/>
      <c r="B518" s="32"/>
      <c r="C518" s="130"/>
      <c r="D518" s="130"/>
      <c r="E518" s="32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7"/>
      <c r="AD518" s="17"/>
    </row>
    <row r="519">
      <c r="A519" s="36"/>
      <c r="B519" s="32"/>
      <c r="C519" s="130"/>
      <c r="D519" s="130"/>
      <c r="E519" s="32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7"/>
      <c r="AD519" s="17"/>
    </row>
    <row r="520">
      <c r="A520" s="36"/>
      <c r="B520" s="32"/>
      <c r="C520" s="130"/>
      <c r="D520" s="130"/>
      <c r="E520" s="32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7"/>
      <c r="AD520" s="17"/>
    </row>
    <row r="521">
      <c r="A521" s="36"/>
      <c r="B521" s="32"/>
      <c r="C521" s="130"/>
      <c r="D521" s="130"/>
      <c r="E521" s="32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7"/>
      <c r="AD521" s="17"/>
    </row>
    <row r="522">
      <c r="A522" s="36"/>
      <c r="B522" s="32"/>
      <c r="C522" s="130"/>
      <c r="D522" s="130"/>
      <c r="E522" s="32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7"/>
      <c r="AD522" s="17"/>
    </row>
    <row r="523">
      <c r="A523" s="36"/>
      <c r="B523" s="32"/>
      <c r="C523" s="130"/>
      <c r="D523" s="130"/>
      <c r="E523" s="32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7"/>
      <c r="AD523" s="17"/>
    </row>
    <row r="524">
      <c r="A524" s="36"/>
      <c r="B524" s="32"/>
      <c r="C524" s="130"/>
      <c r="D524" s="130"/>
      <c r="E524" s="32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7"/>
      <c r="AD524" s="17"/>
    </row>
    <row r="525">
      <c r="A525" s="36"/>
      <c r="B525" s="32"/>
      <c r="C525" s="130"/>
      <c r="D525" s="130"/>
      <c r="E525" s="32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7"/>
      <c r="AD525" s="17"/>
    </row>
    <row r="526">
      <c r="A526" s="36"/>
      <c r="B526" s="32"/>
      <c r="C526" s="130"/>
      <c r="D526" s="130"/>
      <c r="E526" s="32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7"/>
      <c r="AD526" s="17"/>
    </row>
    <row r="527">
      <c r="A527" s="36"/>
      <c r="B527" s="32"/>
      <c r="C527" s="130"/>
      <c r="D527" s="130"/>
      <c r="E527" s="32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7"/>
      <c r="AD527" s="17"/>
    </row>
    <row r="528">
      <c r="A528" s="36"/>
      <c r="B528" s="32"/>
      <c r="C528" s="130"/>
      <c r="D528" s="130"/>
      <c r="E528" s="32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7"/>
      <c r="AD528" s="17"/>
    </row>
    <row r="529">
      <c r="A529" s="36"/>
      <c r="B529" s="32"/>
      <c r="C529" s="130"/>
      <c r="D529" s="130"/>
      <c r="E529" s="32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7"/>
      <c r="AD529" s="17"/>
    </row>
    <row r="530">
      <c r="A530" s="36"/>
      <c r="B530" s="32"/>
      <c r="C530" s="130"/>
      <c r="D530" s="130"/>
      <c r="E530" s="32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7"/>
      <c r="AD530" s="17"/>
    </row>
    <row r="531">
      <c r="A531" s="36"/>
      <c r="B531" s="32"/>
      <c r="C531" s="130"/>
      <c r="D531" s="130"/>
      <c r="E531" s="32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7"/>
      <c r="AD531" s="17"/>
    </row>
    <row r="532">
      <c r="A532" s="36"/>
      <c r="B532" s="32"/>
      <c r="C532" s="130"/>
      <c r="D532" s="130"/>
      <c r="E532" s="32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7"/>
      <c r="AD532" s="17"/>
    </row>
    <row r="533">
      <c r="A533" s="36"/>
      <c r="B533" s="32"/>
      <c r="C533" s="130"/>
      <c r="D533" s="130"/>
      <c r="E533" s="32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7"/>
      <c r="AD533" s="17"/>
    </row>
    <row r="534">
      <c r="A534" s="36"/>
      <c r="B534" s="32"/>
      <c r="C534" s="130"/>
      <c r="D534" s="130"/>
      <c r="E534" s="32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7"/>
      <c r="AD534" s="17"/>
    </row>
    <row r="535">
      <c r="A535" s="36"/>
      <c r="B535" s="32"/>
      <c r="C535" s="130"/>
      <c r="D535" s="130"/>
      <c r="E535" s="32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7"/>
      <c r="AD535" s="17"/>
    </row>
    <row r="536">
      <c r="A536" s="36"/>
      <c r="B536" s="32"/>
      <c r="C536" s="130"/>
      <c r="D536" s="130"/>
      <c r="E536" s="32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7"/>
      <c r="AD536" s="17"/>
    </row>
    <row r="537">
      <c r="A537" s="36"/>
      <c r="B537" s="32"/>
      <c r="C537" s="130"/>
      <c r="D537" s="130"/>
      <c r="E537" s="32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7"/>
      <c r="AD537" s="17"/>
    </row>
    <row r="538">
      <c r="A538" s="36"/>
      <c r="B538" s="32"/>
      <c r="C538" s="130"/>
      <c r="D538" s="130"/>
      <c r="E538" s="32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7"/>
      <c r="AD538" s="17"/>
    </row>
    <row r="539">
      <c r="A539" s="36"/>
      <c r="B539" s="32"/>
      <c r="C539" s="130"/>
      <c r="D539" s="130"/>
      <c r="E539" s="32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7"/>
      <c r="AD539" s="17"/>
    </row>
    <row r="540">
      <c r="A540" s="36"/>
      <c r="B540" s="32"/>
      <c r="C540" s="130"/>
      <c r="D540" s="130"/>
      <c r="E540" s="32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7"/>
      <c r="AD540" s="17"/>
    </row>
    <row r="541">
      <c r="A541" s="36"/>
      <c r="B541" s="32"/>
      <c r="C541" s="130"/>
      <c r="D541" s="130"/>
      <c r="E541" s="32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7"/>
      <c r="AD541" s="17"/>
    </row>
    <row r="542">
      <c r="A542" s="36"/>
      <c r="B542" s="32"/>
      <c r="C542" s="130"/>
      <c r="D542" s="130"/>
      <c r="E542" s="32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7"/>
      <c r="AD542" s="17"/>
    </row>
    <row r="543">
      <c r="A543" s="36"/>
      <c r="B543" s="32"/>
      <c r="C543" s="130"/>
      <c r="D543" s="130"/>
      <c r="E543" s="32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7"/>
      <c r="AD543" s="17"/>
    </row>
    <row r="544">
      <c r="A544" s="36"/>
      <c r="B544" s="32"/>
      <c r="C544" s="130"/>
      <c r="D544" s="130"/>
      <c r="E544" s="32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7"/>
      <c r="AD544" s="17"/>
    </row>
    <row r="545">
      <c r="A545" s="36"/>
      <c r="B545" s="32"/>
      <c r="C545" s="130"/>
      <c r="D545" s="130"/>
      <c r="E545" s="32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7"/>
      <c r="AD545" s="17"/>
    </row>
    <row r="546">
      <c r="A546" s="36"/>
      <c r="B546" s="32"/>
      <c r="C546" s="130"/>
      <c r="D546" s="130"/>
      <c r="E546" s="32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7"/>
      <c r="AD546" s="17"/>
    </row>
    <row r="547">
      <c r="A547" s="36"/>
      <c r="B547" s="32"/>
      <c r="C547" s="130"/>
      <c r="D547" s="130"/>
      <c r="E547" s="32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7"/>
      <c r="AD547" s="17"/>
    </row>
    <row r="548">
      <c r="A548" s="36"/>
      <c r="B548" s="32"/>
      <c r="C548" s="130"/>
      <c r="D548" s="130"/>
      <c r="E548" s="32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7"/>
      <c r="AD548" s="17"/>
    </row>
    <row r="549">
      <c r="A549" s="36"/>
      <c r="B549" s="32"/>
      <c r="C549" s="130"/>
      <c r="D549" s="130"/>
      <c r="E549" s="32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7"/>
      <c r="AD549" s="17"/>
    </row>
    <row r="550">
      <c r="A550" s="36"/>
      <c r="B550" s="32"/>
      <c r="C550" s="130"/>
      <c r="D550" s="130"/>
      <c r="E550" s="32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7"/>
      <c r="AD550" s="17"/>
    </row>
    <row r="551">
      <c r="A551" s="36"/>
      <c r="B551" s="32"/>
      <c r="C551" s="130"/>
      <c r="D551" s="130"/>
      <c r="E551" s="32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7"/>
      <c r="AD551" s="17"/>
    </row>
    <row r="552">
      <c r="A552" s="36"/>
      <c r="B552" s="32"/>
      <c r="C552" s="130"/>
      <c r="D552" s="130"/>
      <c r="E552" s="32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7"/>
      <c r="AD552" s="17"/>
    </row>
    <row r="553">
      <c r="A553" s="36"/>
      <c r="B553" s="32"/>
      <c r="C553" s="130"/>
      <c r="D553" s="130"/>
      <c r="E553" s="32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7"/>
      <c r="AD553" s="17"/>
    </row>
    <row r="554">
      <c r="A554" s="36"/>
      <c r="B554" s="32"/>
      <c r="C554" s="130"/>
      <c r="D554" s="130"/>
      <c r="E554" s="32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7"/>
      <c r="AD554" s="17"/>
    </row>
    <row r="555">
      <c r="A555" s="36"/>
      <c r="B555" s="32"/>
      <c r="C555" s="130"/>
      <c r="D555" s="130"/>
      <c r="E555" s="32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7"/>
      <c r="AD555" s="17"/>
    </row>
    <row r="556">
      <c r="A556" s="36"/>
      <c r="B556" s="32"/>
      <c r="C556" s="130"/>
      <c r="D556" s="130"/>
      <c r="E556" s="32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7"/>
      <c r="AD556" s="17"/>
    </row>
    <row r="557">
      <c r="A557" s="36"/>
      <c r="B557" s="32"/>
      <c r="C557" s="130"/>
      <c r="D557" s="130"/>
      <c r="E557" s="32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7"/>
      <c r="AD557" s="17"/>
    </row>
    <row r="558">
      <c r="A558" s="36"/>
      <c r="B558" s="32"/>
      <c r="C558" s="130"/>
      <c r="D558" s="130"/>
      <c r="E558" s="32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7"/>
      <c r="AD558" s="17"/>
    </row>
    <row r="559">
      <c r="A559" s="36"/>
      <c r="B559" s="32"/>
      <c r="C559" s="130"/>
      <c r="D559" s="130"/>
      <c r="E559" s="32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7"/>
      <c r="AD559" s="17"/>
    </row>
    <row r="560">
      <c r="A560" s="36"/>
      <c r="B560" s="32"/>
      <c r="C560" s="130"/>
      <c r="D560" s="130"/>
      <c r="E560" s="32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7"/>
      <c r="AD560" s="17"/>
    </row>
    <row r="561">
      <c r="A561" s="36"/>
      <c r="B561" s="32"/>
      <c r="C561" s="130"/>
      <c r="D561" s="130"/>
      <c r="E561" s="32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7"/>
      <c r="AD561" s="17"/>
    </row>
    <row r="562">
      <c r="A562" s="36"/>
      <c r="B562" s="32"/>
      <c r="C562" s="130"/>
      <c r="D562" s="130"/>
      <c r="E562" s="32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7"/>
      <c r="AD562" s="17"/>
    </row>
    <row r="563">
      <c r="A563" s="36"/>
      <c r="B563" s="32"/>
      <c r="C563" s="130"/>
      <c r="D563" s="130"/>
      <c r="E563" s="32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7"/>
      <c r="AD563" s="17"/>
    </row>
    <row r="564">
      <c r="A564" s="36"/>
      <c r="B564" s="32"/>
      <c r="C564" s="130"/>
      <c r="D564" s="130"/>
      <c r="E564" s="32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7"/>
      <c r="AD564" s="17"/>
    </row>
    <row r="565">
      <c r="A565" s="36"/>
      <c r="B565" s="32"/>
      <c r="C565" s="130"/>
      <c r="D565" s="130"/>
      <c r="E565" s="32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7"/>
      <c r="AD565" s="17"/>
    </row>
    <row r="566">
      <c r="A566" s="36"/>
      <c r="B566" s="32"/>
      <c r="C566" s="130"/>
      <c r="D566" s="130"/>
      <c r="E566" s="32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7"/>
      <c r="AD566" s="17"/>
    </row>
    <row r="567">
      <c r="A567" s="36"/>
      <c r="B567" s="32"/>
      <c r="C567" s="130"/>
      <c r="D567" s="130"/>
      <c r="E567" s="32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7"/>
      <c r="AD567" s="17"/>
    </row>
    <row r="568">
      <c r="A568" s="36"/>
      <c r="B568" s="32"/>
      <c r="C568" s="130"/>
      <c r="D568" s="130"/>
      <c r="E568" s="32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7"/>
      <c r="AD568" s="17"/>
    </row>
    <row r="569">
      <c r="A569" s="36"/>
      <c r="B569" s="32"/>
      <c r="C569" s="130"/>
      <c r="D569" s="130"/>
      <c r="E569" s="32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7"/>
      <c r="AD569" s="17"/>
    </row>
    <row r="570">
      <c r="A570" s="36"/>
      <c r="B570" s="32"/>
      <c r="C570" s="130"/>
      <c r="D570" s="130"/>
      <c r="E570" s="32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7"/>
      <c r="AD570" s="17"/>
    </row>
    <row r="571">
      <c r="A571" s="36"/>
      <c r="B571" s="32"/>
      <c r="C571" s="130"/>
      <c r="D571" s="130"/>
      <c r="E571" s="32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7"/>
      <c r="AD571" s="17"/>
    </row>
    <row r="572">
      <c r="A572" s="36"/>
      <c r="B572" s="32"/>
      <c r="C572" s="130"/>
      <c r="D572" s="130"/>
      <c r="E572" s="32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7"/>
      <c r="AD572" s="17"/>
    </row>
    <row r="573">
      <c r="A573" s="36"/>
      <c r="B573" s="32"/>
      <c r="C573" s="130"/>
      <c r="D573" s="130"/>
      <c r="E573" s="32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7"/>
      <c r="AD573" s="17"/>
    </row>
    <row r="574">
      <c r="A574" s="36"/>
      <c r="B574" s="32"/>
      <c r="C574" s="130"/>
      <c r="D574" s="130"/>
      <c r="E574" s="32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7"/>
      <c r="AD574" s="17"/>
    </row>
    <row r="575">
      <c r="A575" s="36"/>
      <c r="B575" s="32"/>
      <c r="C575" s="130"/>
      <c r="D575" s="130"/>
      <c r="E575" s="32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7"/>
      <c r="AD575" s="17"/>
    </row>
    <row r="576">
      <c r="A576" s="36"/>
      <c r="B576" s="32"/>
      <c r="C576" s="130"/>
      <c r="D576" s="130"/>
      <c r="E576" s="32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7"/>
      <c r="AD576" s="17"/>
    </row>
    <row r="577">
      <c r="A577" s="36"/>
      <c r="B577" s="32"/>
      <c r="C577" s="130"/>
      <c r="D577" s="130"/>
      <c r="E577" s="32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7"/>
      <c r="AD577" s="17"/>
    </row>
    <row r="578">
      <c r="A578" s="36"/>
      <c r="B578" s="32"/>
      <c r="C578" s="130"/>
      <c r="D578" s="130"/>
      <c r="E578" s="32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7"/>
      <c r="AD578" s="17"/>
    </row>
    <row r="579">
      <c r="A579" s="36"/>
      <c r="B579" s="32"/>
      <c r="C579" s="130"/>
      <c r="D579" s="130"/>
      <c r="E579" s="32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7"/>
      <c r="AD579" s="17"/>
    </row>
    <row r="580">
      <c r="A580" s="36"/>
      <c r="B580" s="32"/>
      <c r="C580" s="130"/>
      <c r="D580" s="130"/>
      <c r="E580" s="32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7"/>
      <c r="AD580" s="17"/>
    </row>
    <row r="581">
      <c r="A581" s="36"/>
      <c r="B581" s="32"/>
      <c r="C581" s="130"/>
      <c r="D581" s="130"/>
      <c r="E581" s="32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7"/>
      <c r="AD581" s="17"/>
    </row>
    <row r="582">
      <c r="A582" s="36"/>
      <c r="B582" s="32"/>
      <c r="C582" s="130"/>
      <c r="D582" s="130"/>
      <c r="E582" s="32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7"/>
      <c r="AD582" s="17"/>
    </row>
    <row r="583">
      <c r="A583" s="36"/>
      <c r="B583" s="32"/>
      <c r="C583" s="130"/>
      <c r="D583" s="130"/>
      <c r="E583" s="32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7"/>
      <c r="AD583" s="17"/>
    </row>
    <row r="584">
      <c r="A584" s="36"/>
      <c r="B584" s="32"/>
      <c r="C584" s="130"/>
      <c r="D584" s="130"/>
      <c r="E584" s="32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7"/>
      <c r="AD584" s="17"/>
    </row>
    <row r="585">
      <c r="A585" s="36"/>
      <c r="B585" s="32"/>
      <c r="C585" s="130"/>
      <c r="D585" s="130"/>
      <c r="E585" s="32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7"/>
      <c r="AD585" s="17"/>
    </row>
    <row r="586">
      <c r="A586" s="36"/>
      <c r="B586" s="32"/>
      <c r="C586" s="130"/>
      <c r="D586" s="130"/>
      <c r="E586" s="32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7"/>
      <c r="AD586" s="17"/>
    </row>
    <row r="587">
      <c r="A587" s="36"/>
      <c r="B587" s="32"/>
      <c r="C587" s="130"/>
      <c r="D587" s="130"/>
      <c r="E587" s="32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7"/>
      <c r="AD587" s="17"/>
    </row>
    <row r="588">
      <c r="A588" s="36"/>
      <c r="B588" s="32"/>
      <c r="C588" s="130"/>
      <c r="D588" s="130"/>
      <c r="E588" s="32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7"/>
      <c r="AD588" s="17"/>
    </row>
    <row r="589">
      <c r="A589" s="36"/>
      <c r="B589" s="32"/>
      <c r="C589" s="130"/>
      <c r="D589" s="130"/>
      <c r="E589" s="32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7"/>
      <c r="AD589" s="17"/>
    </row>
    <row r="590">
      <c r="A590" s="36"/>
      <c r="B590" s="32"/>
      <c r="C590" s="130"/>
      <c r="D590" s="130"/>
      <c r="E590" s="32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7"/>
      <c r="AD590" s="17"/>
    </row>
    <row r="591">
      <c r="A591" s="36"/>
      <c r="B591" s="32"/>
      <c r="C591" s="130"/>
      <c r="D591" s="130"/>
      <c r="E591" s="32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7"/>
      <c r="AD591" s="17"/>
    </row>
    <row r="592">
      <c r="A592" s="36"/>
      <c r="B592" s="32"/>
      <c r="C592" s="130"/>
      <c r="D592" s="130"/>
      <c r="E592" s="32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7"/>
      <c r="AD592" s="17"/>
    </row>
    <row r="593">
      <c r="A593" s="36"/>
      <c r="B593" s="32"/>
      <c r="C593" s="130"/>
      <c r="D593" s="130"/>
      <c r="E593" s="32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7"/>
      <c r="AD593" s="17"/>
    </row>
    <row r="594">
      <c r="A594" s="36"/>
      <c r="B594" s="32"/>
      <c r="C594" s="130"/>
      <c r="D594" s="130"/>
      <c r="E594" s="32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7"/>
      <c r="AD594" s="17"/>
    </row>
    <row r="595">
      <c r="A595" s="36"/>
      <c r="B595" s="32"/>
      <c r="C595" s="130"/>
      <c r="D595" s="130"/>
      <c r="E595" s="32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7"/>
      <c r="AD595" s="17"/>
    </row>
    <row r="596">
      <c r="A596" s="36"/>
      <c r="B596" s="32"/>
      <c r="C596" s="130"/>
      <c r="D596" s="130"/>
      <c r="E596" s="32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7"/>
      <c r="AD596" s="17"/>
    </row>
    <row r="597">
      <c r="A597" s="36"/>
      <c r="B597" s="32"/>
      <c r="C597" s="130"/>
      <c r="D597" s="130"/>
      <c r="E597" s="32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7"/>
      <c r="AD597" s="17"/>
    </row>
    <row r="598">
      <c r="A598" s="36"/>
      <c r="B598" s="32"/>
      <c r="C598" s="130"/>
      <c r="D598" s="130"/>
      <c r="E598" s="32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7"/>
      <c r="AD598" s="17"/>
    </row>
    <row r="599">
      <c r="A599" s="36"/>
      <c r="B599" s="32"/>
      <c r="C599" s="130"/>
      <c r="D599" s="130"/>
      <c r="E599" s="32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7"/>
      <c r="AD599" s="17"/>
    </row>
    <row r="600">
      <c r="A600" s="36"/>
      <c r="B600" s="32"/>
      <c r="C600" s="130"/>
      <c r="D600" s="130"/>
      <c r="E600" s="32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7"/>
      <c r="AD600" s="17"/>
    </row>
    <row r="601">
      <c r="A601" s="36"/>
      <c r="B601" s="32"/>
      <c r="C601" s="130"/>
      <c r="D601" s="130"/>
      <c r="E601" s="32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7"/>
      <c r="AD601" s="17"/>
    </row>
    <row r="602">
      <c r="A602" s="36"/>
      <c r="B602" s="32"/>
      <c r="C602" s="130"/>
      <c r="D602" s="130"/>
      <c r="E602" s="32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7"/>
      <c r="AD602" s="17"/>
    </row>
    <row r="603">
      <c r="A603" s="36"/>
      <c r="B603" s="32"/>
      <c r="C603" s="130"/>
      <c r="D603" s="130"/>
      <c r="E603" s="32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7"/>
      <c r="AD603" s="17"/>
    </row>
    <row r="604">
      <c r="A604" s="36"/>
      <c r="B604" s="32"/>
      <c r="C604" s="130"/>
      <c r="D604" s="130"/>
      <c r="E604" s="32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7"/>
      <c r="AD604" s="17"/>
    </row>
    <row r="605">
      <c r="A605" s="36"/>
      <c r="B605" s="32"/>
      <c r="C605" s="130"/>
      <c r="D605" s="130"/>
      <c r="E605" s="32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7"/>
      <c r="AD605" s="17"/>
    </row>
    <row r="606">
      <c r="A606" s="36"/>
      <c r="B606" s="32"/>
      <c r="C606" s="130"/>
      <c r="D606" s="130"/>
      <c r="E606" s="32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7"/>
      <c r="AD606" s="17"/>
    </row>
    <row r="607">
      <c r="A607" s="36"/>
      <c r="B607" s="32"/>
      <c r="C607" s="130"/>
      <c r="D607" s="130"/>
      <c r="E607" s="32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7"/>
      <c r="AD607" s="17"/>
    </row>
    <row r="608">
      <c r="A608" s="36"/>
      <c r="B608" s="32"/>
      <c r="C608" s="130"/>
      <c r="D608" s="130"/>
      <c r="E608" s="32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7"/>
      <c r="AD608" s="17"/>
    </row>
    <row r="609">
      <c r="A609" s="36"/>
      <c r="B609" s="32"/>
      <c r="C609" s="130"/>
      <c r="D609" s="130"/>
      <c r="E609" s="32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7"/>
      <c r="AD609" s="17"/>
    </row>
    <row r="610">
      <c r="A610" s="36"/>
      <c r="B610" s="32"/>
      <c r="C610" s="130"/>
      <c r="D610" s="130"/>
      <c r="E610" s="32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7"/>
      <c r="AD610" s="17"/>
    </row>
    <row r="611">
      <c r="A611" s="36"/>
      <c r="B611" s="32"/>
      <c r="C611" s="130"/>
      <c r="D611" s="130"/>
      <c r="E611" s="32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7"/>
      <c r="AD611" s="17"/>
    </row>
    <row r="612">
      <c r="A612" s="36"/>
      <c r="B612" s="32"/>
      <c r="C612" s="130"/>
      <c r="D612" s="130"/>
      <c r="E612" s="32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7"/>
      <c r="AD612" s="17"/>
    </row>
    <row r="613">
      <c r="A613" s="36"/>
      <c r="B613" s="32"/>
      <c r="C613" s="130"/>
      <c r="D613" s="130"/>
      <c r="E613" s="32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7"/>
      <c r="AD613" s="17"/>
    </row>
    <row r="614">
      <c r="A614" s="36"/>
      <c r="B614" s="32"/>
      <c r="C614" s="130"/>
      <c r="D614" s="130"/>
      <c r="E614" s="32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7"/>
      <c r="AD614" s="17"/>
    </row>
    <row r="615">
      <c r="A615" s="36"/>
      <c r="B615" s="32"/>
      <c r="C615" s="130"/>
      <c r="D615" s="130"/>
      <c r="E615" s="32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7"/>
      <c r="AD615" s="17"/>
    </row>
    <row r="616">
      <c r="A616" s="36"/>
      <c r="B616" s="32"/>
      <c r="C616" s="130"/>
      <c r="D616" s="130"/>
      <c r="E616" s="32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7"/>
      <c r="AD616" s="17"/>
    </row>
    <row r="617">
      <c r="A617" s="36"/>
      <c r="B617" s="32"/>
      <c r="C617" s="130"/>
      <c r="D617" s="130"/>
      <c r="E617" s="32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7"/>
      <c r="AD617" s="17"/>
    </row>
    <row r="618">
      <c r="A618" s="36"/>
      <c r="B618" s="32"/>
      <c r="C618" s="130"/>
      <c r="D618" s="130"/>
      <c r="E618" s="32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7"/>
      <c r="AD618" s="17"/>
    </row>
    <row r="619">
      <c r="A619" s="36"/>
      <c r="B619" s="32"/>
      <c r="C619" s="130"/>
      <c r="D619" s="130"/>
      <c r="E619" s="32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7"/>
      <c r="AD619" s="17"/>
    </row>
    <row r="620">
      <c r="A620" s="36"/>
      <c r="B620" s="32"/>
      <c r="C620" s="130"/>
      <c r="D620" s="130"/>
      <c r="E620" s="32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7"/>
      <c r="AD620" s="17"/>
    </row>
    <row r="621">
      <c r="A621" s="36"/>
      <c r="B621" s="32"/>
      <c r="C621" s="130"/>
      <c r="D621" s="130"/>
      <c r="E621" s="32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7"/>
      <c r="AD621" s="17"/>
    </row>
    <row r="622">
      <c r="A622" s="36"/>
      <c r="B622" s="32"/>
      <c r="C622" s="130"/>
      <c r="D622" s="130"/>
      <c r="E622" s="32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7"/>
      <c r="AD622" s="17"/>
    </row>
    <row r="623">
      <c r="A623" s="36"/>
      <c r="B623" s="32"/>
      <c r="C623" s="130"/>
      <c r="D623" s="130"/>
      <c r="E623" s="32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7"/>
      <c r="AD623" s="17"/>
    </row>
    <row r="624">
      <c r="A624" s="36"/>
      <c r="B624" s="32"/>
      <c r="C624" s="130"/>
      <c r="D624" s="130"/>
      <c r="E624" s="32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7"/>
      <c r="AD624" s="17"/>
    </row>
    <row r="625">
      <c r="A625" s="36"/>
      <c r="B625" s="32"/>
      <c r="C625" s="130"/>
      <c r="D625" s="130"/>
      <c r="E625" s="32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7"/>
      <c r="AD625" s="17"/>
    </row>
    <row r="626">
      <c r="A626" s="36"/>
      <c r="B626" s="32"/>
      <c r="C626" s="130"/>
      <c r="D626" s="130"/>
      <c r="E626" s="32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7"/>
      <c r="AD626" s="17"/>
    </row>
    <row r="627">
      <c r="A627" s="36"/>
      <c r="B627" s="32"/>
      <c r="C627" s="130"/>
      <c r="D627" s="130"/>
      <c r="E627" s="32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7"/>
      <c r="AD627" s="17"/>
    </row>
    <row r="628">
      <c r="A628" s="36"/>
      <c r="B628" s="32"/>
      <c r="C628" s="130"/>
      <c r="D628" s="130"/>
      <c r="E628" s="32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7"/>
      <c r="AD628" s="17"/>
    </row>
    <row r="629">
      <c r="A629" s="36"/>
      <c r="B629" s="32"/>
      <c r="C629" s="130"/>
      <c r="D629" s="130"/>
      <c r="E629" s="32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7"/>
      <c r="AD629" s="17"/>
    </row>
    <row r="630">
      <c r="A630" s="36"/>
      <c r="B630" s="32"/>
      <c r="C630" s="130"/>
      <c r="D630" s="130"/>
      <c r="E630" s="32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7"/>
      <c r="AD630" s="17"/>
    </row>
    <row r="631">
      <c r="A631" s="36"/>
      <c r="B631" s="32"/>
      <c r="C631" s="130"/>
      <c r="D631" s="130"/>
      <c r="E631" s="32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7"/>
      <c r="AD631" s="17"/>
    </row>
    <row r="632">
      <c r="A632" s="36"/>
      <c r="B632" s="32"/>
      <c r="C632" s="130"/>
      <c r="D632" s="130"/>
      <c r="E632" s="32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7"/>
      <c r="AD632" s="17"/>
    </row>
    <row r="633">
      <c r="A633" s="36"/>
      <c r="B633" s="32"/>
      <c r="C633" s="130"/>
      <c r="D633" s="130"/>
      <c r="E633" s="32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7"/>
      <c r="AD633" s="17"/>
    </row>
    <row r="634">
      <c r="A634" s="36"/>
      <c r="B634" s="32"/>
      <c r="C634" s="130"/>
      <c r="D634" s="130"/>
      <c r="E634" s="32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7"/>
      <c r="AD634" s="17"/>
    </row>
    <row r="635">
      <c r="A635" s="36"/>
      <c r="B635" s="32"/>
      <c r="C635" s="130"/>
      <c r="D635" s="130"/>
      <c r="E635" s="32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7"/>
      <c r="AD635" s="17"/>
    </row>
    <row r="636">
      <c r="A636" s="36"/>
      <c r="B636" s="32"/>
      <c r="C636" s="130"/>
      <c r="D636" s="130"/>
      <c r="E636" s="32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7"/>
      <c r="AD636" s="17"/>
    </row>
    <row r="637">
      <c r="A637" s="36"/>
      <c r="B637" s="32"/>
      <c r="C637" s="130"/>
      <c r="D637" s="130"/>
      <c r="E637" s="32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7"/>
      <c r="AD637" s="17"/>
    </row>
    <row r="638">
      <c r="A638" s="36"/>
      <c r="B638" s="32"/>
      <c r="C638" s="130"/>
      <c r="D638" s="130"/>
      <c r="E638" s="32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7"/>
      <c r="AD638" s="17"/>
    </row>
    <row r="639">
      <c r="A639" s="36"/>
      <c r="B639" s="32"/>
      <c r="C639" s="130"/>
      <c r="D639" s="130"/>
      <c r="E639" s="32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7"/>
      <c r="AD639" s="17"/>
    </row>
    <row r="640">
      <c r="A640" s="36"/>
      <c r="B640" s="32"/>
      <c r="C640" s="130"/>
      <c r="D640" s="130"/>
      <c r="E640" s="32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7"/>
      <c r="AD640" s="17"/>
    </row>
    <row r="641">
      <c r="A641" s="36"/>
      <c r="B641" s="32"/>
      <c r="C641" s="130"/>
      <c r="D641" s="130"/>
      <c r="E641" s="32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7"/>
      <c r="AD641" s="17"/>
    </row>
    <row r="642">
      <c r="A642" s="36"/>
      <c r="B642" s="32"/>
      <c r="C642" s="130"/>
      <c r="D642" s="130"/>
      <c r="E642" s="32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7"/>
      <c r="AD642" s="17"/>
    </row>
    <row r="643">
      <c r="A643" s="36"/>
      <c r="B643" s="32"/>
      <c r="C643" s="130"/>
      <c r="D643" s="130"/>
      <c r="E643" s="32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7"/>
      <c r="AD643" s="17"/>
    </row>
    <row r="644">
      <c r="A644" s="36"/>
      <c r="B644" s="32"/>
      <c r="C644" s="130"/>
      <c r="D644" s="130"/>
      <c r="E644" s="32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7"/>
      <c r="AD644" s="17"/>
    </row>
    <row r="645">
      <c r="A645" s="36"/>
      <c r="B645" s="32"/>
      <c r="C645" s="130"/>
      <c r="D645" s="130"/>
      <c r="E645" s="32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7"/>
      <c r="AD645" s="17"/>
    </row>
    <row r="646">
      <c r="A646" s="36"/>
      <c r="B646" s="32"/>
      <c r="C646" s="130"/>
      <c r="D646" s="130"/>
      <c r="E646" s="32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7"/>
      <c r="AD646" s="17"/>
    </row>
    <row r="647">
      <c r="A647" s="36"/>
      <c r="B647" s="32"/>
      <c r="C647" s="130"/>
      <c r="D647" s="130"/>
      <c r="E647" s="32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7"/>
      <c r="AD647" s="17"/>
    </row>
    <row r="648">
      <c r="A648" s="36"/>
      <c r="B648" s="32"/>
      <c r="C648" s="130"/>
      <c r="D648" s="130"/>
      <c r="E648" s="32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7"/>
      <c r="AD648" s="17"/>
    </row>
    <row r="649">
      <c r="A649" s="36"/>
      <c r="B649" s="32"/>
      <c r="C649" s="130"/>
      <c r="D649" s="130"/>
      <c r="E649" s="32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7"/>
      <c r="AD649" s="17"/>
    </row>
    <row r="650">
      <c r="A650" s="36"/>
      <c r="B650" s="32"/>
      <c r="C650" s="130"/>
      <c r="D650" s="130"/>
      <c r="E650" s="32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7"/>
      <c r="AD650" s="17"/>
    </row>
    <row r="651">
      <c r="A651" s="36"/>
      <c r="B651" s="32"/>
      <c r="C651" s="130"/>
      <c r="D651" s="130"/>
      <c r="E651" s="32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7"/>
      <c r="AD651" s="17"/>
    </row>
    <row r="652">
      <c r="A652" s="36"/>
      <c r="B652" s="32"/>
      <c r="C652" s="130"/>
      <c r="D652" s="130"/>
      <c r="E652" s="32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7"/>
      <c r="AD652" s="17"/>
    </row>
    <row r="653">
      <c r="A653" s="36"/>
      <c r="B653" s="32"/>
      <c r="C653" s="130"/>
      <c r="D653" s="130"/>
      <c r="E653" s="32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7"/>
      <c r="AD653" s="17"/>
    </row>
    <row r="654">
      <c r="A654" s="36"/>
      <c r="B654" s="32"/>
      <c r="C654" s="130"/>
      <c r="D654" s="130"/>
      <c r="E654" s="32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7"/>
      <c r="AD654" s="17"/>
    </row>
    <row r="655">
      <c r="A655" s="36"/>
      <c r="B655" s="32"/>
      <c r="C655" s="130"/>
      <c r="D655" s="130"/>
      <c r="E655" s="32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7"/>
      <c r="AD655" s="17"/>
    </row>
    <row r="656">
      <c r="A656" s="36"/>
      <c r="B656" s="32"/>
      <c r="C656" s="130"/>
      <c r="D656" s="130"/>
      <c r="E656" s="32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7"/>
      <c r="AD656" s="17"/>
    </row>
    <row r="657">
      <c r="A657" s="36"/>
      <c r="B657" s="32"/>
      <c r="C657" s="130"/>
      <c r="D657" s="130"/>
      <c r="E657" s="32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7"/>
      <c r="AD657" s="17"/>
    </row>
    <row r="658">
      <c r="A658" s="36"/>
      <c r="B658" s="32"/>
      <c r="C658" s="130"/>
      <c r="D658" s="130"/>
      <c r="E658" s="32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7"/>
      <c r="AD658" s="17"/>
    </row>
    <row r="659">
      <c r="A659" s="36"/>
      <c r="B659" s="32"/>
      <c r="C659" s="130"/>
      <c r="D659" s="130"/>
      <c r="E659" s="32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7"/>
      <c r="AD659" s="17"/>
    </row>
    <row r="660">
      <c r="A660" s="36"/>
      <c r="B660" s="32"/>
      <c r="C660" s="130"/>
      <c r="D660" s="130"/>
      <c r="E660" s="32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7"/>
      <c r="AD660" s="17"/>
    </row>
    <row r="661">
      <c r="A661" s="36"/>
      <c r="B661" s="32"/>
      <c r="C661" s="130"/>
      <c r="D661" s="130"/>
      <c r="E661" s="32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7"/>
      <c r="AD661" s="17"/>
    </row>
    <row r="662">
      <c r="A662" s="36"/>
      <c r="B662" s="32"/>
      <c r="C662" s="130"/>
      <c r="D662" s="130"/>
      <c r="E662" s="32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7"/>
      <c r="AD662" s="17"/>
    </row>
    <row r="663">
      <c r="A663" s="36"/>
      <c r="B663" s="32"/>
      <c r="C663" s="130"/>
      <c r="D663" s="130"/>
      <c r="E663" s="32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7"/>
      <c r="AD663" s="17"/>
    </row>
    <row r="664">
      <c r="A664" s="36"/>
      <c r="B664" s="32"/>
      <c r="C664" s="130"/>
      <c r="D664" s="130"/>
      <c r="E664" s="32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7"/>
      <c r="AD664" s="17"/>
    </row>
    <row r="665">
      <c r="A665" s="36"/>
      <c r="B665" s="32"/>
      <c r="C665" s="130"/>
      <c r="D665" s="130"/>
      <c r="E665" s="32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7"/>
      <c r="AD665" s="17"/>
    </row>
    <row r="666">
      <c r="A666" s="36"/>
      <c r="B666" s="32"/>
      <c r="C666" s="130"/>
      <c r="D666" s="130"/>
      <c r="E666" s="32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7"/>
      <c r="AD666" s="17"/>
    </row>
    <row r="667">
      <c r="A667" s="36"/>
      <c r="B667" s="32"/>
      <c r="C667" s="130"/>
      <c r="D667" s="130"/>
      <c r="E667" s="32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7"/>
      <c r="AD667" s="17"/>
    </row>
    <row r="668">
      <c r="A668" s="36"/>
      <c r="B668" s="32"/>
      <c r="C668" s="130"/>
      <c r="D668" s="130"/>
      <c r="E668" s="32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7"/>
      <c r="AD668" s="17"/>
    </row>
    <row r="669">
      <c r="A669" s="36"/>
      <c r="B669" s="32"/>
      <c r="C669" s="130"/>
      <c r="D669" s="130"/>
      <c r="E669" s="32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7"/>
      <c r="AD669" s="17"/>
    </row>
    <row r="670">
      <c r="A670" s="36"/>
      <c r="B670" s="32"/>
      <c r="C670" s="130"/>
      <c r="D670" s="130"/>
      <c r="E670" s="32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7"/>
      <c r="AD670" s="17"/>
    </row>
    <row r="671">
      <c r="A671" s="36"/>
      <c r="B671" s="32"/>
      <c r="C671" s="130"/>
      <c r="D671" s="130"/>
      <c r="E671" s="32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7"/>
      <c r="AD671" s="17"/>
    </row>
    <row r="672">
      <c r="A672" s="36"/>
      <c r="B672" s="32"/>
      <c r="C672" s="130"/>
      <c r="D672" s="130"/>
      <c r="E672" s="32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7"/>
      <c r="AD672" s="17"/>
    </row>
    <row r="673">
      <c r="A673" s="36"/>
      <c r="B673" s="32"/>
      <c r="C673" s="130"/>
      <c r="D673" s="130"/>
      <c r="E673" s="32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7"/>
      <c r="AD673" s="17"/>
    </row>
    <row r="674">
      <c r="A674" s="36"/>
      <c r="B674" s="32"/>
      <c r="C674" s="130"/>
      <c r="D674" s="130"/>
      <c r="E674" s="32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7"/>
      <c r="AD674" s="17"/>
    </row>
    <row r="675">
      <c r="A675" s="36"/>
      <c r="B675" s="32"/>
      <c r="C675" s="130"/>
      <c r="D675" s="130"/>
      <c r="E675" s="32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7"/>
      <c r="AD675" s="17"/>
    </row>
    <row r="676">
      <c r="A676" s="36"/>
      <c r="B676" s="32"/>
      <c r="C676" s="130"/>
      <c r="D676" s="130"/>
      <c r="E676" s="32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7"/>
      <c r="AD676" s="17"/>
    </row>
    <row r="677">
      <c r="A677" s="36"/>
      <c r="B677" s="32"/>
      <c r="C677" s="130"/>
      <c r="D677" s="130"/>
      <c r="E677" s="32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7"/>
      <c r="AD677" s="17"/>
    </row>
    <row r="678">
      <c r="A678" s="36"/>
      <c r="B678" s="32"/>
      <c r="C678" s="130"/>
      <c r="D678" s="130"/>
      <c r="E678" s="32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7"/>
      <c r="AD678" s="17"/>
    </row>
    <row r="679">
      <c r="A679" s="36"/>
      <c r="B679" s="32"/>
      <c r="C679" s="130"/>
      <c r="D679" s="130"/>
      <c r="E679" s="32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7"/>
      <c r="AD679" s="17"/>
    </row>
    <row r="680">
      <c r="A680" s="36"/>
      <c r="B680" s="32"/>
      <c r="C680" s="130"/>
      <c r="D680" s="130"/>
      <c r="E680" s="32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7"/>
      <c r="AD680" s="17"/>
    </row>
    <row r="681">
      <c r="A681" s="36"/>
      <c r="B681" s="32"/>
      <c r="C681" s="130"/>
      <c r="D681" s="130"/>
      <c r="E681" s="32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7"/>
      <c r="AD681" s="17"/>
    </row>
    <row r="682">
      <c r="A682" s="36"/>
      <c r="B682" s="32"/>
      <c r="C682" s="130"/>
      <c r="D682" s="130"/>
      <c r="E682" s="32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7"/>
      <c r="AD682" s="17"/>
    </row>
    <row r="683">
      <c r="A683" s="36"/>
      <c r="B683" s="32"/>
      <c r="C683" s="130"/>
      <c r="D683" s="130"/>
      <c r="E683" s="32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7"/>
      <c r="AD683" s="17"/>
    </row>
    <row r="684">
      <c r="A684" s="36"/>
      <c r="B684" s="32"/>
      <c r="C684" s="130"/>
      <c r="D684" s="130"/>
      <c r="E684" s="32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7"/>
      <c r="AD684" s="17"/>
    </row>
    <row r="685">
      <c r="A685" s="36"/>
      <c r="B685" s="32"/>
      <c r="C685" s="130"/>
      <c r="D685" s="130"/>
      <c r="E685" s="32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7"/>
      <c r="AD685" s="17"/>
    </row>
    <row r="686">
      <c r="A686" s="36"/>
      <c r="B686" s="32"/>
      <c r="C686" s="130"/>
      <c r="D686" s="130"/>
      <c r="E686" s="32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7"/>
      <c r="AD686" s="17"/>
    </row>
    <row r="687">
      <c r="A687" s="36"/>
      <c r="B687" s="32"/>
      <c r="C687" s="130"/>
      <c r="D687" s="130"/>
      <c r="E687" s="32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7"/>
      <c r="AD687" s="17"/>
    </row>
    <row r="688">
      <c r="A688" s="36"/>
      <c r="B688" s="32"/>
      <c r="C688" s="130"/>
      <c r="D688" s="130"/>
      <c r="E688" s="32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7"/>
      <c r="AD688" s="17"/>
    </row>
    <row r="689">
      <c r="A689" s="36"/>
      <c r="B689" s="32"/>
      <c r="C689" s="130"/>
      <c r="D689" s="130"/>
      <c r="E689" s="32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7"/>
      <c r="AD689" s="17"/>
    </row>
    <row r="690">
      <c r="A690" s="36"/>
      <c r="B690" s="32"/>
      <c r="C690" s="130"/>
      <c r="D690" s="130"/>
      <c r="E690" s="32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7"/>
      <c r="AD690" s="17"/>
    </row>
    <row r="691">
      <c r="A691" s="36"/>
      <c r="B691" s="32"/>
      <c r="C691" s="130"/>
      <c r="D691" s="130"/>
      <c r="E691" s="32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7"/>
      <c r="AD691" s="17"/>
    </row>
    <row r="692">
      <c r="A692" s="36"/>
      <c r="B692" s="32"/>
      <c r="C692" s="130"/>
      <c r="D692" s="130"/>
      <c r="E692" s="32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7"/>
      <c r="AD692" s="17"/>
    </row>
    <row r="693">
      <c r="A693" s="36"/>
      <c r="B693" s="32"/>
      <c r="C693" s="130"/>
      <c r="D693" s="130"/>
      <c r="E693" s="32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7"/>
      <c r="AD693" s="17"/>
    </row>
    <row r="694">
      <c r="A694" s="36"/>
      <c r="B694" s="32"/>
      <c r="C694" s="130"/>
      <c r="D694" s="130"/>
      <c r="E694" s="32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7"/>
      <c r="AD694" s="17"/>
    </row>
    <row r="695">
      <c r="A695" s="36"/>
      <c r="B695" s="32"/>
      <c r="C695" s="130"/>
      <c r="D695" s="130"/>
      <c r="E695" s="32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7"/>
      <c r="AD695" s="17"/>
    </row>
    <row r="696">
      <c r="A696" s="36"/>
      <c r="B696" s="32"/>
      <c r="C696" s="130"/>
      <c r="D696" s="130"/>
      <c r="E696" s="32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7"/>
      <c r="AD696" s="17"/>
    </row>
    <row r="697">
      <c r="A697" s="36"/>
      <c r="B697" s="32"/>
      <c r="C697" s="130"/>
      <c r="D697" s="130"/>
      <c r="E697" s="32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7"/>
      <c r="AD697" s="17"/>
    </row>
    <row r="698">
      <c r="A698" s="36"/>
      <c r="B698" s="32"/>
      <c r="C698" s="130"/>
      <c r="D698" s="130"/>
      <c r="E698" s="32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7"/>
      <c r="AD698" s="17"/>
    </row>
    <row r="699">
      <c r="A699" s="36"/>
      <c r="B699" s="32"/>
      <c r="C699" s="130"/>
      <c r="D699" s="130"/>
      <c r="E699" s="32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7"/>
      <c r="AD699" s="17"/>
    </row>
    <row r="700">
      <c r="A700" s="36"/>
      <c r="B700" s="32"/>
      <c r="C700" s="130"/>
      <c r="D700" s="130"/>
      <c r="E700" s="32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7"/>
      <c r="AD700" s="17"/>
    </row>
    <row r="701">
      <c r="A701" s="36"/>
      <c r="B701" s="32"/>
      <c r="C701" s="130"/>
      <c r="D701" s="130"/>
      <c r="E701" s="32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7"/>
      <c r="AD701" s="17"/>
    </row>
    <row r="702">
      <c r="A702" s="36"/>
      <c r="B702" s="32"/>
      <c r="C702" s="130"/>
      <c r="D702" s="130"/>
      <c r="E702" s="32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7"/>
      <c r="AD702" s="17"/>
    </row>
    <row r="703">
      <c r="A703" s="36"/>
      <c r="B703" s="32"/>
      <c r="C703" s="130"/>
      <c r="D703" s="130"/>
      <c r="E703" s="32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7"/>
      <c r="AD703" s="17"/>
    </row>
    <row r="704">
      <c r="A704" s="36"/>
      <c r="B704" s="32"/>
      <c r="C704" s="130"/>
      <c r="D704" s="130"/>
      <c r="E704" s="32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7"/>
      <c r="AD704" s="17"/>
    </row>
    <row r="705">
      <c r="A705" s="36"/>
      <c r="B705" s="32"/>
      <c r="C705" s="130"/>
      <c r="D705" s="130"/>
      <c r="E705" s="32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7"/>
      <c r="AD705" s="17"/>
    </row>
    <row r="706">
      <c r="A706" s="36"/>
      <c r="B706" s="32"/>
      <c r="C706" s="130"/>
      <c r="D706" s="130"/>
      <c r="E706" s="32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7"/>
      <c r="AD706" s="17"/>
    </row>
    <row r="707">
      <c r="A707" s="36"/>
      <c r="B707" s="32"/>
      <c r="C707" s="130"/>
      <c r="D707" s="130"/>
      <c r="E707" s="32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7"/>
      <c r="AD707" s="17"/>
    </row>
    <row r="708">
      <c r="A708" s="36"/>
      <c r="B708" s="32"/>
      <c r="C708" s="130"/>
      <c r="D708" s="130"/>
      <c r="E708" s="32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7"/>
      <c r="AD708" s="17"/>
    </row>
    <row r="709">
      <c r="A709" s="36"/>
      <c r="B709" s="32"/>
      <c r="C709" s="130"/>
      <c r="D709" s="130"/>
      <c r="E709" s="32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7"/>
      <c r="AD709" s="17"/>
    </row>
    <row r="710">
      <c r="A710" s="36"/>
      <c r="B710" s="32"/>
      <c r="C710" s="130"/>
      <c r="D710" s="130"/>
      <c r="E710" s="32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7"/>
      <c r="AD710" s="17"/>
    </row>
    <row r="711">
      <c r="A711" s="36"/>
      <c r="B711" s="32"/>
      <c r="C711" s="130"/>
      <c r="D711" s="130"/>
      <c r="E711" s="32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7"/>
      <c r="AD711" s="17"/>
    </row>
    <row r="712">
      <c r="A712" s="36"/>
      <c r="B712" s="32"/>
      <c r="C712" s="130"/>
      <c r="D712" s="130"/>
      <c r="E712" s="32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7"/>
      <c r="AD712" s="17"/>
    </row>
    <row r="713">
      <c r="A713" s="36"/>
      <c r="B713" s="32"/>
      <c r="C713" s="130"/>
      <c r="D713" s="130"/>
      <c r="E713" s="32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7"/>
      <c r="AD713" s="17"/>
    </row>
    <row r="714">
      <c r="A714" s="36"/>
      <c r="B714" s="32"/>
      <c r="C714" s="130"/>
      <c r="D714" s="130"/>
      <c r="E714" s="32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7"/>
      <c r="AD714" s="17"/>
    </row>
    <row r="715">
      <c r="A715" s="36"/>
      <c r="B715" s="32"/>
      <c r="C715" s="130"/>
      <c r="D715" s="130"/>
      <c r="E715" s="32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7"/>
      <c r="AD715" s="17"/>
    </row>
    <row r="716">
      <c r="A716" s="36"/>
      <c r="B716" s="32"/>
      <c r="C716" s="130"/>
      <c r="D716" s="130"/>
      <c r="E716" s="32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7"/>
      <c r="AD716" s="17"/>
    </row>
    <row r="717">
      <c r="A717" s="36"/>
      <c r="B717" s="32"/>
      <c r="C717" s="130"/>
      <c r="D717" s="130"/>
      <c r="E717" s="32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7"/>
      <c r="AD717" s="17"/>
    </row>
    <row r="718">
      <c r="A718" s="36"/>
      <c r="B718" s="32"/>
      <c r="C718" s="130"/>
      <c r="D718" s="130"/>
      <c r="E718" s="32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7"/>
      <c r="AD718" s="17"/>
    </row>
    <row r="719">
      <c r="A719" s="36"/>
      <c r="B719" s="32"/>
      <c r="C719" s="130"/>
      <c r="D719" s="130"/>
      <c r="E719" s="32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7"/>
      <c r="AD719" s="17"/>
    </row>
    <row r="720">
      <c r="A720" s="36"/>
      <c r="B720" s="32"/>
      <c r="C720" s="130"/>
      <c r="D720" s="130"/>
      <c r="E720" s="32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7"/>
      <c r="AD720" s="17"/>
    </row>
    <row r="721">
      <c r="A721" s="36"/>
      <c r="B721" s="32"/>
      <c r="C721" s="130"/>
      <c r="D721" s="130"/>
      <c r="E721" s="32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7"/>
      <c r="AD721" s="17"/>
    </row>
    <row r="722">
      <c r="A722" s="36"/>
      <c r="B722" s="32"/>
      <c r="C722" s="130"/>
      <c r="D722" s="130"/>
      <c r="E722" s="32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7"/>
      <c r="AD722" s="17"/>
    </row>
    <row r="723">
      <c r="A723" s="36"/>
      <c r="B723" s="32"/>
      <c r="C723" s="130"/>
      <c r="D723" s="130"/>
      <c r="E723" s="32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7"/>
      <c r="AD723" s="17"/>
    </row>
    <row r="724">
      <c r="A724" s="36"/>
      <c r="B724" s="32"/>
      <c r="C724" s="130"/>
      <c r="D724" s="130"/>
      <c r="E724" s="32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7"/>
      <c r="AD724" s="17"/>
    </row>
    <row r="725">
      <c r="A725" s="36"/>
      <c r="B725" s="32"/>
      <c r="C725" s="130"/>
      <c r="D725" s="130"/>
      <c r="E725" s="32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7"/>
      <c r="AD725" s="17"/>
    </row>
    <row r="726">
      <c r="A726" s="36"/>
      <c r="B726" s="32"/>
      <c r="C726" s="130"/>
      <c r="D726" s="130"/>
      <c r="E726" s="32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7"/>
      <c r="AD726" s="17"/>
    </row>
    <row r="727">
      <c r="A727" s="36"/>
      <c r="B727" s="32"/>
      <c r="C727" s="130"/>
      <c r="D727" s="130"/>
      <c r="E727" s="32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7"/>
      <c r="AD727" s="17"/>
    </row>
    <row r="728">
      <c r="A728" s="36"/>
      <c r="B728" s="32"/>
      <c r="C728" s="130"/>
      <c r="D728" s="130"/>
      <c r="E728" s="32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7"/>
      <c r="AD728" s="17"/>
    </row>
    <row r="729">
      <c r="A729" s="36"/>
      <c r="B729" s="32"/>
      <c r="C729" s="130"/>
      <c r="D729" s="130"/>
      <c r="E729" s="32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7"/>
      <c r="AD729" s="17"/>
    </row>
    <row r="730">
      <c r="A730" s="36"/>
      <c r="B730" s="32"/>
      <c r="C730" s="130"/>
      <c r="D730" s="130"/>
      <c r="E730" s="32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7"/>
      <c r="AD730" s="17"/>
    </row>
    <row r="731">
      <c r="A731" s="36"/>
      <c r="B731" s="32"/>
      <c r="C731" s="130"/>
      <c r="D731" s="130"/>
      <c r="E731" s="32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7"/>
      <c r="AD731" s="17"/>
    </row>
    <row r="732">
      <c r="A732" s="36"/>
      <c r="B732" s="32"/>
      <c r="C732" s="130"/>
      <c r="D732" s="130"/>
      <c r="E732" s="32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7"/>
      <c r="AD732" s="17"/>
    </row>
    <row r="733">
      <c r="A733" s="36"/>
      <c r="B733" s="32"/>
      <c r="C733" s="130"/>
      <c r="D733" s="130"/>
      <c r="E733" s="32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7"/>
      <c r="AD733" s="17"/>
    </row>
    <row r="734">
      <c r="A734" s="36"/>
      <c r="B734" s="32"/>
      <c r="C734" s="130"/>
      <c r="D734" s="130"/>
      <c r="E734" s="32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7"/>
      <c r="AD734" s="17"/>
    </row>
    <row r="735">
      <c r="A735" s="36"/>
      <c r="B735" s="32"/>
      <c r="C735" s="130"/>
      <c r="D735" s="130"/>
      <c r="E735" s="32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7"/>
      <c r="AD735" s="17"/>
    </row>
    <row r="736">
      <c r="A736" s="36"/>
      <c r="B736" s="32"/>
      <c r="C736" s="130"/>
      <c r="D736" s="130"/>
      <c r="E736" s="32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7"/>
      <c r="AD736" s="17"/>
    </row>
    <row r="737">
      <c r="A737" s="36"/>
      <c r="B737" s="32"/>
      <c r="C737" s="130"/>
      <c r="D737" s="130"/>
      <c r="E737" s="32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7"/>
      <c r="AD737" s="17"/>
    </row>
    <row r="738">
      <c r="A738" s="36"/>
      <c r="B738" s="32"/>
      <c r="C738" s="130"/>
      <c r="D738" s="130"/>
      <c r="E738" s="32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7"/>
      <c r="AD738" s="17"/>
    </row>
    <row r="739">
      <c r="A739" s="36"/>
      <c r="B739" s="32"/>
      <c r="C739" s="130"/>
      <c r="D739" s="130"/>
      <c r="E739" s="32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7"/>
      <c r="AD739" s="17"/>
    </row>
    <row r="740">
      <c r="A740" s="36"/>
      <c r="B740" s="32"/>
      <c r="C740" s="130"/>
      <c r="D740" s="130"/>
      <c r="E740" s="32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7"/>
      <c r="AD740" s="17"/>
    </row>
    <row r="741">
      <c r="A741" s="36"/>
      <c r="B741" s="32"/>
      <c r="C741" s="130"/>
      <c r="D741" s="130"/>
      <c r="E741" s="32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7"/>
      <c r="AD741" s="17"/>
    </row>
    <row r="742">
      <c r="A742" s="36"/>
      <c r="B742" s="32"/>
      <c r="C742" s="130"/>
      <c r="D742" s="130"/>
      <c r="E742" s="32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7"/>
      <c r="AD742" s="17"/>
    </row>
    <row r="743">
      <c r="A743" s="36"/>
      <c r="B743" s="32"/>
      <c r="C743" s="130"/>
      <c r="D743" s="130"/>
      <c r="E743" s="32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7"/>
      <c r="AD743" s="17"/>
    </row>
    <row r="744">
      <c r="A744" s="36"/>
      <c r="B744" s="32"/>
      <c r="C744" s="130"/>
      <c r="D744" s="130"/>
      <c r="E744" s="32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7"/>
      <c r="AD744" s="17"/>
    </row>
    <row r="745">
      <c r="A745" s="36"/>
      <c r="B745" s="32"/>
      <c r="C745" s="130"/>
      <c r="D745" s="130"/>
      <c r="E745" s="32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7"/>
      <c r="AD745" s="17"/>
    </row>
    <row r="746">
      <c r="A746" s="36"/>
      <c r="B746" s="32"/>
      <c r="C746" s="130"/>
      <c r="D746" s="130"/>
      <c r="E746" s="32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7"/>
      <c r="AD746" s="17"/>
    </row>
    <row r="747">
      <c r="A747" s="36"/>
      <c r="B747" s="32"/>
      <c r="C747" s="130"/>
      <c r="D747" s="130"/>
      <c r="E747" s="32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7"/>
      <c r="AD747" s="17"/>
    </row>
    <row r="748">
      <c r="A748" s="36"/>
      <c r="B748" s="32"/>
      <c r="C748" s="130"/>
      <c r="D748" s="130"/>
      <c r="E748" s="32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7"/>
      <c r="AD748" s="17"/>
    </row>
    <row r="749">
      <c r="A749" s="36"/>
      <c r="B749" s="32"/>
      <c r="C749" s="130"/>
      <c r="D749" s="130"/>
      <c r="E749" s="32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7"/>
      <c r="AD749" s="17"/>
    </row>
    <row r="750">
      <c r="A750" s="36"/>
      <c r="B750" s="32"/>
      <c r="C750" s="130"/>
      <c r="D750" s="130"/>
      <c r="E750" s="32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7"/>
      <c r="AD750" s="17"/>
    </row>
    <row r="751">
      <c r="A751" s="36"/>
      <c r="B751" s="32"/>
      <c r="C751" s="130"/>
      <c r="D751" s="130"/>
      <c r="E751" s="32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7"/>
      <c r="AD751" s="17"/>
    </row>
    <row r="752">
      <c r="A752" s="36"/>
      <c r="B752" s="32"/>
      <c r="C752" s="130"/>
      <c r="D752" s="130"/>
      <c r="E752" s="32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7"/>
      <c r="AD752" s="17"/>
    </row>
    <row r="753">
      <c r="A753" s="36"/>
      <c r="B753" s="32"/>
      <c r="C753" s="130"/>
      <c r="D753" s="130"/>
      <c r="E753" s="32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7"/>
      <c r="AD753" s="17"/>
    </row>
    <row r="754">
      <c r="A754" s="36"/>
      <c r="B754" s="32"/>
      <c r="C754" s="130"/>
      <c r="D754" s="130"/>
      <c r="E754" s="32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7"/>
      <c r="AD754" s="17"/>
    </row>
    <row r="755">
      <c r="A755" s="36"/>
      <c r="B755" s="32"/>
      <c r="C755" s="130"/>
      <c r="D755" s="130"/>
      <c r="E755" s="32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7"/>
      <c r="AD755" s="17"/>
    </row>
    <row r="756">
      <c r="A756" s="36"/>
      <c r="B756" s="32"/>
      <c r="C756" s="130"/>
      <c r="D756" s="130"/>
      <c r="E756" s="32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7"/>
      <c r="AD756" s="17"/>
    </row>
    <row r="757">
      <c r="A757" s="36"/>
      <c r="B757" s="32"/>
      <c r="C757" s="130"/>
      <c r="D757" s="130"/>
      <c r="E757" s="32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7"/>
      <c r="AD757" s="17"/>
    </row>
    <row r="758">
      <c r="A758" s="36"/>
      <c r="B758" s="32"/>
      <c r="C758" s="130"/>
      <c r="D758" s="130"/>
      <c r="E758" s="32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7"/>
      <c r="AD758" s="17"/>
    </row>
    <row r="759">
      <c r="A759" s="36"/>
      <c r="B759" s="32"/>
      <c r="C759" s="130"/>
      <c r="D759" s="130"/>
      <c r="E759" s="32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7"/>
      <c r="AD759" s="17"/>
    </row>
    <row r="760">
      <c r="A760" s="36"/>
      <c r="B760" s="32"/>
      <c r="C760" s="130"/>
      <c r="D760" s="130"/>
      <c r="E760" s="32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7"/>
      <c r="AD760" s="17"/>
    </row>
    <row r="761">
      <c r="A761" s="36"/>
      <c r="B761" s="32"/>
      <c r="C761" s="130"/>
      <c r="D761" s="130"/>
      <c r="E761" s="32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7"/>
      <c r="AD761" s="17"/>
    </row>
    <row r="762">
      <c r="A762" s="36"/>
      <c r="B762" s="32"/>
      <c r="C762" s="130"/>
      <c r="D762" s="130"/>
      <c r="E762" s="32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7"/>
      <c r="AD762" s="17"/>
    </row>
    <row r="763">
      <c r="A763" s="36"/>
      <c r="B763" s="32"/>
      <c r="C763" s="130"/>
      <c r="D763" s="130"/>
      <c r="E763" s="32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7"/>
      <c r="AD763" s="17"/>
    </row>
    <row r="764">
      <c r="A764" s="36"/>
      <c r="B764" s="32"/>
      <c r="C764" s="130"/>
      <c r="D764" s="130"/>
      <c r="E764" s="32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7"/>
      <c r="AD764" s="17"/>
    </row>
    <row r="765">
      <c r="A765" s="36"/>
      <c r="B765" s="32"/>
      <c r="C765" s="130"/>
      <c r="D765" s="130"/>
      <c r="E765" s="32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7"/>
      <c r="AD765" s="17"/>
    </row>
    <row r="766">
      <c r="A766" s="36"/>
      <c r="B766" s="32"/>
      <c r="C766" s="130"/>
      <c r="D766" s="130"/>
      <c r="E766" s="32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7"/>
      <c r="AD766" s="17"/>
    </row>
    <row r="767">
      <c r="A767" s="36"/>
      <c r="B767" s="32"/>
      <c r="C767" s="130"/>
      <c r="D767" s="130"/>
      <c r="E767" s="32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7"/>
      <c r="AD767" s="17"/>
    </row>
    <row r="768">
      <c r="A768" s="36"/>
      <c r="B768" s="32"/>
      <c r="C768" s="130"/>
      <c r="D768" s="130"/>
      <c r="E768" s="32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7"/>
      <c r="AD768" s="17"/>
    </row>
    <row r="769">
      <c r="A769" s="36"/>
      <c r="B769" s="32"/>
      <c r="C769" s="130"/>
      <c r="D769" s="130"/>
      <c r="E769" s="32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7"/>
      <c r="AD769" s="17"/>
    </row>
    <row r="770">
      <c r="A770" s="36"/>
      <c r="B770" s="32"/>
      <c r="C770" s="130"/>
      <c r="D770" s="130"/>
      <c r="E770" s="32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7"/>
      <c r="AD770" s="17"/>
    </row>
    <row r="771">
      <c r="A771" s="36"/>
      <c r="B771" s="32"/>
      <c r="C771" s="130"/>
      <c r="D771" s="130"/>
      <c r="E771" s="32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7"/>
      <c r="AD771" s="17"/>
    </row>
    <row r="772">
      <c r="A772" s="36"/>
      <c r="B772" s="32"/>
      <c r="C772" s="130"/>
      <c r="D772" s="130"/>
      <c r="E772" s="32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7"/>
      <c r="AD772" s="17"/>
    </row>
    <row r="773">
      <c r="A773" s="36"/>
      <c r="B773" s="32"/>
      <c r="C773" s="130"/>
      <c r="D773" s="130"/>
      <c r="E773" s="32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7"/>
      <c r="AD773" s="17"/>
    </row>
    <row r="774">
      <c r="A774" s="36"/>
      <c r="B774" s="32"/>
      <c r="C774" s="130"/>
      <c r="D774" s="130"/>
      <c r="E774" s="32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7"/>
      <c r="AD774" s="17"/>
    </row>
    <row r="775">
      <c r="A775" s="36"/>
      <c r="B775" s="32"/>
      <c r="C775" s="130"/>
      <c r="D775" s="130"/>
      <c r="E775" s="32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7"/>
      <c r="AD775" s="17"/>
    </row>
    <row r="776">
      <c r="A776" s="36"/>
      <c r="B776" s="32"/>
      <c r="C776" s="130"/>
      <c r="D776" s="130"/>
      <c r="E776" s="32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7"/>
      <c r="AD776" s="17"/>
    </row>
    <row r="777">
      <c r="A777" s="36"/>
      <c r="B777" s="32"/>
      <c r="C777" s="130"/>
      <c r="D777" s="130"/>
      <c r="E777" s="32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7"/>
      <c r="AD777" s="17"/>
    </row>
    <row r="778">
      <c r="A778" s="36"/>
      <c r="B778" s="32"/>
      <c r="C778" s="130"/>
      <c r="D778" s="130"/>
      <c r="E778" s="32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7"/>
      <c r="AD778" s="17"/>
    </row>
    <row r="779">
      <c r="A779" s="36"/>
      <c r="B779" s="32"/>
      <c r="C779" s="130"/>
      <c r="D779" s="130"/>
      <c r="E779" s="32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7"/>
      <c r="AD779" s="17"/>
    </row>
    <row r="780">
      <c r="A780" s="36"/>
      <c r="B780" s="32"/>
      <c r="C780" s="130"/>
      <c r="D780" s="130"/>
      <c r="E780" s="32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7"/>
      <c r="AD780" s="17"/>
    </row>
    <row r="781">
      <c r="A781" s="36"/>
      <c r="B781" s="32"/>
      <c r="C781" s="130"/>
      <c r="D781" s="130"/>
      <c r="E781" s="32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7"/>
      <c r="AD781" s="17"/>
    </row>
    <row r="782">
      <c r="A782" s="36"/>
      <c r="B782" s="32"/>
      <c r="C782" s="130"/>
      <c r="D782" s="130"/>
      <c r="E782" s="32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7"/>
      <c r="AD782" s="17"/>
    </row>
    <row r="783">
      <c r="A783" s="36"/>
      <c r="B783" s="32"/>
      <c r="C783" s="130"/>
      <c r="D783" s="130"/>
      <c r="E783" s="32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7"/>
      <c r="AD783" s="17"/>
    </row>
    <row r="784">
      <c r="A784" s="36"/>
      <c r="B784" s="32"/>
      <c r="C784" s="130"/>
      <c r="D784" s="130"/>
      <c r="E784" s="32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7"/>
      <c r="AD784" s="17"/>
    </row>
    <row r="785">
      <c r="A785" s="36"/>
      <c r="B785" s="32"/>
      <c r="C785" s="130"/>
      <c r="D785" s="130"/>
      <c r="E785" s="32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7"/>
      <c r="AD785" s="17"/>
    </row>
    <row r="786">
      <c r="A786" s="36"/>
      <c r="B786" s="32"/>
      <c r="C786" s="130"/>
      <c r="D786" s="130"/>
      <c r="E786" s="32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7"/>
      <c r="AD786" s="17"/>
    </row>
    <row r="787">
      <c r="A787" s="36"/>
      <c r="B787" s="32"/>
      <c r="C787" s="130"/>
      <c r="D787" s="130"/>
      <c r="E787" s="32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7"/>
      <c r="AD787" s="17"/>
    </row>
    <row r="788">
      <c r="A788" s="36"/>
      <c r="B788" s="32"/>
      <c r="C788" s="130"/>
      <c r="D788" s="130"/>
      <c r="E788" s="32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7"/>
      <c r="AD788" s="17"/>
    </row>
    <row r="789">
      <c r="A789" s="36"/>
      <c r="B789" s="32"/>
      <c r="C789" s="130"/>
      <c r="D789" s="130"/>
      <c r="E789" s="32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7"/>
      <c r="AD789" s="17"/>
    </row>
    <row r="790">
      <c r="A790" s="36"/>
      <c r="B790" s="32"/>
      <c r="C790" s="130"/>
      <c r="D790" s="130"/>
      <c r="E790" s="32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7"/>
      <c r="AD790" s="17"/>
    </row>
    <row r="791">
      <c r="A791" s="36"/>
      <c r="B791" s="32"/>
      <c r="C791" s="130"/>
      <c r="D791" s="130"/>
      <c r="E791" s="32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7"/>
      <c r="AD791" s="17"/>
    </row>
    <row r="792">
      <c r="A792" s="36"/>
      <c r="B792" s="32"/>
      <c r="C792" s="130"/>
      <c r="D792" s="130"/>
      <c r="E792" s="32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7"/>
      <c r="AD792" s="17"/>
    </row>
    <row r="793">
      <c r="A793" s="36"/>
      <c r="B793" s="32"/>
      <c r="C793" s="130"/>
      <c r="D793" s="130"/>
      <c r="E793" s="32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7"/>
      <c r="AD793" s="17"/>
    </row>
    <row r="794">
      <c r="A794" s="36"/>
      <c r="B794" s="32"/>
      <c r="C794" s="130"/>
      <c r="D794" s="130"/>
      <c r="E794" s="32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7"/>
      <c r="AD794" s="17"/>
    </row>
    <row r="795">
      <c r="A795" s="36"/>
      <c r="B795" s="32"/>
      <c r="C795" s="130"/>
      <c r="D795" s="130"/>
      <c r="E795" s="32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7"/>
      <c r="AD795" s="17"/>
    </row>
    <row r="796">
      <c r="A796" s="36"/>
      <c r="B796" s="32"/>
      <c r="C796" s="130"/>
      <c r="D796" s="130"/>
      <c r="E796" s="32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7"/>
      <c r="AD796" s="17"/>
    </row>
    <row r="797">
      <c r="A797" s="36"/>
      <c r="B797" s="32"/>
      <c r="C797" s="130"/>
      <c r="D797" s="130"/>
      <c r="E797" s="32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7"/>
      <c r="AD797" s="17"/>
    </row>
    <row r="798">
      <c r="A798" s="36"/>
      <c r="B798" s="32"/>
      <c r="C798" s="130"/>
      <c r="D798" s="130"/>
      <c r="E798" s="32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7"/>
      <c r="AD798" s="17"/>
    </row>
    <row r="799">
      <c r="A799" s="36"/>
      <c r="B799" s="32"/>
      <c r="C799" s="130"/>
      <c r="D799" s="130"/>
      <c r="E799" s="32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7"/>
      <c r="AD799" s="17"/>
    </row>
    <row r="800">
      <c r="A800" s="36"/>
      <c r="B800" s="32"/>
      <c r="C800" s="130"/>
      <c r="D800" s="130"/>
      <c r="E800" s="32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7"/>
      <c r="AD800" s="17"/>
    </row>
    <row r="801">
      <c r="A801" s="36"/>
      <c r="B801" s="32"/>
      <c r="C801" s="130"/>
      <c r="D801" s="130"/>
      <c r="E801" s="32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7"/>
      <c r="AD801" s="17"/>
    </row>
    <row r="802">
      <c r="A802" s="36"/>
      <c r="B802" s="32"/>
      <c r="C802" s="130"/>
      <c r="D802" s="130"/>
      <c r="E802" s="32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7"/>
      <c r="AD802" s="17"/>
    </row>
    <row r="803">
      <c r="A803" s="36"/>
      <c r="B803" s="32"/>
      <c r="C803" s="130"/>
      <c r="D803" s="130"/>
      <c r="E803" s="32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7"/>
      <c r="AD803" s="17"/>
    </row>
    <row r="804">
      <c r="A804" s="36"/>
      <c r="B804" s="32"/>
      <c r="C804" s="130"/>
      <c r="D804" s="130"/>
      <c r="E804" s="32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7"/>
      <c r="AD804" s="17"/>
    </row>
    <row r="805">
      <c r="A805" s="36"/>
      <c r="B805" s="32"/>
      <c r="C805" s="130"/>
      <c r="D805" s="130"/>
      <c r="E805" s="32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7"/>
      <c r="AD805" s="17"/>
    </row>
    <row r="806">
      <c r="A806" s="36"/>
      <c r="B806" s="32"/>
      <c r="C806" s="130"/>
      <c r="D806" s="130"/>
      <c r="E806" s="32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7"/>
      <c r="AD806" s="17"/>
    </row>
    <row r="807">
      <c r="A807" s="36"/>
      <c r="B807" s="32"/>
      <c r="C807" s="130"/>
      <c r="D807" s="130"/>
      <c r="E807" s="32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7"/>
      <c r="AD807" s="17"/>
    </row>
    <row r="808">
      <c r="A808" s="36"/>
      <c r="B808" s="32"/>
      <c r="C808" s="130"/>
      <c r="D808" s="130"/>
      <c r="E808" s="32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7"/>
      <c r="AD808" s="17"/>
    </row>
    <row r="809">
      <c r="A809" s="36"/>
      <c r="B809" s="32"/>
      <c r="C809" s="130"/>
      <c r="D809" s="130"/>
      <c r="E809" s="32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7"/>
      <c r="AD809" s="17"/>
    </row>
    <row r="810">
      <c r="A810" s="36"/>
      <c r="B810" s="32"/>
      <c r="C810" s="130"/>
      <c r="D810" s="130"/>
      <c r="E810" s="32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7"/>
      <c r="AD810" s="17"/>
    </row>
    <row r="811">
      <c r="A811" s="36"/>
      <c r="B811" s="32"/>
      <c r="C811" s="130"/>
      <c r="D811" s="130"/>
      <c r="E811" s="32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7"/>
      <c r="AD811" s="17"/>
    </row>
    <row r="812">
      <c r="A812" s="36"/>
      <c r="B812" s="32"/>
      <c r="C812" s="130"/>
      <c r="D812" s="130"/>
      <c r="E812" s="32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7"/>
      <c r="AD812" s="17"/>
    </row>
    <row r="813">
      <c r="A813" s="36"/>
      <c r="B813" s="32"/>
      <c r="C813" s="130"/>
      <c r="D813" s="130"/>
      <c r="E813" s="32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7"/>
      <c r="AD813" s="17"/>
    </row>
    <row r="814">
      <c r="A814" s="36"/>
      <c r="B814" s="32"/>
      <c r="C814" s="130"/>
      <c r="D814" s="130"/>
      <c r="E814" s="32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7"/>
      <c r="AD814" s="17"/>
    </row>
    <row r="815">
      <c r="A815" s="36"/>
      <c r="B815" s="32"/>
      <c r="C815" s="130"/>
      <c r="D815" s="130"/>
      <c r="E815" s="32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7"/>
      <c r="AD815" s="17"/>
    </row>
    <row r="816">
      <c r="A816" s="36"/>
      <c r="B816" s="32"/>
      <c r="C816" s="130"/>
      <c r="D816" s="130"/>
      <c r="E816" s="32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7"/>
      <c r="AD816" s="17"/>
    </row>
    <row r="817">
      <c r="A817" s="36"/>
      <c r="B817" s="32"/>
      <c r="C817" s="130"/>
      <c r="D817" s="130"/>
      <c r="E817" s="32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7"/>
      <c r="AD817" s="17"/>
    </row>
    <row r="818">
      <c r="A818" s="36"/>
      <c r="B818" s="32"/>
      <c r="C818" s="130"/>
      <c r="D818" s="130"/>
      <c r="E818" s="32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7"/>
      <c r="AD818" s="17"/>
    </row>
    <row r="819">
      <c r="A819" s="36"/>
      <c r="B819" s="32"/>
      <c r="C819" s="130"/>
      <c r="D819" s="130"/>
      <c r="E819" s="32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7"/>
      <c r="AD819" s="17"/>
    </row>
    <row r="820">
      <c r="A820" s="36"/>
      <c r="B820" s="32"/>
      <c r="C820" s="130"/>
      <c r="D820" s="130"/>
      <c r="E820" s="32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7"/>
      <c r="AD820" s="17"/>
    </row>
    <row r="821">
      <c r="A821" s="36"/>
      <c r="B821" s="32"/>
      <c r="C821" s="130"/>
      <c r="D821" s="130"/>
      <c r="E821" s="32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7"/>
      <c r="AD821" s="17"/>
    </row>
    <row r="822">
      <c r="A822" s="36"/>
      <c r="B822" s="32"/>
      <c r="C822" s="130"/>
      <c r="D822" s="130"/>
      <c r="E822" s="32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7"/>
      <c r="AD822" s="17"/>
    </row>
    <row r="823">
      <c r="A823" s="36"/>
      <c r="B823" s="32"/>
      <c r="C823" s="130"/>
      <c r="D823" s="130"/>
      <c r="E823" s="32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7"/>
      <c r="AD823" s="17"/>
    </row>
    <row r="824">
      <c r="A824" s="36"/>
      <c r="B824" s="32"/>
      <c r="C824" s="130"/>
      <c r="D824" s="130"/>
      <c r="E824" s="32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7"/>
      <c r="AD824" s="17"/>
    </row>
    <row r="825">
      <c r="A825" s="36"/>
      <c r="B825" s="32"/>
      <c r="C825" s="130"/>
      <c r="D825" s="130"/>
      <c r="E825" s="32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7"/>
      <c r="AD825" s="17"/>
    </row>
    <row r="826">
      <c r="A826" s="36"/>
      <c r="B826" s="32"/>
      <c r="C826" s="130"/>
      <c r="D826" s="130"/>
      <c r="E826" s="32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7"/>
      <c r="AD826" s="17"/>
    </row>
    <row r="827">
      <c r="A827" s="36"/>
      <c r="B827" s="32"/>
      <c r="C827" s="130"/>
      <c r="D827" s="130"/>
      <c r="E827" s="32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7"/>
      <c r="AD827" s="17"/>
    </row>
    <row r="828">
      <c r="A828" s="36"/>
      <c r="B828" s="32"/>
      <c r="C828" s="130"/>
      <c r="D828" s="130"/>
      <c r="E828" s="32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7"/>
      <c r="AD828" s="17"/>
    </row>
    <row r="829">
      <c r="A829" s="36"/>
      <c r="B829" s="32"/>
      <c r="C829" s="130"/>
      <c r="D829" s="130"/>
      <c r="E829" s="32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7"/>
      <c r="AD829" s="17"/>
    </row>
    <row r="830">
      <c r="A830" s="36"/>
      <c r="B830" s="32"/>
      <c r="C830" s="130"/>
      <c r="D830" s="130"/>
      <c r="E830" s="32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7"/>
      <c r="AD830" s="17"/>
    </row>
    <row r="831">
      <c r="A831" s="36"/>
      <c r="B831" s="32"/>
      <c r="C831" s="130"/>
      <c r="D831" s="130"/>
      <c r="E831" s="32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7"/>
      <c r="AD831" s="17"/>
    </row>
    <row r="832">
      <c r="A832" s="36"/>
      <c r="B832" s="32"/>
      <c r="C832" s="130"/>
      <c r="D832" s="130"/>
      <c r="E832" s="32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7"/>
      <c r="AD832" s="17"/>
    </row>
    <row r="833">
      <c r="A833" s="36"/>
      <c r="B833" s="32"/>
      <c r="C833" s="130"/>
      <c r="D833" s="130"/>
      <c r="E833" s="32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7"/>
      <c r="AD833" s="17"/>
    </row>
    <row r="834">
      <c r="A834" s="36"/>
      <c r="B834" s="32"/>
      <c r="C834" s="130"/>
      <c r="D834" s="130"/>
      <c r="E834" s="32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7"/>
      <c r="AD834" s="17"/>
    </row>
    <row r="835">
      <c r="A835" s="36"/>
      <c r="B835" s="32"/>
      <c r="C835" s="130"/>
      <c r="D835" s="130"/>
      <c r="E835" s="32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7"/>
      <c r="AD835" s="17"/>
    </row>
    <row r="836">
      <c r="A836" s="36"/>
      <c r="B836" s="32"/>
      <c r="C836" s="130"/>
      <c r="D836" s="130"/>
      <c r="E836" s="32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7"/>
      <c r="AD836" s="17"/>
    </row>
    <row r="837">
      <c r="A837" s="36"/>
      <c r="B837" s="32"/>
      <c r="C837" s="130"/>
      <c r="D837" s="130"/>
      <c r="E837" s="32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7"/>
      <c r="AD837" s="17"/>
    </row>
    <row r="838">
      <c r="A838" s="36"/>
      <c r="B838" s="32"/>
      <c r="C838" s="130"/>
      <c r="D838" s="130"/>
      <c r="E838" s="32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7"/>
      <c r="AD838" s="17"/>
    </row>
    <row r="839">
      <c r="A839" s="36"/>
      <c r="B839" s="32"/>
      <c r="C839" s="130"/>
      <c r="D839" s="130"/>
      <c r="E839" s="32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7"/>
      <c r="AD839" s="17"/>
    </row>
    <row r="840">
      <c r="A840" s="36"/>
      <c r="B840" s="32"/>
      <c r="C840" s="130"/>
      <c r="D840" s="130"/>
      <c r="E840" s="32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7"/>
      <c r="AD840" s="17"/>
    </row>
    <row r="841">
      <c r="A841" s="36"/>
      <c r="B841" s="32"/>
      <c r="C841" s="130"/>
      <c r="D841" s="130"/>
      <c r="E841" s="32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7"/>
      <c r="AD841" s="17"/>
    </row>
    <row r="842">
      <c r="A842" s="36"/>
      <c r="B842" s="32"/>
      <c r="C842" s="130"/>
      <c r="D842" s="130"/>
      <c r="E842" s="32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7"/>
      <c r="AD842" s="17"/>
    </row>
    <row r="843">
      <c r="A843" s="36"/>
      <c r="B843" s="32"/>
      <c r="C843" s="130"/>
      <c r="D843" s="130"/>
      <c r="E843" s="32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7"/>
      <c r="AD843" s="17"/>
    </row>
    <row r="844">
      <c r="A844" s="36"/>
      <c r="B844" s="32"/>
      <c r="C844" s="130"/>
      <c r="D844" s="130"/>
      <c r="E844" s="32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7"/>
      <c r="AD844" s="17"/>
    </row>
    <row r="845">
      <c r="A845" s="36"/>
      <c r="B845" s="32"/>
      <c r="C845" s="130"/>
      <c r="D845" s="130"/>
      <c r="E845" s="32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7"/>
      <c r="AD845" s="17"/>
    </row>
    <row r="846">
      <c r="A846" s="36"/>
      <c r="B846" s="32"/>
      <c r="C846" s="130"/>
      <c r="D846" s="130"/>
      <c r="E846" s="32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7"/>
      <c r="AD846" s="17"/>
    </row>
    <row r="847">
      <c r="A847" s="36"/>
      <c r="B847" s="32"/>
      <c r="C847" s="130"/>
      <c r="D847" s="130"/>
      <c r="E847" s="32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7"/>
      <c r="AD847" s="17"/>
    </row>
    <row r="848">
      <c r="A848" s="36"/>
      <c r="B848" s="32"/>
      <c r="C848" s="130"/>
      <c r="D848" s="130"/>
      <c r="E848" s="32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7"/>
      <c r="AD848" s="17"/>
    </row>
    <row r="849">
      <c r="A849" s="36"/>
      <c r="B849" s="32"/>
      <c r="C849" s="130"/>
      <c r="D849" s="130"/>
      <c r="E849" s="32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7"/>
      <c r="AD849" s="17"/>
    </row>
    <row r="850">
      <c r="A850" s="36"/>
      <c r="B850" s="32"/>
      <c r="C850" s="130"/>
      <c r="D850" s="130"/>
      <c r="E850" s="32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7"/>
      <c r="AD850" s="17"/>
    </row>
    <row r="851">
      <c r="A851" s="36"/>
      <c r="B851" s="32"/>
      <c r="C851" s="130"/>
      <c r="D851" s="130"/>
      <c r="E851" s="32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7"/>
      <c r="AD851" s="17"/>
    </row>
    <row r="852">
      <c r="A852" s="36"/>
      <c r="B852" s="32"/>
      <c r="C852" s="130"/>
      <c r="D852" s="130"/>
      <c r="E852" s="32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7"/>
      <c r="AD852" s="17"/>
    </row>
    <row r="853">
      <c r="A853" s="36"/>
      <c r="B853" s="32"/>
      <c r="C853" s="130"/>
      <c r="D853" s="130"/>
      <c r="E853" s="32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7"/>
      <c r="AD853" s="17"/>
    </row>
    <row r="854">
      <c r="A854" s="36"/>
      <c r="B854" s="32"/>
      <c r="C854" s="130"/>
      <c r="D854" s="130"/>
      <c r="E854" s="32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7"/>
      <c r="AD854" s="17"/>
    </row>
    <row r="855">
      <c r="A855" s="36"/>
      <c r="B855" s="32"/>
      <c r="C855" s="130"/>
      <c r="D855" s="130"/>
      <c r="E855" s="32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7"/>
      <c r="AD855" s="17"/>
    </row>
    <row r="856">
      <c r="A856" s="36"/>
      <c r="B856" s="32"/>
      <c r="C856" s="130"/>
      <c r="D856" s="130"/>
      <c r="E856" s="32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7"/>
      <c r="AD856" s="17"/>
    </row>
    <row r="857">
      <c r="A857" s="36"/>
      <c r="B857" s="32"/>
      <c r="C857" s="130"/>
      <c r="D857" s="130"/>
      <c r="E857" s="32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7"/>
      <c r="AD857" s="17"/>
    </row>
    <row r="858">
      <c r="A858" s="36"/>
      <c r="B858" s="32"/>
      <c r="C858" s="130"/>
      <c r="D858" s="130"/>
      <c r="E858" s="32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7"/>
      <c r="AD858" s="17"/>
    </row>
    <row r="859">
      <c r="A859" s="36"/>
      <c r="B859" s="32"/>
      <c r="C859" s="130"/>
      <c r="D859" s="130"/>
      <c r="E859" s="32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7"/>
      <c r="AD859" s="17"/>
    </row>
    <row r="860">
      <c r="A860" s="36"/>
      <c r="B860" s="32"/>
      <c r="C860" s="130"/>
      <c r="D860" s="130"/>
      <c r="E860" s="32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7"/>
      <c r="AD860" s="17"/>
    </row>
    <row r="861">
      <c r="A861" s="36"/>
      <c r="B861" s="32"/>
      <c r="C861" s="130"/>
      <c r="D861" s="130"/>
      <c r="E861" s="32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7"/>
      <c r="AD861" s="17"/>
    </row>
    <row r="862">
      <c r="A862" s="36"/>
      <c r="B862" s="32"/>
      <c r="C862" s="130"/>
      <c r="D862" s="130"/>
      <c r="E862" s="32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7"/>
      <c r="AD862" s="17"/>
    </row>
    <row r="863">
      <c r="A863" s="36"/>
      <c r="B863" s="32"/>
      <c r="C863" s="130"/>
      <c r="D863" s="130"/>
      <c r="E863" s="32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7"/>
      <c r="AD863" s="17"/>
    </row>
    <row r="864">
      <c r="A864" s="36"/>
      <c r="B864" s="32"/>
      <c r="C864" s="130"/>
      <c r="D864" s="130"/>
      <c r="E864" s="32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7"/>
      <c r="AD864" s="17"/>
    </row>
    <row r="865">
      <c r="A865" s="36"/>
      <c r="B865" s="32"/>
      <c r="C865" s="130"/>
      <c r="D865" s="130"/>
      <c r="E865" s="32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7"/>
      <c r="AD865" s="17"/>
    </row>
    <row r="866">
      <c r="A866" s="36"/>
      <c r="B866" s="32"/>
      <c r="C866" s="130"/>
      <c r="D866" s="130"/>
      <c r="E866" s="32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7"/>
      <c r="AD866" s="17"/>
    </row>
    <row r="867">
      <c r="A867" s="36"/>
      <c r="B867" s="32"/>
      <c r="C867" s="130"/>
      <c r="D867" s="130"/>
      <c r="E867" s="32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7"/>
      <c r="AD867" s="17"/>
    </row>
    <row r="868">
      <c r="A868" s="36"/>
      <c r="B868" s="32"/>
      <c r="C868" s="130"/>
      <c r="D868" s="130"/>
      <c r="E868" s="32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7"/>
      <c r="AD868" s="17"/>
    </row>
    <row r="869">
      <c r="A869" s="36"/>
      <c r="B869" s="32"/>
      <c r="C869" s="130"/>
      <c r="D869" s="130"/>
      <c r="E869" s="32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7"/>
      <c r="AD869" s="17"/>
    </row>
    <row r="870">
      <c r="A870" s="36"/>
      <c r="B870" s="32"/>
      <c r="C870" s="130"/>
      <c r="D870" s="130"/>
      <c r="E870" s="32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7"/>
      <c r="AD870" s="17"/>
    </row>
    <row r="871">
      <c r="A871" s="36"/>
      <c r="B871" s="32"/>
      <c r="C871" s="130"/>
      <c r="D871" s="130"/>
      <c r="E871" s="32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7"/>
      <c r="AD871" s="17"/>
    </row>
    <row r="872">
      <c r="A872" s="36"/>
      <c r="B872" s="32"/>
      <c r="C872" s="130"/>
      <c r="D872" s="130"/>
      <c r="E872" s="32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7"/>
      <c r="AD872" s="17"/>
    </row>
    <row r="873">
      <c r="A873" s="36"/>
      <c r="B873" s="32"/>
      <c r="C873" s="130"/>
      <c r="D873" s="130"/>
      <c r="E873" s="32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7"/>
      <c r="AD873" s="17"/>
    </row>
    <row r="874">
      <c r="A874" s="36"/>
      <c r="B874" s="32"/>
      <c r="C874" s="130"/>
      <c r="D874" s="130"/>
      <c r="E874" s="32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7"/>
      <c r="AD874" s="17"/>
    </row>
    <row r="875">
      <c r="A875" s="36"/>
      <c r="B875" s="32"/>
      <c r="C875" s="130"/>
      <c r="D875" s="130"/>
      <c r="E875" s="32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7"/>
      <c r="AD875" s="17"/>
    </row>
    <row r="876">
      <c r="A876" s="36"/>
      <c r="B876" s="32"/>
      <c r="C876" s="130"/>
      <c r="D876" s="130"/>
      <c r="E876" s="32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7"/>
      <c r="AD876" s="17"/>
    </row>
    <row r="877">
      <c r="A877" s="36"/>
      <c r="B877" s="32"/>
      <c r="C877" s="130"/>
      <c r="D877" s="130"/>
      <c r="E877" s="32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7"/>
      <c r="AD877" s="17"/>
    </row>
    <row r="878">
      <c r="A878" s="36"/>
      <c r="B878" s="32"/>
      <c r="C878" s="130"/>
      <c r="D878" s="130"/>
      <c r="E878" s="32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7"/>
      <c r="AD878" s="17"/>
    </row>
    <row r="879">
      <c r="A879" s="36"/>
      <c r="B879" s="32"/>
      <c r="C879" s="130"/>
      <c r="D879" s="130"/>
      <c r="E879" s="32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7"/>
      <c r="AD879" s="17"/>
    </row>
    <row r="880">
      <c r="A880" s="36"/>
      <c r="B880" s="32"/>
      <c r="C880" s="130"/>
      <c r="D880" s="130"/>
      <c r="E880" s="32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7"/>
      <c r="AD880" s="17"/>
    </row>
    <row r="881">
      <c r="A881" s="36"/>
      <c r="B881" s="32"/>
      <c r="C881" s="130"/>
      <c r="D881" s="130"/>
      <c r="E881" s="32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7"/>
      <c r="AD881" s="17"/>
    </row>
    <row r="882">
      <c r="A882" s="36"/>
      <c r="B882" s="32"/>
      <c r="C882" s="130"/>
      <c r="D882" s="130"/>
      <c r="E882" s="32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7"/>
      <c r="AD882" s="17"/>
    </row>
    <row r="883">
      <c r="A883" s="36"/>
      <c r="B883" s="32"/>
      <c r="C883" s="130"/>
      <c r="D883" s="130"/>
      <c r="E883" s="32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7"/>
      <c r="AD883" s="17"/>
    </row>
    <row r="884">
      <c r="A884" s="36"/>
      <c r="B884" s="32"/>
      <c r="C884" s="130"/>
      <c r="D884" s="130"/>
      <c r="E884" s="32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7"/>
      <c r="AD884" s="17"/>
    </row>
    <row r="885">
      <c r="A885" s="36"/>
      <c r="B885" s="32"/>
      <c r="C885" s="130"/>
      <c r="D885" s="130"/>
      <c r="E885" s="32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7"/>
      <c r="AD885" s="17"/>
    </row>
    <row r="886">
      <c r="A886" s="36"/>
      <c r="B886" s="32"/>
      <c r="C886" s="130"/>
      <c r="D886" s="130"/>
      <c r="E886" s="32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7"/>
      <c r="AD886" s="17"/>
    </row>
    <row r="887">
      <c r="A887" s="36"/>
      <c r="B887" s="32"/>
      <c r="C887" s="130"/>
      <c r="D887" s="130"/>
      <c r="E887" s="32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7"/>
      <c r="AD887" s="17"/>
    </row>
    <row r="888">
      <c r="A888" s="36"/>
      <c r="B888" s="32"/>
      <c r="C888" s="130"/>
      <c r="D888" s="130"/>
      <c r="E888" s="32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7"/>
      <c r="AD888" s="17"/>
    </row>
    <row r="889">
      <c r="A889" s="36"/>
      <c r="B889" s="32"/>
      <c r="C889" s="130"/>
      <c r="D889" s="130"/>
      <c r="E889" s="32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7"/>
      <c r="AD889" s="17"/>
    </row>
    <row r="890">
      <c r="A890" s="36"/>
      <c r="B890" s="32"/>
      <c r="C890" s="130"/>
      <c r="D890" s="130"/>
      <c r="E890" s="32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7"/>
      <c r="AD890" s="17"/>
    </row>
    <row r="891">
      <c r="A891" s="36"/>
      <c r="B891" s="32"/>
      <c r="C891" s="130"/>
      <c r="D891" s="130"/>
      <c r="E891" s="32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7"/>
      <c r="AD891" s="17"/>
    </row>
    <row r="892">
      <c r="A892" s="36"/>
      <c r="B892" s="32"/>
      <c r="C892" s="130"/>
      <c r="D892" s="130"/>
      <c r="E892" s="32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7"/>
      <c r="AD892" s="17"/>
    </row>
    <row r="893">
      <c r="A893" s="36"/>
      <c r="B893" s="32"/>
      <c r="C893" s="130"/>
      <c r="D893" s="130"/>
      <c r="E893" s="32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7"/>
      <c r="AD893" s="17"/>
    </row>
    <row r="894">
      <c r="A894" s="36"/>
      <c r="B894" s="32"/>
      <c r="C894" s="130"/>
      <c r="D894" s="130"/>
      <c r="E894" s="32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7"/>
      <c r="AD894" s="17"/>
    </row>
    <row r="895">
      <c r="A895" s="36"/>
      <c r="B895" s="32"/>
      <c r="C895" s="130"/>
      <c r="D895" s="130"/>
      <c r="E895" s="32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7"/>
      <c r="AD895" s="17"/>
    </row>
    <row r="896">
      <c r="A896" s="36"/>
      <c r="B896" s="32"/>
      <c r="C896" s="130"/>
      <c r="D896" s="130"/>
      <c r="E896" s="32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7"/>
      <c r="AD896" s="17"/>
    </row>
    <row r="897">
      <c r="A897" s="36"/>
      <c r="B897" s="32"/>
      <c r="C897" s="130"/>
      <c r="D897" s="130"/>
      <c r="E897" s="32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7"/>
      <c r="AD897" s="17"/>
    </row>
    <row r="898">
      <c r="A898" s="36"/>
      <c r="B898" s="32"/>
      <c r="C898" s="130"/>
      <c r="D898" s="130"/>
      <c r="E898" s="32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7"/>
      <c r="AD898" s="17"/>
    </row>
    <row r="899">
      <c r="A899" s="36"/>
      <c r="B899" s="32"/>
      <c r="C899" s="130"/>
      <c r="D899" s="130"/>
      <c r="E899" s="32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7"/>
      <c r="AD899" s="17"/>
    </row>
    <row r="900">
      <c r="A900" s="36"/>
      <c r="B900" s="32"/>
      <c r="C900" s="130"/>
      <c r="D900" s="130"/>
      <c r="E900" s="32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7"/>
      <c r="AD900" s="17"/>
    </row>
    <row r="901">
      <c r="A901" s="36"/>
      <c r="B901" s="32"/>
      <c r="C901" s="130"/>
      <c r="D901" s="130"/>
      <c r="E901" s="32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7"/>
      <c r="AD901" s="17"/>
    </row>
    <row r="902">
      <c r="A902" s="36"/>
      <c r="B902" s="32"/>
      <c r="C902" s="130"/>
      <c r="D902" s="130"/>
      <c r="E902" s="32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7"/>
      <c r="AD902" s="17"/>
    </row>
    <row r="903">
      <c r="A903" s="36"/>
      <c r="B903" s="32"/>
      <c r="C903" s="130"/>
      <c r="D903" s="130"/>
      <c r="E903" s="32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7"/>
      <c r="AD903" s="17"/>
    </row>
    <row r="904">
      <c r="A904" s="36"/>
      <c r="B904" s="32"/>
      <c r="C904" s="130"/>
      <c r="D904" s="130"/>
      <c r="E904" s="32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7"/>
      <c r="AD904" s="17"/>
    </row>
    <row r="905">
      <c r="A905" s="36"/>
      <c r="B905" s="32"/>
      <c r="C905" s="130"/>
      <c r="D905" s="130"/>
      <c r="E905" s="32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7"/>
      <c r="AD905" s="17"/>
    </row>
    <row r="906">
      <c r="A906" s="36"/>
      <c r="B906" s="32"/>
      <c r="C906" s="130"/>
      <c r="D906" s="130"/>
      <c r="E906" s="32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7"/>
      <c r="AD906" s="17"/>
    </row>
    <row r="907">
      <c r="A907" s="36"/>
      <c r="B907" s="32"/>
      <c r="C907" s="130"/>
      <c r="D907" s="130"/>
      <c r="E907" s="32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7"/>
      <c r="AD907" s="17"/>
    </row>
    <row r="908">
      <c r="A908" s="36"/>
      <c r="B908" s="32"/>
      <c r="C908" s="130"/>
      <c r="D908" s="130"/>
      <c r="E908" s="32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7"/>
      <c r="AD908" s="17"/>
    </row>
    <row r="909">
      <c r="A909" s="36"/>
      <c r="B909" s="32"/>
      <c r="C909" s="130"/>
      <c r="D909" s="130"/>
      <c r="E909" s="32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7"/>
      <c r="AD909" s="17"/>
    </row>
    <row r="910">
      <c r="A910" s="36"/>
      <c r="B910" s="32"/>
      <c r="C910" s="130"/>
      <c r="D910" s="130"/>
      <c r="E910" s="32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7"/>
      <c r="AD910" s="17"/>
    </row>
    <row r="911">
      <c r="A911" s="36"/>
      <c r="B911" s="32"/>
      <c r="C911" s="130"/>
      <c r="D911" s="130"/>
      <c r="E911" s="32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7"/>
      <c r="AD911" s="17"/>
    </row>
    <row r="912">
      <c r="A912" s="36"/>
      <c r="B912" s="32"/>
      <c r="C912" s="130"/>
      <c r="D912" s="130"/>
      <c r="E912" s="32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7"/>
      <c r="AD912" s="17"/>
    </row>
    <row r="913">
      <c r="A913" s="36"/>
      <c r="B913" s="32"/>
      <c r="C913" s="130"/>
      <c r="D913" s="130"/>
      <c r="E913" s="32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7"/>
      <c r="AD913" s="17"/>
    </row>
    <row r="914">
      <c r="A914" s="36"/>
      <c r="B914" s="32"/>
      <c r="C914" s="130"/>
      <c r="D914" s="130"/>
      <c r="E914" s="32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7"/>
      <c r="AD914" s="17"/>
    </row>
    <row r="915">
      <c r="A915" s="36"/>
      <c r="B915" s="32"/>
      <c r="C915" s="130"/>
      <c r="D915" s="130"/>
      <c r="E915" s="32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7"/>
      <c r="AD915" s="17"/>
    </row>
    <row r="916">
      <c r="A916" s="36"/>
      <c r="B916" s="32"/>
      <c r="C916" s="130"/>
      <c r="D916" s="130"/>
      <c r="E916" s="32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7"/>
      <c r="AD916" s="17"/>
    </row>
    <row r="917">
      <c r="A917" s="36"/>
      <c r="B917" s="32"/>
      <c r="C917" s="130"/>
      <c r="D917" s="130"/>
      <c r="E917" s="32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7"/>
      <c r="AD917" s="17"/>
    </row>
    <row r="918">
      <c r="A918" s="36"/>
      <c r="B918" s="32"/>
      <c r="C918" s="130"/>
      <c r="D918" s="130"/>
      <c r="E918" s="32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7"/>
      <c r="AD918" s="17"/>
    </row>
    <row r="919">
      <c r="A919" s="36"/>
      <c r="B919" s="32"/>
      <c r="C919" s="130"/>
      <c r="D919" s="130"/>
      <c r="E919" s="32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7"/>
      <c r="AD919" s="17"/>
    </row>
    <row r="920">
      <c r="A920" s="36"/>
      <c r="B920" s="32"/>
      <c r="C920" s="130"/>
      <c r="D920" s="130"/>
      <c r="E920" s="32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7"/>
      <c r="AD920" s="17"/>
    </row>
    <row r="921">
      <c r="A921" s="36"/>
      <c r="B921" s="32"/>
      <c r="C921" s="130"/>
      <c r="D921" s="130"/>
      <c r="E921" s="32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7"/>
      <c r="AD921" s="17"/>
    </row>
    <row r="922">
      <c r="A922" s="36"/>
      <c r="B922" s="32"/>
      <c r="C922" s="130"/>
      <c r="D922" s="130"/>
      <c r="E922" s="32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7"/>
      <c r="AD922" s="17"/>
    </row>
    <row r="923">
      <c r="A923" s="36"/>
      <c r="B923" s="32"/>
      <c r="C923" s="130"/>
      <c r="D923" s="130"/>
      <c r="E923" s="32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7"/>
      <c r="AD923" s="17"/>
    </row>
    <row r="924">
      <c r="A924" s="36"/>
      <c r="B924" s="32"/>
      <c r="C924" s="130"/>
      <c r="D924" s="130"/>
      <c r="E924" s="32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7"/>
      <c r="AD924" s="17"/>
    </row>
    <row r="925">
      <c r="A925" s="36"/>
      <c r="B925" s="32"/>
      <c r="C925" s="130"/>
      <c r="D925" s="130"/>
      <c r="E925" s="32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7"/>
      <c r="AD925" s="17"/>
    </row>
    <row r="926">
      <c r="A926" s="36"/>
      <c r="B926" s="32"/>
      <c r="C926" s="130"/>
      <c r="D926" s="130"/>
      <c r="E926" s="32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7"/>
      <c r="AD926" s="17"/>
    </row>
    <row r="927">
      <c r="A927" s="36"/>
      <c r="B927" s="32"/>
      <c r="C927" s="130"/>
      <c r="D927" s="130"/>
      <c r="E927" s="32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7"/>
      <c r="AD927" s="17"/>
    </row>
    <row r="928">
      <c r="A928" s="36"/>
      <c r="B928" s="32"/>
      <c r="C928" s="130"/>
      <c r="D928" s="130"/>
      <c r="E928" s="32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7"/>
      <c r="AD928" s="17"/>
    </row>
    <row r="929">
      <c r="A929" s="36"/>
      <c r="B929" s="32"/>
      <c r="C929" s="130"/>
      <c r="D929" s="130"/>
      <c r="E929" s="32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7"/>
      <c r="AD929" s="17"/>
    </row>
    <row r="930">
      <c r="A930" s="36"/>
      <c r="B930" s="32"/>
      <c r="C930" s="130"/>
      <c r="D930" s="130"/>
      <c r="E930" s="32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7"/>
      <c r="AD930" s="17"/>
    </row>
    <row r="931">
      <c r="A931" s="36"/>
      <c r="B931" s="32"/>
      <c r="C931" s="130"/>
      <c r="D931" s="130"/>
      <c r="E931" s="32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7"/>
      <c r="AD931" s="17"/>
    </row>
    <row r="932">
      <c r="A932" s="36"/>
      <c r="B932" s="32"/>
      <c r="C932" s="130"/>
      <c r="D932" s="130"/>
      <c r="E932" s="32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7"/>
      <c r="AD932" s="17"/>
    </row>
    <row r="933">
      <c r="A933" s="36"/>
      <c r="B933" s="32"/>
      <c r="C933" s="130"/>
      <c r="D933" s="130"/>
      <c r="E933" s="32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7"/>
      <c r="AD933" s="17"/>
    </row>
    <row r="934">
      <c r="A934" s="36"/>
      <c r="B934" s="32"/>
      <c r="C934" s="130"/>
      <c r="D934" s="130"/>
      <c r="E934" s="32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7"/>
      <c r="AD934" s="17"/>
    </row>
    <row r="935">
      <c r="A935" s="36"/>
      <c r="B935" s="32"/>
      <c r="C935" s="130"/>
      <c r="D935" s="130"/>
      <c r="E935" s="32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7"/>
      <c r="AD935" s="17"/>
    </row>
    <row r="936">
      <c r="A936" s="36"/>
      <c r="B936" s="32"/>
      <c r="C936" s="130"/>
      <c r="D936" s="130"/>
      <c r="E936" s="32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7"/>
      <c r="AD936" s="17"/>
    </row>
    <row r="937">
      <c r="A937" s="36"/>
      <c r="B937" s="32"/>
      <c r="C937" s="130"/>
      <c r="D937" s="130"/>
      <c r="E937" s="32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7"/>
      <c r="AD937" s="17"/>
    </row>
    <row r="938">
      <c r="A938" s="36"/>
      <c r="B938" s="32"/>
      <c r="C938" s="130"/>
      <c r="D938" s="130"/>
      <c r="E938" s="32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7"/>
      <c r="AD938" s="17"/>
    </row>
    <row r="939">
      <c r="A939" s="36"/>
      <c r="B939" s="32"/>
      <c r="C939" s="130"/>
      <c r="D939" s="130"/>
      <c r="E939" s="32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7"/>
      <c r="AD939" s="17"/>
    </row>
    <row r="940">
      <c r="A940" s="36"/>
      <c r="B940" s="32"/>
      <c r="C940" s="130"/>
      <c r="D940" s="130"/>
      <c r="E940" s="32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7"/>
      <c r="AD940" s="17"/>
    </row>
    <row r="941">
      <c r="A941" s="36"/>
      <c r="B941" s="32"/>
      <c r="C941" s="130"/>
      <c r="D941" s="130"/>
      <c r="E941" s="32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7"/>
      <c r="AD941" s="17"/>
    </row>
    <row r="942">
      <c r="A942" s="36"/>
      <c r="B942" s="32"/>
      <c r="C942" s="130"/>
      <c r="D942" s="130"/>
      <c r="E942" s="32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7"/>
      <c r="AD942" s="17"/>
    </row>
    <row r="943">
      <c r="A943" s="36"/>
      <c r="B943" s="32"/>
      <c r="C943" s="130"/>
      <c r="D943" s="130"/>
      <c r="E943" s="32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7"/>
      <c r="AD943" s="17"/>
    </row>
    <row r="944">
      <c r="A944" s="36"/>
      <c r="B944" s="32"/>
      <c r="C944" s="130"/>
      <c r="D944" s="130"/>
      <c r="E944" s="32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7"/>
      <c r="AD944" s="17"/>
    </row>
    <row r="945">
      <c r="A945" s="36"/>
      <c r="B945" s="32"/>
      <c r="C945" s="130"/>
      <c r="D945" s="130"/>
      <c r="E945" s="32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7"/>
      <c r="AD945" s="17"/>
    </row>
    <row r="946">
      <c r="A946" s="36"/>
      <c r="B946" s="32"/>
      <c r="C946" s="130"/>
      <c r="D946" s="130"/>
      <c r="E946" s="32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7"/>
      <c r="AD946" s="17"/>
    </row>
    <row r="947">
      <c r="A947" s="36"/>
      <c r="B947" s="32"/>
      <c r="C947" s="130"/>
      <c r="D947" s="130"/>
      <c r="E947" s="32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7"/>
      <c r="AD947" s="17"/>
    </row>
    <row r="948">
      <c r="A948" s="36"/>
      <c r="B948" s="32"/>
      <c r="C948" s="130"/>
      <c r="D948" s="130"/>
      <c r="E948" s="32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7"/>
      <c r="AD948" s="17"/>
    </row>
    <row r="949">
      <c r="A949" s="36"/>
      <c r="B949" s="32"/>
      <c r="C949" s="130"/>
      <c r="D949" s="130"/>
      <c r="E949" s="32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7"/>
      <c r="AD949" s="17"/>
    </row>
    <row r="950">
      <c r="A950" s="36"/>
      <c r="B950" s="32"/>
      <c r="C950" s="130"/>
      <c r="D950" s="130"/>
      <c r="E950" s="32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7"/>
      <c r="AD950" s="17"/>
    </row>
    <row r="951">
      <c r="A951" s="36"/>
      <c r="B951" s="32"/>
      <c r="C951" s="130"/>
      <c r="D951" s="130"/>
      <c r="E951" s="32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7"/>
      <c r="AD951" s="17"/>
    </row>
    <row r="952">
      <c r="A952" s="36"/>
      <c r="B952" s="32"/>
      <c r="C952" s="130"/>
      <c r="D952" s="130"/>
      <c r="E952" s="32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7"/>
      <c r="AD952" s="17"/>
    </row>
    <row r="953">
      <c r="A953" s="36"/>
      <c r="B953" s="32"/>
      <c r="C953" s="130"/>
      <c r="D953" s="130"/>
      <c r="E953" s="32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7"/>
      <c r="AD953" s="17"/>
    </row>
    <row r="954">
      <c r="A954" s="36"/>
      <c r="B954" s="32"/>
      <c r="C954" s="130"/>
      <c r="D954" s="130"/>
      <c r="E954" s="32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7"/>
      <c r="AD954" s="17"/>
    </row>
    <row r="955">
      <c r="A955" s="36"/>
      <c r="B955" s="32"/>
      <c r="C955" s="130"/>
      <c r="D955" s="130"/>
      <c r="E955" s="32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7"/>
      <c r="AD955" s="17"/>
    </row>
    <row r="956">
      <c r="A956" s="36"/>
      <c r="B956" s="32"/>
      <c r="C956" s="130"/>
      <c r="D956" s="130"/>
      <c r="E956" s="32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7"/>
      <c r="AD956" s="17"/>
    </row>
    <row r="957">
      <c r="A957" s="36"/>
      <c r="B957" s="32"/>
      <c r="C957" s="130"/>
      <c r="D957" s="130"/>
      <c r="E957" s="32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7"/>
      <c r="AD957" s="17"/>
    </row>
    <row r="958">
      <c r="A958" s="36"/>
      <c r="B958" s="32"/>
      <c r="C958" s="130"/>
      <c r="D958" s="130"/>
      <c r="E958" s="32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7"/>
      <c r="AD958" s="17"/>
    </row>
    <row r="959">
      <c r="A959" s="36"/>
      <c r="B959" s="32"/>
      <c r="C959" s="130"/>
      <c r="D959" s="130"/>
      <c r="E959" s="32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7"/>
      <c r="AD959" s="17"/>
    </row>
    <row r="960">
      <c r="A960" s="36"/>
      <c r="B960" s="32"/>
      <c r="C960" s="130"/>
      <c r="D960" s="130"/>
      <c r="E960" s="32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7"/>
      <c r="AD960" s="17"/>
    </row>
    <row r="961">
      <c r="A961" s="36"/>
      <c r="B961" s="32"/>
      <c r="C961" s="130"/>
      <c r="D961" s="130"/>
      <c r="E961" s="32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7"/>
      <c r="AD961" s="17"/>
    </row>
    <row r="962">
      <c r="A962" s="36"/>
      <c r="B962" s="32"/>
      <c r="C962" s="130"/>
      <c r="D962" s="130"/>
      <c r="E962" s="32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7"/>
      <c r="AD962" s="17"/>
    </row>
    <row r="963">
      <c r="A963" s="36"/>
      <c r="B963" s="32"/>
      <c r="C963" s="130"/>
      <c r="D963" s="130"/>
      <c r="E963" s="32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7"/>
      <c r="AD963" s="17"/>
    </row>
    <row r="964">
      <c r="A964" s="36"/>
      <c r="B964" s="32"/>
      <c r="C964" s="130"/>
      <c r="D964" s="130"/>
      <c r="E964" s="32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7"/>
      <c r="AD964" s="17"/>
    </row>
    <row r="965">
      <c r="A965" s="36"/>
      <c r="B965" s="32"/>
      <c r="C965" s="130"/>
      <c r="D965" s="130"/>
      <c r="E965" s="32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7"/>
      <c r="AD965" s="17"/>
    </row>
    <row r="966">
      <c r="A966" s="36"/>
      <c r="B966" s="32"/>
      <c r="C966" s="130"/>
      <c r="D966" s="130"/>
      <c r="E966" s="32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7"/>
      <c r="AD966" s="17"/>
    </row>
    <row r="967">
      <c r="A967" s="36"/>
      <c r="B967" s="32"/>
      <c r="C967" s="130"/>
      <c r="D967" s="130"/>
      <c r="E967" s="32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7"/>
      <c r="AD967" s="17"/>
    </row>
    <row r="968">
      <c r="A968" s="36"/>
      <c r="B968" s="32"/>
      <c r="C968" s="130"/>
      <c r="D968" s="130"/>
      <c r="E968" s="32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7"/>
      <c r="AD968" s="17"/>
    </row>
    <row r="969">
      <c r="A969" s="36"/>
      <c r="B969" s="32"/>
      <c r="C969" s="130"/>
      <c r="D969" s="130"/>
      <c r="E969" s="32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7"/>
      <c r="AD969" s="17"/>
    </row>
    <row r="970">
      <c r="A970" s="36"/>
      <c r="B970" s="32"/>
      <c r="C970" s="130"/>
      <c r="D970" s="130"/>
      <c r="E970" s="32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7"/>
      <c r="AD970" s="17"/>
    </row>
    <row r="971">
      <c r="A971" s="36"/>
      <c r="B971" s="32"/>
      <c r="C971" s="130"/>
      <c r="D971" s="130"/>
      <c r="E971" s="32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7"/>
      <c r="AD971" s="17"/>
    </row>
    <row r="972">
      <c r="A972" s="36"/>
      <c r="B972" s="32"/>
      <c r="C972" s="130"/>
      <c r="D972" s="130"/>
      <c r="E972" s="32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7"/>
      <c r="AD972" s="17"/>
    </row>
    <row r="973">
      <c r="A973" s="36"/>
      <c r="B973" s="32"/>
      <c r="C973" s="130"/>
      <c r="D973" s="130"/>
      <c r="E973" s="32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7"/>
      <c r="AD973" s="17"/>
    </row>
    <row r="974">
      <c r="A974" s="36"/>
      <c r="B974" s="32"/>
      <c r="C974" s="130"/>
      <c r="D974" s="130"/>
      <c r="E974" s="32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7"/>
      <c r="AD974" s="17"/>
    </row>
    <row r="975">
      <c r="A975" s="36"/>
      <c r="B975" s="32"/>
      <c r="C975" s="130"/>
      <c r="D975" s="130"/>
      <c r="E975" s="32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7"/>
      <c r="AD975" s="17"/>
    </row>
    <row r="976">
      <c r="A976" s="36"/>
      <c r="B976" s="32"/>
      <c r="C976" s="130"/>
      <c r="D976" s="130"/>
      <c r="E976" s="32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7"/>
      <c r="AD976" s="17"/>
    </row>
    <row r="977">
      <c r="A977" s="36"/>
      <c r="B977" s="32"/>
      <c r="C977" s="130"/>
      <c r="D977" s="130"/>
      <c r="E977" s="32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7"/>
      <c r="AD977" s="17"/>
    </row>
    <row r="978">
      <c r="A978" s="36"/>
      <c r="B978" s="32"/>
      <c r="C978" s="130"/>
      <c r="D978" s="130"/>
      <c r="E978" s="32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7"/>
      <c r="AD978" s="17"/>
    </row>
    <row r="979">
      <c r="A979" s="36"/>
      <c r="B979" s="32"/>
      <c r="C979" s="130"/>
      <c r="D979" s="130"/>
      <c r="E979" s="32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7"/>
      <c r="AD979" s="17"/>
    </row>
    <row r="980">
      <c r="A980" s="36"/>
      <c r="B980" s="32"/>
      <c r="C980" s="130"/>
      <c r="D980" s="130"/>
      <c r="E980" s="32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7"/>
      <c r="AD980" s="17"/>
    </row>
    <row r="981">
      <c r="A981" s="36"/>
      <c r="B981" s="32"/>
      <c r="C981" s="130"/>
      <c r="D981" s="130"/>
      <c r="E981" s="32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7"/>
      <c r="AD981" s="17"/>
    </row>
    <row r="982">
      <c r="A982" s="36"/>
      <c r="B982" s="32"/>
      <c r="C982" s="130"/>
      <c r="D982" s="130"/>
      <c r="E982" s="32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7"/>
      <c r="AD982" s="17"/>
    </row>
    <row r="983">
      <c r="A983" s="36"/>
      <c r="B983" s="32"/>
      <c r="C983" s="130"/>
      <c r="D983" s="130"/>
      <c r="E983" s="32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7"/>
      <c r="AD983" s="17"/>
    </row>
    <row r="984">
      <c r="A984" s="36"/>
      <c r="B984" s="32"/>
      <c r="C984" s="130"/>
      <c r="D984" s="130"/>
      <c r="E984" s="32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7"/>
      <c r="AD984" s="17"/>
    </row>
    <row r="985">
      <c r="A985" s="36"/>
      <c r="B985" s="32"/>
      <c r="C985" s="130"/>
      <c r="D985" s="130"/>
      <c r="E985" s="32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7"/>
      <c r="AD985" s="17"/>
    </row>
    <row r="986">
      <c r="A986" s="36"/>
      <c r="B986" s="32"/>
      <c r="C986" s="130"/>
      <c r="D986" s="130"/>
      <c r="E986" s="32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7"/>
      <c r="AD986" s="17"/>
    </row>
    <row r="987">
      <c r="A987" s="36"/>
      <c r="B987" s="32"/>
      <c r="C987" s="130"/>
      <c r="D987" s="130"/>
      <c r="E987" s="32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7"/>
      <c r="AD987" s="17"/>
    </row>
    <row r="988">
      <c r="A988" s="36"/>
      <c r="B988" s="32"/>
      <c r="C988" s="130"/>
      <c r="D988" s="130"/>
      <c r="E988" s="32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7"/>
      <c r="AD988" s="17"/>
    </row>
    <row r="989">
      <c r="A989" s="36"/>
      <c r="B989" s="32"/>
      <c r="C989" s="130"/>
      <c r="D989" s="130"/>
      <c r="E989" s="32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7"/>
      <c r="AD989" s="17"/>
    </row>
    <row r="990">
      <c r="A990" s="36"/>
      <c r="B990" s="32"/>
      <c r="C990" s="130"/>
      <c r="D990" s="130"/>
      <c r="E990" s="32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7"/>
      <c r="AD990" s="17"/>
    </row>
    <row r="991">
      <c r="A991" s="36"/>
      <c r="B991" s="32"/>
      <c r="C991" s="130"/>
      <c r="D991" s="130"/>
      <c r="E991" s="32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7"/>
      <c r="AD991" s="17"/>
    </row>
    <row r="992">
      <c r="A992" s="36"/>
      <c r="B992" s="32"/>
      <c r="C992" s="130"/>
      <c r="D992" s="130"/>
      <c r="E992" s="32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7"/>
      <c r="AD992" s="17"/>
    </row>
    <row r="993">
      <c r="A993" s="36"/>
      <c r="B993" s="32"/>
      <c r="C993" s="130"/>
      <c r="D993" s="130"/>
      <c r="E993" s="32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7"/>
      <c r="AD993" s="17"/>
    </row>
    <row r="994">
      <c r="A994" s="36"/>
      <c r="B994" s="32"/>
      <c r="C994" s="130"/>
      <c r="D994" s="130"/>
      <c r="E994" s="32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7"/>
      <c r="AD994" s="17"/>
    </row>
    <row r="995">
      <c r="A995" s="36"/>
      <c r="B995" s="32"/>
      <c r="C995" s="130"/>
      <c r="D995" s="130"/>
      <c r="E995" s="32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7"/>
      <c r="AD995" s="17"/>
    </row>
    <row r="996">
      <c r="A996" s="36"/>
      <c r="B996" s="32"/>
      <c r="C996" s="130"/>
      <c r="D996" s="130"/>
      <c r="E996" s="32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7"/>
      <c r="AD996" s="17"/>
    </row>
    <row r="997">
      <c r="A997" s="36"/>
      <c r="B997" s="32"/>
      <c r="C997" s="130"/>
      <c r="D997" s="130"/>
      <c r="E997" s="32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7"/>
      <c r="AD997" s="17"/>
    </row>
    <row r="998">
      <c r="A998" s="36"/>
      <c r="B998" s="32"/>
      <c r="C998" s="130"/>
      <c r="D998" s="130"/>
      <c r="E998" s="32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7"/>
      <c r="AD998" s="17"/>
    </row>
    <row r="999">
      <c r="A999" s="36"/>
      <c r="B999" s="32"/>
      <c r="C999" s="130"/>
      <c r="D999" s="130"/>
      <c r="E999" s="32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7"/>
      <c r="AD999" s="17"/>
    </row>
    <row r="1000">
      <c r="A1000" s="36"/>
      <c r="B1000" s="32"/>
      <c r="C1000" s="130"/>
      <c r="D1000" s="130"/>
      <c r="E1000" s="32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7"/>
      <c r="AD1000" s="17"/>
    </row>
    <row r="1001">
      <c r="A1001" s="36"/>
      <c r="B1001" s="32"/>
      <c r="C1001" s="130"/>
      <c r="D1001" s="130"/>
      <c r="E1001" s="32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  <c r="AB1001" s="16"/>
      <c r="AC1001" s="17"/>
      <c r="AD1001" s="17"/>
    </row>
    <row r="1002">
      <c r="A1002" s="36"/>
      <c r="B1002" s="32"/>
      <c r="C1002" s="130"/>
      <c r="D1002" s="130"/>
      <c r="E1002" s="32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  <c r="AA1002" s="16"/>
      <c r="AB1002" s="16"/>
      <c r="AC1002" s="17"/>
      <c r="AD1002" s="17"/>
    </row>
    <row r="1003">
      <c r="A1003" s="36"/>
      <c r="B1003" s="32"/>
      <c r="C1003" s="130"/>
      <c r="D1003" s="130"/>
      <c r="E1003" s="32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  <c r="AA1003" s="16"/>
      <c r="AB1003" s="16"/>
      <c r="AC1003" s="17"/>
      <c r="AD1003" s="17"/>
    </row>
    <row r="1004">
      <c r="A1004" s="36"/>
      <c r="B1004" s="32"/>
      <c r="C1004" s="130"/>
      <c r="D1004" s="130"/>
      <c r="E1004" s="32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  <c r="AA1004" s="16"/>
      <c r="AB1004" s="16"/>
      <c r="AC1004" s="17"/>
      <c r="AD1004" s="17"/>
    </row>
    <row r="1005">
      <c r="A1005" s="36"/>
      <c r="B1005" s="32"/>
      <c r="C1005" s="130"/>
      <c r="D1005" s="130"/>
      <c r="E1005" s="32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  <c r="AA1005" s="16"/>
      <c r="AB1005" s="16"/>
      <c r="AC1005" s="17"/>
      <c r="AD1005" s="17"/>
    </row>
    <row r="1006">
      <c r="A1006" s="36"/>
      <c r="B1006" s="32"/>
      <c r="C1006" s="130"/>
      <c r="D1006" s="130"/>
      <c r="E1006" s="32"/>
      <c r="F1006" s="16"/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  <c r="AA1006" s="16"/>
      <c r="AB1006" s="16"/>
      <c r="AC1006" s="17"/>
      <c r="AD1006" s="17"/>
    </row>
    <row r="1007">
      <c r="A1007" s="36"/>
      <c r="B1007" s="32"/>
      <c r="C1007" s="130"/>
      <c r="D1007" s="130"/>
      <c r="E1007" s="32"/>
      <c r="F1007" s="16"/>
      <c r="G1007" s="16"/>
      <c r="H1007" s="16"/>
      <c r="I1007" s="16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  <c r="AA1007" s="16"/>
      <c r="AB1007" s="16"/>
      <c r="AC1007" s="17"/>
      <c r="AD1007" s="17"/>
    </row>
    <row r="1008">
      <c r="A1008" s="36"/>
      <c r="B1008" s="32"/>
      <c r="C1008" s="130"/>
      <c r="D1008" s="130"/>
      <c r="E1008" s="32"/>
      <c r="F1008" s="16"/>
      <c r="G1008" s="16"/>
      <c r="H1008" s="16"/>
      <c r="I1008" s="16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  <c r="AA1008" s="16"/>
      <c r="AB1008" s="16"/>
      <c r="AC1008" s="17"/>
      <c r="AD1008" s="17"/>
    </row>
    <row r="1009">
      <c r="A1009" s="36"/>
      <c r="B1009" s="32"/>
      <c r="C1009" s="130"/>
      <c r="D1009" s="130"/>
      <c r="E1009" s="32"/>
      <c r="F1009" s="16"/>
      <c r="G1009" s="16"/>
      <c r="H1009" s="16"/>
      <c r="I1009" s="16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  <c r="AA1009" s="16"/>
      <c r="AB1009" s="16"/>
      <c r="AC1009" s="17"/>
      <c r="AD1009" s="17"/>
    </row>
    <row r="1010">
      <c r="A1010" s="36"/>
      <c r="B1010" s="32"/>
      <c r="C1010" s="130"/>
      <c r="D1010" s="130"/>
      <c r="E1010" s="32"/>
      <c r="F1010" s="16"/>
      <c r="G1010" s="16"/>
      <c r="H1010" s="16"/>
      <c r="I1010" s="16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  <c r="AA1010" s="16"/>
      <c r="AB1010" s="16"/>
      <c r="AC1010" s="17"/>
      <c r="AD1010" s="17"/>
    </row>
    <row r="1011">
      <c r="A1011" s="36"/>
      <c r="B1011" s="32"/>
      <c r="C1011" s="130"/>
      <c r="D1011" s="130"/>
      <c r="E1011" s="32"/>
      <c r="F1011" s="16"/>
      <c r="G1011" s="16"/>
      <c r="H1011" s="16"/>
      <c r="I1011" s="16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  <c r="AA1011" s="16"/>
      <c r="AB1011" s="16"/>
      <c r="AC1011" s="17"/>
      <c r="AD1011" s="17"/>
    </row>
    <row r="1012">
      <c r="A1012" s="36"/>
      <c r="B1012" s="32"/>
      <c r="C1012" s="130"/>
      <c r="D1012" s="130"/>
      <c r="E1012" s="32"/>
      <c r="F1012" s="16"/>
      <c r="G1012" s="16"/>
      <c r="H1012" s="16"/>
      <c r="I1012" s="16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  <c r="AA1012" s="16"/>
      <c r="AB1012" s="16"/>
      <c r="AC1012" s="17"/>
      <c r="AD1012" s="17"/>
    </row>
    <row r="1013">
      <c r="A1013" s="36"/>
      <c r="B1013" s="32"/>
      <c r="C1013" s="130"/>
      <c r="D1013" s="130"/>
      <c r="E1013" s="32"/>
      <c r="F1013" s="16"/>
      <c r="G1013" s="16"/>
      <c r="H1013" s="16"/>
      <c r="I1013" s="16"/>
      <c r="J1013" s="16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  <c r="W1013" s="16"/>
      <c r="X1013" s="16"/>
      <c r="Y1013" s="16"/>
      <c r="Z1013" s="16"/>
      <c r="AA1013" s="16"/>
      <c r="AB1013" s="16"/>
      <c r="AC1013" s="17"/>
      <c r="AD1013" s="17"/>
    </row>
    <row r="1014">
      <c r="A1014" s="36"/>
      <c r="B1014" s="32"/>
      <c r="C1014" s="130"/>
      <c r="D1014" s="130"/>
      <c r="E1014" s="32"/>
      <c r="F1014" s="16"/>
      <c r="G1014" s="16"/>
      <c r="H1014" s="16"/>
      <c r="I1014" s="16"/>
      <c r="J1014" s="16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  <c r="W1014" s="16"/>
      <c r="X1014" s="16"/>
      <c r="Y1014" s="16"/>
      <c r="Z1014" s="16"/>
      <c r="AA1014" s="16"/>
      <c r="AB1014" s="16"/>
      <c r="AC1014" s="17"/>
      <c r="AD1014" s="17"/>
    </row>
    <row r="1015">
      <c r="A1015" s="36"/>
      <c r="B1015" s="32"/>
      <c r="C1015" s="130"/>
      <c r="D1015" s="130"/>
      <c r="E1015" s="32"/>
      <c r="F1015" s="16"/>
      <c r="G1015" s="16"/>
      <c r="H1015" s="16"/>
      <c r="I1015" s="16"/>
      <c r="J1015" s="16"/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  <c r="V1015" s="16"/>
      <c r="W1015" s="16"/>
      <c r="X1015" s="16"/>
      <c r="Y1015" s="16"/>
      <c r="Z1015" s="16"/>
      <c r="AA1015" s="16"/>
      <c r="AB1015" s="16"/>
      <c r="AC1015" s="17"/>
      <c r="AD1015" s="17"/>
    </row>
    <row r="1016">
      <c r="A1016" s="36"/>
      <c r="B1016" s="32"/>
      <c r="C1016" s="130"/>
      <c r="D1016" s="130"/>
      <c r="E1016" s="32"/>
      <c r="F1016" s="16"/>
      <c r="G1016" s="16"/>
      <c r="H1016" s="16"/>
      <c r="I1016" s="16"/>
      <c r="J1016" s="16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6"/>
      <c r="AA1016" s="16"/>
      <c r="AB1016" s="16"/>
      <c r="AC1016" s="17"/>
      <c r="AD1016" s="17"/>
    </row>
    <row r="1017">
      <c r="A1017" s="36"/>
      <c r="B1017" s="32"/>
      <c r="C1017" s="130"/>
      <c r="D1017" s="130"/>
      <c r="E1017" s="32"/>
      <c r="F1017" s="16"/>
      <c r="G1017" s="16"/>
      <c r="H1017" s="16"/>
      <c r="I1017" s="16"/>
      <c r="J1017" s="16"/>
      <c r="K1017" s="16"/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16"/>
      <c r="AA1017" s="16"/>
      <c r="AB1017" s="16"/>
      <c r="AC1017" s="17"/>
      <c r="AD1017" s="17"/>
    </row>
    <row r="1018">
      <c r="A1018" s="36"/>
      <c r="B1018" s="32"/>
      <c r="C1018" s="130"/>
      <c r="D1018" s="130"/>
      <c r="E1018" s="32"/>
      <c r="F1018" s="16"/>
      <c r="G1018" s="16"/>
      <c r="H1018" s="16"/>
      <c r="I1018" s="16"/>
      <c r="J1018" s="16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  <c r="AA1018" s="16"/>
      <c r="AB1018" s="16"/>
      <c r="AC1018" s="17"/>
      <c r="AD1018" s="17"/>
    </row>
    <row r="1019">
      <c r="A1019" s="36"/>
      <c r="B1019" s="32"/>
      <c r="C1019" s="130"/>
      <c r="D1019" s="130"/>
      <c r="E1019" s="32"/>
      <c r="F1019" s="16"/>
      <c r="G1019" s="16"/>
      <c r="H1019" s="16"/>
      <c r="I1019" s="16"/>
      <c r="J1019" s="16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16"/>
      <c r="AA1019" s="16"/>
      <c r="AB1019" s="16"/>
      <c r="AC1019" s="17"/>
      <c r="AD1019" s="17"/>
    </row>
    <row r="1020">
      <c r="A1020" s="36"/>
      <c r="B1020" s="32"/>
      <c r="C1020" s="130"/>
      <c r="D1020" s="130"/>
      <c r="E1020" s="32"/>
      <c r="F1020" s="16"/>
      <c r="G1020" s="16"/>
      <c r="H1020" s="16"/>
      <c r="I1020" s="16"/>
      <c r="J1020" s="16"/>
      <c r="K1020" s="16"/>
      <c r="L1020" s="16"/>
      <c r="M1020" s="16"/>
      <c r="N1020" s="16"/>
      <c r="O1020" s="16"/>
      <c r="P1020" s="16"/>
      <c r="Q1020" s="16"/>
      <c r="R1020" s="16"/>
      <c r="S1020" s="16"/>
      <c r="T1020" s="16"/>
      <c r="U1020" s="16"/>
      <c r="V1020" s="16"/>
      <c r="W1020" s="16"/>
      <c r="X1020" s="16"/>
      <c r="Y1020" s="16"/>
      <c r="Z1020" s="16"/>
      <c r="AA1020" s="16"/>
      <c r="AB1020" s="16"/>
      <c r="AC1020" s="17"/>
      <c r="AD1020" s="17"/>
    </row>
    <row r="1021">
      <c r="A1021" s="36"/>
      <c r="B1021" s="32"/>
      <c r="C1021" s="130"/>
      <c r="D1021" s="130"/>
      <c r="E1021" s="32"/>
      <c r="F1021" s="16"/>
      <c r="G1021" s="16"/>
      <c r="H1021" s="16"/>
      <c r="I1021" s="16"/>
      <c r="J1021" s="16"/>
      <c r="K1021" s="16"/>
      <c r="L1021" s="16"/>
      <c r="M1021" s="16"/>
      <c r="N1021" s="16"/>
      <c r="O1021" s="16"/>
      <c r="P1021" s="16"/>
      <c r="Q1021" s="16"/>
      <c r="R1021" s="16"/>
      <c r="S1021" s="16"/>
      <c r="T1021" s="16"/>
      <c r="U1021" s="16"/>
      <c r="V1021" s="16"/>
      <c r="W1021" s="16"/>
      <c r="X1021" s="16"/>
      <c r="Y1021" s="16"/>
      <c r="Z1021" s="16"/>
      <c r="AA1021" s="16"/>
      <c r="AB1021" s="16"/>
      <c r="AC1021" s="17"/>
      <c r="AD1021" s="17"/>
    </row>
    <row r="1022">
      <c r="A1022" s="36"/>
      <c r="B1022" s="32"/>
      <c r="C1022" s="130"/>
      <c r="D1022" s="130"/>
      <c r="E1022" s="32"/>
      <c r="F1022" s="16"/>
      <c r="G1022" s="16"/>
      <c r="H1022" s="16"/>
      <c r="I1022" s="16"/>
      <c r="J1022" s="16"/>
      <c r="K1022" s="16"/>
      <c r="L1022" s="16"/>
      <c r="M1022" s="16"/>
      <c r="N1022" s="16"/>
      <c r="O1022" s="16"/>
      <c r="P1022" s="16"/>
      <c r="Q1022" s="16"/>
      <c r="R1022" s="16"/>
      <c r="S1022" s="16"/>
      <c r="T1022" s="16"/>
      <c r="U1022" s="16"/>
      <c r="V1022" s="16"/>
      <c r="W1022" s="16"/>
      <c r="X1022" s="16"/>
      <c r="Y1022" s="16"/>
      <c r="Z1022" s="16"/>
      <c r="AA1022" s="16"/>
      <c r="AB1022" s="16"/>
      <c r="AC1022" s="17"/>
      <c r="AD1022" s="17"/>
    </row>
    <row r="1023">
      <c r="A1023" s="36"/>
      <c r="B1023" s="32"/>
      <c r="C1023" s="130"/>
      <c r="D1023" s="130"/>
      <c r="E1023" s="32"/>
      <c r="F1023" s="16"/>
      <c r="G1023" s="16"/>
      <c r="H1023" s="16"/>
      <c r="I1023" s="16"/>
      <c r="J1023" s="16"/>
      <c r="K1023" s="16"/>
      <c r="L1023" s="16"/>
      <c r="M1023" s="16"/>
      <c r="N1023" s="16"/>
      <c r="O1023" s="16"/>
      <c r="P1023" s="16"/>
      <c r="Q1023" s="16"/>
      <c r="R1023" s="16"/>
      <c r="S1023" s="16"/>
      <c r="T1023" s="16"/>
      <c r="U1023" s="16"/>
      <c r="V1023" s="16"/>
      <c r="W1023" s="16"/>
      <c r="X1023" s="16"/>
      <c r="Y1023" s="16"/>
      <c r="Z1023" s="16"/>
      <c r="AA1023" s="16"/>
      <c r="AB1023" s="16"/>
      <c r="AC1023" s="17"/>
      <c r="AD1023" s="17"/>
    </row>
    <row r="1024">
      <c r="A1024" s="36"/>
      <c r="B1024" s="32"/>
      <c r="C1024" s="130"/>
      <c r="D1024" s="130"/>
      <c r="E1024" s="32"/>
      <c r="F1024" s="16"/>
      <c r="G1024" s="16"/>
      <c r="H1024" s="16"/>
      <c r="I1024" s="16"/>
      <c r="J1024" s="16"/>
      <c r="K1024" s="16"/>
      <c r="L1024" s="16"/>
      <c r="M1024" s="16"/>
      <c r="N1024" s="16"/>
      <c r="O1024" s="16"/>
      <c r="P1024" s="16"/>
      <c r="Q1024" s="16"/>
      <c r="R1024" s="16"/>
      <c r="S1024" s="16"/>
      <c r="T1024" s="16"/>
      <c r="U1024" s="16"/>
      <c r="V1024" s="16"/>
      <c r="W1024" s="16"/>
      <c r="X1024" s="16"/>
      <c r="Y1024" s="16"/>
      <c r="Z1024" s="16"/>
      <c r="AA1024" s="16"/>
      <c r="AB1024" s="16"/>
      <c r="AC1024" s="17"/>
      <c r="AD1024" s="17"/>
    </row>
    <row r="1025">
      <c r="A1025" s="36"/>
      <c r="B1025" s="32"/>
      <c r="C1025" s="130"/>
      <c r="D1025" s="130"/>
      <c r="E1025" s="32"/>
      <c r="F1025" s="16"/>
      <c r="G1025" s="16"/>
      <c r="H1025" s="16"/>
      <c r="I1025" s="16"/>
      <c r="J1025" s="16"/>
      <c r="K1025" s="16"/>
      <c r="L1025" s="16"/>
      <c r="M1025" s="16"/>
      <c r="N1025" s="16"/>
      <c r="O1025" s="16"/>
      <c r="P1025" s="16"/>
      <c r="Q1025" s="16"/>
      <c r="R1025" s="16"/>
      <c r="S1025" s="16"/>
      <c r="T1025" s="16"/>
      <c r="U1025" s="16"/>
      <c r="V1025" s="16"/>
      <c r="W1025" s="16"/>
      <c r="X1025" s="16"/>
      <c r="Y1025" s="16"/>
      <c r="Z1025" s="16"/>
      <c r="AA1025" s="16"/>
      <c r="AB1025" s="16"/>
      <c r="AC1025" s="17"/>
      <c r="AD1025" s="17"/>
    </row>
    <row r="1026">
      <c r="A1026" s="36"/>
      <c r="B1026" s="32"/>
      <c r="C1026" s="130"/>
      <c r="D1026" s="130"/>
      <c r="E1026" s="32"/>
      <c r="F1026" s="16"/>
      <c r="G1026" s="16"/>
      <c r="H1026" s="16"/>
      <c r="I1026" s="16"/>
      <c r="J1026" s="16"/>
      <c r="K1026" s="16"/>
      <c r="L1026" s="16"/>
      <c r="M1026" s="16"/>
      <c r="N1026" s="16"/>
      <c r="O1026" s="16"/>
      <c r="P1026" s="16"/>
      <c r="Q1026" s="16"/>
      <c r="R1026" s="16"/>
      <c r="S1026" s="16"/>
      <c r="T1026" s="16"/>
      <c r="U1026" s="16"/>
      <c r="V1026" s="16"/>
      <c r="W1026" s="16"/>
      <c r="X1026" s="16"/>
      <c r="Y1026" s="16"/>
      <c r="Z1026" s="16"/>
      <c r="AA1026" s="16"/>
      <c r="AB1026" s="16"/>
      <c r="AC1026" s="17"/>
      <c r="AD1026" s="17"/>
    </row>
    <row r="1027">
      <c r="A1027" s="36"/>
      <c r="B1027" s="32"/>
      <c r="C1027" s="130"/>
      <c r="D1027" s="130"/>
      <c r="E1027" s="32"/>
      <c r="F1027" s="16"/>
      <c r="G1027" s="16"/>
      <c r="H1027" s="16"/>
      <c r="I1027" s="16"/>
      <c r="J1027" s="16"/>
      <c r="K1027" s="16"/>
      <c r="L1027" s="16"/>
      <c r="M1027" s="16"/>
      <c r="N1027" s="16"/>
      <c r="O1027" s="16"/>
      <c r="P1027" s="16"/>
      <c r="Q1027" s="16"/>
      <c r="R1027" s="16"/>
      <c r="S1027" s="16"/>
      <c r="T1027" s="16"/>
      <c r="U1027" s="16"/>
      <c r="V1027" s="16"/>
      <c r="W1027" s="16"/>
      <c r="X1027" s="16"/>
      <c r="Y1027" s="16"/>
      <c r="Z1027" s="16"/>
      <c r="AA1027" s="16"/>
      <c r="AB1027" s="16"/>
      <c r="AC1027" s="17"/>
      <c r="AD1027" s="17"/>
    </row>
    <row r="1028">
      <c r="A1028" s="36"/>
      <c r="B1028" s="32"/>
      <c r="C1028" s="130"/>
      <c r="D1028" s="130"/>
      <c r="E1028" s="32"/>
      <c r="F1028" s="16"/>
      <c r="G1028" s="16"/>
      <c r="H1028" s="16"/>
      <c r="I1028" s="16"/>
      <c r="J1028" s="16"/>
      <c r="K1028" s="16"/>
      <c r="L1028" s="16"/>
      <c r="M1028" s="16"/>
      <c r="N1028" s="16"/>
      <c r="O1028" s="16"/>
      <c r="P1028" s="16"/>
      <c r="Q1028" s="16"/>
      <c r="R1028" s="16"/>
      <c r="S1028" s="16"/>
      <c r="T1028" s="16"/>
      <c r="U1028" s="16"/>
      <c r="V1028" s="16"/>
      <c r="W1028" s="16"/>
      <c r="X1028" s="16"/>
      <c r="Y1028" s="16"/>
      <c r="Z1028" s="16"/>
      <c r="AA1028" s="16"/>
      <c r="AB1028" s="16"/>
      <c r="AC1028" s="17"/>
      <c r="AD1028" s="17"/>
    </row>
    <row r="1029">
      <c r="A1029" s="36"/>
      <c r="B1029" s="32"/>
      <c r="C1029" s="130"/>
      <c r="D1029" s="130"/>
      <c r="E1029" s="32"/>
      <c r="F1029" s="16"/>
      <c r="G1029" s="16"/>
      <c r="H1029" s="16"/>
      <c r="I1029" s="16"/>
      <c r="J1029" s="16"/>
      <c r="K1029" s="16"/>
      <c r="L1029" s="16"/>
      <c r="M1029" s="16"/>
      <c r="N1029" s="16"/>
      <c r="O1029" s="16"/>
      <c r="P1029" s="16"/>
      <c r="Q1029" s="16"/>
      <c r="R1029" s="16"/>
      <c r="S1029" s="16"/>
      <c r="T1029" s="16"/>
      <c r="U1029" s="16"/>
      <c r="V1029" s="16"/>
      <c r="W1029" s="16"/>
      <c r="X1029" s="16"/>
      <c r="Y1029" s="16"/>
      <c r="Z1029" s="16"/>
      <c r="AA1029" s="16"/>
      <c r="AB1029" s="16"/>
      <c r="AC1029" s="17"/>
      <c r="AD1029" s="17"/>
    </row>
    <row r="1030">
      <c r="A1030" s="36"/>
      <c r="B1030" s="32"/>
      <c r="C1030" s="130"/>
      <c r="D1030" s="130"/>
      <c r="E1030" s="32"/>
      <c r="F1030" s="16"/>
      <c r="G1030" s="16"/>
      <c r="H1030" s="16"/>
      <c r="I1030" s="16"/>
      <c r="J1030" s="16"/>
      <c r="K1030" s="16"/>
      <c r="L1030" s="16"/>
      <c r="M1030" s="16"/>
      <c r="N1030" s="16"/>
      <c r="O1030" s="16"/>
      <c r="P1030" s="16"/>
      <c r="Q1030" s="16"/>
      <c r="R1030" s="16"/>
      <c r="S1030" s="16"/>
      <c r="T1030" s="16"/>
      <c r="U1030" s="16"/>
      <c r="V1030" s="16"/>
      <c r="W1030" s="16"/>
      <c r="X1030" s="16"/>
      <c r="Y1030" s="16"/>
      <c r="Z1030" s="16"/>
      <c r="AA1030" s="16"/>
      <c r="AB1030" s="16"/>
      <c r="AC1030" s="17"/>
      <c r="AD1030" s="17"/>
    </row>
    <row r="1031">
      <c r="A1031" s="36"/>
      <c r="B1031" s="32"/>
      <c r="C1031" s="130"/>
      <c r="D1031" s="130"/>
      <c r="E1031" s="32"/>
      <c r="F1031" s="16"/>
      <c r="G1031" s="16"/>
      <c r="H1031" s="16"/>
      <c r="I1031" s="16"/>
      <c r="J1031" s="16"/>
      <c r="K1031" s="16"/>
      <c r="L1031" s="16"/>
      <c r="M1031" s="16"/>
      <c r="N1031" s="16"/>
      <c r="O1031" s="16"/>
      <c r="P1031" s="16"/>
      <c r="Q1031" s="16"/>
      <c r="R1031" s="16"/>
      <c r="S1031" s="16"/>
      <c r="T1031" s="16"/>
      <c r="U1031" s="16"/>
      <c r="V1031" s="16"/>
      <c r="W1031" s="16"/>
      <c r="X1031" s="16"/>
      <c r="Y1031" s="16"/>
      <c r="Z1031" s="16"/>
      <c r="AA1031" s="16"/>
      <c r="AB1031" s="16"/>
      <c r="AC1031" s="17"/>
      <c r="AD1031" s="17"/>
    </row>
    <row r="1032">
      <c r="A1032" s="36"/>
      <c r="B1032" s="32"/>
      <c r="C1032" s="130"/>
      <c r="D1032" s="130"/>
      <c r="E1032" s="32"/>
      <c r="F1032" s="16"/>
      <c r="G1032" s="16"/>
      <c r="H1032" s="16"/>
      <c r="I1032" s="16"/>
      <c r="J1032" s="16"/>
      <c r="K1032" s="16"/>
      <c r="L1032" s="16"/>
      <c r="M1032" s="16"/>
      <c r="N1032" s="16"/>
      <c r="O1032" s="16"/>
      <c r="P1032" s="16"/>
      <c r="Q1032" s="16"/>
      <c r="R1032" s="16"/>
      <c r="S1032" s="16"/>
      <c r="T1032" s="16"/>
      <c r="U1032" s="16"/>
      <c r="V1032" s="16"/>
      <c r="W1032" s="16"/>
      <c r="X1032" s="16"/>
      <c r="Y1032" s="16"/>
      <c r="Z1032" s="16"/>
      <c r="AA1032" s="16"/>
      <c r="AB1032" s="16"/>
      <c r="AC1032" s="17"/>
      <c r="AD1032" s="17"/>
    </row>
    <row r="1033">
      <c r="A1033" s="36"/>
      <c r="B1033" s="32"/>
      <c r="C1033" s="130"/>
      <c r="D1033" s="130"/>
      <c r="E1033" s="32"/>
      <c r="F1033" s="16"/>
      <c r="G1033" s="16"/>
      <c r="H1033" s="16"/>
      <c r="I1033" s="16"/>
      <c r="J1033" s="16"/>
      <c r="K1033" s="16"/>
      <c r="L1033" s="16"/>
      <c r="M1033" s="16"/>
      <c r="N1033" s="16"/>
      <c r="O1033" s="16"/>
      <c r="P1033" s="16"/>
      <c r="Q1033" s="16"/>
      <c r="R1033" s="16"/>
      <c r="S1033" s="16"/>
      <c r="T1033" s="16"/>
      <c r="U1033" s="16"/>
      <c r="V1033" s="16"/>
      <c r="W1033" s="16"/>
      <c r="X1033" s="16"/>
      <c r="Y1033" s="16"/>
      <c r="Z1033" s="16"/>
      <c r="AA1033" s="16"/>
      <c r="AB1033" s="16"/>
      <c r="AC1033" s="17"/>
      <c r="AD1033" s="17"/>
    </row>
    <row r="1034">
      <c r="A1034" s="36"/>
      <c r="B1034" s="32"/>
      <c r="C1034" s="130"/>
      <c r="D1034" s="130"/>
      <c r="E1034" s="32"/>
      <c r="F1034" s="16"/>
      <c r="G1034" s="16"/>
      <c r="H1034" s="16"/>
      <c r="I1034" s="16"/>
      <c r="J1034" s="16"/>
      <c r="K1034" s="16"/>
      <c r="L1034" s="16"/>
      <c r="M1034" s="16"/>
      <c r="N1034" s="16"/>
      <c r="O1034" s="16"/>
      <c r="P1034" s="16"/>
      <c r="Q1034" s="16"/>
      <c r="R1034" s="16"/>
      <c r="S1034" s="16"/>
      <c r="T1034" s="16"/>
      <c r="U1034" s="16"/>
      <c r="V1034" s="16"/>
      <c r="W1034" s="16"/>
      <c r="X1034" s="16"/>
      <c r="Y1034" s="16"/>
      <c r="Z1034" s="16"/>
      <c r="AA1034" s="16"/>
      <c r="AB1034" s="16"/>
      <c r="AC1034" s="17"/>
      <c r="AD1034" s="17"/>
    </row>
    <row r="1035">
      <c r="A1035" s="36"/>
      <c r="B1035" s="32"/>
      <c r="C1035" s="130"/>
      <c r="D1035" s="130"/>
      <c r="E1035" s="32"/>
      <c r="F1035" s="16"/>
      <c r="G1035" s="16"/>
      <c r="H1035" s="16"/>
      <c r="I1035" s="16"/>
      <c r="J1035" s="16"/>
      <c r="K1035" s="16"/>
      <c r="L1035" s="16"/>
      <c r="M1035" s="16"/>
      <c r="N1035" s="16"/>
      <c r="O1035" s="16"/>
      <c r="P1035" s="16"/>
      <c r="Q1035" s="16"/>
      <c r="R1035" s="16"/>
      <c r="S1035" s="16"/>
      <c r="T1035" s="16"/>
      <c r="U1035" s="16"/>
      <c r="V1035" s="16"/>
      <c r="W1035" s="16"/>
      <c r="X1035" s="16"/>
      <c r="Y1035" s="16"/>
      <c r="Z1035" s="16"/>
      <c r="AA1035" s="16"/>
      <c r="AB1035" s="16"/>
      <c r="AC1035" s="17"/>
      <c r="AD1035" s="17"/>
    </row>
    <row r="1036">
      <c r="A1036" s="36"/>
      <c r="B1036" s="32"/>
      <c r="C1036" s="130"/>
      <c r="D1036" s="130"/>
      <c r="E1036" s="32"/>
      <c r="F1036" s="16"/>
      <c r="G1036" s="16"/>
      <c r="H1036" s="16"/>
      <c r="I1036" s="16"/>
      <c r="J1036" s="16"/>
      <c r="K1036" s="16"/>
      <c r="L1036" s="16"/>
      <c r="M1036" s="16"/>
      <c r="N1036" s="16"/>
      <c r="O1036" s="16"/>
      <c r="P1036" s="16"/>
      <c r="Q1036" s="16"/>
      <c r="R1036" s="16"/>
      <c r="S1036" s="16"/>
      <c r="T1036" s="16"/>
      <c r="U1036" s="16"/>
      <c r="V1036" s="16"/>
      <c r="W1036" s="16"/>
      <c r="X1036" s="16"/>
      <c r="Y1036" s="16"/>
      <c r="Z1036" s="16"/>
      <c r="AA1036" s="16"/>
      <c r="AB1036" s="16"/>
      <c r="AC1036" s="17"/>
      <c r="AD1036" s="17"/>
    </row>
    <row r="1037">
      <c r="A1037" s="36"/>
      <c r="B1037" s="32"/>
      <c r="C1037" s="130"/>
      <c r="D1037" s="130"/>
      <c r="E1037" s="32"/>
      <c r="F1037" s="16"/>
      <c r="G1037" s="16"/>
      <c r="H1037" s="16"/>
      <c r="I1037" s="16"/>
      <c r="J1037" s="16"/>
      <c r="K1037" s="16"/>
      <c r="L1037" s="16"/>
      <c r="M1037" s="16"/>
      <c r="N1037" s="16"/>
      <c r="O1037" s="16"/>
      <c r="P1037" s="16"/>
      <c r="Q1037" s="16"/>
      <c r="R1037" s="16"/>
      <c r="S1037" s="16"/>
      <c r="T1037" s="16"/>
      <c r="U1037" s="16"/>
      <c r="V1037" s="16"/>
      <c r="W1037" s="16"/>
      <c r="X1037" s="16"/>
      <c r="Y1037" s="16"/>
      <c r="Z1037" s="16"/>
      <c r="AA1037" s="16"/>
      <c r="AB1037" s="16"/>
      <c r="AC1037" s="17"/>
      <c r="AD1037" s="17"/>
    </row>
    <row r="1038">
      <c r="A1038" s="36"/>
      <c r="B1038" s="32"/>
      <c r="C1038" s="130"/>
      <c r="D1038" s="130"/>
      <c r="E1038" s="32"/>
      <c r="F1038" s="16"/>
      <c r="G1038" s="16"/>
      <c r="H1038" s="16"/>
      <c r="I1038" s="16"/>
      <c r="J1038" s="16"/>
      <c r="K1038" s="16"/>
      <c r="L1038" s="16"/>
      <c r="M1038" s="16"/>
      <c r="N1038" s="16"/>
      <c r="O1038" s="16"/>
      <c r="P1038" s="16"/>
      <c r="Q1038" s="16"/>
      <c r="R1038" s="16"/>
      <c r="S1038" s="16"/>
      <c r="T1038" s="16"/>
      <c r="U1038" s="16"/>
      <c r="V1038" s="16"/>
      <c r="W1038" s="16"/>
      <c r="X1038" s="16"/>
      <c r="Y1038" s="16"/>
      <c r="Z1038" s="16"/>
      <c r="AA1038" s="16"/>
      <c r="AB1038" s="16"/>
      <c r="AC1038" s="17"/>
      <c r="AD1038" s="17"/>
    </row>
    <row r="1039">
      <c r="A1039" s="36"/>
      <c r="B1039" s="32"/>
      <c r="C1039" s="130"/>
      <c r="D1039" s="130"/>
      <c r="E1039" s="32"/>
      <c r="F1039" s="16"/>
      <c r="G1039" s="16"/>
      <c r="H1039" s="16"/>
      <c r="I1039" s="16"/>
      <c r="J1039" s="16"/>
      <c r="K1039" s="16"/>
      <c r="L1039" s="16"/>
      <c r="M1039" s="16"/>
      <c r="N1039" s="16"/>
      <c r="O1039" s="16"/>
      <c r="P1039" s="16"/>
      <c r="Q1039" s="16"/>
      <c r="R1039" s="16"/>
      <c r="S1039" s="16"/>
      <c r="T1039" s="16"/>
      <c r="U1039" s="16"/>
      <c r="V1039" s="16"/>
      <c r="W1039" s="16"/>
      <c r="X1039" s="16"/>
      <c r="Y1039" s="16"/>
      <c r="Z1039" s="16"/>
      <c r="AA1039" s="16"/>
      <c r="AB1039" s="16"/>
      <c r="AC1039" s="17"/>
      <c r="AD1039" s="17"/>
    </row>
    <row r="1040">
      <c r="A1040" s="36"/>
      <c r="B1040" s="32"/>
      <c r="C1040" s="130"/>
      <c r="D1040" s="130"/>
      <c r="E1040" s="32"/>
      <c r="F1040" s="16"/>
      <c r="G1040" s="16"/>
      <c r="H1040" s="16"/>
      <c r="I1040" s="16"/>
      <c r="J1040" s="16"/>
      <c r="K1040" s="16"/>
      <c r="L1040" s="16"/>
      <c r="M1040" s="16"/>
      <c r="N1040" s="16"/>
      <c r="O1040" s="16"/>
      <c r="P1040" s="16"/>
      <c r="Q1040" s="16"/>
      <c r="R1040" s="16"/>
      <c r="S1040" s="16"/>
      <c r="T1040" s="16"/>
      <c r="U1040" s="16"/>
      <c r="V1040" s="16"/>
      <c r="W1040" s="16"/>
      <c r="X1040" s="16"/>
      <c r="Y1040" s="16"/>
      <c r="Z1040" s="16"/>
      <c r="AA1040" s="16"/>
      <c r="AB1040" s="16"/>
      <c r="AC1040" s="17"/>
      <c r="AD1040" s="17"/>
    </row>
    <row r="1041">
      <c r="A1041" s="36"/>
      <c r="B1041" s="32"/>
      <c r="C1041" s="130"/>
      <c r="D1041" s="130"/>
      <c r="E1041" s="32"/>
      <c r="F1041" s="16"/>
      <c r="G1041" s="16"/>
      <c r="H1041" s="16"/>
      <c r="I1041" s="16"/>
      <c r="J1041" s="16"/>
      <c r="K1041" s="16"/>
      <c r="L1041" s="16"/>
      <c r="M1041" s="16"/>
      <c r="N1041" s="16"/>
      <c r="O1041" s="16"/>
      <c r="P1041" s="16"/>
      <c r="Q1041" s="16"/>
      <c r="R1041" s="16"/>
      <c r="S1041" s="16"/>
      <c r="T1041" s="16"/>
      <c r="U1041" s="16"/>
      <c r="V1041" s="16"/>
      <c r="W1041" s="16"/>
      <c r="X1041" s="16"/>
      <c r="Y1041" s="16"/>
      <c r="Z1041" s="16"/>
      <c r="AA1041" s="16"/>
      <c r="AB1041" s="16"/>
      <c r="AC1041" s="17"/>
      <c r="AD1041" s="17"/>
    </row>
    <row r="1042">
      <c r="A1042" s="36"/>
      <c r="B1042" s="32"/>
      <c r="C1042" s="130"/>
      <c r="D1042" s="130"/>
      <c r="E1042" s="32"/>
      <c r="F1042" s="16"/>
      <c r="G1042" s="16"/>
      <c r="H1042" s="16"/>
      <c r="I1042" s="16"/>
      <c r="J1042" s="16"/>
      <c r="K1042" s="16"/>
      <c r="L1042" s="16"/>
      <c r="M1042" s="16"/>
      <c r="N1042" s="16"/>
      <c r="O1042" s="16"/>
      <c r="P1042" s="16"/>
      <c r="Q1042" s="16"/>
      <c r="R1042" s="16"/>
      <c r="S1042" s="16"/>
      <c r="T1042" s="16"/>
      <c r="U1042" s="16"/>
      <c r="V1042" s="16"/>
      <c r="W1042" s="16"/>
      <c r="X1042" s="16"/>
      <c r="Y1042" s="16"/>
      <c r="Z1042" s="16"/>
      <c r="AA1042" s="16"/>
      <c r="AB1042" s="16"/>
      <c r="AC1042" s="17"/>
      <c r="AD1042" s="17"/>
    </row>
    <row r="1043">
      <c r="A1043" s="36"/>
      <c r="B1043" s="32"/>
      <c r="C1043" s="130"/>
      <c r="D1043" s="130"/>
      <c r="E1043" s="32"/>
      <c r="F1043" s="16"/>
      <c r="G1043" s="16"/>
      <c r="H1043" s="16"/>
      <c r="I1043" s="16"/>
      <c r="J1043" s="16"/>
      <c r="K1043" s="16"/>
      <c r="L1043" s="16"/>
      <c r="M1043" s="16"/>
      <c r="N1043" s="16"/>
      <c r="O1043" s="16"/>
      <c r="P1043" s="16"/>
      <c r="Q1043" s="16"/>
      <c r="R1043" s="16"/>
      <c r="S1043" s="16"/>
      <c r="T1043" s="16"/>
      <c r="U1043" s="16"/>
      <c r="V1043" s="16"/>
      <c r="W1043" s="16"/>
      <c r="X1043" s="16"/>
      <c r="Y1043" s="16"/>
      <c r="Z1043" s="16"/>
      <c r="AA1043" s="16"/>
      <c r="AB1043" s="16"/>
      <c r="AC1043" s="17"/>
      <c r="AD1043" s="17"/>
    </row>
    <row r="1044">
      <c r="A1044" s="36"/>
      <c r="B1044" s="32"/>
      <c r="C1044" s="130"/>
      <c r="D1044" s="130"/>
      <c r="E1044" s="32"/>
      <c r="F1044" s="16"/>
      <c r="G1044" s="16"/>
      <c r="H1044" s="16"/>
      <c r="I1044" s="16"/>
      <c r="J1044" s="16"/>
      <c r="K1044" s="16"/>
      <c r="L1044" s="16"/>
      <c r="M1044" s="16"/>
      <c r="N1044" s="16"/>
      <c r="O1044" s="16"/>
      <c r="P1044" s="16"/>
      <c r="Q1044" s="16"/>
      <c r="R1044" s="16"/>
      <c r="S1044" s="16"/>
      <c r="T1044" s="16"/>
      <c r="U1044" s="16"/>
      <c r="V1044" s="16"/>
      <c r="W1044" s="16"/>
      <c r="X1044" s="16"/>
      <c r="Y1044" s="16"/>
      <c r="Z1044" s="16"/>
      <c r="AA1044" s="16"/>
      <c r="AB1044" s="16"/>
      <c r="AC1044" s="17"/>
      <c r="AD1044" s="17"/>
    </row>
    <row r="1045">
      <c r="A1045" s="36"/>
      <c r="B1045" s="32"/>
      <c r="C1045" s="130"/>
      <c r="D1045" s="130"/>
      <c r="E1045" s="32"/>
      <c r="F1045" s="16"/>
      <c r="G1045" s="16"/>
      <c r="H1045" s="16"/>
      <c r="I1045" s="16"/>
      <c r="J1045" s="16"/>
      <c r="K1045" s="16"/>
      <c r="L1045" s="16"/>
      <c r="M1045" s="16"/>
      <c r="N1045" s="16"/>
      <c r="O1045" s="16"/>
      <c r="P1045" s="16"/>
      <c r="Q1045" s="16"/>
      <c r="R1045" s="16"/>
      <c r="S1045" s="16"/>
      <c r="T1045" s="16"/>
      <c r="U1045" s="16"/>
      <c r="V1045" s="16"/>
      <c r="W1045" s="16"/>
      <c r="X1045" s="16"/>
      <c r="Y1045" s="16"/>
      <c r="Z1045" s="16"/>
      <c r="AA1045" s="16"/>
      <c r="AB1045" s="16"/>
      <c r="AC1045" s="17"/>
      <c r="AD1045" s="17"/>
    </row>
    <row r="1046">
      <c r="A1046" s="36"/>
      <c r="B1046" s="32"/>
      <c r="C1046" s="130"/>
      <c r="D1046" s="130"/>
      <c r="E1046" s="32"/>
      <c r="F1046" s="16"/>
      <c r="G1046" s="16"/>
      <c r="H1046" s="16"/>
      <c r="I1046" s="16"/>
      <c r="J1046" s="16"/>
      <c r="K1046" s="16"/>
      <c r="L1046" s="16"/>
      <c r="M1046" s="16"/>
      <c r="N1046" s="16"/>
      <c r="O1046" s="16"/>
      <c r="P1046" s="16"/>
      <c r="Q1046" s="16"/>
      <c r="R1046" s="16"/>
      <c r="S1046" s="16"/>
      <c r="T1046" s="16"/>
      <c r="U1046" s="16"/>
      <c r="V1046" s="16"/>
      <c r="W1046" s="16"/>
      <c r="X1046" s="16"/>
      <c r="Y1046" s="16"/>
      <c r="Z1046" s="16"/>
      <c r="AA1046" s="16"/>
      <c r="AB1046" s="16"/>
      <c r="AC1046" s="17"/>
      <c r="AD1046" s="17"/>
    </row>
    <row r="1047">
      <c r="A1047" s="36"/>
      <c r="B1047" s="32"/>
      <c r="C1047" s="130"/>
      <c r="D1047" s="130"/>
      <c r="E1047" s="32"/>
      <c r="F1047" s="16"/>
      <c r="G1047" s="16"/>
      <c r="H1047" s="16"/>
      <c r="I1047" s="16"/>
      <c r="J1047" s="16"/>
      <c r="K1047" s="16"/>
      <c r="L1047" s="16"/>
      <c r="M1047" s="16"/>
      <c r="N1047" s="16"/>
      <c r="O1047" s="16"/>
      <c r="P1047" s="16"/>
      <c r="Q1047" s="16"/>
      <c r="R1047" s="16"/>
      <c r="S1047" s="16"/>
      <c r="T1047" s="16"/>
      <c r="U1047" s="16"/>
      <c r="V1047" s="16"/>
      <c r="W1047" s="16"/>
      <c r="X1047" s="16"/>
      <c r="Y1047" s="16"/>
      <c r="Z1047" s="16"/>
      <c r="AA1047" s="16"/>
      <c r="AB1047" s="16"/>
      <c r="AC1047" s="17"/>
      <c r="AD1047" s="17"/>
    </row>
    <row r="1048">
      <c r="A1048" s="36"/>
      <c r="B1048" s="32"/>
      <c r="C1048" s="130"/>
      <c r="D1048" s="130"/>
      <c r="E1048" s="32"/>
      <c r="F1048" s="16"/>
      <c r="G1048" s="16"/>
      <c r="H1048" s="16"/>
      <c r="I1048" s="16"/>
      <c r="J1048" s="16"/>
      <c r="K1048" s="16"/>
      <c r="L1048" s="16"/>
      <c r="M1048" s="16"/>
      <c r="N1048" s="16"/>
      <c r="O1048" s="16"/>
      <c r="P1048" s="16"/>
      <c r="Q1048" s="16"/>
      <c r="R1048" s="16"/>
      <c r="S1048" s="16"/>
      <c r="T1048" s="16"/>
      <c r="U1048" s="16"/>
      <c r="V1048" s="16"/>
      <c r="W1048" s="16"/>
      <c r="X1048" s="16"/>
      <c r="Y1048" s="16"/>
      <c r="Z1048" s="16"/>
      <c r="AA1048" s="16"/>
      <c r="AB1048" s="16"/>
      <c r="AC1048" s="17"/>
      <c r="AD1048" s="17"/>
    </row>
    <row r="1049">
      <c r="A1049" s="36"/>
      <c r="B1049" s="32"/>
      <c r="C1049" s="130"/>
      <c r="D1049" s="130"/>
      <c r="E1049" s="32"/>
      <c r="F1049" s="16"/>
      <c r="G1049" s="16"/>
      <c r="H1049" s="16"/>
      <c r="I1049" s="16"/>
      <c r="J1049" s="16"/>
      <c r="K1049" s="16"/>
      <c r="L1049" s="16"/>
      <c r="M1049" s="16"/>
      <c r="N1049" s="16"/>
      <c r="O1049" s="16"/>
      <c r="P1049" s="16"/>
      <c r="Q1049" s="16"/>
      <c r="R1049" s="16"/>
      <c r="S1049" s="16"/>
      <c r="T1049" s="16"/>
      <c r="U1049" s="16"/>
      <c r="V1049" s="16"/>
      <c r="W1049" s="16"/>
      <c r="X1049" s="16"/>
      <c r="Y1049" s="16"/>
      <c r="Z1049" s="16"/>
      <c r="AA1049" s="16"/>
      <c r="AB1049" s="16"/>
      <c r="AC1049" s="17"/>
      <c r="AD1049" s="17"/>
    </row>
    <row r="1050">
      <c r="A1050" s="7"/>
      <c r="B1050" s="7"/>
      <c r="C1050" s="131"/>
      <c r="D1050" s="131"/>
      <c r="E1050" s="7"/>
      <c r="F1050" s="16"/>
      <c r="G1050" s="16"/>
      <c r="H1050" s="16"/>
      <c r="I1050" s="16"/>
      <c r="J1050" s="16"/>
      <c r="K1050" s="16"/>
      <c r="L1050" s="16"/>
      <c r="M1050" s="16"/>
      <c r="N1050" s="16"/>
      <c r="O1050" s="16"/>
      <c r="P1050" s="16"/>
      <c r="Q1050" s="16"/>
      <c r="R1050" s="16"/>
      <c r="S1050" s="16"/>
      <c r="T1050" s="16"/>
      <c r="U1050" s="16"/>
      <c r="V1050" s="16"/>
      <c r="W1050" s="16"/>
      <c r="X1050" s="16"/>
      <c r="Y1050" s="16"/>
      <c r="Z1050" s="16"/>
      <c r="AA1050" s="16"/>
      <c r="AB1050" s="16"/>
      <c r="AC1050" s="17"/>
      <c r="AD1050" s="17"/>
    </row>
    <row r="1051">
      <c r="A1051" s="7"/>
      <c r="B1051" s="7"/>
      <c r="C1051" s="131"/>
      <c r="D1051" s="131"/>
      <c r="E1051" s="7"/>
      <c r="F1051" s="16"/>
      <c r="G1051" s="16"/>
      <c r="H1051" s="16"/>
      <c r="I1051" s="16"/>
      <c r="J1051" s="16"/>
      <c r="K1051" s="16"/>
      <c r="L1051" s="16"/>
      <c r="M1051" s="16"/>
      <c r="N1051" s="16"/>
      <c r="O1051" s="16"/>
      <c r="P1051" s="16"/>
      <c r="Q1051" s="16"/>
      <c r="R1051" s="16"/>
      <c r="S1051" s="16"/>
      <c r="T1051" s="16"/>
      <c r="U1051" s="16"/>
      <c r="V1051" s="16"/>
      <c r="W1051" s="16"/>
      <c r="X1051" s="16"/>
      <c r="Y1051" s="16"/>
      <c r="Z1051" s="16"/>
      <c r="AA1051" s="16"/>
      <c r="AB1051" s="16"/>
      <c r="AC1051" s="17"/>
      <c r="AD1051" s="17"/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6.5"/>
    <col customWidth="1" min="2" max="2" width="21.5"/>
    <col customWidth="1" min="4" max="4" width="9.63"/>
    <col customWidth="1" min="5" max="5" width="30.5"/>
    <col customWidth="1" min="7" max="7" width="106.63"/>
  </cols>
  <sheetData>
    <row r="1">
      <c r="A1" s="65"/>
      <c r="B1" s="64"/>
      <c r="C1" s="64"/>
      <c r="D1" s="64"/>
      <c r="E1" s="64"/>
      <c r="F1" s="64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</row>
    <row r="2">
      <c r="A2" s="132" t="s">
        <v>263</v>
      </c>
      <c r="B2" s="133" t="s">
        <v>1</v>
      </c>
      <c r="C2" s="134" t="s">
        <v>2</v>
      </c>
      <c r="D2" s="135" t="s">
        <v>3</v>
      </c>
      <c r="E2" s="4" t="s">
        <v>4</v>
      </c>
      <c r="F2" s="1" t="s">
        <v>5</v>
      </c>
      <c r="G2" s="35" t="s">
        <v>6</v>
      </c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</row>
    <row r="3">
      <c r="A3" s="36" t="s">
        <v>264</v>
      </c>
      <c r="B3" s="136"/>
      <c r="C3" s="137"/>
      <c r="D3" s="75"/>
      <c r="E3" s="11">
        <v>80000.0</v>
      </c>
      <c r="F3" s="85"/>
      <c r="G3" s="85" t="s">
        <v>265</v>
      </c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</row>
    <row r="4">
      <c r="A4" s="9" t="s">
        <v>266</v>
      </c>
      <c r="B4" s="136"/>
      <c r="C4" s="137"/>
      <c r="D4" s="75"/>
      <c r="E4" s="29" t="s">
        <v>267</v>
      </c>
      <c r="F4" s="85"/>
      <c r="G4" s="85" t="s">
        <v>268</v>
      </c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</row>
    <row r="5">
      <c r="A5" s="36" t="s">
        <v>269</v>
      </c>
      <c r="B5" s="136"/>
      <c r="C5" s="137"/>
      <c r="D5" s="75"/>
      <c r="E5" s="29" t="s">
        <v>267</v>
      </c>
      <c r="F5" s="85"/>
      <c r="G5" s="85" t="s">
        <v>270</v>
      </c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</row>
    <row r="6">
      <c r="A6" s="36" t="s">
        <v>271</v>
      </c>
      <c r="B6" s="136"/>
      <c r="C6" s="137"/>
      <c r="D6" s="75"/>
      <c r="E6" s="11">
        <v>100000.0</v>
      </c>
      <c r="F6" s="85"/>
      <c r="G6" s="37" t="s">
        <v>272</v>
      </c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</row>
    <row r="7">
      <c r="A7" s="36" t="s">
        <v>273</v>
      </c>
      <c r="B7" s="136"/>
      <c r="C7" s="137"/>
      <c r="D7" s="75"/>
      <c r="E7" s="11">
        <v>250000.0</v>
      </c>
      <c r="F7" s="85"/>
      <c r="G7" s="37" t="s">
        <v>274</v>
      </c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</row>
    <row r="8">
      <c r="A8" s="36" t="s">
        <v>275</v>
      </c>
      <c r="B8" s="136"/>
      <c r="C8" s="137"/>
      <c r="D8" s="75"/>
      <c r="E8" s="11">
        <f>75000/1.19</f>
        <v>63025.21008</v>
      </c>
      <c r="F8" s="85"/>
      <c r="G8" s="8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</row>
    <row r="9">
      <c r="A9" s="36" t="s">
        <v>276</v>
      </c>
      <c r="B9" s="136"/>
      <c r="C9" s="137"/>
      <c r="D9" s="75"/>
      <c r="E9" s="11">
        <v>12605.0</v>
      </c>
      <c r="F9" s="85"/>
      <c r="G9" s="85" t="s">
        <v>277</v>
      </c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</row>
    <row r="10">
      <c r="A10" s="9" t="s">
        <v>278</v>
      </c>
      <c r="B10" s="136"/>
      <c r="C10" s="137"/>
      <c r="D10" s="75"/>
      <c r="E10" s="11">
        <f>50000/1.19</f>
        <v>42016.80672</v>
      </c>
      <c r="F10" s="85"/>
      <c r="G10" s="85" t="s">
        <v>279</v>
      </c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</row>
    <row r="11">
      <c r="A11" s="138" t="s">
        <v>280</v>
      </c>
      <c r="B11" s="138"/>
      <c r="C11" s="139"/>
      <c r="D11" s="140"/>
      <c r="E11" s="141" t="s">
        <v>281</v>
      </c>
      <c r="F11" s="138"/>
      <c r="G11" s="138" t="s">
        <v>282</v>
      </c>
      <c r="H11" s="142"/>
      <c r="I11" s="143"/>
      <c r="J11" s="144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145"/>
      <c r="AC11" s="146"/>
      <c r="AD11" s="146"/>
    </row>
    <row r="12">
      <c r="A12" s="138" t="s">
        <v>283</v>
      </c>
      <c r="B12" s="138"/>
      <c r="C12" s="139"/>
      <c r="D12" s="140"/>
      <c r="E12" s="141" t="s">
        <v>284</v>
      </c>
      <c r="F12" s="138"/>
      <c r="G12" s="138" t="s">
        <v>285</v>
      </c>
      <c r="H12" s="142"/>
      <c r="I12" s="143"/>
      <c r="J12" s="144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145"/>
      <c r="AC12" s="146"/>
      <c r="AD12" s="146"/>
    </row>
    <row r="13">
      <c r="A13" s="147" t="s">
        <v>286</v>
      </c>
      <c r="B13" s="148" t="s">
        <v>287</v>
      </c>
      <c r="C13" s="149">
        <v>0.0</v>
      </c>
      <c r="D13" s="149">
        <v>0.0</v>
      </c>
      <c r="E13" s="150" t="s">
        <v>288</v>
      </c>
      <c r="F13" s="149" t="s">
        <v>289</v>
      </c>
      <c r="G13" s="151" t="s">
        <v>290</v>
      </c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</row>
    <row r="14">
      <c r="A14" s="147" t="s">
        <v>291</v>
      </c>
      <c r="B14" s="148" t="s">
        <v>287</v>
      </c>
      <c r="C14" s="149"/>
      <c r="D14" s="149">
        <v>0.0</v>
      </c>
      <c r="E14" s="150">
        <v>0.0</v>
      </c>
      <c r="F14" s="149">
        <v>0.0</v>
      </c>
      <c r="G14" s="151" t="s">
        <v>290</v>
      </c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</row>
    <row r="15">
      <c r="A15" s="125" t="s">
        <v>292</v>
      </c>
      <c r="B15" s="64"/>
      <c r="C15" s="152"/>
      <c r="D15" s="64"/>
      <c r="E15" s="152" t="s">
        <v>293</v>
      </c>
      <c r="F15" s="64"/>
      <c r="G15" s="153" t="s">
        <v>294</v>
      </c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</row>
    <row r="16">
      <c r="A16" s="65"/>
      <c r="B16" s="64"/>
      <c r="C16" s="152"/>
      <c r="D16" s="64"/>
      <c r="E16" s="64"/>
      <c r="F16" s="64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</row>
    <row r="17">
      <c r="A17" s="65"/>
      <c r="B17" s="64"/>
      <c r="C17" s="152"/>
      <c r="D17" s="64"/>
      <c r="E17" s="64"/>
      <c r="F17" s="64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</row>
    <row r="18">
      <c r="A18" s="132" t="s">
        <v>295</v>
      </c>
      <c r="B18" s="133" t="s">
        <v>1</v>
      </c>
      <c r="C18" s="134" t="s">
        <v>2</v>
      </c>
      <c r="D18" s="135" t="s">
        <v>3</v>
      </c>
      <c r="E18" s="4" t="s">
        <v>4</v>
      </c>
      <c r="F18" s="1" t="s">
        <v>5</v>
      </c>
      <c r="G18" s="35" t="s">
        <v>6</v>
      </c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</row>
    <row r="19">
      <c r="A19" s="13" t="s">
        <v>296</v>
      </c>
      <c r="B19" s="18"/>
      <c r="C19" s="18"/>
      <c r="D19" s="18"/>
      <c r="E19" s="154" t="s">
        <v>297</v>
      </c>
      <c r="F19" s="18"/>
      <c r="G19" s="13" t="s">
        <v>298</v>
      </c>
      <c r="H19" s="16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</row>
    <row r="20">
      <c r="A20" s="38" t="s">
        <v>299</v>
      </c>
      <c r="B20" s="18"/>
      <c r="C20" s="18"/>
      <c r="D20" s="18"/>
      <c r="E20" s="154" t="s">
        <v>300</v>
      </c>
      <c r="F20" s="18"/>
      <c r="G20" s="13" t="s">
        <v>301</v>
      </c>
      <c r="H20" s="16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</row>
    <row r="21">
      <c r="A21" s="38" t="s">
        <v>302</v>
      </c>
      <c r="B21" s="124" t="s">
        <v>303</v>
      </c>
      <c r="C21" s="18"/>
      <c r="D21" s="18"/>
      <c r="E21" s="154" t="s">
        <v>300</v>
      </c>
      <c r="F21" s="18"/>
      <c r="G21" s="13" t="s">
        <v>304</v>
      </c>
      <c r="H21" s="16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</row>
    <row r="22">
      <c r="A22" s="38" t="s">
        <v>305</v>
      </c>
      <c r="B22" s="18"/>
      <c r="C22" s="18"/>
      <c r="D22" s="155"/>
      <c r="E22" s="154" t="s">
        <v>300</v>
      </c>
      <c r="F22" s="18"/>
      <c r="G22" s="124" t="s">
        <v>306</v>
      </c>
      <c r="H22" s="16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</row>
    <row r="23">
      <c r="A23" s="38" t="s">
        <v>307</v>
      </c>
      <c r="B23" s="18"/>
      <c r="C23" s="18"/>
      <c r="D23" s="155"/>
      <c r="E23" s="154" t="s">
        <v>300</v>
      </c>
      <c r="F23" s="18"/>
      <c r="G23" s="124" t="s">
        <v>308</v>
      </c>
      <c r="H23" s="16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</row>
    <row r="24">
      <c r="A24" s="38" t="s">
        <v>309</v>
      </c>
      <c r="B24" s="18"/>
      <c r="C24" s="18"/>
      <c r="D24" s="18"/>
      <c r="E24" s="154" t="s">
        <v>310</v>
      </c>
      <c r="F24" s="18"/>
      <c r="G24" s="13" t="s">
        <v>311</v>
      </c>
      <c r="H24" s="16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</row>
    <row r="25">
      <c r="A25" s="13" t="s">
        <v>312</v>
      </c>
      <c r="B25" s="18"/>
      <c r="C25" s="18"/>
      <c r="D25" s="18"/>
      <c r="E25" s="154" t="s">
        <v>297</v>
      </c>
      <c r="F25" s="18"/>
      <c r="G25" s="124" t="s">
        <v>308</v>
      </c>
      <c r="H25" s="16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</row>
    <row r="26">
      <c r="A26" s="13" t="s">
        <v>313</v>
      </c>
      <c r="B26" s="18"/>
      <c r="C26" s="18"/>
      <c r="D26" s="18"/>
      <c r="E26" s="154" t="s">
        <v>300</v>
      </c>
      <c r="F26" s="18"/>
      <c r="G26" s="13"/>
      <c r="H26" s="16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</row>
    <row r="27">
      <c r="A27" s="36" t="s">
        <v>314</v>
      </c>
      <c r="B27" s="18"/>
      <c r="C27" s="18"/>
      <c r="D27" s="18"/>
      <c r="E27" s="154" t="s">
        <v>315</v>
      </c>
      <c r="F27" s="155"/>
      <c r="G27" s="18"/>
      <c r="H27" s="16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</row>
    <row r="28">
      <c r="A28" s="13" t="s">
        <v>316</v>
      </c>
      <c r="B28" s="18"/>
      <c r="C28" s="18"/>
      <c r="D28" s="18"/>
      <c r="E28" s="154" t="s">
        <v>300</v>
      </c>
      <c r="F28" s="18"/>
      <c r="G28" s="13"/>
      <c r="H28" s="16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</row>
    <row r="29">
      <c r="A29" s="13" t="s">
        <v>317</v>
      </c>
      <c r="B29" s="18"/>
      <c r="C29" s="18"/>
      <c r="D29" s="18"/>
      <c r="E29" s="154" t="s">
        <v>300</v>
      </c>
      <c r="F29" s="18"/>
      <c r="G29" s="13" t="s">
        <v>318</v>
      </c>
      <c r="H29" s="16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</row>
    <row r="30">
      <c r="A30" s="9" t="s">
        <v>319</v>
      </c>
      <c r="B30" s="18"/>
      <c r="C30" s="18"/>
      <c r="D30" s="18"/>
      <c r="E30" s="154" t="s">
        <v>320</v>
      </c>
      <c r="F30" s="155"/>
      <c r="G30" s="18"/>
      <c r="H30" s="18" t="s">
        <v>321</v>
      </c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</row>
    <row r="31">
      <c r="A31" s="9" t="s">
        <v>322</v>
      </c>
      <c r="B31" s="18"/>
      <c r="C31" s="18"/>
      <c r="D31" s="18"/>
      <c r="E31" s="154" t="s">
        <v>323</v>
      </c>
      <c r="F31" s="155"/>
      <c r="G31" s="18"/>
      <c r="H31" s="1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</row>
    <row r="32">
      <c r="A32" s="9" t="s">
        <v>324</v>
      </c>
      <c r="B32" s="18"/>
      <c r="C32" s="18"/>
      <c r="D32" s="18"/>
      <c r="E32" s="154" t="s">
        <v>325</v>
      </c>
      <c r="F32" s="155"/>
      <c r="G32" s="18"/>
      <c r="H32" s="1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</row>
    <row r="33">
      <c r="A33" s="9" t="s">
        <v>326</v>
      </c>
      <c r="B33" s="18"/>
      <c r="C33" s="18"/>
      <c r="D33" s="18"/>
      <c r="E33" s="154" t="s">
        <v>327</v>
      </c>
      <c r="F33" s="155"/>
      <c r="G33" s="18"/>
      <c r="H33" s="1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</row>
    <row r="34">
      <c r="A34" s="36" t="s">
        <v>328</v>
      </c>
      <c r="B34" s="18"/>
      <c r="C34" s="18"/>
      <c r="D34" s="18"/>
      <c r="E34" s="154" t="s">
        <v>329</v>
      </c>
      <c r="F34" s="155"/>
      <c r="G34" s="18" t="s">
        <v>330</v>
      </c>
      <c r="H34" s="16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</row>
    <row r="35">
      <c r="A35" s="9" t="s">
        <v>331</v>
      </c>
      <c r="B35" s="18"/>
      <c r="C35" s="18"/>
      <c r="D35" s="18"/>
      <c r="E35" s="154" t="s">
        <v>332</v>
      </c>
      <c r="F35" s="155"/>
      <c r="G35" s="18"/>
      <c r="H35" s="16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</row>
    <row r="36">
      <c r="A36" s="9" t="s">
        <v>333</v>
      </c>
      <c r="B36" s="18"/>
      <c r="C36" s="18"/>
      <c r="D36" s="18"/>
      <c r="E36" s="154" t="s">
        <v>334</v>
      </c>
      <c r="F36" s="155"/>
      <c r="G36" s="18"/>
      <c r="H36" s="16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</row>
    <row r="37">
      <c r="A37" s="9" t="s">
        <v>335</v>
      </c>
      <c r="B37" s="18"/>
      <c r="C37" s="18"/>
      <c r="D37" s="18"/>
      <c r="E37" s="154" t="s">
        <v>336</v>
      </c>
      <c r="F37" s="155"/>
      <c r="G37" s="18"/>
      <c r="H37" s="16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</row>
    <row r="38">
      <c r="A38" s="9" t="s">
        <v>337</v>
      </c>
      <c r="B38" s="18"/>
      <c r="C38" s="18"/>
      <c r="D38" s="18"/>
      <c r="E38" s="154" t="s">
        <v>338</v>
      </c>
      <c r="F38" s="155"/>
      <c r="G38" s="18"/>
      <c r="H38" s="16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</row>
    <row r="39">
      <c r="A39" s="9" t="s">
        <v>339</v>
      </c>
      <c r="B39" s="18"/>
      <c r="C39" s="18"/>
      <c r="D39" s="18"/>
      <c r="E39" s="154" t="s">
        <v>340</v>
      </c>
      <c r="F39" s="155"/>
      <c r="G39" s="18"/>
      <c r="H39" s="16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</row>
    <row r="40">
      <c r="A40" s="65"/>
      <c r="B40" s="64"/>
      <c r="C40" s="64"/>
      <c r="D40" s="64"/>
      <c r="E40" s="64"/>
      <c r="F40" s="64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</row>
    <row r="41">
      <c r="A41" s="65"/>
      <c r="B41" s="64"/>
      <c r="C41" s="64"/>
      <c r="D41" s="64"/>
      <c r="E41" s="64"/>
      <c r="F41" s="64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</row>
    <row r="42">
      <c r="A42" s="132" t="s">
        <v>341</v>
      </c>
      <c r="B42" s="133" t="s">
        <v>1</v>
      </c>
      <c r="C42" s="134" t="s">
        <v>2</v>
      </c>
      <c r="D42" s="135" t="s">
        <v>3</v>
      </c>
      <c r="E42" s="4" t="s">
        <v>4</v>
      </c>
      <c r="F42" s="1" t="s">
        <v>5</v>
      </c>
      <c r="G42" s="35" t="s">
        <v>6</v>
      </c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</row>
    <row r="43">
      <c r="A43" s="38" t="s">
        <v>342</v>
      </c>
      <c r="B43" s="18"/>
      <c r="C43" s="18"/>
      <c r="D43" s="18"/>
      <c r="E43" s="154" t="s">
        <v>343</v>
      </c>
      <c r="F43" s="18"/>
      <c r="G43" s="13" t="s">
        <v>344</v>
      </c>
      <c r="H43" s="16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  <c r="AB43" s="65"/>
      <c r="AC43" s="65"/>
      <c r="AD43" s="65"/>
    </row>
    <row r="44">
      <c r="A44" s="38" t="s">
        <v>345</v>
      </c>
      <c r="B44" s="18"/>
      <c r="C44" s="18"/>
      <c r="D44" s="18"/>
      <c r="E44" s="154" t="s">
        <v>343</v>
      </c>
      <c r="F44" s="18"/>
      <c r="G44" s="13" t="s">
        <v>344</v>
      </c>
      <c r="H44" s="16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</row>
    <row r="45">
      <c r="A45" s="38" t="s">
        <v>346</v>
      </c>
      <c r="B45" s="18"/>
      <c r="C45" s="18"/>
      <c r="D45" s="18"/>
      <c r="E45" s="154" t="s">
        <v>343</v>
      </c>
      <c r="F45" s="18"/>
      <c r="G45" s="13" t="s">
        <v>344</v>
      </c>
      <c r="H45" s="16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5"/>
      <c r="AC45" s="65"/>
      <c r="AD45" s="65"/>
    </row>
    <row r="46">
      <c r="A46" s="38" t="s">
        <v>347</v>
      </c>
      <c r="B46" s="18"/>
      <c r="C46" s="18"/>
      <c r="D46" s="18"/>
      <c r="E46" s="154" t="s">
        <v>343</v>
      </c>
      <c r="F46" s="18"/>
      <c r="G46" s="13" t="s">
        <v>344</v>
      </c>
      <c r="H46" s="16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</row>
    <row r="47">
      <c r="A47" s="38" t="s">
        <v>348</v>
      </c>
      <c r="B47" s="18"/>
      <c r="C47" s="18"/>
      <c r="D47" s="18"/>
      <c r="E47" s="154" t="s">
        <v>343</v>
      </c>
      <c r="F47" s="18"/>
      <c r="G47" s="13" t="s">
        <v>344</v>
      </c>
      <c r="H47" s="16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  <c r="AB47" s="65"/>
      <c r="AC47" s="65"/>
      <c r="AD47" s="65"/>
    </row>
    <row r="48">
      <c r="A48" s="38" t="s">
        <v>349</v>
      </c>
      <c r="B48" s="18"/>
      <c r="C48" s="18"/>
      <c r="D48" s="18"/>
      <c r="E48" s="154" t="s">
        <v>343</v>
      </c>
      <c r="F48" s="18"/>
      <c r="G48" s="13" t="s">
        <v>344</v>
      </c>
      <c r="H48" s="16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</row>
    <row r="49">
      <c r="A49" s="38" t="s">
        <v>350</v>
      </c>
      <c r="B49" s="18"/>
      <c r="C49" s="18"/>
      <c r="D49" s="18"/>
      <c r="E49" s="154" t="s">
        <v>343</v>
      </c>
      <c r="F49" s="18"/>
      <c r="G49" s="13" t="s">
        <v>344</v>
      </c>
      <c r="H49" s="16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65"/>
    </row>
    <row r="50">
      <c r="A50" s="38" t="s">
        <v>351</v>
      </c>
      <c r="B50" s="18"/>
      <c r="C50" s="18"/>
      <c r="D50" s="18"/>
      <c r="E50" s="154" t="s">
        <v>343</v>
      </c>
      <c r="F50" s="18"/>
      <c r="G50" s="13" t="s">
        <v>344</v>
      </c>
      <c r="H50" s="16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</row>
    <row r="51">
      <c r="A51" s="38" t="s">
        <v>292</v>
      </c>
      <c r="B51" s="18"/>
      <c r="C51" s="18"/>
      <c r="D51" s="18"/>
      <c r="E51" s="154" t="s">
        <v>343</v>
      </c>
      <c r="F51" s="18"/>
      <c r="G51" s="13" t="s">
        <v>344</v>
      </c>
      <c r="H51" s="16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  <c r="AB51" s="65"/>
      <c r="AC51" s="65"/>
      <c r="AD51" s="65"/>
    </row>
    <row r="52">
      <c r="A52" s="38" t="s">
        <v>352</v>
      </c>
      <c r="B52" s="18"/>
      <c r="C52" s="18"/>
      <c r="D52" s="18"/>
      <c r="E52" s="154" t="s">
        <v>343</v>
      </c>
      <c r="F52" s="18"/>
      <c r="G52" s="13" t="s">
        <v>344</v>
      </c>
      <c r="H52" s="16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</row>
    <row r="53">
      <c r="A53" s="38" t="s">
        <v>353</v>
      </c>
      <c r="B53" s="18"/>
      <c r="C53" s="18"/>
      <c r="D53" s="18"/>
      <c r="E53" s="154" t="s">
        <v>343</v>
      </c>
      <c r="F53" s="18"/>
      <c r="G53" s="13" t="s">
        <v>344</v>
      </c>
      <c r="H53" s="16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  <c r="AB53" s="65"/>
      <c r="AC53" s="65"/>
      <c r="AD53" s="65"/>
    </row>
    <row r="54">
      <c r="A54" s="38" t="s">
        <v>354</v>
      </c>
      <c r="B54" s="18"/>
      <c r="C54" s="18"/>
      <c r="D54" s="18"/>
      <c r="E54" s="154" t="s">
        <v>343</v>
      </c>
      <c r="F54" s="18"/>
      <c r="G54" s="13" t="s">
        <v>344</v>
      </c>
      <c r="H54" s="16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</row>
    <row r="55">
      <c r="A55" s="38" t="s">
        <v>355</v>
      </c>
      <c r="B55" s="18"/>
      <c r="C55" s="18"/>
      <c r="D55" s="18"/>
      <c r="E55" s="154" t="s">
        <v>343</v>
      </c>
      <c r="F55" s="18"/>
      <c r="G55" s="13" t="s">
        <v>344</v>
      </c>
      <c r="H55" s="16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  <c r="AB55" s="65"/>
      <c r="AC55" s="65"/>
      <c r="AD55" s="65"/>
    </row>
    <row r="56">
      <c r="A56" s="65"/>
      <c r="B56" s="64"/>
      <c r="C56" s="64"/>
      <c r="D56" s="64"/>
      <c r="E56" s="64"/>
      <c r="F56" s="64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  <c r="AD56" s="65"/>
    </row>
    <row r="57">
      <c r="A57" s="65"/>
      <c r="B57" s="64"/>
      <c r="C57" s="64"/>
      <c r="D57" s="64"/>
      <c r="E57" s="64"/>
      <c r="F57" s="64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  <c r="AB57" s="65"/>
      <c r="AC57" s="65"/>
      <c r="AD57" s="65"/>
    </row>
    <row r="58">
      <c r="A58" s="65"/>
      <c r="B58" s="64"/>
      <c r="C58" s="64"/>
      <c r="D58" s="64"/>
      <c r="E58" s="64"/>
      <c r="F58" s="64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</row>
    <row r="59">
      <c r="A59" s="65"/>
      <c r="B59" s="64"/>
      <c r="C59" s="64"/>
      <c r="D59" s="64"/>
      <c r="E59" s="64"/>
      <c r="F59" s="64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  <c r="AB59" s="65"/>
      <c r="AC59" s="65"/>
      <c r="AD59" s="65"/>
    </row>
    <row r="60">
      <c r="A60" s="65"/>
      <c r="B60" s="64"/>
      <c r="C60" s="64"/>
      <c r="D60" s="64"/>
      <c r="E60" s="64"/>
      <c r="F60" s="64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</row>
    <row r="61">
      <c r="A61" s="65"/>
      <c r="B61" s="64"/>
      <c r="C61" s="64"/>
      <c r="D61" s="64"/>
      <c r="E61" s="64"/>
      <c r="F61" s="64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  <c r="AD61" s="65"/>
    </row>
    <row r="62">
      <c r="A62" s="65"/>
      <c r="B62" s="64"/>
      <c r="C62" s="64"/>
      <c r="D62" s="64"/>
      <c r="E62" s="64"/>
      <c r="F62" s="64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</row>
    <row r="63">
      <c r="A63" s="65"/>
      <c r="B63" s="64"/>
      <c r="C63" s="64"/>
      <c r="D63" s="64"/>
      <c r="E63" s="64"/>
      <c r="F63" s="64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  <c r="AB63" s="65"/>
      <c r="AC63" s="65"/>
      <c r="AD63" s="65"/>
    </row>
    <row r="64">
      <c r="A64" s="65"/>
      <c r="B64" s="64"/>
      <c r="C64" s="64"/>
      <c r="D64" s="64"/>
      <c r="E64" s="64"/>
      <c r="F64" s="64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</row>
    <row r="65">
      <c r="A65" s="65"/>
      <c r="B65" s="64"/>
      <c r="C65" s="64"/>
      <c r="D65" s="64"/>
      <c r="E65" s="64"/>
      <c r="F65" s="64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  <c r="AB65" s="65"/>
      <c r="AC65" s="65"/>
      <c r="AD65" s="65"/>
    </row>
    <row r="66">
      <c r="A66" s="65"/>
      <c r="B66" s="64"/>
      <c r="C66" s="64"/>
      <c r="D66" s="64"/>
      <c r="E66" s="64"/>
      <c r="F66" s="64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</row>
    <row r="67">
      <c r="A67" s="65"/>
      <c r="B67" s="64"/>
      <c r="C67" s="64"/>
      <c r="D67" s="64"/>
      <c r="E67" s="64"/>
      <c r="F67" s="64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  <c r="AB67" s="65"/>
      <c r="AC67" s="65"/>
      <c r="AD67" s="65"/>
    </row>
    <row r="68">
      <c r="A68" s="65"/>
      <c r="B68" s="64"/>
      <c r="C68" s="64"/>
      <c r="D68" s="64"/>
      <c r="E68" s="64"/>
      <c r="F68" s="64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  <c r="AD68" s="65"/>
    </row>
    <row r="69">
      <c r="A69" s="65"/>
      <c r="B69" s="64"/>
      <c r="C69" s="64"/>
      <c r="D69" s="64"/>
      <c r="E69" s="64"/>
      <c r="F69" s="64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  <c r="AB69" s="65"/>
      <c r="AC69" s="65"/>
      <c r="AD69" s="65"/>
    </row>
    <row r="70">
      <c r="A70" s="65"/>
      <c r="B70" s="64"/>
      <c r="C70" s="64"/>
      <c r="D70" s="64"/>
      <c r="E70" s="64"/>
      <c r="F70" s="64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</row>
    <row r="71">
      <c r="A71" s="65"/>
      <c r="B71" s="64"/>
      <c r="C71" s="64"/>
      <c r="D71" s="64"/>
      <c r="E71" s="64"/>
      <c r="F71" s="64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  <c r="AB71" s="65"/>
      <c r="AC71" s="65"/>
      <c r="AD71" s="65"/>
    </row>
    <row r="72">
      <c r="A72" s="65"/>
      <c r="B72" s="64"/>
      <c r="C72" s="64"/>
      <c r="D72" s="64"/>
      <c r="E72" s="64"/>
      <c r="F72" s="64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  <c r="AD72" s="65"/>
    </row>
    <row r="73">
      <c r="A73" s="65"/>
      <c r="B73" s="64"/>
      <c r="C73" s="64"/>
      <c r="D73" s="64"/>
      <c r="E73" s="64"/>
      <c r="F73" s="64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  <c r="AB73" s="65"/>
      <c r="AC73" s="65"/>
      <c r="AD73" s="65"/>
    </row>
    <row r="74">
      <c r="A74" s="65"/>
      <c r="B74" s="64"/>
      <c r="C74" s="64"/>
      <c r="D74" s="64"/>
      <c r="E74" s="64"/>
      <c r="F74" s="64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</row>
    <row r="75">
      <c r="A75" s="65"/>
      <c r="B75" s="64"/>
      <c r="C75" s="64"/>
      <c r="D75" s="64"/>
      <c r="E75" s="64"/>
      <c r="F75" s="64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  <c r="AB75" s="65"/>
      <c r="AC75" s="65"/>
      <c r="AD75" s="65"/>
    </row>
    <row r="76">
      <c r="A76" s="65"/>
      <c r="B76" s="64"/>
      <c r="C76" s="64"/>
      <c r="D76" s="64"/>
      <c r="E76" s="64"/>
      <c r="F76" s="64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</row>
    <row r="77">
      <c r="A77" s="65"/>
      <c r="B77" s="64"/>
      <c r="C77" s="64"/>
      <c r="D77" s="64"/>
      <c r="E77" s="64"/>
      <c r="F77" s="64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  <c r="AB77" s="65"/>
      <c r="AC77" s="65"/>
      <c r="AD77" s="65"/>
    </row>
    <row r="78">
      <c r="A78" s="65"/>
      <c r="B78" s="64"/>
      <c r="C78" s="64"/>
      <c r="D78" s="64"/>
      <c r="E78" s="64"/>
      <c r="F78" s="64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</row>
    <row r="79">
      <c r="A79" s="65"/>
      <c r="B79" s="64"/>
      <c r="C79" s="64"/>
      <c r="D79" s="64"/>
      <c r="E79" s="64"/>
      <c r="F79" s="64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  <c r="AB79" s="65"/>
      <c r="AC79" s="65"/>
      <c r="AD79" s="65"/>
    </row>
    <row r="80">
      <c r="A80" s="65"/>
      <c r="B80" s="64"/>
      <c r="C80" s="64"/>
      <c r="D80" s="64"/>
      <c r="E80" s="64"/>
      <c r="F80" s="64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</row>
    <row r="81">
      <c r="A81" s="65"/>
      <c r="B81" s="64"/>
      <c r="C81" s="64"/>
      <c r="D81" s="64"/>
      <c r="E81" s="64"/>
      <c r="F81" s="64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  <c r="AA81" s="65"/>
      <c r="AB81" s="65"/>
      <c r="AC81" s="65"/>
      <c r="AD81" s="65"/>
    </row>
    <row r="82">
      <c r="A82" s="65"/>
      <c r="B82" s="64"/>
      <c r="C82" s="64"/>
      <c r="D82" s="64"/>
      <c r="E82" s="64"/>
      <c r="F82" s="64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</row>
    <row r="83">
      <c r="A83" s="65"/>
      <c r="B83" s="64"/>
      <c r="C83" s="64"/>
      <c r="D83" s="64"/>
      <c r="E83" s="64"/>
      <c r="F83" s="64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65"/>
      <c r="AB83" s="65"/>
      <c r="AC83" s="65"/>
      <c r="AD83" s="65"/>
    </row>
    <row r="84">
      <c r="A84" s="65"/>
      <c r="B84" s="64"/>
      <c r="C84" s="64"/>
      <c r="D84" s="64"/>
      <c r="E84" s="64"/>
      <c r="F84" s="64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</row>
    <row r="85">
      <c r="A85" s="65"/>
      <c r="B85" s="64"/>
      <c r="C85" s="64"/>
      <c r="D85" s="64"/>
      <c r="E85" s="64"/>
      <c r="F85" s="64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  <c r="AB85" s="65"/>
      <c r="AC85" s="65"/>
      <c r="AD85" s="65"/>
    </row>
    <row r="86">
      <c r="A86" s="65"/>
      <c r="B86" s="64"/>
      <c r="C86" s="64"/>
      <c r="D86" s="64"/>
      <c r="E86" s="64"/>
      <c r="F86" s="64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</row>
    <row r="87">
      <c r="A87" s="65"/>
      <c r="B87" s="64"/>
      <c r="C87" s="64"/>
      <c r="D87" s="64"/>
      <c r="E87" s="64"/>
      <c r="F87" s="64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  <c r="AB87" s="65"/>
      <c r="AC87" s="65"/>
      <c r="AD87" s="65"/>
    </row>
    <row r="88">
      <c r="A88" s="65"/>
      <c r="B88" s="64"/>
      <c r="C88" s="64"/>
      <c r="D88" s="64"/>
      <c r="E88" s="64"/>
      <c r="F88" s="64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</row>
    <row r="89">
      <c r="A89" s="65"/>
      <c r="B89" s="64"/>
      <c r="C89" s="64"/>
      <c r="D89" s="64"/>
      <c r="E89" s="64"/>
      <c r="F89" s="64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  <c r="AB89" s="65"/>
      <c r="AC89" s="65"/>
      <c r="AD89" s="65"/>
    </row>
    <row r="90">
      <c r="A90" s="65"/>
      <c r="B90" s="64"/>
      <c r="C90" s="64"/>
      <c r="D90" s="64"/>
      <c r="E90" s="64"/>
      <c r="F90" s="64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</row>
    <row r="91">
      <c r="A91" s="65"/>
      <c r="B91" s="64"/>
      <c r="C91" s="64"/>
      <c r="D91" s="64"/>
      <c r="E91" s="64"/>
      <c r="F91" s="64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  <c r="AB91" s="65"/>
      <c r="AC91" s="65"/>
      <c r="AD91" s="65"/>
    </row>
    <row r="92">
      <c r="A92" s="65"/>
      <c r="B92" s="64"/>
      <c r="C92" s="64"/>
      <c r="D92" s="64"/>
      <c r="E92" s="64"/>
      <c r="F92" s="64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</row>
    <row r="93">
      <c r="A93" s="65"/>
      <c r="B93" s="64"/>
      <c r="C93" s="64"/>
      <c r="D93" s="64"/>
      <c r="E93" s="64"/>
      <c r="F93" s="64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  <c r="AB93" s="65"/>
      <c r="AC93" s="65"/>
      <c r="AD93" s="65"/>
    </row>
    <row r="94">
      <c r="A94" s="65"/>
      <c r="B94" s="64"/>
      <c r="C94" s="64"/>
      <c r="D94" s="64"/>
      <c r="E94" s="64"/>
      <c r="F94" s="64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</row>
    <row r="95">
      <c r="A95" s="65"/>
      <c r="B95" s="64"/>
      <c r="C95" s="64"/>
      <c r="D95" s="64"/>
      <c r="E95" s="64"/>
      <c r="F95" s="64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</row>
    <row r="96">
      <c r="A96" s="65"/>
      <c r="B96" s="64"/>
      <c r="C96" s="64"/>
      <c r="D96" s="64"/>
      <c r="E96" s="64"/>
      <c r="F96" s="64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</row>
    <row r="97">
      <c r="A97" s="65"/>
      <c r="B97" s="64"/>
      <c r="C97" s="64"/>
      <c r="D97" s="64"/>
      <c r="E97" s="64"/>
      <c r="F97" s="64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</row>
    <row r="98">
      <c r="A98" s="65"/>
      <c r="B98" s="64"/>
      <c r="C98" s="64"/>
      <c r="D98" s="64"/>
      <c r="E98" s="64"/>
      <c r="F98" s="64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</row>
    <row r="99">
      <c r="A99" s="65"/>
      <c r="B99" s="64"/>
      <c r="C99" s="64"/>
      <c r="D99" s="64"/>
      <c r="E99" s="64"/>
      <c r="F99" s="64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</row>
    <row r="100">
      <c r="A100" s="65"/>
      <c r="B100" s="64"/>
      <c r="C100" s="64"/>
      <c r="D100" s="64"/>
      <c r="E100" s="64"/>
      <c r="F100" s="64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</row>
    <row r="101">
      <c r="A101" s="65"/>
      <c r="B101" s="64"/>
      <c r="C101" s="64"/>
      <c r="D101" s="64"/>
      <c r="E101" s="64"/>
      <c r="F101" s="64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  <c r="AB101" s="65"/>
      <c r="AC101" s="65"/>
      <c r="AD101" s="65"/>
    </row>
    <row r="102">
      <c r="A102" s="65"/>
      <c r="B102" s="64"/>
      <c r="C102" s="64"/>
      <c r="D102" s="64"/>
      <c r="E102" s="64"/>
      <c r="F102" s="64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  <c r="AD102" s="65"/>
    </row>
    <row r="103">
      <c r="A103" s="65"/>
      <c r="B103" s="64"/>
      <c r="C103" s="64"/>
      <c r="D103" s="64"/>
      <c r="E103" s="64"/>
      <c r="F103" s="64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65"/>
    </row>
    <row r="104">
      <c r="A104" s="65"/>
      <c r="B104" s="64"/>
      <c r="C104" s="64"/>
      <c r="D104" s="64"/>
      <c r="E104" s="64"/>
      <c r="F104" s="64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</row>
    <row r="105">
      <c r="A105" s="65"/>
      <c r="B105" s="64"/>
      <c r="C105" s="64"/>
      <c r="D105" s="64"/>
      <c r="E105" s="64"/>
      <c r="F105" s="64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</row>
    <row r="106">
      <c r="A106" s="65"/>
      <c r="B106" s="64"/>
      <c r="C106" s="64"/>
      <c r="D106" s="64"/>
      <c r="E106" s="64"/>
      <c r="F106" s="64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  <c r="AD106" s="65"/>
    </row>
    <row r="107">
      <c r="A107" s="65"/>
      <c r="B107" s="64"/>
      <c r="C107" s="64"/>
      <c r="D107" s="64"/>
      <c r="E107" s="64"/>
      <c r="F107" s="64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  <c r="AB107" s="65"/>
      <c r="AC107" s="65"/>
      <c r="AD107" s="65"/>
    </row>
    <row r="108">
      <c r="A108" s="65"/>
      <c r="B108" s="64"/>
      <c r="C108" s="64"/>
      <c r="D108" s="64"/>
      <c r="E108" s="64"/>
      <c r="F108" s="64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  <c r="AD108" s="65"/>
    </row>
    <row r="109">
      <c r="A109" s="65"/>
      <c r="B109" s="64"/>
      <c r="C109" s="64"/>
      <c r="D109" s="64"/>
      <c r="E109" s="64"/>
      <c r="F109" s="64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65"/>
      <c r="AB109" s="65"/>
      <c r="AC109" s="65"/>
      <c r="AD109" s="65"/>
    </row>
    <row r="110">
      <c r="A110" s="65"/>
      <c r="B110" s="64"/>
      <c r="C110" s="64"/>
      <c r="D110" s="64"/>
      <c r="E110" s="64"/>
      <c r="F110" s="64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  <c r="AD110" s="65"/>
    </row>
    <row r="111">
      <c r="A111" s="65"/>
      <c r="B111" s="64"/>
      <c r="C111" s="64"/>
      <c r="D111" s="64"/>
      <c r="E111" s="64"/>
      <c r="F111" s="64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  <c r="AD111" s="65"/>
    </row>
    <row r="112">
      <c r="A112" s="65"/>
      <c r="B112" s="64"/>
      <c r="C112" s="64"/>
      <c r="D112" s="64"/>
      <c r="E112" s="64"/>
      <c r="F112" s="64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</row>
    <row r="113">
      <c r="A113" s="65"/>
      <c r="B113" s="64"/>
      <c r="C113" s="64"/>
      <c r="D113" s="64"/>
      <c r="E113" s="64"/>
      <c r="F113" s="64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65"/>
      <c r="AC113" s="65"/>
      <c r="AD113" s="65"/>
    </row>
    <row r="114">
      <c r="A114" s="65"/>
      <c r="B114" s="64"/>
      <c r="C114" s="64"/>
      <c r="D114" s="64"/>
      <c r="E114" s="64"/>
      <c r="F114" s="64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  <c r="AB114" s="65"/>
      <c r="AC114" s="65"/>
      <c r="AD114" s="65"/>
    </row>
    <row r="115">
      <c r="A115" s="65"/>
      <c r="B115" s="64"/>
      <c r="C115" s="64"/>
      <c r="D115" s="64"/>
      <c r="E115" s="64"/>
      <c r="F115" s="64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  <c r="AB115" s="65"/>
      <c r="AC115" s="65"/>
      <c r="AD115" s="65"/>
    </row>
    <row r="116">
      <c r="A116" s="65"/>
      <c r="B116" s="64"/>
      <c r="C116" s="64"/>
      <c r="D116" s="64"/>
      <c r="E116" s="64"/>
      <c r="F116" s="64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  <c r="AB116" s="65"/>
      <c r="AC116" s="65"/>
      <c r="AD116" s="65"/>
    </row>
    <row r="117">
      <c r="A117" s="65"/>
      <c r="B117" s="64"/>
      <c r="C117" s="64"/>
      <c r="D117" s="64"/>
      <c r="E117" s="64"/>
      <c r="F117" s="64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  <c r="AA117" s="65"/>
      <c r="AB117" s="65"/>
      <c r="AC117" s="65"/>
      <c r="AD117" s="65"/>
    </row>
    <row r="118">
      <c r="A118" s="65"/>
      <c r="B118" s="64"/>
      <c r="C118" s="64"/>
      <c r="D118" s="64"/>
      <c r="E118" s="64"/>
      <c r="F118" s="64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  <c r="AD118" s="65"/>
    </row>
    <row r="119">
      <c r="A119" s="65"/>
      <c r="B119" s="64"/>
      <c r="C119" s="64"/>
      <c r="D119" s="64"/>
      <c r="E119" s="64"/>
      <c r="F119" s="64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  <c r="AA119" s="65"/>
      <c r="AB119" s="65"/>
      <c r="AC119" s="65"/>
      <c r="AD119" s="65"/>
    </row>
    <row r="120">
      <c r="A120" s="65"/>
      <c r="B120" s="64"/>
      <c r="C120" s="64"/>
      <c r="D120" s="64"/>
      <c r="E120" s="64"/>
      <c r="F120" s="64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  <c r="AB120" s="65"/>
      <c r="AC120" s="65"/>
      <c r="AD120" s="65"/>
    </row>
    <row r="121">
      <c r="A121" s="65"/>
      <c r="B121" s="64"/>
      <c r="C121" s="64"/>
      <c r="D121" s="64"/>
      <c r="E121" s="64"/>
      <c r="F121" s="64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  <c r="AA121" s="65"/>
      <c r="AB121" s="65"/>
      <c r="AC121" s="65"/>
      <c r="AD121" s="65"/>
    </row>
    <row r="122">
      <c r="A122" s="65"/>
      <c r="B122" s="64"/>
      <c r="C122" s="64"/>
      <c r="D122" s="64"/>
      <c r="E122" s="64"/>
      <c r="F122" s="64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  <c r="AB122" s="65"/>
      <c r="AC122" s="65"/>
      <c r="AD122" s="65"/>
    </row>
    <row r="123">
      <c r="A123" s="65"/>
      <c r="B123" s="64"/>
      <c r="C123" s="64"/>
      <c r="D123" s="64"/>
      <c r="E123" s="64"/>
      <c r="F123" s="64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  <c r="AB123" s="65"/>
      <c r="AC123" s="65"/>
      <c r="AD123" s="65"/>
    </row>
    <row r="124">
      <c r="A124" s="65"/>
      <c r="B124" s="64"/>
      <c r="C124" s="64"/>
      <c r="D124" s="64"/>
      <c r="E124" s="64"/>
      <c r="F124" s="64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  <c r="AB124" s="65"/>
      <c r="AC124" s="65"/>
      <c r="AD124" s="65"/>
    </row>
    <row r="125">
      <c r="A125" s="65"/>
      <c r="B125" s="64"/>
      <c r="C125" s="64"/>
      <c r="D125" s="64"/>
      <c r="E125" s="64"/>
      <c r="F125" s="64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  <c r="AA125" s="65"/>
      <c r="AB125" s="65"/>
      <c r="AC125" s="65"/>
      <c r="AD125" s="65"/>
    </row>
    <row r="126">
      <c r="A126" s="65"/>
      <c r="B126" s="64"/>
      <c r="C126" s="64"/>
      <c r="D126" s="64"/>
      <c r="E126" s="64"/>
      <c r="F126" s="64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  <c r="AB126" s="65"/>
      <c r="AC126" s="65"/>
      <c r="AD126" s="65"/>
    </row>
    <row r="127">
      <c r="A127" s="65"/>
      <c r="B127" s="64"/>
      <c r="C127" s="64"/>
      <c r="D127" s="64"/>
      <c r="E127" s="64"/>
      <c r="F127" s="64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  <c r="AA127" s="65"/>
      <c r="AB127" s="65"/>
      <c r="AC127" s="65"/>
      <c r="AD127" s="65"/>
    </row>
    <row r="128">
      <c r="A128" s="65"/>
      <c r="B128" s="64"/>
      <c r="C128" s="64"/>
      <c r="D128" s="64"/>
      <c r="E128" s="64"/>
      <c r="F128" s="64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  <c r="AB128" s="65"/>
      <c r="AC128" s="65"/>
      <c r="AD128" s="65"/>
    </row>
    <row r="129">
      <c r="A129" s="65"/>
      <c r="B129" s="64"/>
      <c r="C129" s="64"/>
      <c r="D129" s="64"/>
      <c r="E129" s="64"/>
      <c r="F129" s="64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  <c r="AA129" s="65"/>
      <c r="AB129" s="65"/>
      <c r="AC129" s="65"/>
      <c r="AD129" s="65"/>
    </row>
    <row r="130">
      <c r="A130" s="65"/>
      <c r="B130" s="64"/>
      <c r="C130" s="64"/>
      <c r="D130" s="64"/>
      <c r="E130" s="64"/>
      <c r="F130" s="64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  <c r="AB130" s="65"/>
      <c r="AC130" s="65"/>
      <c r="AD130" s="65"/>
    </row>
    <row r="131">
      <c r="A131" s="65"/>
      <c r="B131" s="64"/>
      <c r="C131" s="64"/>
      <c r="D131" s="64"/>
      <c r="E131" s="64"/>
      <c r="F131" s="64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  <c r="AA131" s="65"/>
      <c r="AB131" s="65"/>
      <c r="AC131" s="65"/>
      <c r="AD131" s="65"/>
    </row>
    <row r="132">
      <c r="A132" s="65"/>
      <c r="B132" s="64"/>
      <c r="C132" s="64"/>
      <c r="D132" s="64"/>
      <c r="E132" s="64"/>
      <c r="F132" s="64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65"/>
      <c r="AB132" s="65"/>
      <c r="AC132" s="65"/>
      <c r="AD132" s="65"/>
    </row>
    <row r="133">
      <c r="A133" s="65"/>
      <c r="B133" s="64"/>
      <c r="C133" s="64"/>
      <c r="D133" s="64"/>
      <c r="E133" s="64"/>
      <c r="F133" s="64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  <c r="AB133" s="65"/>
      <c r="AC133" s="65"/>
      <c r="AD133" s="65"/>
    </row>
    <row r="134">
      <c r="A134" s="65"/>
      <c r="B134" s="64"/>
      <c r="C134" s="64"/>
      <c r="D134" s="64"/>
      <c r="E134" s="64"/>
      <c r="F134" s="64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  <c r="AB134" s="65"/>
      <c r="AC134" s="65"/>
      <c r="AD134" s="65"/>
    </row>
    <row r="135">
      <c r="A135" s="65"/>
      <c r="B135" s="64"/>
      <c r="C135" s="64"/>
      <c r="D135" s="64"/>
      <c r="E135" s="64"/>
      <c r="F135" s="64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  <c r="AA135" s="65"/>
      <c r="AB135" s="65"/>
      <c r="AC135" s="65"/>
      <c r="AD135" s="65"/>
    </row>
    <row r="136">
      <c r="A136" s="65"/>
      <c r="B136" s="64"/>
      <c r="C136" s="64"/>
      <c r="D136" s="64"/>
      <c r="E136" s="64"/>
      <c r="F136" s="64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  <c r="AB136" s="65"/>
      <c r="AC136" s="65"/>
      <c r="AD136" s="65"/>
    </row>
    <row r="137">
      <c r="A137" s="65"/>
      <c r="B137" s="64"/>
      <c r="C137" s="64"/>
      <c r="D137" s="64"/>
      <c r="E137" s="64"/>
      <c r="F137" s="64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  <c r="AA137" s="65"/>
      <c r="AB137" s="65"/>
      <c r="AC137" s="65"/>
      <c r="AD137" s="65"/>
    </row>
    <row r="138">
      <c r="A138" s="65"/>
      <c r="B138" s="64"/>
      <c r="C138" s="64"/>
      <c r="D138" s="64"/>
      <c r="E138" s="64"/>
      <c r="F138" s="64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  <c r="AB138" s="65"/>
      <c r="AC138" s="65"/>
      <c r="AD138" s="65"/>
    </row>
    <row r="139">
      <c r="A139" s="65"/>
      <c r="B139" s="64"/>
      <c r="C139" s="64"/>
      <c r="D139" s="64"/>
      <c r="E139" s="64"/>
      <c r="F139" s="64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  <c r="AA139" s="65"/>
      <c r="AB139" s="65"/>
      <c r="AC139" s="65"/>
      <c r="AD139" s="65"/>
    </row>
    <row r="140">
      <c r="A140" s="65"/>
      <c r="B140" s="64"/>
      <c r="C140" s="64"/>
      <c r="D140" s="64"/>
      <c r="E140" s="64"/>
      <c r="F140" s="64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  <c r="AB140" s="65"/>
      <c r="AC140" s="65"/>
      <c r="AD140" s="65"/>
    </row>
    <row r="141">
      <c r="A141" s="65"/>
      <c r="B141" s="64"/>
      <c r="C141" s="64"/>
      <c r="D141" s="64"/>
      <c r="E141" s="64"/>
      <c r="F141" s="64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  <c r="AA141" s="65"/>
      <c r="AB141" s="65"/>
      <c r="AC141" s="65"/>
      <c r="AD141" s="65"/>
    </row>
    <row r="142">
      <c r="A142" s="65"/>
      <c r="B142" s="64"/>
      <c r="C142" s="64"/>
      <c r="D142" s="64"/>
      <c r="E142" s="64"/>
      <c r="F142" s="64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  <c r="AB142" s="65"/>
      <c r="AC142" s="65"/>
      <c r="AD142" s="65"/>
    </row>
    <row r="143">
      <c r="A143" s="65"/>
      <c r="B143" s="64"/>
      <c r="C143" s="64"/>
      <c r="D143" s="64"/>
      <c r="E143" s="64"/>
      <c r="F143" s="64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  <c r="AA143" s="65"/>
      <c r="AB143" s="65"/>
      <c r="AC143" s="65"/>
      <c r="AD143" s="65"/>
    </row>
    <row r="144">
      <c r="A144" s="65"/>
      <c r="B144" s="64"/>
      <c r="C144" s="64"/>
      <c r="D144" s="64"/>
      <c r="E144" s="64"/>
      <c r="F144" s="64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  <c r="AB144" s="65"/>
      <c r="AC144" s="65"/>
      <c r="AD144" s="65"/>
    </row>
    <row r="145">
      <c r="A145" s="65"/>
      <c r="B145" s="64"/>
      <c r="C145" s="64"/>
      <c r="D145" s="64"/>
      <c r="E145" s="64"/>
      <c r="F145" s="64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  <c r="AA145" s="65"/>
      <c r="AB145" s="65"/>
      <c r="AC145" s="65"/>
      <c r="AD145" s="65"/>
    </row>
    <row r="146">
      <c r="A146" s="65"/>
      <c r="B146" s="64"/>
      <c r="C146" s="64"/>
      <c r="D146" s="64"/>
      <c r="E146" s="64"/>
      <c r="F146" s="64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  <c r="AB146" s="65"/>
      <c r="AC146" s="65"/>
      <c r="AD146" s="65"/>
    </row>
    <row r="147">
      <c r="A147" s="65"/>
      <c r="B147" s="64"/>
      <c r="C147" s="64"/>
      <c r="D147" s="64"/>
      <c r="E147" s="64"/>
      <c r="F147" s="64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  <c r="AA147" s="65"/>
      <c r="AB147" s="65"/>
      <c r="AC147" s="65"/>
      <c r="AD147" s="65"/>
    </row>
    <row r="148">
      <c r="A148" s="65"/>
      <c r="B148" s="64"/>
      <c r="C148" s="64"/>
      <c r="D148" s="64"/>
      <c r="E148" s="64"/>
      <c r="F148" s="64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  <c r="AB148" s="65"/>
      <c r="AC148" s="65"/>
      <c r="AD148" s="65"/>
    </row>
    <row r="149">
      <c r="A149" s="65"/>
      <c r="B149" s="64"/>
      <c r="C149" s="64"/>
      <c r="D149" s="64"/>
      <c r="E149" s="64"/>
      <c r="F149" s="64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  <c r="AA149" s="65"/>
      <c r="AB149" s="65"/>
      <c r="AC149" s="65"/>
      <c r="AD149" s="65"/>
    </row>
    <row r="150">
      <c r="A150" s="65"/>
      <c r="B150" s="64"/>
      <c r="C150" s="64"/>
      <c r="D150" s="64"/>
      <c r="E150" s="64"/>
      <c r="F150" s="64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  <c r="AB150" s="65"/>
      <c r="AC150" s="65"/>
      <c r="AD150" s="65"/>
    </row>
    <row r="151">
      <c r="A151" s="65"/>
      <c r="B151" s="64"/>
      <c r="C151" s="64"/>
      <c r="D151" s="64"/>
      <c r="E151" s="64"/>
      <c r="F151" s="64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  <c r="AA151" s="65"/>
      <c r="AB151" s="65"/>
      <c r="AC151" s="65"/>
      <c r="AD151" s="65"/>
    </row>
    <row r="152">
      <c r="A152" s="65"/>
      <c r="B152" s="64"/>
      <c r="C152" s="64"/>
      <c r="D152" s="64"/>
      <c r="E152" s="64"/>
      <c r="F152" s="64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  <c r="AB152" s="65"/>
      <c r="AC152" s="65"/>
      <c r="AD152" s="65"/>
    </row>
    <row r="153">
      <c r="A153" s="65"/>
      <c r="B153" s="64"/>
      <c r="C153" s="64"/>
      <c r="D153" s="64"/>
      <c r="E153" s="64"/>
      <c r="F153" s="64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  <c r="AA153" s="65"/>
      <c r="AB153" s="65"/>
      <c r="AC153" s="65"/>
      <c r="AD153" s="65"/>
    </row>
    <row r="154">
      <c r="A154" s="65"/>
      <c r="B154" s="64"/>
      <c r="C154" s="64"/>
      <c r="D154" s="64"/>
      <c r="E154" s="64"/>
      <c r="F154" s="64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  <c r="AB154" s="65"/>
      <c r="AC154" s="65"/>
      <c r="AD154" s="65"/>
    </row>
    <row r="155">
      <c r="A155" s="65"/>
      <c r="B155" s="64"/>
      <c r="C155" s="64"/>
      <c r="D155" s="64"/>
      <c r="E155" s="64"/>
      <c r="F155" s="64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  <c r="AA155" s="65"/>
      <c r="AB155" s="65"/>
      <c r="AC155" s="65"/>
      <c r="AD155" s="65"/>
    </row>
    <row r="156">
      <c r="A156" s="65"/>
      <c r="B156" s="64"/>
      <c r="C156" s="64"/>
      <c r="D156" s="64"/>
      <c r="E156" s="64"/>
      <c r="F156" s="64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  <c r="AB156" s="65"/>
      <c r="AC156" s="65"/>
      <c r="AD156" s="65"/>
    </row>
    <row r="157">
      <c r="A157" s="65"/>
      <c r="B157" s="64"/>
      <c r="C157" s="64"/>
      <c r="D157" s="64"/>
      <c r="E157" s="64"/>
      <c r="F157" s="64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  <c r="AA157" s="65"/>
      <c r="AB157" s="65"/>
      <c r="AC157" s="65"/>
      <c r="AD157" s="65"/>
    </row>
    <row r="158">
      <c r="A158" s="65"/>
      <c r="B158" s="64"/>
      <c r="C158" s="64"/>
      <c r="D158" s="64"/>
      <c r="E158" s="64"/>
      <c r="F158" s="64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  <c r="AB158" s="65"/>
      <c r="AC158" s="65"/>
      <c r="AD158" s="65"/>
    </row>
    <row r="159">
      <c r="A159" s="65"/>
      <c r="B159" s="64"/>
      <c r="C159" s="64"/>
      <c r="D159" s="64"/>
      <c r="E159" s="64"/>
      <c r="F159" s="64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  <c r="AA159" s="65"/>
      <c r="AB159" s="65"/>
      <c r="AC159" s="65"/>
      <c r="AD159" s="65"/>
    </row>
    <row r="160">
      <c r="A160" s="65"/>
      <c r="B160" s="64"/>
      <c r="C160" s="64"/>
      <c r="D160" s="64"/>
      <c r="E160" s="64"/>
      <c r="F160" s="64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  <c r="AB160" s="65"/>
      <c r="AC160" s="65"/>
      <c r="AD160" s="65"/>
    </row>
    <row r="161">
      <c r="A161" s="65"/>
      <c r="B161" s="64"/>
      <c r="C161" s="64"/>
      <c r="D161" s="64"/>
      <c r="E161" s="64"/>
      <c r="F161" s="64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  <c r="AA161" s="65"/>
      <c r="AB161" s="65"/>
      <c r="AC161" s="65"/>
      <c r="AD161" s="65"/>
    </row>
    <row r="162">
      <c r="A162" s="65"/>
      <c r="B162" s="64"/>
      <c r="C162" s="64"/>
      <c r="D162" s="64"/>
      <c r="E162" s="64"/>
      <c r="F162" s="64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65"/>
      <c r="AB162" s="65"/>
      <c r="AC162" s="65"/>
      <c r="AD162" s="65"/>
    </row>
    <row r="163">
      <c r="A163" s="65"/>
      <c r="B163" s="64"/>
      <c r="C163" s="64"/>
      <c r="D163" s="64"/>
      <c r="E163" s="64"/>
      <c r="F163" s="64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  <c r="AA163" s="65"/>
      <c r="AB163" s="65"/>
      <c r="AC163" s="65"/>
      <c r="AD163" s="65"/>
    </row>
    <row r="164">
      <c r="A164" s="65"/>
      <c r="B164" s="64"/>
      <c r="C164" s="64"/>
      <c r="D164" s="64"/>
      <c r="E164" s="64"/>
      <c r="F164" s="64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  <c r="AB164" s="65"/>
      <c r="AC164" s="65"/>
      <c r="AD164" s="65"/>
    </row>
    <row r="165">
      <c r="A165" s="65"/>
      <c r="B165" s="64"/>
      <c r="C165" s="64"/>
      <c r="D165" s="64"/>
      <c r="E165" s="64"/>
      <c r="F165" s="64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  <c r="AA165" s="65"/>
      <c r="AB165" s="65"/>
      <c r="AC165" s="65"/>
      <c r="AD165" s="65"/>
    </row>
    <row r="166">
      <c r="A166" s="65"/>
      <c r="B166" s="64"/>
      <c r="C166" s="64"/>
      <c r="D166" s="64"/>
      <c r="E166" s="64"/>
      <c r="F166" s="64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65"/>
      <c r="AB166" s="65"/>
      <c r="AC166" s="65"/>
      <c r="AD166" s="65"/>
    </row>
    <row r="167">
      <c r="A167" s="65"/>
      <c r="B167" s="64"/>
      <c r="C167" s="64"/>
      <c r="D167" s="64"/>
      <c r="E167" s="64"/>
      <c r="F167" s="64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  <c r="AA167" s="65"/>
      <c r="AB167" s="65"/>
      <c r="AC167" s="65"/>
      <c r="AD167" s="65"/>
    </row>
    <row r="168">
      <c r="A168" s="65"/>
      <c r="B168" s="64"/>
      <c r="C168" s="64"/>
      <c r="D168" s="64"/>
      <c r="E168" s="64"/>
      <c r="F168" s="64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  <c r="AB168" s="65"/>
      <c r="AC168" s="65"/>
      <c r="AD168" s="65"/>
    </row>
    <row r="169">
      <c r="A169" s="65"/>
      <c r="B169" s="64"/>
      <c r="C169" s="64"/>
      <c r="D169" s="64"/>
      <c r="E169" s="64"/>
      <c r="F169" s="64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  <c r="AA169" s="65"/>
      <c r="AB169" s="65"/>
      <c r="AC169" s="65"/>
      <c r="AD169" s="65"/>
    </row>
    <row r="170">
      <c r="A170" s="65"/>
      <c r="B170" s="64"/>
      <c r="C170" s="64"/>
      <c r="D170" s="64"/>
      <c r="E170" s="64"/>
      <c r="F170" s="64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  <c r="AB170" s="65"/>
      <c r="AC170" s="65"/>
      <c r="AD170" s="65"/>
    </row>
    <row r="171">
      <c r="A171" s="65"/>
      <c r="B171" s="64"/>
      <c r="C171" s="64"/>
      <c r="D171" s="64"/>
      <c r="E171" s="64"/>
      <c r="F171" s="64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  <c r="AA171" s="65"/>
      <c r="AB171" s="65"/>
      <c r="AC171" s="65"/>
      <c r="AD171" s="65"/>
    </row>
    <row r="172">
      <c r="A172" s="65"/>
      <c r="B172" s="64"/>
      <c r="C172" s="64"/>
      <c r="D172" s="64"/>
      <c r="E172" s="64"/>
      <c r="F172" s="64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  <c r="AB172" s="65"/>
      <c r="AC172" s="65"/>
      <c r="AD172" s="65"/>
    </row>
    <row r="173">
      <c r="A173" s="65"/>
      <c r="B173" s="64"/>
      <c r="C173" s="64"/>
      <c r="D173" s="64"/>
      <c r="E173" s="64"/>
      <c r="F173" s="64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  <c r="AA173" s="65"/>
      <c r="AB173" s="65"/>
      <c r="AC173" s="65"/>
      <c r="AD173" s="65"/>
    </row>
    <row r="174">
      <c r="A174" s="65"/>
      <c r="B174" s="64"/>
      <c r="C174" s="64"/>
      <c r="D174" s="64"/>
      <c r="E174" s="64"/>
      <c r="F174" s="64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  <c r="AB174" s="65"/>
      <c r="AC174" s="65"/>
      <c r="AD174" s="65"/>
    </row>
    <row r="175">
      <c r="A175" s="65"/>
      <c r="B175" s="64"/>
      <c r="C175" s="64"/>
      <c r="D175" s="64"/>
      <c r="E175" s="64"/>
      <c r="F175" s="64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  <c r="AA175" s="65"/>
      <c r="AB175" s="65"/>
      <c r="AC175" s="65"/>
      <c r="AD175" s="65"/>
    </row>
    <row r="176">
      <c r="A176" s="65"/>
      <c r="B176" s="64"/>
      <c r="C176" s="64"/>
      <c r="D176" s="64"/>
      <c r="E176" s="64"/>
      <c r="F176" s="64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65"/>
      <c r="AB176" s="65"/>
      <c r="AC176" s="65"/>
      <c r="AD176" s="65"/>
    </row>
    <row r="177">
      <c r="A177" s="65"/>
      <c r="B177" s="64"/>
      <c r="C177" s="64"/>
      <c r="D177" s="64"/>
      <c r="E177" s="64"/>
      <c r="F177" s="64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  <c r="AB177" s="65"/>
      <c r="AC177" s="65"/>
      <c r="AD177" s="65"/>
    </row>
    <row r="178">
      <c r="A178" s="65"/>
      <c r="B178" s="64"/>
      <c r="C178" s="64"/>
      <c r="D178" s="64"/>
      <c r="E178" s="64"/>
      <c r="F178" s="64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  <c r="AB178" s="65"/>
      <c r="AC178" s="65"/>
      <c r="AD178" s="65"/>
    </row>
    <row r="179">
      <c r="A179" s="65"/>
      <c r="B179" s="64"/>
      <c r="C179" s="64"/>
      <c r="D179" s="64"/>
      <c r="E179" s="64"/>
      <c r="F179" s="64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  <c r="AA179" s="65"/>
      <c r="AB179" s="65"/>
      <c r="AC179" s="65"/>
      <c r="AD179" s="65"/>
    </row>
    <row r="180">
      <c r="A180" s="65"/>
      <c r="B180" s="64"/>
      <c r="C180" s="64"/>
      <c r="D180" s="64"/>
      <c r="E180" s="64"/>
      <c r="F180" s="64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  <c r="AB180" s="65"/>
      <c r="AC180" s="65"/>
      <c r="AD180" s="65"/>
    </row>
    <row r="181">
      <c r="A181" s="65"/>
      <c r="B181" s="64"/>
      <c r="C181" s="64"/>
      <c r="D181" s="64"/>
      <c r="E181" s="64"/>
      <c r="F181" s="64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  <c r="AA181" s="65"/>
      <c r="AB181" s="65"/>
      <c r="AC181" s="65"/>
      <c r="AD181" s="65"/>
    </row>
    <row r="182">
      <c r="A182" s="65"/>
      <c r="B182" s="64"/>
      <c r="C182" s="64"/>
      <c r="D182" s="64"/>
      <c r="E182" s="64"/>
      <c r="F182" s="64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65"/>
      <c r="AB182" s="65"/>
      <c r="AC182" s="65"/>
      <c r="AD182" s="65"/>
    </row>
    <row r="183">
      <c r="A183" s="65"/>
      <c r="B183" s="64"/>
      <c r="C183" s="64"/>
      <c r="D183" s="64"/>
      <c r="E183" s="64"/>
      <c r="F183" s="64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  <c r="AA183" s="65"/>
      <c r="AB183" s="65"/>
      <c r="AC183" s="65"/>
      <c r="AD183" s="65"/>
    </row>
    <row r="184">
      <c r="A184" s="65"/>
      <c r="B184" s="64"/>
      <c r="C184" s="64"/>
      <c r="D184" s="64"/>
      <c r="E184" s="64"/>
      <c r="F184" s="64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  <c r="AB184" s="65"/>
      <c r="AC184" s="65"/>
      <c r="AD184" s="65"/>
    </row>
    <row r="185">
      <c r="A185" s="65"/>
      <c r="B185" s="64"/>
      <c r="C185" s="64"/>
      <c r="D185" s="64"/>
      <c r="E185" s="64"/>
      <c r="F185" s="64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  <c r="AA185" s="65"/>
      <c r="AB185" s="65"/>
      <c r="AC185" s="65"/>
      <c r="AD185" s="65"/>
    </row>
    <row r="186">
      <c r="A186" s="65"/>
      <c r="B186" s="64"/>
      <c r="C186" s="64"/>
      <c r="D186" s="64"/>
      <c r="E186" s="64"/>
      <c r="F186" s="64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  <c r="AB186" s="65"/>
      <c r="AC186" s="65"/>
      <c r="AD186" s="65"/>
    </row>
    <row r="187">
      <c r="A187" s="65"/>
      <c r="B187" s="64"/>
      <c r="C187" s="64"/>
      <c r="D187" s="64"/>
      <c r="E187" s="64"/>
      <c r="F187" s="64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  <c r="AA187" s="65"/>
      <c r="AB187" s="65"/>
      <c r="AC187" s="65"/>
      <c r="AD187" s="65"/>
    </row>
    <row r="188">
      <c r="A188" s="65"/>
      <c r="B188" s="64"/>
      <c r="C188" s="64"/>
      <c r="D188" s="64"/>
      <c r="E188" s="64"/>
      <c r="F188" s="64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  <c r="AB188" s="65"/>
      <c r="AC188" s="65"/>
      <c r="AD188" s="65"/>
    </row>
    <row r="189">
      <c r="A189" s="65"/>
      <c r="B189" s="64"/>
      <c r="C189" s="64"/>
      <c r="D189" s="64"/>
      <c r="E189" s="64"/>
      <c r="F189" s="64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  <c r="AA189" s="65"/>
      <c r="AB189" s="65"/>
      <c r="AC189" s="65"/>
      <c r="AD189" s="65"/>
    </row>
    <row r="190">
      <c r="A190" s="65"/>
      <c r="B190" s="64"/>
      <c r="C190" s="64"/>
      <c r="D190" s="64"/>
      <c r="E190" s="64"/>
      <c r="F190" s="64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65"/>
      <c r="AB190" s="65"/>
      <c r="AC190" s="65"/>
      <c r="AD190" s="65"/>
    </row>
    <row r="191">
      <c r="A191" s="65"/>
      <c r="B191" s="64"/>
      <c r="C191" s="64"/>
      <c r="D191" s="64"/>
      <c r="E191" s="64"/>
      <c r="F191" s="64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  <c r="AA191" s="65"/>
      <c r="AB191" s="65"/>
      <c r="AC191" s="65"/>
      <c r="AD191" s="65"/>
    </row>
    <row r="192">
      <c r="A192" s="65"/>
      <c r="B192" s="64"/>
      <c r="C192" s="64"/>
      <c r="D192" s="64"/>
      <c r="E192" s="64"/>
      <c r="F192" s="64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  <c r="AA192" s="65"/>
      <c r="AB192" s="65"/>
      <c r="AC192" s="65"/>
      <c r="AD192" s="65"/>
    </row>
    <row r="193">
      <c r="A193" s="65"/>
      <c r="B193" s="64"/>
      <c r="C193" s="64"/>
      <c r="D193" s="64"/>
      <c r="E193" s="64"/>
      <c r="F193" s="64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  <c r="AA193" s="65"/>
      <c r="AB193" s="65"/>
      <c r="AC193" s="65"/>
      <c r="AD193" s="65"/>
    </row>
    <row r="194">
      <c r="A194" s="65"/>
      <c r="B194" s="64"/>
      <c r="C194" s="64"/>
      <c r="D194" s="64"/>
      <c r="E194" s="64"/>
      <c r="F194" s="64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A194" s="65"/>
      <c r="AB194" s="65"/>
      <c r="AC194" s="65"/>
      <c r="AD194" s="65"/>
    </row>
    <row r="195">
      <c r="A195" s="65"/>
      <c r="B195" s="64"/>
      <c r="C195" s="64"/>
      <c r="D195" s="64"/>
      <c r="E195" s="64"/>
      <c r="F195" s="64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  <c r="AA195" s="65"/>
      <c r="AB195" s="65"/>
      <c r="AC195" s="65"/>
      <c r="AD195" s="65"/>
    </row>
    <row r="196">
      <c r="A196" s="65"/>
      <c r="B196" s="64"/>
      <c r="C196" s="64"/>
      <c r="D196" s="64"/>
      <c r="E196" s="64"/>
      <c r="F196" s="64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65"/>
      <c r="AB196" s="65"/>
      <c r="AC196" s="65"/>
      <c r="AD196" s="65"/>
    </row>
    <row r="197">
      <c r="A197" s="65"/>
      <c r="B197" s="64"/>
      <c r="C197" s="64"/>
      <c r="D197" s="64"/>
      <c r="E197" s="64"/>
      <c r="F197" s="64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  <c r="AA197" s="65"/>
      <c r="AB197" s="65"/>
      <c r="AC197" s="65"/>
      <c r="AD197" s="65"/>
    </row>
    <row r="198">
      <c r="A198" s="65"/>
      <c r="B198" s="64"/>
      <c r="C198" s="64"/>
      <c r="D198" s="64"/>
      <c r="E198" s="64"/>
      <c r="F198" s="64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65"/>
      <c r="AB198" s="65"/>
      <c r="AC198" s="65"/>
      <c r="AD198" s="65"/>
    </row>
    <row r="199">
      <c r="A199" s="65"/>
      <c r="B199" s="64"/>
      <c r="C199" s="64"/>
      <c r="D199" s="64"/>
      <c r="E199" s="64"/>
      <c r="F199" s="64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  <c r="AA199" s="65"/>
      <c r="AB199" s="65"/>
      <c r="AC199" s="65"/>
      <c r="AD199" s="65"/>
    </row>
    <row r="200">
      <c r="A200" s="65"/>
      <c r="B200" s="64"/>
      <c r="C200" s="64"/>
      <c r="D200" s="64"/>
      <c r="E200" s="64"/>
      <c r="F200" s="64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  <c r="AB200" s="65"/>
      <c r="AC200" s="65"/>
      <c r="AD200" s="65"/>
    </row>
    <row r="201">
      <c r="A201" s="65"/>
      <c r="B201" s="64"/>
      <c r="C201" s="64"/>
      <c r="D201" s="64"/>
      <c r="E201" s="64"/>
      <c r="F201" s="64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  <c r="AA201" s="65"/>
      <c r="AB201" s="65"/>
      <c r="AC201" s="65"/>
      <c r="AD201" s="65"/>
    </row>
    <row r="202">
      <c r="A202" s="65"/>
      <c r="B202" s="64"/>
      <c r="C202" s="64"/>
      <c r="D202" s="64"/>
      <c r="E202" s="64"/>
      <c r="F202" s="64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65"/>
      <c r="AB202" s="65"/>
      <c r="AC202" s="65"/>
      <c r="AD202" s="65"/>
    </row>
    <row r="203">
      <c r="A203" s="65"/>
      <c r="B203" s="64"/>
      <c r="C203" s="64"/>
      <c r="D203" s="64"/>
      <c r="E203" s="64"/>
      <c r="F203" s="64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  <c r="AA203" s="65"/>
      <c r="AB203" s="65"/>
      <c r="AC203" s="65"/>
      <c r="AD203" s="65"/>
    </row>
    <row r="204">
      <c r="A204" s="65"/>
      <c r="B204" s="64"/>
      <c r="C204" s="64"/>
      <c r="D204" s="64"/>
      <c r="E204" s="64"/>
      <c r="F204" s="64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65"/>
      <c r="AB204" s="65"/>
      <c r="AC204" s="65"/>
      <c r="AD204" s="65"/>
    </row>
    <row r="205">
      <c r="A205" s="65"/>
      <c r="B205" s="64"/>
      <c r="C205" s="64"/>
      <c r="D205" s="64"/>
      <c r="E205" s="64"/>
      <c r="F205" s="64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  <c r="AA205" s="65"/>
      <c r="AB205" s="65"/>
      <c r="AC205" s="65"/>
      <c r="AD205" s="65"/>
    </row>
    <row r="206">
      <c r="A206" s="65"/>
      <c r="B206" s="64"/>
      <c r="C206" s="64"/>
      <c r="D206" s="64"/>
      <c r="E206" s="64"/>
      <c r="F206" s="64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A206" s="65"/>
      <c r="AB206" s="65"/>
      <c r="AC206" s="65"/>
      <c r="AD206" s="65"/>
    </row>
    <row r="207">
      <c r="A207" s="65"/>
      <c r="B207" s="64"/>
      <c r="C207" s="64"/>
      <c r="D207" s="64"/>
      <c r="E207" s="64"/>
      <c r="F207" s="64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  <c r="AA207" s="65"/>
      <c r="AB207" s="65"/>
      <c r="AC207" s="65"/>
      <c r="AD207" s="65"/>
    </row>
    <row r="208">
      <c r="A208" s="65"/>
      <c r="B208" s="64"/>
      <c r="C208" s="64"/>
      <c r="D208" s="64"/>
      <c r="E208" s="64"/>
      <c r="F208" s="64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A208" s="65"/>
      <c r="AB208" s="65"/>
      <c r="AC208" s="65"/>
      <c r="AD208" s="65"/>
    </row>
    <row r="209">
      <c r="A209" s="65"/>
      <c r="B209" s="64"/>
      <c r="C209" s="64"/>
      <c r="D209" s="64"/>
      <c r="E209" s="64"/>
      <c r="F209" s="64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  <c r="AA209" s="65"/>
      <c r="AB209" s="65"/>
      <c r="AC209" s="65"/>
      <c r="AD209" s="65"/>
    </row>
    <row r="210">
      <c r="A210" s="65"/>
      <c r="B210" s="64"/>
      <c r="C210" s="64"/>
      <c r="D210" s="64"/>
      <c r="E210" s="64"/>
      <c r="F210" s="64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A210" s="65"/>
      <c r="AB210" s="65"/>
      <c r="AC210" s="65"/>
      <c r="AD210" s="65"/>
    </row>
    <row r="211">
      <c r="A211" s="65"/>
      <c r="B211" s="64"/>
      <c r="C211" s="64"/>
      <c r="D211" s="64"/>
      <c r="E211" s="64"/>
      <c r="F211" s="64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  <c r="AA211" s="65"/>
      <c r="AB211" s="65"/>
      <c r="AC211" s="65"/>
      <c r="AD211" s="65"/>
    </row>
    <row r="212">
      <c r="A212" s="65"/>
      <c r="B212" s="64"/>
      <c r="C212" s="64"/>
      <c r="D212" s="64"/>
      <c r="E212" s="64"/>
      <c r="F212" s="64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  <c r="AA212" s="65"/>
      <c r="AB212" s="65"/>
      <c r="AC212" s="65"/>
      <c r="AD212" s="65"/>
    </row>
    <row r="213">
      <c r="A213" s="65"/>
      <c r="B213" s="64"/>
      <c r="C213" s="64"/>
      <c r="D213" s="64"/>
      <c r="E213" s="64"/>
      <c r="F213" s="64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  <c r="AA213" s="65"/>
      <c r="AB213" s="65"/>
      <c r="AC213" s="65"/>
      <c r="AD213" s="65"/>
    </row>
    <row r="214">
      <c r="A214" s="65"/>
      <c r="B214" s="64"/>
      <c r="C214" s="64"/>
      <c r="D214" s="64"/>
      <c r="E214" s="64"/>
      <c r="F214" s="64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  <c r="AA214" s="65"/>
      <c r="AB214" s="65"/>
      <c r="AC214" s="65"/>
      <c r="AD214" s="65"/>
    </row>
    <row r="215">
      <c r="A215" s="65"/>
      <c r="B215" s="64"/>
      <c r="C215" s="64"/>
      <c r="D215" s="64"/>
      <c r="E215" s="64"/>
      <c r="F215" s="64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  <c r="AA215" s="65"/>
      <c r="AB215" s="65"/>
      <c r="AC215" s="65"/>
      <c r="AD215" s="65"/>
    </row>
    <row r="216">
      <c r="A216" s="65"/>
      <c r="B216" s="64"/>
      <c r="C216" s="64"/>
      <c r="D216" s="64"/>
      <c r="E216" s="64"/>
      <c r="F216" s="64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  <c r="AA216" s="65"/>
      <c r="AB216" s="65"/>
      <c r="AC216" s="65"/>
      <c r="AD216" s="65"/>
    </row>
    <row r="217">
      <c r="A217" s="65"/>
      <c r="B217" s="64"/>
      <c r="C217" s="64"/>
      <c r="D217" s="64"/>
      <c r="E217" s="64"/>
      <c r="F217" s="64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  <c r="AA217" s="65"/>
      <c r="AB217" s="65"/>
      <c r="AC217" s="65"/>
      <c r="AD217" s="65"/>
    </row>
    <row r="218">
      <c r="A218" s="65"/>
      <c r="B218" s="64"/>
      <c r="C218" s="64"/>
      <c r="D218" s="64"/>
      <c r="E218" s="64"/>
      <c r="F218" s="64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  <c r="AA218" s="65"/>
      <c r="AB218" s="65"/>
      <c r="AC218" s="65"/>
      <c r="AD218" s="65"/>
    </row>
    <row r="219">
      <c r="A219" s="65"/>
      <c r="B219" s="64"/>
      <c r="C219" s="64"/>
      <c r="D219" s="64"/>
      <c r="E219" s="64"/>
      <c r="F219" s="64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  <c r="AA219" s="65"/>
      <c r="AB219" s="65"/>
      <c r="AC219" s="65"/>
      <c r="AD219" s="65"/>
    </row>
    <row r="220">
      <c r="A220" s="65"/>
      <c r="B220" s="64"/>
      <c r="C220" s="64"/>
      <c r="D220" s="64"/>
      <c r="E220" s="64"/>
      <c r="F220" s="64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  <c r="AA220" s="65"/>
      <c r="AB220" s="65"/>
      <c r="AC220" s="65"/>
      <c r="AD220" s="65"/>
    </row>
    <row r="221">
      <c r="A221" s="65"/>
      <c r="B221" s="64"/>
      <c r="C221" s="64"/>
      <c r="D221" s="64"/>
      <c r="E221" s="64"/>
      <c r="F221" s="64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  <c r="AA221" s="65"/>
      <c r="AB221" s="65"/>
      <c r="AC221" s="65"/>
      <c r="AD221" s="65"/>
    </row>
    <row r="222">
      <c r="A222" s="65"/>
      <c r="B222" s="64"/>
      <c r="C222" s="64"/>
      <c r="D222" s="64"/>
      <c r="E222" s="64"/>
      <c r="F222" s="64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  <c r="AB222" s="65"/>
      <c r="AC222" s="65"/>
      <c r="AD222" s="65"/>
    </row>
    <row r="223">
      <c r="A223" s="65"/>
      <c r="B223" s="64"/>
      <c r="C223" s="64"/>
      <c r="D223" s="64"/>
      <c r="E223" s="64"/>
      <c r="F223" s="64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  <c r="AA223" s="65"/>
      <c r="AB223" s="65"/>
      <c r="AC223" s="65"/>
      <c r="AD223" s="65"/>
    </row>
    <row r="224">
      <c r="A224" s="65"/>
      <c r="B224" s="64"/>
      <c r="C224" s="64"/>
      <c r="D224" s="64"/>
      <c r="E224" s="64"/>
      <c r="F224" s="64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A224" s="65"/>
      <c r="AB224" s="65"/>
      <c r="AC224" s="65"/>
      <c r="AD224" s="65"/>
    </row>
    <row r="225">
      <c r="A225" s="65"/>
      <c r="B225" s="64"/>
      <c r="C225" s="64"/>
      <c r="D225" s="64"/>
      <c r="E225" s="64"/>
      <c r="F225" s="64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  <c r="AA225" s="65"/>
      <c r="AB225" s="65"/>
      <c r="AC225" s="65"/>
      <c r="AD225" s="65"/>
    </row>
    <row r="226">
      <c r="A226" s="65"/>
      <c r="B226" s="64"/>
      <c r="C226" s="64"/>
      <c r="D226" s="64"/>
      <c r="E226" s="64"/>
      <c r="F226" s="64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  <c r="AA226" s="65"/>
      <c r="AB226" s="65"/>
      <c r="AC226" s="65"/>
      <c r="AD226" s="65"/>
    </row>
    <row r="227">
      <c r="A227" s="65"/>
      <c r="B227" s="64"/>
      <c r="C227" s="64"/>
      <c r="D227" s="64"/>
      <c r="E227" s="64"/>
      <c r="F227" s="64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  <c r="AA227" s="65"/>
      <c r="AB227" s="65"/>
      <c r="AC227" s="65"/>
      <c r="AD227" s="65"/>
    </row>
    <row r="228">
      <c r="A228" s="65"/>
      <c r="B228" s="64"/>
      <c r="C228" s="64"/>
      <c r="D228" s="64"/>
      <c r="E228" s="64"/>
      <c r="F228" s="64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  <c r="AA228" s="65"/>
      <c r="AB228" s="65"/>
      <c r="AC228" s="65"/>
      <c r="AD228" s="65"/>
    </row>
    <row r="229">
      <c r="A229" s="65"/>
      <c r="B229" s="64"/>
      <c r="C229" s="64"/>
      <c r="D229" s="64"/>
      <c r="E229" s="64"/>
      <c r="F229" s="64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  <c r="AA229" s="65"/>
      <c r="AB229" s="65"/>
      <c r="AC229" s="65"/>
      <c r="AD229" s="65"/>
    </row>
    <row r="230">
      <c r="A230" s="65"/>
      <c r="B230" s="64"/>
      <c r="C230" s="64"/>
      <c r="D230" s="64"/>
      <c r="E230" s="64"/>
      <c r="F230" s="64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  <c r="AA230" s="65"/>
      <c r="AB230" s="65"/>
      <c r="AC230" s="65"/>
      <c r="AD230" s="65"/>
    </row>
    <row r="231">
      <c r="A231" s="65"/>
      <c r="B231" s="64"/>
      <c r="C231" s="64"/>
      <c r="D231" s="64"/>
      <c r="E231" s="64"/>
      <c r="F231" s="64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  <c r="AA231" s="65"/>
      <c r="AB231" s="65"/>
      <c r="AC231" s="65"/>
      <c r="AD231" s="65"/>
    </row>
    <row r="232">
      <c r="A232" s="65"/>
      <c r="B232" s="64"/>
      <c r="C232" s="64"/>
      <c r="D232" s="64"/>
      <c r="E232" s="64"/>
      <c r="F232" s="64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  <c r="AA232" s="65"/>
      <c r="AB232" s="65"/>
      <c r="AC232" s="65"/>
      <c r="AD232" s="65"/>
    </row>
    <row r="233">
      <c r="A233" s="65"/>
      <c r="B233" s="64"/>
      <c r="C233" s="64"/>
      <c r="D233" s="64"/>
      <c r="E233" s="64"/>
      <c r="F233" s="64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  <c r="AA233" s="65"/>
      <c r="AB233" s="65"/>
      <c r="AC233" s="65"/>
      <c r="AD233" s="65"/>
    </row>
    <row r="234">
      <c r="A234" s="65"/>
      <c r="B234" s="64"/>
      <c r="C234" s="64"/>
      <c r="D234" s="64"/>
      <c r="E234" s="64"/>
      <c r="F234" s="64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  <c r="AA234" s="65"/>
      <c r="AB234" s="65"/>
      <c r="AC234" s="65"/>
      <c r="AD234" s="65"/>
    </row>
    <row r="235">
      <c r="A235" s="65"/>
      <c r="B235" s="64"/>
      <c r="C235" s="64"/>
      <c r="D235" s="64"/>
      <c r="E235" s="64"/>
      <c r="F235" s="64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  <c r="AA235" s="65"/>
      <c r="AB235" s="65"/>
      <c r="AC235" s="65"/>
      <c r="AD235" s="65"/>
    </row>
    <row r="236">
      <c r="A236" s="65"/>
      <c r="B236" s="64"/>
      <c r="C236" s="64"/>
      <c r="D236" s="64"/>
      <c r="E236" s="64"/>
      <c r="F236" s="64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  <c r="AA236" s="65"/>
      <c r="AB236" s="65"/>
      <c r="AC236" s="65"/>
      <c r="AD236" s="65"/>
    </row>
    <row r="237">
      <c r="A237" s="65"/>
      <c r="B237" s="64"/>
      <c r="C237" s="64"/>
      <c r="D237" s="64"/>
      <c r="E237" s="64"/>
      <c r="F237" s="64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  <c r="AA237" s="65"/>
      <c r="AB237" s="65"/>
      <c r="AC237" s="65"/>
      <c r="AD237" s="65"/>
    </row>
    <row r="238">
      <c r="A238" s="65"/>
      <c r="B238" s="64"/>
      <c r="C238" s="64"/>
      <c r="D238" s="64"/>
      <c r="E238" s="64"/>
      <c r="F238" s="64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  <c r="AA238" s="65"/>
      <c r="AB238" s="65"/>
      <c r="AC238" s="65"/>
      <c r="AD238" s="65"/>
    </row>
    <row r="239">
      <c r="A239" s="65"/>
      <c r="B239" s="64"/>
      <c r="C239" s="64"/>
      <c r="D239" s="64"/>
      <c r="E239" s="64"/>
      <c r="F239" s="64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  <c r="AA239" s="65"/>
      <c r="AB239" s="65"/>
      <c r="AC239" s="65"/>
      <c r="AD239" s="65"/>
    </row>
    <row r="240">
      <c r="A240" s="65"/>
      <c r="B240" s="64"/>
      <c r="C240" s="64"/>
      <c r="D240" s="64"/>
      <c r="E240" s="64"/>
      <c r="F240" s="64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  <c r="AA240" s="65"/>
      <c r="AB240" s="65"/>
      <c r="AC240" s="65"/>
      <c r="AD240" s="65"/>
    </row>
    <row r="241">
      <c r="A241" s="65"/>
      <c r="B241" s="64"/>
      <c r="C241" s="64"/>
      <c r="D241" s="64"/>
      <c r="E241" s="64"/>
      <c r="F241" s="64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  <c r="AA241" s="65"/>
      <c r="AB241" s="65"/>
      <c r="AC241" s="65"/>
      <c r="AD241" s="65"/>
    </row>
    <row r="242">
      <c r="A242" s="65"/>
      <c r="B242" s="64"/>
      <c r="C242" s="64"/>
      <c r="D242" s="64"/>
      <c r="E242" s="64"/>
      <c r="F242" s="64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  <c r="AA242" s="65"/>
      <c r="AB242" s="65"/>
      <c r="AC242" s="65"/>
      <c r="AD242" s="65"/>
    </row>
    <row r="243">
      <c r="A243" s="65"/>
      <c r="B243" s="64"/>
      <c r="C243" s="64"/>
      <c r="D243" s="64"/>
      <c r="E243" s="64"/>
      <c r="F243" s="64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  <c r="AA243" s="65"/>
      <c r="AB243" s="65"/>
      <c r="AC243" s="65"/>
      <c r="AD243" s="65"/>
    </row>
    <row r="244">
      <c r="A244" s="65"/>
      <c r="B244" s="64"/>
      <c r="C244" s="64"/>
      <c r="D244" s="64"/>
      <c r="E244" s="64"/>
      <c r="F244" s="64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  <c r="AA244" s="65"/>
      <c r="AB244" s="65"/>
      <c r="AC244" s="65"/>
      <c r="AD244" s="65"/>
    </row>
    <row r="245">
      <c r="A245" s="65"/>
      <c r="B245" s="64"/>
      <c r="C245" s="64"/>
      <c r="D245" s="64"/>
      <c r="E245" s="64"/>
      <c r="F245" s="64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  <c r="AA245" s="65"/>
      <c r="AB245" s="65"/>
      <c r="AC245" s="65"/>
      <c r="AD245" s="65"/>
    </row>
    <row r="246">
      <c r="A246" s="65"/>
      <c r="B246" s="64"/>
      <c r="C246" s="64"/>
      <c r="D246" s="64"/>
      <c r="E246" s="64"/>
      <c r="F246" s="64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  <c r="AA246" s="65"/>
      <c r="AB246" s="65"/>
      <c r="AC246" s="65"/>
      <c r="AD246" s="65"/>
    </row>
    <row r="247">
      <c r="A247" s="65"/>
      <c r="B247" s="64"/>
      <c r="C247" s="64"/>
      <c r="D247" s="64"/>
      <c r="E247" s="64"/>
      <c r="F247" s="64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  <c r="AA247" s="65"/>
      <c r="AB247" s="65"/>
      <c r="AC247" s="65"/>
      <c r="AD247" s="65"/>
    </row>
    <row r="248">
      <c r="A248" s="65"/>
      <c r="B248" s="64"/>
      <c r="C248" s="64"/>
      <c r="D248" s="64"/>
      <c r="E248" s="64"/>
      <c r="F248" s="64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  <c r="AA248" s="65"/>
      <c r="AB248" s="65"/>
      <c r="AC248" s="65"/>
      <c r="AD248" s="65"/>
    </row>
    <row r="249">
      <c r="A249" s="65"/>
      <c r="B249" s="64"/>
      <c r="C249" s="64"/>
      <c r="D249" s="64"/>
      <c r="E249" s="64"/>
      <c r="F249" s="64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  <c r="AA249" s="65"/>
      <c r="AB249" s="65"/>
      <c r="AC249" s="65"/>
      <c r="AD249" s="65"/>
    </row>
    <row r="250">
      <c r="A250" s="65"/>
      <c r="B250" s="64"/>
      <c r="C250" s="64"/>
      <c r="D250" s="64"/>
      <c r="E250" s="64"/>
      <c r="F250" s="64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  <c r="AA250" s="65"/>
      <c r="AB250" s="65"/>
      <c r="AC250" s="65"/>
      <c r="AD250" s="65"/>
    </row>
    <row r="251">
      <c r="A251" s="65"/>
      <c r="B251" s="64"/>
      <c r="C251" s="64"/>
      <c r="D251" s="64"/>
      <c r="E251" s="64"/>
      <c r="F251" s="64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  <c r="AA251" s="65"/>
      <c r="AB251" s="65"/>
      <c r="AC251" s="65"/>
      <c r="AD251" s="65"/>
    </row>
    <row r="252">
      <c r="A252" s="65"/>
      <c r="B252" s="64"/>
      <c r="C252" s="64"/>
      <c r="D252" s="64"/>
      <c r="E252" s="64"/>
      <c r="F252" s="64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  <c r="AA252" s="65"/>
      <c r="AB252" s="65"/>
      <c r="AC252" s="65"/>
      <c r="AD252" s="65"/>
    </row>
    <row r="253">
      <c r="A253" s="65"/>
      <c r="B253" s="64"/>
      <c r="C253" s="64"/>
      <c r="D253" s="64"/>
      <c r="E253" s="64"/>
      <c r="F253" s="64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  <c r="AA253" s="65"/>
      <c r="AB253" s="65"/>
      <c r="AC253" s="65"/>
      <c r="AD253" s="65"/>
    </row>
    <row r="254">
      <c r="A254" s="65"/>
      <c r="B254" s="64"/>
      <c r="C254" s="64"/>
      <c r="D254" s="64"/>
      <c r="E254" s="64"/>
      <c r="F254" s="64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  <c r="AA254" s="65"/>
      <c r="AB254" s="65"/>
      <c r="AC254" s="65"/>
      <c r="AD254" s="65"/>
    </row>
    <row r="255">
      <c r="A255" s="65"/>
      <c r="B255" s="64"/>
      <c r="C255" s="64"/>
      <c r="D255" s="64"/>
      <c r="E255" s="64"/>
      <c r="F255" s="64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  <c r="AA255" s="65"/>
      <c r="AB255" s="65"/>
      <c r="AC255" s="65"/>
      <c r="AD255" s="65"/>
    </row>
    <row r="256">
      <c r="A256" s="65"/>
      <c r="B256" s="64"/>
      <c r="C256" s="64"/>
      <c r="D256" s="64"/>
      <c r="E256" s="64"/>
      <c r="F256" s="64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  <c r="AA256" s="65"/>
      <c r="AB256" s="65"/>
      <c r="AC256" s="65"/>
      <c r="AD256" s="65"/>
    </row>
    <row r="257">
      <c r="A257" s="65"/>
      <c r="B257" s="64"/>
      <c r="C257" s="64"/>
      <c r="D257" s="64"/>
      <c r="E257" s="64"/>
      <c r="F257" s="64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  <c r="AA257" s="65"/>
      <c r="AB257" s="65"/>
      <c r="AC257" s="65"/>
      <c r="AD257" s="65"/>
    </row>
    <row r="258">
      <c r="A258" s="65"/>
      <c r="B258" s="64"/>
      <c r="C258" s="64"/>
      <c r="D258" s="64"/>
      <c r="E258" s="64"/>
      <c r="F258" s="64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  <c r="AA258" s="65"/>
      <c r="AB258" s="65"/>
      <c r="AC258" s="65"/>
      <c r="AD258" s="65"/>
    </row>
    <row r="259">
      <c r="A259" s="65"/>
      <c r="B259" s="64"/>
      <c r="C259" s="64"/>
      <c r="D259" s="64"/>
      <c r="E259" s="64"/>
      <c r="F259" s="64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  <c r="AA259" s="65"/>
      <c r="AB259" s="65"/>
      <c r="AC259" s="65"/>
      <c r="AD259" s="65"/>
    </row>
    <row r="260">
      <c r="A260" s="65"/>
      <c r="B260" s="64"/>
      <c r="C260" s="64"/>
      <c r="D260" s="64"/>
      <c r="E260" s="64"/>
      <c r="F260" s="64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  <c r="AA260" s="65"/>
      <c r="AB260" s="65"/>
      <c r="AC260" s="65"/>
      <c r="AD260" s="65"/>
    </row>
    <row r="261">
      <c r="A261" s="65"/>
      <c r="B261" s="64"/>
      <c r="C261" s="64"/>
      <c r="D261" s="64"/>
      <c r="E261" s="64"/>
      <c r="F261" s="64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  <c r="AA261" s="65"/>
      <c r="AB261" s="65"/>
      <c r="AC261" s="65"/>
      <c r="AD261" s="65"/>
    </row>
    <row r="262">
      <c r="A262" s="65"/>
      <c r="B262" s="64"/>
      <c r="C262" s="64"/>
      <c r="D262" s="64"/>
      <c r="E262" s="64"/>
      <c r="F262" s="64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  <c r="AA262" s="65"/>
      <c r="AB262" s="65"/>
      <c r="AC262" s="65"/>
      <c r="AD262" s="65"/>
    </row>
    <row r="263">
      <c r="A263" s="65"/>
      <c r="B263" s="64"/>
      <c r="C263" s="64"/>
      <c r="D263" s="64"/>
      <c r="E263" s="64"/>
      <c r="F263" s="64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  <c r="AA263" s="65"/>
      <c r="AB263" s="65"/>
      <c r="AC263" s="65"/>
      <c r="AD263" s="65"/>
    </row>
    <row r="264">
      <c r="A264" s="65"/>
      <c r="B264" s="64"/>
      <c r="C264" s="64"/>
      <c r="D264" s="64"/>
      <c r="E264" s="64"/>
      <c r="F264" s="64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  <c r="AA264" s="65"/>
      <c r="AB264" s="65"/>
      <c r="AC264" s="65"/>
      <c r="AD264" s="65"/>
    </row>
    <row r="265">
      <c r="A265" s="65"/>
      <c r="B265" s="64"/>
      <c r="C265" s="64"/>
      <c r="D265" s="64"/>
      <c r="E265" s="64"/>
      <c r="F265" s="64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  <c r="AA265" s="65"/>
      <c r="AB265" s="65"/>
      <c r="AC265" s="65"/>
      <c r="AD265" s="65"/>
    </row>
    <row r="266">
      <c r="A266" s="65"/>
      <c r="B266" s="64"/>
      <c r="C266" s="64"/>
      <c r="D266" s="64"/>
      <c r="E266" s="64"/>
      <c r="F266" s="64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  <c r="AA266" s="65"/>
      <c r="AB266" s="65"/>
      <c r="AC266" s="65"/>
      <c r="AD266" s="65"/>
    </row>
    <row r="267">
      <c r="A267" s="65"/>
      <c r="B267" s="64"/>
      <c r="C267" s="64"/>
      <c r="D267" s="64"/>
      <c r="E267" s="64"/>
      <c r="F267" s="64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  <c r="AA267" s="65"/>
      <c r="AB267" s="65"/>
      <c r="AC267" s="65"/>
      <c r="AD267" s="65"/>
    </row>
    <row r="268">
      <c r="A268" s="65"/>
      <c r="B268" s="64"/>
      <c r="C268" s="64"/>
      <c r="D268" s="64"/>
      <c r="E268" s="64"/>
      <c r="F268" s="64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  <c r="AA268" s="65"/>
      <c r="AB268" s="65"/>
      <c r="AC268" s="65"/>
      <c r="AD268" s="65"/>
    </row>
    <row r="269">
      <c r="A269" s="65"/>
      <c r="B269" s="64"/>
      <c r="C269" s="64"/>
      <c r="D269" s="64"/>
      <c r="E269" s="64"/>
      <c r="F269" s="64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  <c r="AA269" s="65"/>
      <c r="AB269" s="65"/>
      <c r="AC269" s="65"/>
      <c r="AD269" s="65"/>
    </row>
    <row r="270">
      <c r="A270" s="65"/>
      <c r="B270" s="64"/>
      <c r="C270" s="64"/>
      <c r="D270" s="64"/>
      <c r="E270" s="64"/>
      <c r="F270" s="64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  <c r="AA270" s="65"/>
      <c r="AB270" s="65"/>
      <c r="AC270" s="65"/>
      <c r="AD270" s="65"/>
    </row>
    <row r="271">
      <c r="A271" s="65"/>
      <c r="B271" s="64"/>
      <c r="C271" s="64"/>
      <c r="D271" s="64"/>
      <c r="E271" s="64"/>
      <c r="F271" s="64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  <c r="AA271" s="65"/>
      <c r="AB271" s="65"/>
      <c r="AC271" s="65"/>
      <c r="AD271" s="65"/>
    </row>
    <row r="272">
      <c r="A272" s="65"/>
      <c r="B272" s="64"/>
      <c r="C272" s="64"/>
      <c r="D272" s="64"/>
      <c r="E272" s="64"/>
      <c r="F272" s="64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  <c r="AA272" s="65"/>
      <c r="AB272" s="65"/>
      <c r="AC272" s="65"/>
      <c r="AD272" s="65"/>
    </row>
    <row r="273">
      <c r="A273" s="65"/>
      <c r="B273" s="64"/>
      <c r="C273" s="64"/>
      <c r="D273" s="64"/>
      <c r="E273" s="64"/>
      <c r="F273" s="64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  <c r="AA273" s="65"/>
      <c r="AB273" s="65"/>
      <c r="AC273" s="65"/>
      <c r="AD273" s="65"/>
    </row>
    <row r="274">
      <c r="A274" s="65"/>
      <c r="B274" s="64"/>
      <c r="C274" s="64"/>
      <c r="D274" s="64"/>
      <c r="E274" s="64"/>
      <c r="F274" s="64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  <c r="AA274" s="65"/>
      <c r="AB274" s="65"/>
      <c r="AC274" s="65"/>
      <c r="AD274" s="65"/>
    </row>
    <row r="275">
      <c r="A275" s="65"/>
      <c r="B275" s="64"/>
      <c r="C275" s="64"/>
      <c r="D275" s="64"/>
      <c r="E275" s="64"/>
      <c r="F275" s="64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  <c r="AA275" s="65"/>
      <c r="AB275" s="65"/>
      <c r="AC275" s="65"/>
      <c r="AD275" s="65"/>
    </row>
    <row r="276">
      <c r="A276" s="65"/>
      <c r="B276" s="64"/>
      <c r="C276" s="64"/>
      <c r="D276" s="64"/>
      <c r="E276" s="64"/>
      <c r="F276" s="64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  <c r="AA276" s="65"/>
      <c r="AB276" s="65"/>
      <c r="AC276" s="65"/>
      <c r="AD276" s="65"/>
    </row>
    <row r="277">
      <c r="A277" s="65"/>
      <c r="B277" s="64"/>
      <c r="C277" s="64"/>
      <c r="D277" s="64"/>
      <c r="E277" s="64"/>
      <c r="F277" s="64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  <c r="AA277" s="65"/>
      <c r="AB277" s="65"/>
      <c r="AC277" s="65"/>
      <c r="AD277" s="65"/>
    </row>
    <row r="278">
      <c r="A278" s="65"/>
      <c r="B278" s="64"/>
      <c r="C278" s="64"/>
      <c r="D278" s="64"/>
      <c r="E278" s="64"/>
      <c r="F278" s="64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  <c r="AA278" s="65"/>
      <c r="AB278" s="65"/>
      <c r="AC278" s="65"/>
      <c r="AD278" s="65"/>
    </row>
    <row r="279">
      <c r="A279" s="65"/>
      <c r="B279" s="64"/>
      <c r="C279" s="64"/>
      <c r="D279" s="64"/>
      <c r="E279" s="64"/>
      <c r="F279" s="64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  <c r="AA279" s="65"/>
      <c r="AB279" s="65"/>
      <c r="AC279" s="65"/>
      <c r="AD279" s="65"/>
    </row>
    <row r="280">
      <c r="A280" s="65"/>
      <c r="B280" s="64"/>
      <c r="C280" s="64"/>
      <c r="D280" s="64"/>
      <c r="E280" s="64"/>
      <c r="F280" s="64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  <c r="AA280" s="65"/>
      <c r="AB280" s="65"/>
      <c r="AC280" s="65"/>
      <c r="AD280" s="65"/>
    </row>
    <row r="281">
      <c r="A281" s="65"/>
      <c r="B281" s="64"/>
      <c r="C281" s="64"/>
      <c r="D281" s="64"/>
      <c r="E281" s="64"/>
      <c r="F281" s="64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  <c r="AA281" s="65"/>
      <c r="AB281" s="65"/>
      <c r="AC281" s="65"/>
      <c r="AD281" s="65"/>
    </row>
    <row r="282">
      <c r="A282" s="65"/>
      <c r="B282" s="64"/>
      <c r="C282" s="64"/>
      <c r="D282" s="64"/>
      <c r="E282" s="64"/>
      <c r="F282" s="64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  <c r="AA282" s="65"/>
      <c r="AB282" s="65"/>
      <c r="AC282" s="65"/>
      <c r="AD282" s="65"/>
    </row>
    <row r="283">
      <c r="A283" s="65"/>
      <c r="B283" s="64"/>
      <c r="C283" s="64"/>
      <c r="D283" s="64"/>
      <c r="E283" s="64"/>
      <c r="F283" s="64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  <c r="AA283" s="65"/>
      <c r="AB283" s="65"/>
      <c r="AC283" s="65"/>
      <c r="AD283" s="65"/>
    </row>
    <row r="284">
      <c r="A284" s="65"/>
      <c r="B284" s="64"/>
      <c r="C284" s="64"/>
      <c r="D284" s="64"/>
      <c r="E284" s="64"/>
      <c r="F284" s="64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  <c r="AA284" s="65"/>
      <c r="AB284" s="65"/>
      <c r="AC284" s="65"/>
      <c r="AD284" s="65"/>
    </row>
    <row r="285">
      <c r="A285" s="65"/>
      <c r="B285" s="64"/>
      <c r="C285" s="64"/>
      <c r="D285" s="64"/>
      <c r="E285" s="64"/>
      <c r="F285" s="64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  <c r="AA285" s="65"/>
      <c r="AB285" s="65"/>
      <c r="AC285" s="65"/>
      <c r="AD285" s="65"/>
    </row>
    <row r="286">
      <c r="A286" s="65"/>
      <c r="B286" s="64"/>
      <c r="C286" s="64"/>
      <c r="D286" s="64"/>
      <c r="E286" s="64"/>
      <c r="F286" s="64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  <c r="AA286" s="65"/>
      <c r="AB286" s="65"/>
      <c r="AC286" s="65"/>
      <c r="AD286" s="65"/>
    </row>
    <row r="287">
      <c r="A287" s="65"/>
      <c r="B287" s="64"/>
      <c r="C287" s="64"/>
      <c r="D287" s="64"/>
      <c r="E287" s="64"/>
      <c r="F287" s="64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  <c r="AA287" s="65"/>
      <c r="AB287" s="65"/>
      <c r="AC287" s="65"/>
      <c r="AD287" s="65"/>
    </row>
    <row r="288">
      <c r="A288" s="65"/>
      <c r="B288" s="64"/>
      <c r="C288" s="64"/>
      <c r="D288" s="64"/>
      <c r="E288" s="64"/>
      <c r="F288" s="64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  <c r="AA288" s="65"/>
      <c r="AB288" s="65"/>
      <c r="AC288" s="65"/>
      <c r="AD288" s="65"/>
    </row>
    <row r="289">
      <c r="A289" s="65"/>
      <c r="B289" s="64"/>
      <c r="C289" s="64"/>
      <c r="D289" s="64"/>
      <c r="E289" s="64"/>
      <c r="F289" s="64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  <c r="AA289" s="65"/>
      <c r="AB289" s="65"/>
      <c r="AC289" s="65"/>
      <c r="AD289" s="65"/>
    </row>
    <row r="290">
      <c r="A290" s="65"/>
      <c r="B290" s="64"/>
      <c r="C290" s="64"/>
      <c r="D290" s="64"/>
      <c r="E290" s="64"/>
      <c r="F290" s="64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  <c r="AA290" s="65"/>
      <c r="AB290" s="65"/>
      <c r="AC290" s="65"/>
      <c r="AD290" s="65"/>
    </row>
    <row r="291">
      <c r="A291" s="65"/>
      <c r="B291" s="64"/>
      <c r="C291" s="64"/>
      <c r="D291" s="64"/>
      <c r="E291" s="64"/>
      <c r="F291" s="64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  <c r="AA291" s="65"/>
      <c r="AB291" s="65"/>
      <c r="AC291" s="65"/>
      <c r="AD291" s="65"/>
    </row>
    <row r="292">
      <c r="A292" s="65"/>
      <c r="B292" s="64"/>
      <c r="C292" s="64"/>
      <c r="D292" s="64"/>
      <c r="E292" s="64"/>
      <c r="F292" s="64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  <c r="AA292" s="65"/>
      <c r="AB292" s="65"/>
      <c r="AC292" s="65"/>
      <c r="AD292" s="65"/>
    </row>
    <row r="293">
      <c r="A293" s="65"/>
      <c r="B293" s="64"/>
      <c r="C293" s="64"/>
      <c r="D293" s="64"/>
      <c r="E293" s="64"/>
      <c r="F293" s="64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  <c r="AA293" s="65"/>
      <c r="AB293" s="65"/>
      <c r="AC293" s="65"/>
      <c r="AD293" s="65"/>
    </row>
    <row r="294">
      <c r="A294" s="65"/>
      <c r="B294" s="64"/>
      <c r="C294" s="64"/>
      <c r="D294" s="64"/>
      <c r="E294" s="64"/>
      <c r="F294" s="64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  <c r="AA294" s="65"/>
      <c r="AB294" s="65"/>
      <c r="AC294" s="65"/>
      <c r="AD294" s="65"/>
    </row>
    <row r="295">
      <c r="A295" s="65"/>
      <c r="B295" s="64"/>
      <c r="C295" s="64"/>
      <c r="D295" s="64"/>
      <c r="E295" s="64"/>
      <c r="F295" s="64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  <c r="AA295" s="65"/>
      <c r="AB295" s="65"/>
      <c r="AC295" s="65"/>
      <c r="AD295" s="65"/>
    </row>
    <row r="296">
      <c r="A296" s="65"/>
      <c r="B296" s="64"/>
      <c r="C296" s="64"/>
      <c r="D296" s="64"/>
      <c r="E296" s="64"/>
      <c r="F296" s="64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  <c r="AA296" s="65"/>
      <c r="AB296" s="65"/>
      <c r="AC296" s="65"/>
      <c r="AD296" s="65"/>
    </row>
    <row r="297">
      <c r="A297" s="65"/>
      <c r="B297" s="64"/>
      <c r="C297" s="64"/>
      <c r="D297" s="64"/>
      <c r="E297" s="64"/>
      <c r="F297" s="64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  <c r="AA297" s="65"/>
      <c r="AB297" s="65"/>
      <c r="AC297" s="65"/>
      <c r="AD297" s="65"/>
    </row>
    <row r="298">
      <c r="A298" s="65"/>
      <c r="B298" s="64"/>
      <c r="C298" s="64"/>
      <c r="D298" s="64"/>
      <c r="E298" s="64"/>
      <c r="F298" s="64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  <c r="AA298" s="65"/>
      <c r="AB298" s="65"/>
      <c r="AC298" s="65"/>
      <c r="AD298" s="65"/>
    </row>
    <row r="299">
      <c r="A299" s="65"/>
      <c r="B299" s="64"/>
      <c r="C299" s="64"/>
      <c r="D299" s="64"/>
      <c r="E299" s="64"/>
      <c r="F299" s="64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  <c r="AA299" s="65"/>
      <c r="AB299" s="65"/>
      <c r="AC299" s="65"/>
      <c r="AD299" s="65"/>
    </row>
    <row r="300">
      <c r="A300" s="65"/>
      <c r="B300" s="64"/>
      <c r="C300" s="64"/>
      <c r="D300" s="64"/>
      <c r="E300" s="64"/>
      <c r="F300" s="64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  <c r="AA300" s="65"/>
      <c r="AB300" s="65"/>
      <c r="AC300" s="65"/>
      <c r="AD300" s="65"/>
    </row>
    <row r="301">
      <c r="A301" s="65"/>
      <c r="B301" s="64"/>
      <c r="C301" s="64"/>
      <c r="D301" s="64"/>
      <c r="E301" s="64"/>
      <c r="F301" s="64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  <c r="AA301" s="65"/>
      <c r="AB301" s="65"/>
      <c r="AC301" s="65"/>
      <c r="AD301" s="65"/>
    </row>
    <row r="302">
      <c r="A302" s="65"/>
      <c r="B302" s="64"/>
      <c r="C302" s="64"/>
      <c r="D302" s="64"/>
      <c r="E302" s="64"/>
      <c r="F302" s="64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  <c r="AA302" s="65"/>
      <c r="AB302" s="65"/>
      <c r="AC302" s="65"/>
      <c r="AD302" s="65"/>
    </row>
    <row r="303">
      <c r="A303" s="65"/>
      <c r="B303" s="64"/>
      <c r="C303" s="64"/>
      <c r="D303" s="64"/>
      <c r="E303" s="64"/>
      <c r="F303" s="64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  <c r="AA303" s="65"/>
      <c r="AB303" s="65"/>
      <c r="AC303" s="65"/>
      <c r="AD303" s="65"/>
    </row>
    <row r="304">
      <c r="A304" s="65"/>
      <c r="B304" s="64"/>
      <c r="C304" s="64"/>
      <c r="D304" s="64"/>
      <c r="E304" s="64"/>
      <c r="F304" s="64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  <c r="AA304" s="65"/>
      <c r="AB304" s="65"/>
      <c r="AC304" s="65"/>
      <c r="AD304" s="65"/>
    </row>
    <row r="305">
      <c r="A305" s="65"/>
      <c r="B305" s="64"/>
      <c r="C305" s="64"/>
      <c r="D305" s="64"/>
      <c r="E305" s="64"/>
      <c r="F305" s="64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  <c r="AA305" s="65"/>
      <c r="AB305" s="65"/>
      <c r="AC305" s="65"/>
      <c r="AD305" s="65"/>
    </row>
    <row r="306">
      <c r="A306" s="65"/>
      <c r="B306" s="64"/>
      <c r="C306" s="64"/>
      <c r="D306" s="64"/>
      <c r="E306" s="64"/>
      <c r="F306" s="64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  <c r="AA306" s="65"/>
      <c r="AB306" s="65"/>
      <c r="AC306" s="65"/>
      <c r="AD306" s="65"/>
    </row>
    <row r="307">
      <c r="A307" s="65"/>
      <c r="B307" s="64"/>
      <c r="C307" s="64"/>
      <c r="D307" s="64"/>
      <c r="E307" s="64"/>
      <c r="F307" s="64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  <c r="AA307" s="65"/>
      <c r="AB307" s="65"/>
      <c r="AC307" s="65"/>
      <c r="AD307" s="65"/>
    </row>
    <row r="308">
      <c r="A308" s="65"/>
      <c r="B308" s="64"/>
      <c r="C308" s="64"/>
      <c r="D308" s="64"/>
      <c r="E308" s="64"/>
      <c r="F308" s="64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  <c r="AA308" s="65"/>
      <c r="AB308" s="65"/>
      <c r="AC308" s="65"/>
      <c r="AD308" s="65"/>
    </row>
    <row r="309">
      <c r="A309" s="65"/>
      <c r="B309" s="64"/>
      <c r="C309" s="64"/>
      <c r="D309" s="64"/>
      <c r="E309" s="64"/>
      <c r="F309" s="64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  <c r="AA309" s="65"/>
      <c r="AB309" s="65"/>
      <c r="AC309" s="65"/>
      <c r="AD309" s="65"/>
    </row>
    <row r="310">
      <c r="A310" s="65"/>
      <c r="B310" s="64"/>
      <c r="C310" s="64"/>
      <c r="D310" s="64"/>
      <c r="E310" s="64"/>
      <c r="F310" s="64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  <c r="AA310" s="65"/>
      <c r="AB310" s="65"/>
      <c r="AC310" s="65"/>
      <c r="AD310" s="65"/>
    </row>
    <row r="311">
      <c r="A311" s="65"/>
      <c r="B311" s="64"/>
      <c r="C311" s="64"/>
      <c r="D311" s="64"/>
      <c r="E311" s="64"/>
      <c r="F311" s="64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  <c r="AA311" s="65"/>
      <c r="AB311" s="65"/>
      <c r="AC311" s="65"/>
      <c r="AD311" s="65"/>
    </row>
    <row r="312">
      <c r="A312" s="65"/>
      <c r="B312" s="64"/>
      <c r="C312" s="64"/>
      <c r="D312" s="64"/>
      <c r="E312" s="64"/>
      <c r="F312" s="64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  <c r="AA312" s="65"/>
      <c r="AB312" s="65"/>
      <c r="AC312" s="65"/>
      <c r="AD312" s="65"/>
    </row>
    <row r="313">
      <c r="A313" s="65"/>
      <c r="B313" s="64"/>
      <c r="C313" s="64"/>
      <c r="D313" s="64"/>
      <c r="E313" s="64"/>
      <c r="F313" s="64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  <c r="AA313" s="65"/>
      <c r="AB313" s="65"/>
      <c r="AC313" s="65"/>
      <c r="AD313" s="65"/>
    </row>
    <row r="314">
      <c r="A314" s="65"/>
      <c r="B314" s="64"/>
      <c r="C314" s="64"/>
      <c r="D314" s="64"/>
      <c r="E314" s="64"/>
      <c r="F314" s="64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  <c r="AA314" s="65"/>
      <c r="AB314" s="65"/>
      <c r="AC314" s="65"/>
      <c r="AD314" s="65"/>
    </row>
    <row r="315">
      <c r="A315" s="65"/>
      <c r="B315" s="64"/>
      <c r="C315" s="64"/>
      <c r="D315" s="64"/>
      <c r="E315" s="64"/>
      <c r="F315" s="64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  <c r="AA315" s="65"/>
      <c r="AB315" s="65"/>
      <c r="AC315" s="65"/>
      <c r="AD315" s="65"/>
    </row>
    <row r="316">
      <c r="A316" s="65"/>
      <c r="B316" s="64"/>
      <c r="C316" s="64"/>
      <c r="D316" s="64"/>
      <c r="E316" s="64"/>
      <c r="F316" s="64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  <c r="AA316" s="65"/>
      <c r="AB316" s="65"/>
      <c r="AC316" s="65"/>
      <c r="AD316" s="65"/>
    </row>
    <row r="317">
      <c r="A317" s="65"/>
      <c r="B317" s="64"/>
      <c r="C317" s="64"/>
      <c r="D317" s="64"/>
      <c r="E317" s="64"/>
      <c r="F317" s="64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  <c r="AA317" s="65"/>
      <c r="AB317" s="65"/>
      <c r="AC317" s="65"/>
      <c r="AD317" s="65"/>
    </row>
    <row r="318">
      <c r="A318" s="65"/>
      <c r="B318" s="64"/>
      <c r="C318" s="64"/>
      <c r="D318" s="64"/>
      <c r="E318" s="64"/>
      <c r="F318" s="64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  <c r="AA318" s="65"/>
      <c r="AB318" s="65"/>
      <c r="AC318" s="65"/>
      <c r="AD318" s="65"/>
    </row>
    <row r="319">
      <c r="A319" s="65"/>
      <c r="B319" s="64"/>
      <c r="C319" s="64"/>
      <c r="D319" s="64"/>
      <c r="E319" s="64"/>
      <c r="F319" s="64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  <c r="AA319" s="65"/>
      <c r="AB319" s="65"/>
      <c r="AC319" s="65"/>
      <c r="AD319" s="65"/>
    </row>
    <row r="320">
      <c r="A320" s="65"/>
      <c r="B320" s="64"/>
      <c r="C320" s="64"/>
      <c r="D320" s="64"/>
      <c r="E320" s="64"/>
      <c r="F320" s="64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  <c r="AA320" s="65"/>
      <c r="AB320" s="65"/>
      <c r="AC320" s="65"/>
      <c r="AD320" s="65"/>
    </row>
    <row r="321">
      <c r="A321" s="65"/>
      <c r="B321" s="64"/>
      <c r="C321" s="64"/>
      <c r="D321" s="64"/>
      <c r="E321" s="64"/>
      <c r="F321" s="64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  <c r="AA321" s="65"/>
      <c r="AB321" s="65"/>
      <c r="AC321" s="65"/>
      <c r="AD321" s="65"/>
    </row>
    <row r="322">
      <c r="A322" s="65"/>
      <c r="B322" s="64"/>
      <c r="C322" s="64"/>
      <c r="D322" s="64"/>
      <c r="E322" s="64"/>
      <c r="F322" s="64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  <c r="AA322" s="65"/>
      <c r="AB322" s="65"/>
      <c r="AC322" s="65"/>
      <c r="AD322" s="65"/>
    </row>
    <row r="323">
      <c r="A323" s="65"/>
      <c r="B323" s="64"/>
      <c r="C323" s="64"/>
      <c r="D323" s="64"/>
      <c r="E323" s="64"/>
      <c r="F323" s="64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  <c r="AA323" s="65"/>
      <c r="AB323" s="65"/>
      <c r="AC323" s="65"/>
      <c r="AD323" s="65"/>
    </row>
    <row r="324">
      <c r="A324" s="65"/>
      <c r="B324" s="64"/>
      <c r="C324" s="64"/>
      <c r="D324" s="64"/>
      <c r="E324" s="64"/>
      <c r="F324" s="64"/>
      <c r="G324" s="65"/>
      <c r="H324" s="65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  <c r="AA324" s="65"/>
      <c r="AB324" s="65"/>
      <c r="AC324" s="65"/>
      <c r="AD324" s="65"/>
    </row>
    <row r="325">
      <c r="A325" s="65"/>
      <c r="B325" s="64"/>
      <c r="C325" s="64"/>
      <c r="D325" s="64"/>
      <c r="E325" s="64"/>
      <c r="F325" s="64"/>
      <c r="G325" s="65"/>
      <c r="H325" s="65"/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  <c r="AA325" s="65"/>
      <c r="AB325" s="65"/>
      <c r="AC325" s="65"/>
      <c r="AD325" s="65"/>
    </row>
    <row r="326">
      <c r="A326" s="65"/>
      <c r="B326" s="64"/>
      <c r="C326" s="64"/>
      <c r="D326" s="64"/>
      <c r="E326" s="64"/>
      <c r="F326" s="64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  <c r="AA326" s="65"/>
      <c r="AB326" s="65"/>
      <c r="AC326" s="65"/>
      <c r="AD326" s="65"/>
    </row>
    <row r="327">
      <c r="A327" s="65"/>
      <c r="B327" s="64"/>
      <c r="C327" s="64"/>
      <c r="D327" s="64"/>
      <c r="E327" s="64"/>
      <c r="F327" s="64"/>
      <c r="G327" s="65"/>
      <c r="H327" s="65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  <c r="AA327" s="65"/>
      <c r="AB327" s="65"/>
      <c r="AC327" s="65"/>
      <c r="AD327" s="65"/>
    </row>
    <row r="328">
      <c r="A328" s="65"/>
      <c r="B328" s="64"/>
      <c r="C328" s="64"/>
      <c r="D328" s="64"/>
      <c r="E328" s="64"/>
      <c r="F328" s="64"/>
      <c r="G328" s="65"/>
      <c r="H328" s="65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  <c r="AA328" s="65"/>
      <c r="AB328" s="65"/>
      <c r="AC328" s="65"/>
      <c r="AD328" s="65"/>
    </row>
    <row r="329">
      <c r="A329" s="65"/>
      <c r="B329" s="64"/>
      <c r="C329" s="64"/>
      <c r="D329" s="64"/>
      <c r="E329" s="64"/>
      <c r="F329" s="64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  <c r="AA329" s="65"/>
      <c r="AB329" s="65"/>
      <c r="AC329" s="65"/>
      <c r="AD329" s="65"/>
    </row>
    <row r="330">
      <c r="A330" s="65"/>
      <c r="B330" s="64"/>
      <c r="C330" s="64"/>
      <c r="D330" s="64"/>
      <c r="E330" s="64"/>
      <c r="F330" s="64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  <c r="AA330" s="65"/>
      <c r="AB330" s="65"/>
      <c r="AC330" s="65"/>
      <c r="AD330" s="65"/>
    </row>
    <row r="331">
      <c r="A331" s="65"/>
      <c r="B331" s="64"/>
      <c r="C331" s="64"/>
      <c r="D331" s="64"/>
      <c r="E331" s="64"/>
      <c r="F331" s="64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  <c r="AA331" s="65"/>
      <c r="AB331" s="65"/>
      <c r="AC331" s="65"/>
      <c r="AD331" s="65"/>
    </row>
    <row r="332">
      <c r="A332" s="65"/>
      <c r="B332" s="64"/>
      <c r="C332" s="64"/>
      <c r="D332" s="64"/>
      <c r="E332" s="64"/>
      <c r="F332" s="64"/>
      <c r="G332" s="65"/>
      <c r="H332" s="65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  <c r="AA332" s="65"/>
      <c r="AB332" s="65"/>
      <c r="AC332" s="65"/>
      <c r="AD332" s="65"/>
    </row>
    <row r="333">
      <c r="A333" s="65"/>
      <c r="B333" s="64"/>
      <c r="C333" s="64"/>
      <c r="D333" s="64"/>
      <c r="E333" s="64"/>
      <c r="F333" s="64"/>
      <c r="G333" s="65"/>
      <c r="H333" s="65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  <c r="AA333" s="65"/>
      <c r="AB333" s="65"/>
      <c r="AC333" s="65"/>
      <c r="AD333" s="65"/>
    </row>
    <row r="334">
      <c r="A334" s="65"/>
      <c r="B334" s="64"/>
      <c r="C334" s="64"/>
      <c r="D334" s="64"/>
      <c r="E334" s="64"/>
      <c r="F334" s="64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  <c r="AA334" s="65"/>
      <c r="AB334" s="65"/>
      <c r="AC334" s="65"/>
      <c r="AD334" s="65"/>
    </row>
    <row r="335">
      <c r="A335" s="65"/>
      <c r="B335" s="64"/>
      <c r="C335" s="64"/>
      <c r="D335" s="64"/>
      <c r="E335" s="64"/>
      <c r="F335" s="64"/>
      <c r="G335" s="65"/>
      <c r="H335" s="65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  <c r="AA335" s="65"/>
      <c r="AB335" s="65"/>
      <c r="AC335" s="65"/>
      <c r="AD335" s="65"/>
    </row>
    <row r="336">
      <c r="A336" s="65"/>
      <c r="B336" s="64"/>
      <c r="C336" s="64"/>
      <c r="D336" s="64"/>
      <c r="E336" s="64"/>
      <c r="F336" s="64"/>
      <c r="G336" s="65"/>
      <c r="H336" s="65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  <c r="AA336" s="65"/>
      <c r="AB336" s="65"/>
      <c r="AC336" s="65"/>
      <c r="AD336" s="65"/>
    </row>
    <row r="337">
      <c r="A337" s="65"/>
      <c r="B337" s="64"/>
      <c r="C337" s="64"/>
      <c r="D337" s="64"/>
      <c r="E337" s="64"/>
      <c r="F337" s="64"/>
      <c r="G337" s="65"/>
      <c r="H337" s="65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  <c r="AA337" s="65"/>
      <c r="AB337" s="65"/>
      <c r="AC337" s="65"/>
      <c r="AD337" s="65"/>
    </row>
    <row r="338">
      <c r="A338" s="65"/>
      <c r="B338" s="64"/>
      <c r="C338" s="64"/>
      <c r="D338" s="64"/>
      <c r="E338" s="64"/>
      <c r="F338" s="64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  <c r="AA338" s="65"/>
      <c r="AB338" s="65"/>
      <c r="AC338" s="65"/>
      <c r="AD338" s="65"/>
    </row>
    <row r="339">
      <c r="A339" s="65"/>
      <c r="B339" s="64"/>
      <c r="C339" s="64"/>
      <c r="D339" s="64"/>
      <c r="E339" s="64"/>
      <c r="F339" s="64"/>
      <c r="G339" s="65"/>
      <c r="H339" s="65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  <c r="AA339" s="65"/>
      <c r="AB339" s="65"/>
      <c r="AC339" s="65"/>
      <c r="AD339" s="65"/>
    </row>
    <row r="340">
      <c r="A340" s="65"/>
      <c r="B340" s="64"/>
      <c r="C340" s="64"/>
      <c r="D340" s="64"/>
      <c r="E340" s="64"/>
      <c r="F340" s="64"/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  <c r="AA340" s="65"/>
      <c r="AB340" s="65"/>
      <c r="AC340" s="65"/>
      <c r="AD340" s="65"/>
    </row>
    <row r="341">
      <c r="A341" s="65"/>
      <c r="B341" s="64"/>
      <c r="C341" s="64"/>
      <c r="D341" s="64"/>
      <c r="E341" s="64"/>
      <c r="F341" s="64"/>
      <c r="G341" s="65"/>
      <c r="H341" s="65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  <c r="AA341" s="65"/>
      <c r="AB341" s="65"/>
      <c r="AC341" s="65"/>
      <c r="AD341" s="65"/>
    </row>
    <row r="342">
      <c r="A342" s="65"/>
      <c r="B342" s="64"/>
      <c r="C342" s="64"/>
      <c r="D342" s="64"/>
      <c r="E342" s="64"/>
      <c r="F342" s="64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  <c r="AA342" s="65"/>
      <c r="AB342" s="65"/>
      <c r="AC342" s="65"/>
      <c r="AD342" s="65"/>
    </row>
    <row r="343">
      <c r="A343" s="65"/>
      <c r="B343" s="64"/>
      <c r="C343" s="64"/>
      <c r="D343" s="64"/>
      <c r="E343" s="64"/>
      <c r="F343" s="64"/>
      <c r="G343" s="65"/>
      <c r="H343" s="65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  <c r="AA343" s="65"/>
      <c r="AB343" s="65"/>
      <c r="AC343" s="65"/>
      <c r="AD343" s="65"/>
    </row>
    <row r="344">
      <c r="A344" s="65"/>
      <c r="B344" s="64"/>
      <c r="C344" s="64"/>
      <c r="D344" s="64"/>
      <c r="E344" s="64"/>
      <c r="F344" s="64"/>
      <c r="G344" s="65"/>
      <c r="H344" s="65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  <c r="AA344" s="65"/>
      <c r="AB344" s="65"/>
      <c r="AC344" s="65"/>
      <c r="AD344" s="65"/>
    </row>
    <row r="345">
      <c r="A345" s="65"/>
      <c r="B345" s="64"/>
      <c r="C345" s="64"/>
      <c r="D345" s="64"/>
      <c r="E345" s="64"/>
      <c r="F345" s="64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  <c r="AA345" s="65"/>
      <c r="AB345" s="65"/>
      <c r="AC345" s="65"/>
      <c r="AD345" s="65"/>
    </row>
    <row r="346">
      <c r="A346" s="65"/>
      <c r="B346" s="64"/>
      <c r="C346" s="64"/>
      <c r="D346" s="64"/>
      <c r="E346" s="64"/>
      <c r="F346" s="64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  <c r="AA346" s="65"/>
      <c r="AB346" s="65"/>
      <c r="AC346" s="65"/>
      <c r="AD346" s="65"/>
    </row>
    <row r="347">
      <c r="A347" s="65"/>
      <c r="B347" s="64"/>
      <c r="C347" s="64"/>
      <c r="D347" s="64"/>
      <c r="E347" s="64"/>
      <c r="F347" s="64"/>
      <c r="G347" s="65"/>
      <c r="H347" s="65"/>
      <c r="I347" s="65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  <c r="AA347" s="65"/>
      <c r="AB347" s="65"/>
      <c r="AC347" s="65"/>
      <c r="AD347" s="65"/>
    </row>
    <row r="348">
      <c r="A348" s="65"/>
      <c r="B348" s="64"/>
      <c r="C348" s="64"/>
      <c r="D348" s="64"/>
      <c r="E348" s="64"/>
      <c r="F348" s="64"/>
      <c r="G348" s="65"/>
      <c r="H348" s="65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  <c r="AA348" s="65"/>
      <c r="AB348" s="65"/>
      <c r="AC348" s="65"/>
      <c r="AD348" s="65"/>
    </row>
    <row r="349">
      <c r="A349" s="65"/>
      <c r="B349" s="64"/>
      <c r="C349" s="64"/>
      <c r="D349" s="64"/>
      <c r="E349" s="64"/>
      <c r="F349" s="64"/>
      <c r="G349" s="65"/>
      <c r="H349" s="65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  <c r="AA349" s="65"/>
      <c r="AB349" s="65"/>
      <c r="AC349" s="65"/>
      <c r="AD349" s="65"/>
    </row>
    <row r="350">
      <c r="A350" s="65"/>
      <c r="B350" s="64"/>
      <c r="C350" s="64"/>
      <c r="D350" s="64"/>
      <c r="E350" s="64"/>
      <c r="F350" s="64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  <c r="AA350" s="65"/>
      <c r="AB350" s="65"/>
      <c r="AC350" s="65"/>
      <c r="AD350" s="65"/>
    </row>
    <row r="351">
      <c r="A351" s="65"/>
      <c r="B351" s="64"/>
      <c r="C351" s="64"/>
      <c r="D351" s="64"/>
      <c r="E351" s="64"/>
      <c r="F351" s="64"/>
      <c r="G351" s="65"/>
      <c r="H351" s="65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  <c r="AA351" s="65"/>
      <c r="AB351" s="65"/>
      <c r="AC351" s="65"/>
      <c r="AD351" s="65"/>
    </row>
    <row r="352">
      <c r="A352" s="65"/>
      <c r="B352" s="64"/>
      <c r="C352" s="64"/>
      <c r="D352" s="64"/>
      <c r="E352" s="64"/>
      <c r="F352" s="64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  <c r="AA352" s="65"/>
      <c r="AB352" s="65"/>
      <c r="AC352" s="65"/>
      <c r="AD352" s="65"/>
    </row>
    <row r="353">
      <c r="A353" s="65"/>
      <c r="B353" s="64"/>
      <c r="C353" s="64"/>
      <c r="D353" s="64"/>
      <c r="E353" s="64"/>
      <c r="F353" s="64"/>
      <c r="G353" s="65"/>
      <c r="H353" s="65"/>
      <c r="I353" s="65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  <c r="AA353" s="65"/>
      <c r="AB353" s="65"/>
      <c r="AC353" s="65"/>
      <c r="AD353" s="65"/>
    </row>
    <row r="354">
      <c r="A354" s="65"/>
      <c r="B354" s="64"/>
      <c r="C354" s="64"/>
      <c r="D354" s="64"/>
      <c r="E354" s="64"/>
      <c r="F354" s="64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  <c r="AA354" s="65"/>
      <c r="AB354" s="65"/>
      <c r="AC354" s="65"/>
      <c r="AD354" s="65"/>
    </row>
    <row r="355">
      <c r="A355" s="65"/>
      <c r="B355" s="64"/>
      <c r="C355" s="64"/>
      <c r="D355" s="64"/>
      <c r="E355" s="64"/>
      <c r="F355" s="64"/>
      <c r="G355" s="65"/>
      <c r="H355" s="65"/>
      <c r="I355" s="65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  <c r="AA355" s="65"/>
      <c r="AB355" s="65"/>
      <c r="AC355" s="65"/>
      <c r="AD355" s="65"/>
    </row>
    <row r="356">
      <c r="A356" s="65"/>
      <c r="B356" s="64"/>
      <c r="C356" s="64"/>
      <c r="D356" s="64"/>
      <c r="E356" s="64"/>
      <c r="F356" s="64"/>
      <c r="G356" s="65"/>
      <c r="H356" s="65"/>
      <c r="I356" s="65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  <c r="AA356" s="65"/>
      <c r="AB356" s="65"/>
      <c r="AC356" s="65"/>
      <c r="AD356" s="65"/>
    </row>
    <row r="357">
      <c r="A357" s="65"/>
      <c r="B357" s="64"/>
      <c r="C357" s="64"/>
      <c r="D357" s="64"/>
      <c r="E357" s="64"/>
      <c r="F357" s="64"/>
      <c r="G357" s="65"/>
      <c r="H357" s="65"/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  <c r="AA357" s="65"/>
      <c r="AB357" s="65"/>
      <c r="AC357" s="65"/>
      <c r="AD357" s="65"/>
    </row>
    <row r="358">
      <c r="A358" s="65"/>
      <c r="B358" s="64"/>
      <c r="C358" s="64"/>
      <c r="D358" s="64"/>
      <c r="E358" s="64"/>
      <c r="F358" s="64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  <c r="AA358" s="65"/>
      <c r="AB358" s="65"/>
      <c r="AC358" s="65"/>
      <c r="AD358" s="65"/>
    </row>
    <row r="359">
      <c r="A359" s="65"/>
      <c r="B359" s="64"/>
      <c r="C359" s="64"/>
      <c r="D359" s="64"/>
      <c r="E359" s="64"/>
      <c r="F359" s="64"/>
      <c r="G359" s="65"/>
      <c r="H359" s="65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  <c r="AA359" s="65"/>
      <c r="AB359" s="65"/>
      <c r="AC359" s="65"/>
      <c r="AD359" s="65"/>
    </row>
    <row r="360">
      <c r="A360" s="65"/>
      <c r="B360" s="64"/>
      <c r="C360" s="64"/>
      <c r="D360" s="64"/>
      <c r="E360" s="64"/>
      <c r="F360" s="64"/>
      <c r="G360" s="65"/>
      <c r="H360" s="65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  <c r="AA360" s="65"/>
      <c r="AB360" s="65"/>
      <c r="AC360" s="65"/>
      <c r="AD360" s="65"/>
    </row>
    <row r="361">
      <c r="A361" s="65"/>
      <c r="B361" s="64"/>
      <c r="C361" s="64"/>
      <c r="D361" s="64"/>
      <c r="E361" s="64"/>
      <c r="F361" s="64"/>
      <c r="G361" s="65"/>
      <c r="H361" s="65"/>
      <c r="I361" s="65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  <c r="AA361" s="65"/>
      <c r="AB361" s="65"/>
      <c r="AC361" s="65"/>
      <c r="AD361" s="65"/>
    </row>
    <row r="362">
      <c r="A362" s="65"/>
      <c r="B362" s="64"/>
      <c r="C362" s="64"/>
      <c r="D362" s="64"/>
      <c r="E362" s="64"/>
      <c r="F362" s="64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  <c r="AA362" s="65"/>
      <c r="AB362" s="65"/>
      <c r="AC362" s="65"/>
      <c r="AD362" s="65"/>
    </row>
    <row r="363">
      <c r="A363" s="65"/>
      <c r="B363" s="64"/>
      <c r="C363" s="64"/>
      <c r="D363" s="64"/>
      <c r="E363" s="64"/>
      <c r="F363" s="64"/>
      <c r="G363" s="65"/>
      <c r="H363" s="65"/>
      <c r="I363" s="65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  <c r="AA363" s="65"/>
      <c r="AB363" s="65"/>
      <c r="AC363" s="65"/>
      <c r="AD363" s="65"/>
    </row>
    <row r="364">
      <c r="A364" s="65"/>
      <c r="B364" s="64"/>
      <c r="C364" s="64"/>
      <c r="D364" s="64"/>
      <c r="E364" s="64"/>
      <c r="F364" s="64"/>
      <c r="G364" s="65"/>
      <c r="H364" s="65"/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  <c r="AA364" s="65"/>
      <c r="AB364" s="65"/>
      <c r="AC364" s="65"/>
      <c r="AD364" s="65"/>
    </row>
    <row r="365">
      <c r="A365" s="65"/>
      <c r="B365" s="64"/>
      <c r="C365" s="64"/>
      <c r="D365" s="64"/>
      <c r="E365" s="64"/>
      <c r="F365" s="64"/>
      <c r="G365" s="65"/>
      <c r="H365" s="65"/>
      <c r="I365" s="65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  <c r="AA365" s="65"/>
      <c r="AB365" s="65"/>
      <c r="AC365" s="65"/>
      <c r="AD365" s="65"/>
    </row>
    <row r="366">
      <c r="A366" s="65"/>
      <c r="B366" s="64"/>
      <c r="C366" s="64"/>
      <c r="D366" s="64"/>
      <c r="E366" s="64"/>
      <c r="F366" s="64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  <c r="AA366" s="65"/>
      <c r="AB366" s="65"/>
      <c r="AC366" s="65"/>
      <c r="AD366" s="65"/>
    </row>
    <row r="367">
      <c r="A367" s="65"/>
      <c r="B367" s="64"/>
      <c r="C367" s="64"/>
      <c r="D367" s="64"/>
      <c r="E367" s="64"/>
      <c r="F367" s="64"/>
      <c r="G367" s="65"/>
      <c r="H367" s="65"/>
      <c r="I367" s="65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  <c r="AA367" s="65"/>
      <c r="AB367" s="65"/>
      <c r="AC367" s="65"/>
      <c r="AD367" s="65"/>
    </row>
    <row r="368">
      <c r="A368" s="65"/>
      <c r="B368" s="64"/>
      <c r="C368" s="64"/>
      <c r="D368" s="64"/>
      <c r="E368" s="64"/>
      <c r="F368" s="64"/>
      <c r="G368" s="65"/>
      <c r="H368" s="65"/>
      <c r="I368" s="65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  <c r="AA368" s="65"/>
      <c r="AB368" s="65"/>
      <c r="AC368" s="65"/>
      <c r="AD368" s="65"/>
    </row>
    <row r="369">
      <c r="A369" s="65"/>
      <c r="B369" s="64"/>
      <c r="C369" s="64"/>
      <c r="D369" s="64"/>
      <c r="E369" s="64"/>
      <c r="F369" s="64"/>
      <c r="G369" s="65"/>
      <c r="H369" s="65"/>
      <c r="I369" s="65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  <c r="AA369" s="65"/>
      <c r="AB369" s="65"/>
      <c r="AC369" s="65"/>
      <c r="AD369" s="65"/>
    </row>
    <row r="370">
      <c r="A370" s="65"/>
      <c r="B370" s="64"/>
      <c r="C370" s="64"/>
      <c r="D370" s="64"/>
      <c r="E370" s="64"/>
      <c r="F370" s="64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  <c r="AA370" s="65"/>
      <c r="AB370" s="65"/>
      <c r="AC370" s="65"/>
      <c r="AD370" s="65"/>
    </row>
    <row r="371">
      <c r="A371" s="65"/>
      <c r="B371" s="64"/>
      <c r="C371" s="64"/>
      <c r="D371" s="64"/>
      <c r="E371" s="64"/>
      <c r="F371" s="64"/>
      <c r="G371" s="65"/>
      <c r="H371" s="65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  <c r="AA371" s="65"/>
      <c r="AB371" s="65"/>
      <c r="AC371" s="65"/>
      <c r="AD371" s="65"/>
    </row>
    <row r="372">
      <c r="A372" s="65"/>
      <c r="B372" s="64"/>
      <c r="C372" s="64"/>
      <c r="D372" s="64"/>
      <c r="E372" s="64"/>
      <c r="F372" s="64"/>
      <c r="G372" s="65"/>
      <c r="H372" s="65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  <c r="AA372" s="65"/>
      <c r="AB372" s="65"/>
      <c r="AC372" s="65"/>
      <c r="AD372" s="65"/>
    </row>
    <row r="373">
      <c r="A373" s="65"/>
      <c r="B373" s="64"/>
      <c r="C373" s="64"/>
      <c r="D373" s="64"/>
      <c r="E373" s="64"/>
      <c r="F373" s="64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  <c r="AA373" s="65"/>
      <c r="AB373" s="65"/>
      <c r="AC373" s="65"/>
      <c r="AD373" s="65"/>
    </row>
    <row r="374">
      <c r="A374" s="65"/>
      <c r="B374" s="64"/>
      <c r="C374" s="64"/>
      <c r="D374" s="64"/>
      <c r="E374" s="64"/>
      <c r="F374" s="64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  <c r="AA374" s="65"/>
      <c r="AB374" s="65"/>
      <c r="AC374" s="65"/>
      <c r="AD374" s="65"/>
    </row>
    <row r="375">
      <c r="A375" s="65"/>
      <c r="B375" s="64"/>
      <c r="C375" s="64"/>
      <c r="D375" s="64"/>
      <c r="E375" s="64"/>
      <c r="F375" s="64"/>
      <c r="G375" s="65"/>
      <c r="H375" s="65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  <c r="AA375" s="65"/>
      <c r="AB375" s="65"/>
      <c r="AC375" s="65"/>
      <c r="AD375" s="65"/>
    </row>
    <row r="376">
      <c r="A376" s="65"/>
      <c r="B376" s="64"/>
      <c r="C376" s="64"/>
      <c r="D376" s="64"/>
      <c r="E376" s="64"/>
      <c r="F376" s="64"/>
      <c r="G376" s="65"/>
      <c r="H376" s="65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  <c r="AA376" s="65"/>
      <c r="AB376" s="65"/>
      <c r="AC376" s="65"/>
      <c r="AD376" s="65"/>
    </row>
    <row r="377">
      <c r="A377" s="65"/>
      <c r="B377" s="64"/>
      <c r="C377" s="64"/>
      <c r="D377" s="64"/>
      <c r="E377" s="64"/>
      <c r="F377" s="64"/>
      <c r="G377" s="65"/>
      <c r="H377" s="65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  <c r="AA377" s="65"/>
      <c r="AB377" s="65"/>
      <c r="AC377" s="65"/>
      <c r="AD377" s="65"/>
    </row>
    <row r="378">
      <c r="A378" s="65"/>
      <c r="B378" s="64"/>
      <c r="C378" s="64"/>
      <c r="D378" s="64"/>
      <c r="E378" s="64"/>
      <c r="F378" s="64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  <c r="AA378" s="65"/>
      <c r="AB378" s="65"/>
      <c r="AC378" s="65"/>
      <c r="AD378" s="65"/>
    </row>
    <row r="379">
      <c r="A379" s="65"/>
      <c r="B379" s="64"/>
      <c r="C379" s="64"/>
      <c r="D379" s="64"/>
      <c r="E379" s="64"/>
      <c r="F379" s="64"/>
      <c r="G379" s="65"/>
      <c r="H379" s="65"/>
      <c r="I379" s="65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  <c r="AA379" s="65"/>
      <c r="AB379" s="65"/>
      <c r="AC379" s="65"/>
      <c r="AD379" s="65"/>
    </row>
    <row r="380">
      <c r="A380" s="65"/>
      <c r="B380" s="64"/>
      <c r="C380" s="64"/>
      <c r="D380" s="64"/>
      <c r="E380" s="64"/>
      <c r="F380" s="64"/>
      <c r="G380" s="65"/>
      <c r="H380" s="65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  <c r="AA380" s="65"/>
      <c r="AB380" s="65"/>
      <c r="AC380" s="65"/>
      <c r="AD380" s="65"/>
    </row>
    <row r="381">
      <c r="A381" s="65"/>
      <c r="B381" s="64"/>
      <c r="C381" s="64"/>
      <c r="D381" s="64"/>
      <c r="E381" s="64"/>
      <c r="F381" s="64"/>
      <c r="G381" s="65"/>
      <c r="H381" s="65"/>
      <c r="I381" s="65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  <c r="AA381" s="65"/>
      <c r="AB381" s="65"/>
      <c r="AC381" s="65"/>
      <c r="AD381" s="65"/>
    </row>
    <row r="382">
      <c r="A382" s="65"/>
      <c r="B382" s="64"/>
      <c r="C382" s="64"/>
      <c r="D382" s="64"/>
      <c r="E382" s="64"/>
      <c r="F382" s="64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  <c r="AA382" s="65"/>
      <c r="AB382" s="65"/>
      <c r="AC382" s="65"/>
      <c r="AD382" s="65"/>
    </row>
    <row r="383">
      <c r="A383" s="65"/>
      <c r="B383" s="64"/>
      <c r="C383" s="64"/>
      <c r="D383" s="64"/>
      <c r="E383" s="64"/>
      <c r="F383" s="64"/>
      <c r="G383" s="65"/>
      <c r="H383" s="65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  <c r="AA383" s="65"/>
      <c r="AB383" s="65"/>
      <c r="AC383" s="65"/>
      <c r="AD383" s="65"/>
    </row>
    <row r="384">
      <c r="A384" s="65"/>
      <c r="B384" s="64"/>
      <c r="C384" s="64"/>
      <c r="D384" s="64"/>
      <c r="E384" s="64"/>
      <c r="F384" s="64"/>
      <c r="G384" s="65"/>
      <c r="H384" s="65"/>
      <c r="I384" s="65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  <c r="AA384" s="65"/>
      <c r="AB384" s="65"/>
      <c r="AC384" s="65"/>
      <c r="AD384" s="65"/>
    </row>
    <row r="385">
      <c r="A385" s="65"/>
      <c r="B385" s="64"/>
      <c r="C385" s="64"/>
      <c r="D385" s="64"/>
      <c r="E385" s="64"/>
      <c r="F385" s="64"/>
      <c r="G385" s="65"/>
      <c r="H385" s="65"/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  <c r="AA385" s="65"/>
      <c r="AB385" s="65"/>
      <c r="AC385" s="65"/>
      <c r="AD385" s="65"/>
    </row>
    <row r="386">
      <c r="A386" s="65"/>
      <c r="B386" s="64"/>
      <c r="C386" s="64"/>
      <c r="D386" s="64"/>
      <c r="E386" s="64"/>
      <c r="F386" s="64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  <c r="AA386" s="65"/>
      <c r="AB386" s="65"/>
      <c r="AC386" s="65"/>
      <c r="AD386" s="65"/>
    </row>
    <row r="387">
      <c r="A387" s="65"/>
      <c r="B387" s="64"/>
      <c r="C387" s="64"/>
      <c r="D387" s="64"/>
      <c r="E387" s="64"/>
      <c r="F387" s="64"/>
      <c r="G387" s="65"/>
      <c r="H387" s="65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  <c r="AA387" s="65"/>
      <c r="AB387" s="65"/>
      <c r="AC387" s="65"/>
      <c r="AD387" s="65"/>
    </row>
    <row r="388">
      <c r="A388" s="65"/>
      <c r="B388" s="64"/>
      <c r="C388" s="64"/>
      <c r="D388" s="64"/>
      <c r="E388" s="64"/>
      <c r="F388" s="64"/>
      <c r="G388" s="65"/>
      <c r="H388" s="65"/>
      <c r="I388" s="65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  <c r="AA388" s="65"/>
      <c r="AB388" s="65"/>
      <c r="AC388" s="65"/>
      <c r="AD388" s="65"/>
    </row>
    <row r="389">
      <c r="A389" s="65"/>
      <c r="B389" s="64"/>
      <c r="C389" s="64"/>
      <c r="D389" s="64"/>
      <c r="E389" s="64"/>
      <c r="F389" s="64"/>
      <c r="G389" s="65"/>
      <c r="H389" s="65"/>
      <c r="I389" s="65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  <c r="AA389" s="65"/>
      <c r="AB389" s="65"/>
      <c r="AC389" s="65"/>
      <c r="AD389" s="65"/>
    </row>
    <row r="390">
      <c r="A390" s="65"/>
      <c r="B390" s="64"/>
      <c r="C390" s="64"/>
      <c r="D390" s="64"/>
      <c r="E390" s="64"/>
      <c r="F390" s="64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  <c r="AA390" s="65"/>
      <c r="AB390" s="65"/>
      <c r="AC390" s="65"/>
      <c r="AD390" s="65"/>
    </row>
    <row r="391">
      <c r="A391" s="65"/>
      <c r="B391" s="64"/>
      <c r="C391" s="64"/>
      <c r="D391" s="64"/>
      <c r="E391" s="64"/>
      <c r="F391" s="64"/>
      <c r="G391" s="65"/>
      <c r="H391" s="65"/>
      <c r="I391" s="65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  <c r="AA391" s="65"/>
      <c r="AB391" s="65"/>
      <c r="AC391" s="65"/>
      <c r="AD391" s="65"/>
    </row>
    <row r="392">
      <c r="A392" s="65"/>
      <c r="B392" s="64"/>
      <c r="C392" s="64"/>
      <c r="D392" s="64"/>
      <c r="E392" s="64"/>
      <c r="F392" s="64"/>
      <c r="G392" s="65"/>
      <c r="H392" s="65"/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  <c r="AA392" s="65"/>
      <c r="AB392" s="65"/>
      <c r="AC392" s="65"/>
      <c r="AD392" s="65"/>
    </row>
    <row r="393">
      <c r="A393" s="65"/>
      <c r="B393" s="64"/>
      <c r="C393" s="64"/>
      <c r="D393" s="64"/>
      <c r="E393" s="64"/>
      <c r="F393" s="64"/>
      <c r="G393" s="65"/>
      <c r="H393" s="65"/>
      <c r="I393" s="65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  <c r="AA393" s="65"/>
      <c r="AB393" s="65"/>
      <c r="AC393" s="65"/>
      <c r="AD393" s="65"/>
    </row>
    <row r="394">
      <c r="A394" s="65"/>
      <c r="B394" s="64"/>
      <c r="C394" s="64"/>
      <c r="D394" s="64"/>
      <c r="E394" s="64"/>
      <c r="F394" s="64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  <c r="AA394" s="65"/>
      <c r="AB394" s="65"/>
      <c r="AC394" s="65"/>
      <c r="AD394" s="65"/>
    </row>
    <row r="395">
      <c r="A395" s="65"/>
      <c r="B395" s="64"/>
      <c r="C395" s="64"/>
      <c r="D395" s="64"/>
      <c r="E395" s="64"/>
      <c r="F395" s="64"/>
      <c r="G395" s="65"/>
      <c r="H395" s="65"/>
      <c r="I395" s="65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  <c r="AA395" s="65"/>
      <c r="AB395" s="65"/>
      <c r="AC395" s="65"/>
      <c r="AD395" s="65"/>
    </row>
    <row r="396">
      <c r="A396" s="65"/>
      <c r="B396" s="64"/>
      <c r="C396" s="64"/>
      <c r="D396" s="64"/>
      <c r="E396" s="64"/>
      <c r="F396" s="64"/>
      <c r="G396" s="65"/>
      <c r="H396" s="65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  <c r="AA396" s="65"/>
      <c r="AB396" s="65"/>
      <c r="AC396" s="65"/>
      <c r="AD396" s="65"/>
    </row>
    <row r="397">
      <c r="A397" s="65"/>
      <c r="B397" s="64"/>
      <c r="C397" s="64"/>
      <c r="D397" s="64"/>
      <c r="E397" s="64"/>
      <c r="F397" s="64"/>
      <c r="G397" s="65"/>
      <c r="H397" s="65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  <c r="AA397" s="65"/>
      <c r="AB397" s="65"/>
      <c r="AC397" s="65"/>
      <c r="AD397" s="65"/>
    </row>
    <row r="398">
      <c r="A398" s="65"/>
      <c r="B398" s="64"/>
      <c r="C398" s="64"/>
      <c r="D398" s="64"/>
      <c r="E398" s="64"/>
      <c r="F398" s="64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  <c r="AA398" s="65"/>
      <c r="AB398" s="65"/>
      <c r="AC398" s="65"/>
      <c r="AD398" s="65"/>
    </row>
    <row r="399">
      <c r="A399" s="65"/>
      <c r="B399" s="64"/>
      <c r="C399" s="64"/>
      <c r="D399" s="64"/>
      <c r="E399" s="64"/>
      <c r="F399" s="64"/>
      <c r="G399" s="65"/>
      <c r="H399" s="65"/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  <c r="AA399" s="65"/>
      <c r="AB399" s="65"/>
      <c r="AC399" s="65"/>
      <c r="AD399" s="65"/>
    </row>
    <row r="400">
      <c r="A400" s="65"/>
      <c r="B400" s="64"/>
      <c r="C400" s="64"/>
      <c r="D400" s="64"/>
      <c r="E400" s="64"/>
      <c r="F400" s="64"/>
      <c r="G400" s="65"/>
      <c r="H400" s="65"/>
      <c r="I400" s="65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  <c r="AA400" s="65"/>
      <c r="AB400" s="65"/>
      <c r="AC400" s="65"/>
      <c r="AD400" s="65"/>
    </row>
    <row r="401">
      <c r="A401" s="65"/>
      <c r="B401" s="64"/>
      <c r="C401" s="64"/>
      <c r="D401" s="64"/>
      <c r="E401" s="64"/>
      <c r="F401" s="64"/>
      <c r="G401" s="65"/>
      <c r="H401" s="65"/>
      <c r="I401" s="65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  <c r="AA401" s="65"/>
      <c r="AB401" s="65"/>
      <c r="AC401" s="65"/>
      <c r="AD401" s="65"/>
    </row>
    <row r="402">
      <c r="A402" s="65"/>
      <c r="B402" s="64"/>
      <c r="C402" s="64"/>
      <c r="D402" s="64"/>
      <c r="E402" s="64"/>
      <c r="F402" s="64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  <c r="AA402" s="65"/>
      <c r="AB402" s="65"/>
      <c r="AC402" s="65"/>
      <c r="AD402" s="65"/>
    </row>
    <row r="403">
      <c r="A403" s="65"/>
      <c r="B403" s="64"/>
      <c r="C403" s="64"/>
      <c r="D403" s="64"/>
      <c r="E403" s="64"/>
      <c r="F403" s="64"/>
      <c r="G403" s="65"/>
      <c r="H403" s="65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  <c r="AA403" s="65"/>
      <c r="AB403" s="65"/>
      <c r="AC403" s="65"/>
      <c r="AD403" s="65"/>
    </row>
    <row r="404">
      <c r="A404" s="65"/>
      <c r="B404" s="64"/>
      <c r="C404" s="64"/>
      <c r="D404" s="64"/>
      <c r="E404" s="64"/>
      <c r="F404" s="64"/>
      <c r="G404" s="65"/>
      <c r="H404" s="65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  <c r="AA404" s="65"/>
      <c r="AB404" s="65"/>
      <c r="AC404" s="65"/>
      <c r="AD404" s="65"/>
    </row>
    <row r="405">
      <c r="A405" s="65"/>
      <c r="B405" s="64"/>
      <c r="C405" s="64"/>
      <c r="D405" s="64"/>
      <c r="E405" s="64"/>
      <c r="F405" s="64"/>
      <c r="G405" s="65"/>
      <c r="H405" s="65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  <c r="AA405" s="65"/>
      <c r="AB405" s="65"/>
      <c r="AC405" s="65"/>
      <c r="AD405" s="65"/>
    </row>
    <row r="406">
      <c r="A406" s="65"/>
      <c r="B406" s="64"/>
      <c r="C406" s="64"/>
      <c r="D406" s="64"/>
      <c r="E406" s="64"/>
      <c r="F406" s="64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  <c r="AA406" s="65"/>
      <c r="AB406" s="65"/>
      <c r="AC406" s="65"/>
      <c r="AD406" s="65"/>
    </row>
    <row r="407">
      <c r="A407" s="65"/>
      <c r="B407" s="64"/>
      <c r="C407" s="64"/>
      <c r="D407" s="64"/>
      <c r="E407" s="64"/>
      <c r="F407" s="64"/>
      <c r="G407" s="65"/>
      <c r="H407" s="65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  <c r="AA407" s="65"/>
      <c r="AB407" s="65"/>
      <c r="AC407" s="65"/>
      <c r="AD407" s="65"/>
    </row>
    <row r="408">
      <c r="A408" s="65"/>
      <c r="B408" s="64"/>
      <c r="C408" s="64"/>
      <c r="D408" s="64"/>
      <c r="E408" s="64"/>
      <c r="F408" s="64"/>
      <c r="G408" s="65"/>
      <c r="H408" s="65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  <c r="AA408" s="65"/>
      <c r="AB408" s="65"/>
      <c r="AC408" s="65"/>
      <c r="AD408" s="65"/>
    </row>
    <row r="409">
      <c r="A409" s="65"/>
      <c r="B409" s="64"/>
      <c r="C409" s="64"/>
      <c r="D409" s="64"/>
      <c r="E409" s="64"/>
      <c r="F409" s="64"/>
      <c r="G409" s="65"/>
      <c r="H409" s="65"/>
      <c r="I409" s="65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  <c r="AA409" s="65"/>
      <c r="AB409" s="65"/>
      <c r="AC409" s="65"/>
      <c r="AD409" s="65"/>
    </row>
    <row r="410">
      <c r="A410" s="65"/>
      <c r="B410" s="64"/>
      <c r="C410" s="64"/>
      <c r="D410" s="64"/>
      <c r="E410" s="64"/>
      <c r="F410" s="64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  <c r="AA410" s="65"/>
      <c r="AB410" s="65"/>
      <c r="AC410" s="65"/>
      <c r="AD410" s="65"/>
    </row>
    <row r="411">
      <c r="A411" s="65"/>
      <c r="B411" s="64"/>
      <c r="C411" s="64"/>
      <c r="D411" s="64"/>
      <c r="E411" s="64"/>
      <c r="F411" s="64"/>
      <c r="G411" s="65"/>
      <c r="H411" s="65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  <c r="AA411" s="65"/>
      <c r="AB411" s="65"/>
      <c r="AC411" s="65"/>
      <c r="AD411" s="65"/>
    </row>
    <row r="412">
      <c r="A412" s="65"/>
      <c r="B412" s="64"/>
      <c r="C412" s="64"/>
      <c r="D412" s="64"/>
      <c r="E412" s="64"/>
      <c r="F412" s="64"/>
      <c r="G412" s="65"/>
      <c r="H412" s="65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  <c r="AA412" s="65"/>
      <c r="AB412" s="65"/>
      <c r="AC412" s="65"/>
      <c r="AD412" s="65"/>
    </row>
    <row r="413">
      <c r="A413" s="65"/>
      <c r="B413" s="64"/>
      <c r="C413" s="64"/>
      <c r="D413" s="64"/>
      <c r="E413" s="64"/>
      <c r="F413" s="64"/>
      <c r="G413" s="65"/>
      <c r="H413" s="65"/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  <c r="AA413" s="65"/>
      <c r="AB413" s="65"/>
      <c r="AC413" s="65"/>
      <c r="AD413" s="65"/>
    </row>
    <row r="414">
      <c r="A414" s="65"/>
      <c r="B414" s="64"/>
      <c r="C414" s="64"/>
      <c r="D414" s="64"/>
      <c r="E414" s="64"/>
      <c r="F414" s="64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  <c r="AA414" s="65"/>
      <c r="AB414" s="65"/>
      <c r="AC414" s="65"/>
      <c r="AD414" s="65"/>
    </row>
    <row r="415">
      <c r="A415" s="65"/>
      <c r="B415" s="64"/>
      <c r="C415" s="64"/>
      <c r="D415" s="64"/>
      <c r="E415" s="64"/>
      <c r="F415" s="64"/>
      <c r="G415" s="65"/>
      <c r="H415" s="65"/>
      <c r="I415" s="65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  <c r="AA415" s="65"/>
      <c r="AB415" s="65"/>
      <c r="AC415" s="65"/>
      <c r="AD415" s="65"/>
    </row>
    <row r="416">
      <c r="A416" s="65"/>
      <c r="B416" s="64"/>
      <c r="C416" s="64"/>
      <c r="D416" s="64"/>
      <c r="E416" s="64"/>
      <c r="F416" s="64"/>
      <c r="G416" s="65"/>
      <c r="H416" s="65"/>
      <c r="I416" s="65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  <c r="AA416" s="65"/>
      <c r="AB416" s="65"/>
      <c r="AC416" s="65"/>
      <c r="AD416" s="65"/>
    </row>
    <row r="417">
      <c r="A417" s="65"/>
      <c r="B417" s="64"/>
      <c r="C417" s="64"/>
      <c r="D417" s="64"/>
      <c r="E417" s="64"/>
      <c r="F417" s="64"/>
      <c r="G417" s="65"/>
      <c r="H417" s="65"/>
      <c r="I417" s="65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  <c r="AA417" s="65"/>
      <c r="AB417" s="65"/>
      <c r="AC417" s="65"/>
      <c r="AD417" s="65"/>
    </row>
    <row r="418">
      <c r="A418" s="65"/>
      <c r="B418" s="64"/>
      <c r="C418" s="64"/>
      <c r="D418" s="64"/>
      <c r="E418" s="64"/>
      <c r="F418" s="64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  <c r="AA418" s="65"/>
      <c r="AB418" s="65"/>
      <c r="AC418" s="65"/>
      <c r="AD418" s="65"/>
    </row>
    <row r="419">
      <c r="A419" s="65"/>
      <c r="B419" s="64"/>
      <c r="C419" s="64"/>
      <c r="D419" s="64"/>
      <c r="E419" s="64"/>
      <c r="F419" s="64"/>
      <c r="G419" s="65"/>
      <c r="H419" s="65"/>
      <c r="I419" s="65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  <c r="AA419" s="65"/>
      <c r="AB419" s="65"/>
      <c r="AC419" s="65"/>
      <c r="AD419" s="65"/>
    </row>
    <row r="420">
      <c r="A420" s="65"/>
      <c r="B420" s="64"/>
      <c r="C420" s="64"/>
      <c r="D420" s="64"/>
      <c r="E420" s="64"/>
      <c r="F420" s="64"/>
      <c r="G420" s="65"/>
      <c r="H420" s="65"/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  <c r="AA420" s="65"/>
      <c r="AB420" s="65"/>
      <c r="AC420" s="65"/>
      <c r="AD420" s="65"/>
    </row>
    <row r="421">
      <c r="A421" s="65"/>
      <c r="B421" s="64"/>
      <c r="C421" s="64"/>
      <c r="D421" s="64"/>
      <c r="E421" s="64"/>
      <c r="F421" s="64"/>
      <c r="G421" s="65"/>
      <c r="H421" s="65"/>
      <c r="I421" s="65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  <c r="AA421" s="65"/>
      <c r="AB421" s="65"/>
      <c r="AC421" s="65"/>
      <c r="AD421" s="65"/>
    </row>
    <row r="422">
      <c r="A422" s="65"/>
      <c r="B422" s="64"/>
      <c r="C422" s="64"/>
      <c r="D422" s="64"/>
      <c r="E422" s="64"/>
      <c r="F422" s="64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  <c r="AA422" s="65"/>
      <c r="AB422" s="65"/>
      <c r="AC422" s="65"/>
      <c r="AD422" s="65"/>
    </row>
    <row r="423">
      <c r="A423" s="65"/>
      <c r="B423" s="64"/>
      <c r="C423" s="64"/>
      <c r="D423" s="64"/>
      <c r="E423" s="64"/>
      <c r="F423" s="64"/>
      <c r="G423" s="65"/>
      <c r="H423" s="65"/>
      <c r="I423" s="65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  <c r="AA423" s="65"/>
      <c r="AB423" s="65"/>
      <c r="AC423" s="65"/>
      <c r="AD423" s="65"/>
    </row>
    <row r="424">
      <c r="A424" s="65"/>
      <c r="B424" s="64"/>
      <c r="C424" s="64"/>
      <c r="D424" s="64"/>
      <c r="E424" s="64"/>
      <c r="F424" s="64"/>
      <c r="G424" s="65"/>
      <c r="H424" s="65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  <c r="AA424" s="65"/>
      <c r="AB424" s="65"/>
      <c r="AC424" s="65"/>
      <c r="AD424" s="65"/>
    </row>
    <row r="425">
      <c r="A425" s="65"/>
      <c r="B425" s="64"/>
      <c r="C425" s="64"/>
      <c r="D425" s="64"/>
      <c r="E425" s="64"/>
      <c r="F425" s="64"/>
      <c r="G425" s="65"/>
      <c r="H425" s="65"/>
      <c r="I425" s="65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  <c r="AA425" s="65"/>
      <c r="AB425" s="65"/>
      <c r="AC425" s="65"/>
      <c r="AD425" s="65"/>
    </row>
    <row r="426">
      <c r="A426" s="65"/>
      <c r="B426" s="64"/>
      <c r="C426" s="64"/>
      <c r="D426" s="64"/>
      <c r="E426" s="64"/>
      <c r="F426" s="64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  <c r="AA426" s="65"/>
      <c r="AB426" s="65"/>
      <c r="AC426" s="65"/>
      <c r="AD426" s="65"/>
    </row>
    <row r="427">
      <c r="A427" s="65"/>
      <c r="B427" s="64"/>
      <c r="C427" s="64"/>
      <c r="D427" s="64"/>
      <c r="E427" s="64"/>
      <c r="F427" s="64"/>
      <c r="G427" s="65"/>
      <c r="H427" s="65"/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  <c r="AA427" s="65"/>
      <c r="AB427" s="65"/>
      <c r="AC427" s="65"/>
      <c r="AD427" s="65"/>
    </row>
    <row r="428">
      <c r="A428" s="65"/>
      <c r="B428" s="64"/>
      <c r="C428" s="64"/>
      <c r="D428" s="64"/>
      <c r="E428" s="64"/>
      <c r="F428" s="64"/>
      <c r="G428" s="65"/>
      <c r="H428" s="65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  <c r="AA428" s="65"/>
      <c r="AB428" s="65"/>
      <c r="AC428" s="65"/>
      <c r="AD428" s="65"/>
    </row>
    <row r="429">
      <c r="A429" s="65"/>
      <c r="B429" s="64"/>
      <c r="C429" s="64"/>
      <c r="D429" s="64"/>
      <c r="E429" s="64"/>
      <c r="F429" s="64"/>
      <c r="G429" s="65"/>
      <c r="H429" s="65"/>
      <c r="I429" s="65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  <c r="AA429" s="65"/>
      <c r="AB429" s="65"/>
      <c r="AC429" s="65"/>
      <c r="AD429" s="65"/>
    </row>
    <row r="430">
      <c r="A430" s="65"/>
      <c r="B430" s="64"/>
      <c r="C430" s="64"/>
      <c r="D430" s="64"/>
      <c r="E430" s="64"/>
      <c r="F430" s="64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  <c r="AA430" s="65"/>
      <c r="AB430" s="65"/>
      <c r="AC430" s="65"/>
      <c r="AD430" s="65"/>
    </row>
    <row r="431">
      <c r="A431" s="65"/>
      <c r="B431" s="64"/>
      <c r="C431" s="64"/>
      <c r="D431" s="64"/>
      <c r="E431" s="64"/>
      <c r="F431" s="64"/>
      <c r="G431" s="65"/>
      <c r="H431" s="65"/>
      <c r="I431" s="65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  <c r="AA431" s="65"/>
      <c r="AB431" s="65"/>
      <c r="AC431" s="65"/>
      <c r="AD431" s="65"/>
    </row>
    <row r="432">
      <c r="A432" s="65"/>
      <c r="B432" s="64"/>
      <c r="C432" s="64"/>
      <c r="D432" s="64"/>
      <c r="E432" s="64"/>
      <c r="F432" s="64"/>
      <c r="G432" s="65"/>
      <c r="H432" s="65"/>
      <c r="I432" s="65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  <c r="AA432" s="65"/>
      <c r="AB432" s="65"/>
      <c r="AC432" s="65"/>
      <c r="AD432" s="65"/>
    </row>
    <row r="433">
      <c r="A433" s="65"/>
      <c r="B433" s="64"/>
      <c r="C433" s="64"/>
      <c r="D433" s="64"/>
      <c r="E433" s="64"/>
      <c r="F433" s="64"/>
      <c r="G433" s="65"/>
      <c r="H433" s="65"/>
      <c r="I433" s="65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  <c r="AA433" s="65"/>
      <c r="AB433" s="65"/>
      <c r="AC433" s="65"/>
      <c r="AD433" s="65"/>
    </row>
    <row r="434">
      <c r="A434" s="65"/>
      <c r="B434" s="64"/>
      <c r="C434" s="64"/>
      <c r="D434" s="64"/>
      <c r="E434" s="64"/>
      <c r="F434" s="64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  <c r="AA434" s="65"/>
      <c r="AB434" s="65"/>
      <c r="AC434" s="65"/>
      <c r="AD434" s="65"/>
    </row>
    <row r="435">
      <c r="A435" s="65"/>
      <c r="B435" s="64"/>
      <c r="C435" s="64"/>
      <c r="D435" s="64"/>
      <c r="E435" s="64"/>
      <c r="F435" s="64"/>
      <c r="G435" s="65"/>
      <c r="H435" s="65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  <c r="AA435" s="65"/>
      <c r="AB435" s="65"/>
      <c r="AC435" s="65"/>
      <c r="AD435" s="65"/>
    </row>
    <row r="436">
      <c r="A436" s="65"/>
      <c r="B436" s="64"/>
      <c r="C436" s="64"/>
      <c r="D436" s="64"/>
      <c r="E436" s="64"/>
      <c r="F436" s="64"/>
      <c r="G436" s="65"/>
      <c r="H436" s="65"/>
      <c r="I436" s="65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  <c r="AA436" s="65"/>
      <c r="AB436" s="65"/>
      <c r="AC436" s="65"/>
      <c r="AD436" s="65"/>
    </row>
    <row r="437">
      <c r="A437" s="65"/>
      <c r="B437" s="64"/>
      <c r="C437" s="64"/>
      <c r="D437" s="64"/>
      <c r="E437" s="64"/>
      <c r="F437" s="64"/>
      <c r="G437" s="65"/>
      <c r="H437" s="65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  <c r="AA437" s="65"/>
      <c r="AB437" s="65"/>
      <c r="AC437" s="65"/>
      <c r="AD437" s="65"/>
    </row>
    <row r="438">
      <c r="A438" s="65"/>
      <c r="B438" s="64"/>
      <c r="C438" s="64"/>
      <c r="D438" s="64"/>
      <c r="E438" s="64"/>
      <c r="F438" s="64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  <c r="AA438" s="65"/>
      <c r="AB438" s="65"/>
      <c r="AC438" s="65"/>
      <c r="AD438" s="65"/>
    </row>
    <row r="439">
      <c r="A439" s="65"/>
      <c r="B439" s="64"/>
      <c r="C439" s="64"/>
      <c r="D439" s="64"/>
      <c r="E439" s="64"/>
      <c r="F439" s="64"/>
      <c r="G439" s="65"/>
      <c r="H439" s="65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  <c r="AA439" s="65"/>
      <c r="AB439" s="65"/>
      <c r="AC439" s="65"/>
      <c r="AD439" s="65"/>
    </row>
    <row r="440">
      <c r="A440" s="65"/>
      <c r="B440" s="64"/>
      <c r="C440" s="64"/>
      <c r="D440" s="64"/>
      <c r="E440" s="64"/>
      <c r="F440" s="64"/>
      <c r="G440" s="65"/>
      <c r="H440" s="65"/>
      <c r="I440" s="65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  <c r="AA440" s="65"/>
      <c r="AB440" s="65"/>
      <c r="AC440" s="65"/>
      <c r="AD440" s="65"/>
    </row>
    <row r="441">
      <c r="A441" s="65"/>
      <c r="B441" s="64"/>
      <c r="C441" s="64"/>
      <c r="D441" s="64"/>
      <c r="E441" s="64"/>
      <c r="F441" s="64"/>
      <c r="G441" s="65"/>
      <c r="H441" s="65"/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  <c r="AA441" s="65"/>
      <c r="AB441" s="65"/>
      <c r="AC441" s="65"/>
      <c r="AD441" s="65"/>
    </row>
    <row r="442">
      <c r="A442" s="65"/>
      <c r="B442" s="64"/>
      <c r="C442" s="64"/>
      <c r="D442" s="64"/>
      <c r="E442" s="64"/>
      <c r="F442" s="64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  <c r="AA442" s="65"/>
      <c r="AB442" s="65"/>
      <c r="AC442" s="65"/>
      <c r="AD442" s="65"/>
    </row>
    <row r="443">
      <c r="A443" s="65"/>
      <c r="B443" s="64"/>
      <c r="C443" s="64"/>
      <c r="D443" s="64"/>
      <c r="E443" s="64"/>
      <c r="F443" s="64"/>
      <c r="G443" s="65"/>
      <c r="H443" s="65"/>
      <c r="I443" s="65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  <c r="AA443" s="65"/>
      <c r="AB443" s="65"/>
      <c r="AC443" s="65"/>
      <c r="AD443" s="65"/>
    </row>
    <row r="444">
      <c r="A444" s="65"/>
      <c r="B444" s="64"/>
      <c r="C444" s="64"/>
      <c r="D444" s="64"/>
      <c r="E444" s="64"/>
      <c r="F444" s="64"/>
      <c r="G444" s="65"/>
      <c r="H444" s="65"/>
      <c r="I444" s="65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  <c r="AA444" s="65"/>
      <c r="AB444" s="65"/>
      <c r="AC444" s="65"/>
      <c r="AD444" s="65"/>
    </row>
    <row r="445">
      <c r="A445" s="65"/>
      <c r="B445" s="64"/>
      <c r="C445" s="64"/>
      <c r="D445" s="64"/>
      <c r="E445" s="64"/>
      <c r="F445" s="64"/>
      <c r="G445" s="65"/>
      <c r="H445" s="65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  <c r="AA445" s="65"/>
      <c r="AB445" s="65"/>
      <c r="AC445" s="65"/>
      <c r="AD445" s="65"/>
    </row>
    <row r="446">
      <c r="A446" s="65"/>
      <c r="B446" s="64"/>
      <c r="C446" s="64"/>
      <c r="D446" s="64"/>
      <c r="E446" s="64"/>
      <c r="F446" s="64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  <c r="AA446" s="65"/>
      <c r="AB446" s="65"/>
      <c r="AC446" s="65"/>
      <c r="AD446" s="65"/>
    </row>
    <row r="447">
      <c r="A447" s="65"/>
      <c r="B447" s="64"/>
      <c r="C447" s="64"/>
      <c r="D447" s="64"/>
      <c r="E447" s="64"/>
      <c r="F447" s="64"/>
      <c r="G447" s="65"/>
      <c r="H447" s="65"/>
      <c r="I447" s="65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  <c r="AA447" s="65"/>
      <c r="AB447" s="65"/>
      <c r="AC447" s="65"/>
      <c r="AD447" s="65"/>
    </row>
    <row r="448">
      <c r="A448" s="65"/>
      <c r="B448" s="64"/>
      <c r="C448" s="64"/>
      <c r="D448" s="64"/>
      <c r="E448" s="64"/>
      <c r="F448" s="64"/>
      <c r="G448" s="65"/>
      <c r="H448" s="65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  <c r="AA448" s="65"/>
      <c r="AB448" s="65"/>
      <c r="AC448" s="65"/>
      <c r="AD448" s="65"/>
    </row>
    <row r="449">
      <c r="A449" s="65"/>
      <c r="B449" s="64"/>
      <c r="C449" s="64"/>
      <c r="D449" s="64"/>
      <c r="E449" s="64"/>
      <c r="F449" s="64"/>
      <c r="G449" s="65"/>
      <c r="H449" s="65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  <c r="AA449" s="65"/>
      <c r="AB449" s="65"/>
      <c r="AC449" s="65"/>
      <c r="AD449" s="65"/>
    </row>
    <row r="450">
      <c r="A450" s="65"/>
      <c r="B450" s="64"/>
      <c r="C450" s="64"/>
      <c r="D450" s="64"/>
      <c r="E450" s="64"/>
      <c r="F450" s="64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  <c r="AA450" s="65"/>
      <c r="AB450" s="65"/>
      <c r="AC450" s="65"/>
      <c r="AD450" s="65"/>
    </row>
    <row r="451">
      <c r="A451" s="65"/>
      <c r="B451" s="64"/>
      <c r="C451" s="64"/>
      <c r="D451" s="64"/>
      <c r="E451" s="64"/>
      <c r="F451" s="64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  <c r="AA451" s="65"/>
      <c r="AB451" s="65"/>
      <c r="AC451" s="65"/>
      <c r="AD451" s="65"/>
    </row>
    <row r="452">
      <c r="A452" s="65"/>
      <c r="B452" s="64"/>
      <c r="C452" s="64"/>
      <c r="D452" s="64"/>
      <c r="E452" s="64"/>
      <c r="F452" s="64"/>
      <c r="G452" s="65"/>
      <c r="H452" s="65"/>
      <c r="I452" s="65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  <c r="AA452" s="65"/>
      <c r="AB452" s="65"/>
      <c r="AC452" s="65"/>
      <c r="AD452" s="65"/>
    </row>
    <row r="453">
      <c r="A453" s="65"/>
      <c r="B453" s="64"/>
      <c r="C453" s="64"/>
      <c r="D453" s="64"/>
      <c r="E453" s="64"/>
      <c r="F453" s="64"/>
      <c r="G453" s="65"/>
      <c r="H453" s="65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  <c r="AA453" s="65"/>
      <c r="AB453" s="65"/>
      <c r="AC453" s="65"/>
      <c r="AD453" s="65"/>
    </row>
    <row r="454">
      <c r="A454" s="65"/>
      <c r="B454" s="64"/>
      <c r="C454" s="64"/>
      <c r="D454" s="64"/>
      <c r="E454" s="64"/>
      <c r="F454" s="64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  <c r="AA454" s="65"/>
      <c r="AB454" s="65"/>
      <c r="AC454" s="65"/>
      <c r="AD454" s="65"/>
    </row>
    <row r="455">
      <c r="A455" s="65"/>
      <c r="B455" s="64"/>
      <c r="C455" s="64"/>
      <c r="D455" s="64"/>
      <c r="E455" s="64"/>
      <c r="F455" s="64"/>
      <c r="G455" s="65"/>
      <c r="H455" s="65"/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  <c r="AA455" s="65"/>
      <c r="AB455" s="65"/>
      <c r="AC455" s="65"/>
      <c r="AD455" s="65"/>
    </row>
    <row r="456">
      <c r="A456" s="65"/>
      <c r="B456" s="64"/>
      <c r="C456" s="64"/>
      <c r="D456" s="64"/>
      <c r="E456" s="64"/>
      <c r="F456" s="64"/>
      <c r="G456" s="65"/>
      <c r="H456" s="65"/>
      <c r="I456" s="65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  <c r="AA456" s="65"/>
      <c r="AB456" s="65"/>
      <c r="AC456" s="65"/>
      <c r="AD456" s="65"/>
    </row>
    <row r="457">
      <c r="A457" s="65"/>
      <c r="B457" s="64"/>
      <c r="C457" s="64"/>
      <c r="D457" s="64"/>
      <c r="E457" s="64"/>
      <c r="F457" s="64"/>
      <c r="G457" s="65"/>
      <c r="H457" s="65"/>
      <c r="I457" s="65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  <c r="AA457" s="65"/>
      <c r="AB457" s="65"/>
      <c r="AC457" s="65"/>
      <c r="AD457" s="65"/>
    </row>
    <row r="458">
      <c r="A458" s="65"/>
      <c r="B458" s="64"/>
      <c r="C458" s="64"/>
      <c r="D458" s="64"/>
      <c r="E458" s="64"/>
      <c r="F458" s="64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  <c r="AA458" s="65"/>
      <c r="AB458" s="65"/>
      <c r="AC458" s="65"/>
      <c r="AD458" s="65"/>
    </row>
    <row r="459">
      <c r="A459" s="65"/>
      <c r="B459" s="64"/>
      <c r="C459" s="64"/>
      <c r="D459" s="64"/>
      <c r="E459" s="64"/>
      <c r="F459" s="64"/>
      <c r="G459" s="65"/>
      <c r="H459" s="65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  <c r="AA459" s="65"/>
      <c r="AB459" s="65"/>
      <c r="AC459" s="65"/>
      <c r="AD459" s="65"/>
    </row>
    <row r="460">
      <c r="A460" s="65"/>
      <c r="B460" s="64"/>
      <c r="C460" s="64"/>
      <c r="D460" s="64"/>
      <c r="E460" s="64"/>
      <c r="F460" s="64"/>
      <c r="G460" s="65"/>
      <c r="H460" s="65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  <c r="AA460" s="65"/>
      <c r="AB460" s="65"/>
      <c r="AC460" s="65"/>
      <c r="AD460" s="65"/>
    </row>
    <row r="461">
      <c r="A461" s="65"/>
      <c r="B461" s="64"/>
      <c r="C461" s="64"/>
      <c r="D461" s="64"/>
      <c r="E461" s="64"/>
      <c r="F461" s="64"/>
      <c r="G461" s="65"/>
      <c r="H461" s="65"/>
      <c r="I461" s="65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  <c r="AA461" s="65"/>
      <c r="AB461" s="65"/>
      <c r="AC461" s="65"/>
      <c r="AD461" s="65"/>
    </row>
    <row r="462">
      <c r="A462" s="65"/>
      <c r="B462" s="64"/>
      <c r="C462" s="64"/>
      <c r="D462" s="64"/>
      <c r="E462" s="64"/>
      <c r="F462" s="64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  <c r="AA462" s="65"/>
      <c r="AB462" s="65"/>
      <c r="AC462" s="65"/>
      <c r="AD462" s="65"/>
    </row>
    <row r="463">
      <c r="A463" s="65"/>
      <c r="B463" s="64"/>
      <c r="C463" s="64"/>
      <c r="D463" s="64"/>
      <c r="E463" s="64"/>
      <c r="F463" s="64"/>
      <c r="G463" s="65"/>
      <c r="H463" s="65"/>
      <c r="I463" s="65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  <c r="AA463" s="65"/>
      <c r="AB463" s="65"/>
      <c r="AC463" s="65"/>
      <c r="AD463" s="65"/>
    </row>
    <row r="464">
      <c r="A464" s="65"/>
      <c r="B464" s="64"/>
      <c r="C464" s="64"/>
      <c r="D464" s="64"/>
      <c r="E464" s="64"/>
      <c r="F464" s="64"/>
      <c r="G464" s="65"/>
      <c r="H464" s="65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  <c r="AA464" s="65"/>
      <c r="AB464" s="65"/>
      <c r="AC464" s="65"/>
      <c r="AD464" s="65"/>
    </row>
    <row r="465">
      <c r="A465" s="65"/>
      <c r="B465" s="64"/>
      <c r="C465" s="64"/>
      <c r="D465" s="64"/>
      <c r="E465" s="64"/>
      <c r="F465" s="64"/>
      <c r="G465" s="65"/>
      <c r="H465" s="65"/>
      <c r="I465" s="65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  <c r="AA465" s="65"/>
      <c r="AB465" s="65"/>
      <c r="AC465" s="65"/>
      <c r="AD465" s="65"/>
    </row>
    <row r="466">
      <c r="A466" s="65"/>
      <c r="B466" s="64"/>
      <c r="C466" s="64"/>
      <c r="D466" s="64"/>
      <c r="E466" s="64"/>
      <c r="F466" s="64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  <c r="AA466" s="65"/>
      <c r="AB466" s="65"/>
      <c r="AC466" s="65"/>
      <c r="AD466" s="65"/>
    </row>
    <row r="467">
      <c r="A467" s="65"/>
      <c r="B467" s="64"/>
      <c r="C467" s="64"/>
      <c r="D467" s="64"/>
      <c r="E467" s="64"/>
      <c r="F467" s="64"/>
      <c r="G467" s="65"/>
      <c r="H467" s="65"/>
      <c r="I467" s="65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  <c r="AA467" s="65"/>
      <c r="AB467" s="65"/>
      <c r="AC467" s="65"/>
      <c r="AD467" s="65"/>
    </row>
    <row r="468">
      <c r="A468" s="65"/>
      <c r="B468" s="64"/>
      <c r="C468" s="64"/>
      <c r="D468" s="64"/>
      <c r="E468" s="64"/>
      <c r="F468" s="64"/>
      <c r="G468" s="65"/>
      <c r="H468" s="65"/>
      <c r="I468" s="65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  <c r="AA468" s="65"/>
      <c r="AB468" s="65"/>
      <c r="AC468" s="65"/>
      <c r="AD468" s="65"/>
    </row>
    <row r="469">
      <c r="A469" s="65"/>
      <c r="B469" s="64"/>
      <c r="C469" s="64"/>
      <c r="D469" s="64"/>
      <c r="E469" s="64"/>
      <c r="F469" s="64"/>
      <c r="G469" s="65"/>
      <c r="H469" s="65"/>
      <c r="I469" s="65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  <c r="AA469" s="65"/>
      <c r="AB469" s="65"/>
      <c r="AC469" s="65"/>
      <c r="AD469" s="65"/>
    </row>
    <row r="470">
      <c r="A470" s="65"/>
      <c r="B470" s="64"/>
      <c r="C470" s="64"/>
      <c r="D470" s="64"/>
      <c r="E470" s="64"/>
      <c r="F470" s="64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  <c r="AA470" s="65"/>
      <c r="AB470" s="65"/>
      <c r="AC470" s="65"/>
      <c r="AD470" s="65"/>
    </row>
    <row r="471">
      <c r="A471" s="65"/>
      <c r="B471" s="64"/>
      <c r="C471" s="64"/>
      <c r="D471" s="64"/>
      <c r="E471" s="64"/>
      <c r="F471" s="64"/>
      <c r="G471" s="65"/>
      <c r="H471" s="65"/>
      <c r="I471" s="65"/>
      <c r="J471" s="65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  <c r="AA471" s="65"/>
      <c r="AB471" s="65"/>
      <c r="AC471" s="65"/>
      <c r="AD471" s="65"/>
    </row>
    <row r="472">
      <c r="A472" s="65"/>
      <c r="B472" s="64"/>
      <c r="C472" s="64"/>
      <c r="D472" s="64"/>
      <c r="E472" s="64"/>
      <c r="F472" s="64"/>
      <c r="G472" s="65"/>
      <c r="H472" s="65"/>
      <c r="I472" s="65"/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  <c r="AA472" s="65"/>
      <c r="AB472" s="65"/>
      <c r="AC472" s="65"/>
      <c r="AD472" s="65"/>
    </row>
    <row r="473">
      <c r="A473" s="65"/>
      <c r="B473" s="64"/>
      <c r="C473" s="64"/>
      <c r="D473" s="64"/>
      <c r="E473" s="64"/>
      <c r="F473" s="64"/>
      <c r="G473" s="65"/>
      <c r="H473" s="65"/>
      <c r="I473" s="65"/>
      <c r="J473" s="65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  <c r="AA473" s="65"/>
      <c r="AB473" s="65"/>
      <c r="AC473" s="65"/>
      <c r="AD473" s="65"/>
    </row>
    <row r="474">
      <c r="A474" s="65"/>
      <c r="B474" s="64"/>
      <c r="C474" s="64"/>
      <c r="D474" s="64"/>
      <c r="E474" s="64"/>
      <c r="F474" s="64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  <c r="AA474" s="65"/>
      <c r="AB474" s="65"/>
      <c r="AC474" s="65"/>
      <c r="AD474" s="65"/>
    </row>
    <row r="475">
      <c r="A475" s="65"/>
      <c r="B475" s="64"/>
      <c r="C475" s="64"/>
      <c r="D475" s="64"/>
      <c r="E475" s="64"/>
      <c r="F475" s="64"/>
      <c r="G475" s="65"/>
      <c r="H475" s="65"/>
      <c r="I475" s="65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  <c r="AA475" s="65"/>
      <c r="AB475" s="65"/>
      <c r="AC475" s="65"/>
      <c r="AD475" s="65"/>
    </row>
    <row r="476">
      <c r="A476" s="65"/>
      <c r="B476" s="64"/>
      <c r="C476" s="64"/>
      <c r="D476" s="64"/>
      <c r="E476" s="64"/>
      <c r="F476" s="64"/>
      <c r="G476" s="65"/>
      <c r="H476" s="65"/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  <c r="AA476" s="65"/>
      <c r="AB476" s="65"/>
      <c r="AC476" s="65"/>
      <c r="AD476" s="65"/>
    </row>
    <row r="477">
      <c r="A477" s="65"/>
      <c r="B477" s="64"/>
      <c r="C477" s="64"/>
      <c r="D477" s="64"/>
      <c r="E477" s="64"/>
      <c r="F477" s="64"/>
      <c r="G477" s="65"/>
      <c r="H477" s="65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  <c r="AA477" s="65"/>
      <c r="AB477" s="65"/>
      <c r="AC477" s="65"/>
      <c r="AD477" s="65"/>
    </row>
    <row r="478">
      <c r="A478" s="65"/>
      <c r="B478" s="64"/>
      <c r="C478" s="64"/>
      <c r="D478" s="64"/>
      <c r="E478" s="64"/>
      <c r="F478" s="64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  <c r="AA478" s="65"/>
      <c r="AB478" s="65"/>
      <c r="AC478" s="65"/>
      <c r="AD478" s="65"/>
    </row>
    <row r="479">
      <c r="A479" s="65"/>
      <c r="B479" s="64"/>
      <c r="C479" s="64"/>
      <c r="D479" s="64"/>
      <c r="E479" s="64"/>
      <c r="F479" s="64"/>
      <c r="G479" s="65"/>
      <c r="H479" s="65"/>
      <c r="I479" s="65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  <c r="AA479" s="65"/>
      <c r="AB479" s="65"/>
      <c r="AC479" s="65"/>
      <c r="AD479" s="65"/>
    </row>
    <row r="480">
      <c r="A480" s="65"/>
      <c r="B480" s="64"/>
      <c r="C480" s="64"/>
      <c r="D480" s="64"/>
      <c r="E480" s="64"/>
      <c r="F480" s="64"/>
      <c r="G480" s="65"/>
      <c r="H480" s="65"/>
      <c r="I480" s="65"/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  <c r="AA480" s="65"/>
      <c r="AB480" s="65"/>
      <c r="AC480" s="65"/>
      <c r="AD480" s="65"/>
    </row>
    <row r="481">
      <c r="A481" s="65"/>
      <c r="B481" s="64"/>
      <c r="C481" s="64"/>
      <c r="D481" s="64"/>
      <c r="E481" s="64"/>
      <c r="F481" s="64"/>
      <c r="G481" s="65"/>
      <c r="H481" s="65"/>
      <c r="I481" s="65"/>
      <c r="J481" s="65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  <c r="AA481" s="65"/>
      <c r="AB481" s="65"/>
      <c r="AC481" s="65"/>
      <c r="AD481" s="65"/>
    </row>
    <row r="482">
      <c r="A482" s="65"/>
      <c r="B482" s="64"/>
      <c r="C482" s="64"/>
      <c r="D482" s="64"/>
      <c r="E482" s="64"/>
      <c r="F482" s="64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  <c r="AA482" s="65"/>
      <c r="AB482" s="65"/>
      <c r="AC482" s="65"/>
      <c r="AD482" s="65"/>
    </row>
    <row r="483">
      <c r="A483" s="65"/>
      <c r="B483" s="64"/>
      <c r="C483" s="64"/>
      <c r="D483" s="64"/>
      <c r="E483" s="64"/>
      <c r="F483" s="64"/>
      <c r="G483" s="65"/>
      <c r="H483" s="65"/>
      <c r="I483" s="65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  <c r="AA483" s="65"/>
      <c r="AB483" s="65"/>
      <c r="AC483" s="65"/>
      <c r="AD483" s="65"/>
    </row>
    <row r="484">
      <c r="A484" s="65"/>
      <c r="B484" s="64"/>
      <c r="C484" s="64"/>
      <c r="D484" s="64"/>
      <c r="E484" s="64"/>
      <c r="F484" s="64"/>
      <c r="G484" s="65"/>
      <c r="H484" s="65"/>
      <c r="I484" s="65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  <c r="AA484" s="65"/>
      <c r="AB484" s="65"/>
      <c r="AC484" s="65"/>
      <c r="AD484" s="65"/>
    </row>
    <row r="485">
      <c r="A485" s="65"/>
      <c r="B485" s="64"/>
      <c r="C485" s="64"/>
      <c r="D485" s="64"/>
      <c r="E485" s="64"/>
      <c r="F485" s="64"/>
      <c r="G485" s="65"/>
      <c r="H485" s="65"/>
      <c r="I485" s="65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  <c r="AA485" s="65"/>
      <c r="AB485" s="65"/>
      <c r="AC485" s="65"/>
      <c r="AD485" s="65"/>
    </row>
    <row r="486">
      <c r="A486" s="65"/>
      <c r="B486" s="64"/>
      <c r="C486" s="64"/>
      <c r="D486" s="64"/>
      <c r="E486" s="64"/>
      <c r="F486" s="64"/>
      <c r="G486" s="65"/>
      <c r="H486" s="65"/>
      <c r="I486" s="65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  <c r="AA486" s="65"/>
      <c r="AB486" s="65"/>
      <c r="AC486" s="65"/>
      <c r="AD486" s="65"/>
    </row>
    <row r="487">
      <c r="A487" s="65"/>
      <c r="B487" s="64"/>
      <c r="C487" s="64"/>
      <c r="D487" s="64"/>
      <c r="E487" s="64"/>
      <c r="F487" s="64"/>
      <c r="G487" s="65"/>
      <c r="H487" s="65"/>
      <c r="I487" s="65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  <c r="AA487" s="65"/>
      <c r="AB487" s="65"/>
      <c r="AC487" s="65"/>
      <c r="AD487" s="65"/>
    </row>
    <row r="488">
      <c r="A488" s="65"/>
      <c r="B488" s="64"/>
      <c r="C488" s="64"/>
      <c r="D488" s="64"/>
      <c r="E488" s="64"/>
      <c r="F488" s="64"/>
      <c r="G488" s="65"/>
      <c r="H488" s="65"/>
      <c r="I488" s="65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  <c r="AA488" s="65"/>
      <c r="AB488" s="65"/>
      <c r="AC488" s="65"/>
      <c r="AD488" s="65"/>
    </row>
    <row r="489">
      <c r="A489" s="65"/>
      <c r="B489" s="64"/>
      <c r="C489" s="64"/>
      <c r="D489" s="64"/>
      <c r="E489" s="64"/>
      <c r="F489" s="64"/>
      <c r="G489" s="65"/>
      <c r="H489" s="65"/>
      <c r="I489" s="65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  <c r="AA489" s="65"/>
      <c r="AB489" s="65"/>
      <c r="AC489" s="65"/>
      <c r="AD489" s="65"/>
    </row>
    <row r="490">
      <c r="A490" s="65"/>
      <c r="B490" s="64"/>
      <c r="C490" s="64"/>
      <c r="D490" s="64"/>
      <c r="E490" s="64"/>
      <c r="F490" s="64"/>
      <c r="G490" s="65"/>
      <c r="H490" s="65"/>
      <c r="I490" s="65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  <c r="AA490" s="65"/>
      <c r="AB490" s="65"/>
      <c r="AC490" s="65"/>
      <c r="AD490" s="65"/>
    </row>
    <row r="491">
      <c r="A491" s="65"/>
      <c r="B491" s="64"/>
      <c r="C491" s="64"/>
      <c r="D491" s="64"/>
      <c r="E491" s="64"/>
      <c r="F491" s="64"/>
      <c r="G491" s="65"/>
      <c r="H491" s="65"/>
      <c r="I491" s="65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  <c r="AA491" s="65"/>
      <c r="AB491" s="65"/>
      <c r="AC491" s="65"/>
      <c r="AD491" s="65"/>
    </row>
    <row r="492">
      <c r="A492" s="65"/>
      <c r="B492" s="64"/>
      <c r="C492" s="64"/>
      <c r="D492" s="64"/>
      <c r="E492" s="64"/>
      <c r="F492" s="64"/>
      <c r="G492" s="65"/>
      <c r="H492" s="65"/>
      <c r="I492" s="65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  <c r="AA492" s="65"/>
      <c r="AB492" s="65"/>
      <c r="AC492" s="65"/>
      <c r="AD492" s="65"/>
    </row>
    <row r="493">
      <c r="A493" s="65"/>
      <c r="B493" s="64"/>
      <c r="C493" s="64"/>
      <c r="D493" s="64"/>
      <c r="E493" s="64"/>
      <c r="F493" s="64"/>
      <c r="G493" s="65"/>
      <c r="H493" s="65"/>
      <c r="I493" s="65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  <c r="AA493" s="65"/>
      <c r="AB493" s="65"/>
      <c r="AC493" s="65"/>
      <c r="AD493" s="65"/>
    </row>
    <row r="494">
      <c r="A494" s="65"/>
      <c r="B494" s="64"/>
      <c r="C494" s="64"/>
      <c r="D494" s="64"/>
      <c r="E494" s="64"/>
      <c r="F494" s="64"/>
      <c r="G494" s="65"/>
      <c r="H494" s="65"/>
      <c r="I494" s="65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  <c r="AA494" s="65"/>
      <c r="AB494" s="65"/>
      <c r="AC494" s="65"/>
      <c r="AD494" s="65"/>
    </row>
    <row r="495">
      <c r="A495" s="65"/>
      <c r="B495" s="64"/>
      <c r="C495" s="64"/>
      <c r="D495" s="64"/>
      <c r="E495" s="64"/>
      <c r="F495" s="64"/>
      <c r="G495" s="65"/>
      <c r="H495" s="65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  <c r="AA495" s="65"/>
      <c r="AB495" s="65"/>
      <c r="AC495" s="65"/>
      <c r="AD495" s="65"/>
    </row>
    <row r="496">
      <c r="A496" s="65"/>
      <c r="B496" s="64"/>
      <c r="C496" s="64"/>
      <c r="D496" s="64"/>
      <c r="E496" s="64"/>
      <c r="F496" s="64"/>
      <c r="G496" s="65"/>
      <c r="H496" s="65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  <c r="AA496" s="65"/>
      <c r="AB496" s="65"/>
      <c r="AC496" s="65"/>
      <c r="AD496" s="65"/>
    </row>
    <row r="497">
      <c r="A497" s="65"/>
      <c r="B497" s="64"/>
      <c r="C497" s="64"/>
      <c r="D497" s="64"/>
      <c r="E497" s="64"/>
      <c r="F497" s="64"/>
      <c r="G497" s="65"/>
      <c r="H497" s="65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  <c r="AA497" s="65"/>
      <c r="AB497" s="65"/>
      <c r="AC497" s="65"/>
      <c r="AD497" s="65"/>
    </row>
    <row r="498">
      <c r="A498" s="65"/>
      <c r="B498" s="64"/>
      <c r="C498" s="64"/>
      <c r="D498" s="64"/>
      <c r="E498" s="64"/>
      <c r="F498" s="64"/>
      <c r="G498" s="65"/>
      <c r="H498" s="65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  <c r="AA498" s="65"/>
      <c r="AB498" s="65"/>
      <c r="AC498" s="65"/>
      <c r="AD498" s="65"/>
    </row>
    <row r="499">
      <c r="A499" s="65"/>
      <c r="B499" s="64"/>
      <c r="C499" s="64"/>
      <c r="D499" s="64"/>
      <c r="E499" s="64"/>
      <c r="F499" s="64"/>
      <c r="G499" s="65"/>
      <c r="H499" s="65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  <c r="AA499" s="65"/>
      <c r="AB499" s="65"/>
      <c r="AC499" s="65"/>
      <c r="AD499" s="65"/>
    </row>
    <row r="500">
      <c r="A500" s="65"/>
      <c r="B500" s="64"/>
      <c r="C500" s="64"/>
      <c r="D500" s="64"/>
      <c r="E500" s="64"/>
      <c r="F500" s="64"/>
      <c r="G500" s="65"/>
      <c r="H500" s="65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  <c r="AA500" s="65"/>
      <c r="AB500" s="65"/>
      <c r="AC500" s="65"/>
      <c r="AD500" s="65"/>
    </row>
    <row r="501">
      <c r="A501" s="65"/>
      <c r="B501" s="64"/>
      <c r="C501" s="64"/>
      <c r="D501" s="64"/>
      <c r="E501" s="64"/>
      <c r="F501" s="64"/>
      <c r="G501" s="65"/>
      <c r="H501" s="65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  <c r="AA501" s="65"/>
      <c r="AB501" s="65"/>
      <c r="AC501" s="65"/>
      <c r="AD501" s="65"/>
    </row>
    <row r="502">
      <c r="A502" s="65"/>
      <c r="B502" s="64"/>
      <c r="C502" s="64"/>
      <c r="D502" s="64"/>
      <c r="E502" s="64"/>
      <c r="F502" s="64"/>
      <c r="G502" s="65"/>
      <c r="H502" s="65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  <c r="AA502" s="65"/>
      <c r="AB502" s="65"/>
      <c r="AC502" s="65"/>
      <c r="AD502" s="65"/>
    </row>
    <row r="503">
      <c r="A503" s="65"/>
      <c r="B503" s="64"/>
      <c r="C503" s="64"/>
      <c r="D503" s="64"/>
      <c r="E503" s="64"/>
      <c r="F503" s="64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  <c r="AA503" s="65"/>
      <c r="AB503" s="65"/>
      <c r="AC503" s="65"/>
      <c r="AD503" s="65"/>
    </row>
    <row r="504">
      <c r="A504" s="65"/>
      <c r="B504" s="64"/>
      <c r="C504" s="64"/>
      <c r="D504" s="64"/>
      <c r="E504" s="64"/>
      <c r="F504" s="64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  <c r="AA504" s="65"/>
      <c r="AB504" s="65"/>
      <c r="AC504" s="65"/>
      <c r="AD504" s="65"/>
    </row>
    <row r="505">
      <c r="A505" s="65"/>
      <c r="B505" s="64"/>
      <c r="C505" s="64"/>
      <c r="D505" s="64"/>
      <c r="E505" s="64"/>
      <c r="F505" s="64"/>
      <c r="G505" s="65"/>
      <c r="H505" s="65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  <c r="AA505" s="65"/>
      <c r="AB505" s="65"/>
      <c r="AC505" s="65"/>
      <c r="AD505" s="65"/>
    </row>
    <row r="506">
      <c r="A506" s="65"/>
      <c r="B506" s="64"/>
      <c r="C506" s="64"/>
      <c r="D506" s="64"/>
      <c r="E506" s="64"/>
      <c r="F506" s="64"/>
      <c r="G506" s="65"/>
      <c r="H506" s="65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  <c r="AA506" s="65"/>
      <c r="AB506" s="65"/>
      <c r="AC506" s="65"/>
      <c r="AD506" s="65"/>
    </row>
    <row r="507">
      <c r="A507" s="65"/>
      <c r="B507" s="64"/>
      <c r="C507" s="64"/>
      <c r="D507" s="64"/>
      <c r="E507" s="64"/>
      <c r="F507" s="64"/>
      <c r="G507" s="65"/>
      <c r="H507" s="65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  <c r="AA507" s="65"/>
      <c r="AB507" s="65"/>
      <c r="AC507" s="65"/>
      <c r="AD507" s="65"/>
    </row>
    <row r="508">
      <c r="A508" s="65"/>
      <c r="B508" s="64"/>
      <c r="C508" s="64"/>
      <c r="D508" s="64"/>
      <c r="E508" s="64"/>
      <c r="F508" s="64"/>
      <c r="G508" s="65"/>
      <c r="H508" s="65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  <c r="AA508" s="65"/>
      <c r="AB508" s="65"/>
      <c r="AC508" s="65"/>
      <c r="AD508" s="65"/>
    </row>
    <row r="509">
      <c r="A509" s="65"/>
      <c r="B509" s="64"/>
      <c r="C509" s="64"/>
      <c r="D509" s="64"/>
      <c r="E509" s="64"/>
      <c r="F509" s="64"/>
      <c r="G509" s="65"/>
      <c r="H509" s="65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  <c r="AA509" s="65"/>
      <c r="AB509" s="65"/>
      <c r="AC509" s="65"/>
      <c r="AD509" s="65"/>
    </row>
    <row r="510">
      <c r="A510" s="65"/>
      <c r="B510" s="64"/>
      <c r="C510" s="64"/>
      <c r="D510" s="64"/>
      <c r="E510" s="64"/>
      <c r="F510" s="64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  <c r="AA510" s="65"/>
      <c r="AB510" s="65"/>
      <c r="AC510" s="65"/>
      <c r="AD510" s="65"/>
    </row>
    <row r="511">
      <c r="A511" s="65"/>
      <c r="B511" s="64"/>
      <c r="C511" s="64"/>
      <c r="D511" s="64"/>
      <c r="E511" s="64"/>
      <c r="F511" s="64"/>
      <c r="G511" s="65"/>
      <c r="H511" s="65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  <c r="AA511" s="65"/>
      <c r="AB511" s="65"/>
      <c r="AC511" s="65"/>
      <c r="AD511" s="65"/>
    </row>
    <row r="512">
      <c r="A512" s="65"/>
      <c r="B512" s="64"/>
      <c r="C512" s="64"/>
      <c r="D512" s="64"/>
      <c r="E512" s="64"/>
      <c r="F512" s="64"/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  <c r="AA512" s="65"/>
      <c r="AB512" s="65"/>
      <c r="AC512" s="65"/>
      <c r="AD512" s="65"/>
    </row>
    <row r="513">
      <c r="A513" s="65"/>
      <c r="B513" s="64"/>
      <c r="C513" s="64"/>
      <c r="D513" s="64"/>
      <c r="E513" s="64"/>
      <c r="F513" s="64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  <c r="AA513" s="65"/>
      <c r="AB513" s="65"/>
      <c r="AC513" s="65"/>
      <c r="AD513" s="65"/>
    </row>
    <row r="514">
      <c r="A514" s="65"/>
      <c r="B514" s="64"/>
      <c r="C514" s="64"/>
      <c r="D514" s="64"/>
      <c r="E514" s="64"/>
      <c r="F514" s="64"/>
      <c r="G514" s="65"/>
      <c r="H514" s="65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  <c r="AA514" s="65"/>
      <c r="AB514" s="65"/>
      <c r="AC514" s="65"/>
      <c r="AD514" s="65"/>
    </row>
    <row r="515">
      <c r="A515" s="65"/>
      <c r="B515" s="64"/>
      <c r="C515" s="64"/>
      <c r="D515" s="64"/>
      <c r="E515" s="64"/>
      <c r="F515" s="64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  <c r="AA515" s="65"/>
      <c r="AB515" s="65"/>
      <c r="AC515" s="65"/>
      <c r="AD515" s="65"/>
    </row>
    <row r="516">
      <c r="A516" s="65"/>
      <c r="B516" s="64"/>
      <c r="C516" s="64"/>
      <c r="D516" s="64"/>
      <c r="E516" s="64"/>
      <c r="F516" s="64"/>
      <c r="G516" s="65"/>
      <c r="H516" s="65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  <c r="AA516" s="65"/>
      <c r="AB516" s="65"/>
      <c r="AC516" s="65"/>
      <c r="AD516" s="65"/>
    </row>
    <row r="517">
      <c r="A517" s="65"/>
      <c r="B517" s="64"/>
      <c r="C517" s="64"/>
      <c r="D517" s="64"/>
      <c r="E517" s="64"/>
      <c r="F517" s="64"/>
      <c r="G517" s="65"/>
      <c r="H517" s="65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  <c r="AA517" s="65"/>
      <c r="AB517" s="65"/>
      <c r="AC517" s="65"/>
      <c r="AD517" s="65"/>
    </row>
    <row r="518">
      <c r="A518" s="65"/>
      <c r="B518" s="64"/>
      <c r="C518" s="64"/>
      <c r="D518" s="64"/>
      <c r="E518" s="64"/>
      <c r="F518" s="64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  <c r="AA518" s="65"/>
      <c r="AB518" s="65"/>
      <c r="AC518" s="65"/>
      <c r="AD518" s="65"/>
    </row>
    <row r="519">
      <c r="A519" s="65"/>
      <c r="B519" s="64"/>
      <c r="C519" s="64"/>
      <c r="D519" s="64"/>
      <c r="E519" s="64"/>
      <c r="F519" s="64"/>
      <c r="G519" s="65"/>
      <c r="H519" s="65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  <c r="AA519" s="65"/>
      <c r="AB519" s="65"/>
      <c r="AC519" s="65"/>
      <c r="AD519" s="65"/>
    </row>
    <row r="520">
      <c r="A520" s="65"/>
      <c r="B520" s="64"/>
      <c r="C520" s="64"/>
      <c r="D520" s="64"/>
      <c r="E520" s="64"/>
      <c r="F520" s="64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  <c r="AA520" s="65"/>
      <c r="AB520" s="65"/>
      <c r="AC520" s="65"/>
      <c r="AD520" s="65"/>
    </row>
    <row r="521">
      <c r="A521" s="65"/>
      <c r="B521" s="64"/>
      <c r="C521" s="64"/>
      <c r="D521" s="64"/>
      <c r="E521" s="64"/>
      <c r="F521" s="64"/>
      <c r="G521" s="65"/>
      <c r="H521" s="65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  <c r="AA521" s="65"/>
      <c r="AB521" s="65"/>
      <c r="AC521" s="65"/>
      <c r="AD521" s="65"/>
    </row>
    <row r="522">
      <c r="A522" s="65"/>
      <c r="B522" s="64"/>
      <c r="C522" s="64"/>
      <c r="D522" s="64"/>
      <c r="E522" s="64"/>
      <c r="F522" s="64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  <c r="AA522" s="65"/>
      <c r="AB522" s="65"/>
      <c r="AC522" s="65"/>
      <c r="AD522" s="65"/>
    </row>
    <row r="523">
      <c r="A523" s="65"/>
      <c r="B523" s="64"/>
      <c r="C523" s="64"/>
      <c r="D523" s="64"/>
      <c r="E523" s="64"/>
      <c r="F523" s="64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  <c r="AA523" s="65"/>
      <c r="AB523" s="65"/>
      <c r="AC523" s="65"/>
      <c r="AD523" s="65"/>
    </row>
    <row r="524">
      <c r="A524" s="65"/>
      <c r="B524" s="64"/>
      <c r="C524" s="64"/>
      <c r="D524" s="64"/>
      <c r="E524" s="64"/>
      <c r="F524" s="64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  <c r="AA524" s="65"/>
      <c r="AB524" s="65"/>
      <c r="AC524" s="65"/>
      <c r="AD524" s="65"/>
    </row>
    <row r="525">
      <c r="A525" s="65"/>
      <c r="B525" s="64"/>
      <c r="C525" s="64"/>
      <c r="D525" s="64"/>
      <c r="E525" s="64"/>
      <c r="F525" s="64"/>
      <c r="G525" s="65"/>
      <c r="H525" s="65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  <c r="AA525" s="65"/>
      <c r="AB525" s="65"/>
      <c r="AC525" s="65"/>
      <c r="AD525" s="65"/>
    </row>
    <row r="526">
      <c r="A526" s="65"/>
      <c r="B526" s="64"/>
      <c r="C526" s="64"/>
      <c r="D526" s="64"/>
      <c r="E526" s="64"/>
      <c r="F526" s="64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  <c r="AA526" s="65"/>
      <c r="AB526" s="65"/>
      <c r="AC526" s="65"/>
      <c r="AD526" s="65"/>
    </row>
    <row r="527">
      <c r="A527" s="65"/>
      <c r="B527" s="64"/>
      <c r="C527" s="64"/>
      <c r="D527" s="64"/>
      <c r="E527" s="64"/>
      <c r="F527" s="64"/>
      <c r="G527" s="65"/>
      <c r="H527" s="65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  <c r="AA527" s="65"/>
      <c r="AB527" s="65"/>
      <c r="AC527" s="65"/>
      <c r="AD527" s="65"/>
    </row>
    <row r="528">
      <c r="A528" s="65"/>
      <c r="B528" s="64"/>
      <c r="C528" s="64"/>
      <c r="D528" s="64"/>
      <c r="E528" s="64"/>
      <c r="F528" s="64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  <c r="AA528" s="65"/>
      <c r="AB528" s="65"/>
      <c r="AC528" s="65"/>
      <c r="AD528" s="65"/>
    </row>
    <row r="529">
      <c r="A529" s="65"/>
      <c r="B529" s="64"/>
      <c r="C529" s="64"/>
      <c r="D529" s="64"/>
      <c r="E529" s="64"/>
      <c r="F529" s="64"/>
      <c r="G529" s="65"/>
      <c r="H529" s="65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  <c r="AA529" s="65"/>
      <c r="AB529" s="65"/>
      <c r="AC529" s="65"/>
      <c r="AD529" s="65"/>
    </row>
    <row r="530">
      <c r="A530" s="65"/>
      <c r="B530" s="64"/>
      <c r="C530" s="64"/>
      <c r="D530" s="64"/>
      <c r="E530" s="64"/>
      <c r="F530" s="64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  <c r="AA530" s="65"/>
      <c r="AB530" s="65"/>
      <c r="AC530" s="65"/>
      <c r="AD530" s="65"/>
    </row>
    <row r="531">
      <c r="A531" s="65"/>
      <c r="B531" s="64"/>
      <c r="C531" s="64"/>
      <c r="D531" s="64"/>
      <c r="E531" s="64"/>
      <c r="F531" s="64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  <c r="AA531" s="65"/>
      <c r="AB531" s="65"/>
      <c r="AC531" s="65"/>
      <c r="AD531" s="65"/>
    </row>
    <row r="532">
      <c r="A532" s="65"/>
      <c r="B532" s="64"/>
      <c r="C532" s="64"/>
      <c r="D532" s="64"/>
      <c r="E532" s="64"/>
      <c r="F532" s="64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  <c r="AA532" s="65"/>
      <c r="AB532" s="65"/>
      <c r="AC532" s="65"/>
      <c r="AD532" s="65"/>
    </row>
    <row r="533">
      <c r="A533" s="65"/>
      <c r="B533" s="64"/>
      <c r="C533" s="64"/>
      <c r="D533" s="64"/>
      <c r="E533" s="64"/>
      <c r="F533" s="64"/>
      <c r="G533" s="65"/>
      <c r="H533" s="65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  <c r="AA533" s="65"/>
      <c r="AB533" s="65"/>
      <c r="AC533" s="65"/>
      <c r="AD533" s="65"/>
    </row>
    <row r="534">
      <c r="A534" s="65"/>
      <c r="B534" s="64"/>
      <c r="C534" s="64"/>
      <c r="D534" s="64"/>
      <c r="E534" s="64"/>
      <c r="F534" s="64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  <c r="AA534" s="65"/>
      <c r="AB534" s="65"/>
      <c r="AC534" s="65"/>
      <c r="AD534" s="65"/>
    </row>
    <row r="535">
      <c r="A535" s="65"/>
      <c r="B535" s="64"/>
      <c r="C535" s="64"/>
      <c r="D535" s="64"/>
      <c r="E535" s="64"/>
      <c r="F535" s="64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  <c r="AA535" s="65"/>
      <c r="AB535" s="65"/>
      <c r="AC535" s="65"/>
      <c r="AD535" s="65"/>
    </row>
    <row r="536">
      <c r="A536" s="65"/>
      <c r="B536" s="64"/>
      <c r="C536" s="64"/>
      <c r="D536" s="64"/>
      <c r="E536" s="64"/>
      <c r="F536" s="64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  <c r="AA536" s="65"/>
      <c r="AB536" s="65"/>
      <c r="AC536" s="65"/>
      <c r="AD536" s="65"/>
    </row>
    <row r="537">
      <c r="A537" s="65"/>
      <c r="B537" s="64"/>
      <c r="C537" s="64"/>
      <c r="D537" s="64"/>
      <c r="E537" s="64"/>
      <c r="F537" s="64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  <c r="AA537" s="65"/>
      <c r="AB537" s="65"/>
      <c r="AC537" s="65"/>
      <c r="AD537" s="65"/>
    </row>
    <row r="538">
      <c r="A538" s="65"/>
      <c r="B538" s="64"/>
      <c r="C538" s="64"/>
      <c r="D538" s="64"/>
      <c r="E538" s="64"/>
      <c r="F538" s="64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  <c r="AA538" s="65"/>
      <c r="AB538" s="65"/>
      <c r="AC538" s="65"/>
      <c r="AD538" s="65"/>
    </row>
    <row r="539">
      <c r="A539" s="65"/>
      <c r="B539" s="64"/>
      <c r="C539" s="64"/>
      <c r="D539" s="64"/>
      <c r="E539" s="64"/>
      <c r="F539" s="64"/>
      <c r="G539" s="65"/>
      <c r="H539" s="65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  <c r="AA539" s="65"/>
      <c r="AB539" s="65"/>
      <c r="AC539" s="65"/>
      <c r="AD539" s="65"/>
    </row>
    <row r="540">
      <c r="A540" s="65"/>
      <c r="B540" s="64"/>
      <c r="C540" s="64"/>
      <c r="D540" s="64"/>
      <c r="E540" s="64"/>
      <c r="F540" s="64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  <c r="AA540" s="65"/>
      <c r="AB540" s="65"/>
      <c r="AC540" s="65"/>
      <c r="AD540" s="65"/>
    </row>
    <row r="541">
      <c r="A541" s="65"/>
      <c r="B541" s="64"/>
      <c r="C541" s="64"/>
      <c r="D541" s="64"/>
      <c r="E541" s="64"/>
      <c r="F541" s="64"/>
      <c r="G541" s="65"/>
      <c r="H541" s="65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  <c r="AA541" s="65"/>
      <c r="AB541" s="65"/>
      <c r="AC541" s="65"/>
      <c r="AD541" s="65"/>
    </row>
    <row r="542">
      <c r="A542" s="65"/>
      <c r="B542" s="64"/>
      <c r="C542" s="64"/>
      <c r="D542" s="64"/>
      <c r="E542" s="64"/>
      <c r="F542" s="64"/>
      <c r="G542" s="65"/>
      <c r="H542" s="65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  <c r="AA542" s="65"/>
      <c r="AB542" s="65"/>
      <c r="AC542" s="65"/>
      <c r="AD542" s="65"/>
    </row>
    <row r="543">
      <c r="A543" s="65"/>
      <c r="B543" s="64"/>
      <c r="C543" s="64"/>
      <c r="D543" s="64"/>
      <c r="E543" s="64"/>
      <c r="F543" s="64"/>
      <c r="G543" s="65"/>
      <c r="H543" s="65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  <c r="AA543" s="65"/>
      <c r="AB543" s="65"/>
      <c r="AC543" s="65"/>
      <c r="AD543" s="65"/>
    </row>
    <row r="544">
      <c r="A544" s="65"/>
      <c r="B544" s="64"/>
      <c r="C544" s="64"/>
      <c r="D544" s="64"/>
      <c r="E544" s="64"/>
      <c r="F544" s="64"/>
      <c r="G544" s="65"/>
      <c r="H544" s="65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  <c r="AA544" s="65"/>
      <c r="AB544" s="65"/>
      <c r="AC544" s="65"/>
      <c r="AD544" s="65"/>
    </row>
    <row r="545">
      <c r="A545" s="65"/>
      <c r="B545" s="64"/>
      <c r="C545" s="64"/>
      <c r="D545" s="64"/>
      <c r="E545" s="64"/>
      <c r="F545" s="64"/>
      <c r="G545" s="65"/>
      <c r="H545" s="65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  <c r="AA545" s="65"/>
      <c r="AB545" s="65"/>
      <c r="AC545" s="65"/>
      <c r="AD545" s="65"/>
    </row>
    <row r="546">
      <c r="A546" s="65"/>
      <c r="B546" s="64"/>
      <c r="C546" s="64"/>
      <c r="D546" s="64"/>
      <c r="E546" s="64"/>
      <c r="F546" s="64"/>
      <c r="G546" s="65"/>
      <c r="H546" s="65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  <c r="AA546" s="65"/>
      <c r="AB546" s="65"/>
      <c r="AC546" s="65"/>
      <c r="AD546" s="65"/>
    </row>
    <row r="547">
      <c r="A547" s="65"/>
      <c r="B547" s="64"/>
      <c r="C547" s="64"/>
      <c r="D547" s="64"/>
      <c r="E547" s="64"/>
      <c r="F547" s="64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  <c r="AA547" s="65"/>
      <c r="AB547" s="65"/>
      <c r="AC547" s="65"/>
      <c r="AD547" s="65"/>
    </row>
    <row r="548">
      <c r="A548" s="65"/>
      <c r="B548" s="64"/>
      <c r="C548" s="64"/>
      <c r="D548" s="64"/>
      <c r="E548" s="64"/>
      <c r="F548" s="64"/>
      <c r="G548" s="65"/>
      <c r="H548" s="65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  <c r="AA548" s="65"/>
      <c r="AB548" s="65"/>
      <c r="AC548" s="65"/>
      <c r="AD548" s="65"/>
    </row>
    <row r="549">
      <c r="A549" s="65"/>
      <c r="B549" s="64"/>
      <c r="C549" s="64"/>
      <c r="D549" s="64"/>
      <c r="E549" s="64"/>
      <c r="F549" s="64"/>
      <c r="G549" s="65"/>
      <c r="H549" s="65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  <c r="AA549" s="65"/>
      <c r="AB549" s="65"/>
      <c r="AC549" s="65"/>
      <c r="AD549" s="65"/>
    </row>
    <row r="550">
      <c r="A550" s="65"/>
      <c r="B550" s="64"/>
      <c r="C550" s="64"/>
      <c r="D550" s="64"/>
      <c r="E550" s="64"/>
      <c r="F550" s="64"/>
      <c r="G550" s="65"/>
      <c r="H550" s="65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  <c r="AA550" s="65"/>
      <c r="AB550" s="65"/>
      <c r="AC550" s="65"/>
      <c r="AD550" s="65"/>
    </row>
    <row r="551">
      <c r="A551" s="65"/>
      <c r="B551" s="64"/>
      <c r="C551" s="64"/>
      <c r="D551" s="64"/>
      <c r="E551" s="64"/>
      <c r="F551" s="64"/>
      <c r="G551" s="65"/>
      <c r="H551" s="65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  <c r="AA551" s="65"/>
      <c r="AB551" s="65"/>
      <c r="AC551" s="65"/>
      <c r="AD551" s="65"/>
    </row>
    <row r="552">
      <c r="A552" s="65"/>
      <c r="B552" s="64"/>
      <c r="C552" s="64"/>
      <c r="D552" s="64"/>
      <c r="E552" s="64"/>
      <c r="F552" s="64"/>
      <c r="G552" s="65"/>
      <c r="H552" s="65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  <c r="AA552" s="65"/>
      <c r="AB552" s="65"/>
      <c r="AC552" s="65"/>
      <c r="AD552" s="65"/>
    </row>
    <row r="553">
      <c r="A553" s="65"/>
      <c r="B553" s="64"/>
      <c r="C553" s="64"/>
      <c r="D553" s="64"/>
      <c r="E553" s="64"/>
      <c r="F553" s="64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  <c r="AA553" s="65"/>
      <c r="AB553" s="65"/>
      <c r="AC553" s="65"/>
      <c r="AD553" s="65"/>
    </row>
    <row r="554">
      <c r="A554" s="65"/>
      <c r="B554" s="64"/>
      <c r="C554" s="64"/>
      <c r="D554" s="64"/>
      <c r="E554" s="64"/>
      <c r="F554" s="64"/>
      <c r="G554" s="65"/>
      <c r="H554" s="65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  <c r="AA554" s="65"/>
      <c r="AB554" s="65"/>
      <c r="AC554" s="65"/>
      <c r="AD554" s="65"/>
    </row>
    <row r="555">
      <c r="A555" s="65"/>
      <c r="B555" s="64"/>
      <c r="C555" s="64"/>
      <c r="D555" s="64"/>
      <c r="E555" s="64"/>
      <c r="F555" s="64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  <c r="AA555" s="65"/>
      <c r="AB555" s="65"/>
      <c r="AC555" s="65"/>
      <c r="AD555" s="65"/>
    </row>
    <row r="556">
      <c r="A556" s="65"/>
      <c r="B556" s="64"/>
      <c r="C556" s="64"/>
      <c r="D556" s="64"/>
      <c r="E556" s="64"/>
      <c r="F556" s="64"/>
      <c r="G556" s="65"/>
      <c r="H556" s="65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  <c r="AA556" s="65"/>
      <c r="AB556" s="65"/>
      <c r="AC556" s="65"/>
      <c r="AD556" s="65"/>
    </row>
    <row r="557">
      <c r="A557" s="65"/>
      <c r="B557" s="64"/>
      <c r="C557" s="64"/>
      <c r="D557" s="64"/>
      <c r="E557" s="64"/>
      <c r="F557" s="64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  <c r="AA557" s="65"/>
      <c r="AB557" s="65"/>
      <c r="AC557" s="65"/>
      <c r="AD557" s="65"/>
    </row>
    <row r="558">
      <c r="A558" s="65"/>
      <c r="B558" s="64"/>
      <c r="C558" s="64"/>
      <c r="D558" s="64"/>
      <c r="E558" s="64"/>
      <c r="F558" s="64"/>
      <c r="G558" s="65"/>
      <c r="H558" s="65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  <c r="AA558" s="65"/>
      <c r="AB558" s="65"/>
      <c r="AC558" s="65"/>
      <c r="AD558" s="65"/>
    </row>
    <row r="559">
      <c r="A559" s="65"/>
      <c r="B559" s="64"/>
      <c r="C559" s="64"/>
      <c r="D559" s="64"/>
      <c r="E559" s="64"/>
      <c r="F559" s="64"/>
      <c r="G559" s="65"/>
      <c r="H559" s="65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  <c r="AA559" s="65"/>
      <c r="AB559" s="65"/>
      <c r="AC559" s="65"/>
      <c r="AD559" s="65"/>
    </row>
    <row r="560">
      <c r="A560" s="65"/>
      <c r="B560" s="64"/>
      <c r="C560" s="64"/>
      <c r="D560" s="64"/>
      <c r="E560" s="64"/>
      <c r="F560" s="64"/>
      <c r="G560" s="65"/>
      <c r="H560" s="65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  <c r="AA560" s="65"/>
      <c r="AB560" s="65"/>
      <c r="AC560" s="65"/>
      <c r="AD560" s="65"/>
    </row>
    <row r="561">
      <c r="A561" s="65"/>
      <c r="B561" s="64"/>
      <c r="C561" s="64"/>
      <c r="D561" s="64"/>
      <c r="E561" s="64"/>
      <c r="F561" s="64"/>
      <c r="G561" s="65"/>
      <c r="H561" s="65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  <c r="AA561" s="65"/>
      <c r="AB561" s="65"/>
      <c r="AC561" s="65"/>
      <c r="AD561" s="65"/>
    </row>
    <row r="562">
      <c r="A562" s="65"/>
      <c r="B562" s="64"/>
      <c r="C562" s="64"/>
      <c r="D562" s="64"/>
      <c r="E562" s="64"/>
      <c r="F562" s="64"/>
      <c r="G562" s="65"/>
      <c r="H562" s="65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  <c r="AA562" s="65"/>
      <c r="AB562" s="65"/>
      <c r="AC562" s="65"/>
      <c r="AD562" s="65"/>
    </row>
    <row r="563">
      <c r="A563" s="65"/>
      <c r="B563" s="64"/>
      <c r="C563" s="64"/>
      <c r="D563" s="64"/>
      <c r="E563" s="64"/>
      <c r="F563" s="64"/>
      <c r="G563" s="65"/>
      <c r="H563" s="65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  <c r="AA563" s="65"/>
      <c r="AB563" s="65"/>
      <c r="AC563" s="65"/>
      <c r="AD563" s="65"/>
    </row>
    <row r="564">
      <c r="A564" s="65"/>
      <c r="B564" s="64"/>
      <c r="C564" s="64"/>
      <c r="D564" s="64"/>
      <c r="E564" s="64"/>
      <c r="F564" s="64"/>
      <c r="G564" s="65"/>
      <c r="H564" s="65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  <c r="AA564" s="65"/>
      <c r="AB564" s="65"/>
      <c r="AC564" s="65"/>
      <c r="AD564" s="65"/>
    </row>
    <row r="565">
      <c r="A565" s="65"/>
      <c r="B565" s="64"/>
      <c r="C565" s="64"/>
      <c r="D565" s="64"/>
      <c r="E565" s="64"/>
      <c r="F565" s="64"/>
      <c r="G565" s="65"/>
      <c r="H565" s="65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  <c r="AA565" s="65"/>
      <c r="AB565" s="65"/>
      <c r="AC565" s="65"/>
      <c r="AD565" s="65"/>
    </row>
    <row r="566">
      <c r="A566" s="65"/>
      <c r="B566" s="64"/>
      <c r="C566" s="64"/>
      <c r="D566" s="64"/>
      <c r="E566" s="64"/>
      <c r="F566" s="64"/>
      <c r="G566" s="65"/>
      <c r="H566" s="65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  <c r="AA566" s="65"/>
      <c r="AB566" s="65"/>
      <c r="AC566" s="65"/>
      <c r="AD566" s="65"/>
    </row>
    <row r="567">
      <c r="A567" s="65"/>
      <c r="B567" s="64"/>
      <c r="C567" s="64"/>
      <c r="D567" s="64"/>
      <c r="E567" s="64"/>
      <c r="F567" s="64"/>
      <c r="G567" s="65"/>
      <c r="H567" s="65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  <c r="AA567" s="65"/>
      <c r="AB567" s="65"/>
      <c r="AC567" s="65"/>
      <c r="AD567" s="65"/>
    </row>
    <row r="568">
      <c r="A568" s="65"/>
      <c r="B568" s="64"/>
      <c r="C568" s="64"/>
      <c r="D568" s="64"/>
      <c r="E568" s="64"/>
      <c r="F568" s="64"/>
      <c r="G568" s="65"/>
      <c r="H568" s="65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  <c r="AA568" s="65"/>
      <c r="AB568" s="65"/>
      <c r="AC568" s="65"/>
      <c r="AD568" s="65"/>
    </row>
    <row r="569">
      <c r="A569" s="65"/>
      <c r="B569" s="64"/>
      <c r="C569" s="64"/>
      <c r="D569" s="64"/>
      <c r="E569" s="64"/>
      <c r="F569" s="64"/>
      <c r="G569" s="65"/>
      <c r="H569" s="65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  <c r="AA569" s="65"/>
      <c r="AB569" s="65"/>
      <c r="AC569" s="65"/>
      <c r="AD569" s="65"/>
    </row>
    <row r="570">
      <c r="A570" s="65"/>
      <c r="B570" s="64"/>
      <c r="C570" s="64"/>
      <c r="D570" s="64"/>
      <c r="E570" s="64"/>
      <c r="F570" s="64"/>
      <c r="G570" s="65"/>
      <c r="H570" s="65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  <c r="AA570" s="65"/>
      <c r="AB570" s="65"/>
      <c r="AC570" s="65"/>
      <c r="AD570" s="65"/>
    </row>
    <row r="571">
      <c r="A571" s="65"/>
      <c r="B571" s="64"/>
      <c r="C571" s="64"/>
      <c r="D571" s="64"/>
      <c r="E571" s="64"/>
      <c r="F571" s="64"/>
      <c r="G571" s="65"/>
      <c r="H571" s="65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  <c r="AA571" s="65"/>
      <c r="AB571" s="65"/>
      <c r="AC571" s="65"/>
      <c r="AD571" s="65"/>
    </row>
    <row r="572">
      <c r="A572" s="65"/>
      <c r="B572" s="64"/>
      <c r="C572" s="64"/>
      <c r="D572" s="64"/>
      <c r="E572" s="64"/>
      <c r="F572" s="64"/>
      <c r="G572" s="65"/>
      <c r="H572" s="65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  <c r="AA572" s="65"/>
      <c r="AB572" s="65"/>
      <c r="AC572" s="65"/>
      <c r="AD572" s="65"/>
    </row>
    <row r="573">
      <c r="A573" s="65"/>
      <c r="B573" s="64"/>
      <c r="C573" s="64"/>
      <c r="D573" s="64"/>
      <c r="E573" s="64"/>
      <c r="F573" s="64"/>
      <c r="G573" s="65"/>
      <c r="H573" s="65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  <c r="AA573" s="65"/>
      <c r="AB573" s="65"/>
      <c r="AC573" s="65"/>
      <c r="AD573" s="65"/>
    </row>
    <row r="574">
      <c r="A574" s="65"/>
      <c r="B574" s="64"/>
      <c r="C574" s="64"/>
      <c r="D574" s="64"/>
      <c r="E574" s="64"/>
      <c r="F574" s="64"/>
      <c r="G574" s="65"/>
      <c r="H574" s="65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  <c r="AA574" s="65"/>
      <c r="AB574" s="65"/>
      <c r="AC574" s="65"/>
      <c r="AD574" s="65"/>
    </row>
    <row r="575">
      <c r="A575" s="65"/>
      <c r="B575" s="64"/>
      <c r="C575" s="64"/>
      <c r="D575" s="64"/>
      <c r="E575" s="64"/>
      <c r="F575" s="64"/>
      <c r="G575" s="65"/>
      <c r="H575" s="65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  <c r="AA575" s="65"/>
      <c r="AB575" s="65"/>
      <c r="AC575" s="65"/>
      <c r="AD575" s="65"/>
    </row>
    <row r="576">
      <c r="A576" s="65"/>
      <c r="B576" s="64"/>
      <c r="C576" s="64"/>
      <c r="D576" s="64"/>
      <c r="E576" s="64"/>
      <c r="F576" s="64"/>
      <c r="G576" s="65"/>
      <c r="H576" s="65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  <c r="AA576" s="65"/>
      <c r="AB576" s="65"/>
      <c r="AC576" s="65"/>
      <c r="AD576" s="65"/>
    </row>
    <row r="577">
      <c r="A577" s="65"/>
      <c r="B577" s="64"/>
      <c r="C577" s="64"/>
      <c r="D577" s="64"/>
      <c r="E577" s="64"/>
      <c r="F577" s="64"/>
      <c r="G577" s="65"/>
      <c r="H577" s="65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  <c r="AA577" s="65"/>
      <c r="AB577" s="65"/>
      <c r="AC577" s="65"/>
      <c r="AD577" s="65"/>
    </row>
    <row r="578">
      <c r="A578" s="65"/>
      <c r="B578" s="64"/>
      <c r="C578" s="64"/>
      <c r="D578" s="64"/>
      <c r="E578" s="64"/>
      <c r="F578" s="64"/>
      <c r="G578" s="65"/>
      <c r="H578" s="65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  <c r="AA578" s="65"/>
      <c r="AB578" s="65"/>
      <c r="AC578" s="65"/>
      <c r="AD578" s="65"/>
    </row>
    <row r="579">
      <c r="A579" s="65"/>
      <c r="B579" s="64"/>
      <c r="C579" s="64"/>
      <c r="D579" s="64"/>
      <c r="E579" s="64"/>
      <c r="F579" s="64"/>
      <c r="G579" s="65"/>
      <c r="H579" s="65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  <c r="AA579" s="65"/>
      <c r="AB579" s="65"/>
      <c r="AC579" s="65"/>
      <c r="AD579" s="65"/>
    </row>
    <row r="580">
      <c r="A580" s="65"/>
      <c r="B580" s="64"/>
      <c r="C580" s="64"/>
      <c r="D580" s="64"/>
      <c r="E580" s="64"/>
      <c r="F580" s="64"/>
      <c r="G580" s="65"/>
      <c r="H580" s="65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  <c r="AA580" s="65"/>
      <c r="AB580" s="65"/>
      <c r="AC580" s="65"/>
      <c r="AD580" s="65"/>
    </row>
    <row r="581">
      <c r="A581" s="65"/>
      <c r="B581" s="64"/>
      <c r="C581" s="64"/>
      <c r="D581" s="64"/>
      <c r="E581" s="64"/>
      <c r="F581" s="64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  <c r="AA581" s="65"/>
      <c r="AB581" s="65"/>
      <c r="AC581" s="65"/>
      <c r="AD581" s="65"/>
    </row>
    <row r="582">
      <c r="A582" s="65"/>
      <c r="B582" s="64"/>
      <c r="C582" s="64"/>
      <c r="D582" s="64"/>
      <c r="E582" s="64"/>
      <c r="F582" s="64"/>
      <c r="G582" s="65"/>
      <c r="H582" s="65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  <c r="AA582" s="65"/>
      <c r="AB582" s="65"/>
      <c r="AC582" s="65"/>
      <c r="AD582" s="65"/>
    </row>
    <row r="583">
      <c r="A583" s="65"/>
      <c r="B583" s="64"/>
      <c r="C583" s="64"/>
      <c r="D583" s="64"/>
      <c r="E583" s="64"/>
      <c r="F583" s="64"/>
      <c r="G583" s="65"/>
      <c r="H583" s="65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  <c r="AA583" s="65"/>
      <c r="AB583" s="65"/>
      <c r="AC583" s="65"/>
      <c r="AD583" s="65"/>
    </row>
    <row r="584">
      <c r="A584" s="65"/>
      <c r="B584" s="64"/>
      <c r="C584" s="64"/>
      <c r="D584" s="64"/>
      <c r="E584" s="64"/>
      <c r="F584" s="64"/>
      <c r="G584" s="65"/>
      <c r="H584" s="65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  <c r="AA584" s="65"/>
      <c r="AB584" s="65"/>
      <c r="AC584" s="65"/>
      <c r="AD584" s="65"/>
    </row>
    <row r="585">
      <c r="A585" s="65"/>
      <c r="B585" s="64"/>
      <c r="C585" s="64"/>
      <c r="D585" s="64"/>
      <c r="E585" s="64"/>
      <c r="F585" s="64"/>
      <c r="G585" s="65"/>
      <c r="H585" s="65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  <c r="AA585" s="65"/>
      <c r="AB585" s="65"/>
      <c r="AC585" s="65"/>
      <c r="AD585" s="65"/>
    </row>
    <row r="586">
      <c r="A586" s="65"/>
      <c r="B586" s="64"/>
      <c r="C586" s="64"/>
      <c r="D586" s="64"/>
      <c r="E586" s="64"/>
      <c r="F586" s="64"/>
      <c r="G586" s="65"/>
      <c r="H586" s="65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  <c r="AA586" s="65"/>
      <c r="AB586" s="65"/>
      <c r="AC586" s="65"/>
      <c r="AD586" s="65"/>
    </row>
    <row r="587">
      <c r="A587" s="65"/>
      <c r="B587" s="64"/>
      <c r="C587" s="64"/>
      <c r="D587" s="64"/>
      <c r="E587" s="64"/>
      <c r="F587" s="64"/>
      <c r="G587" s="65"/>
      <c r="H587" s="65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  <c r="AA587" s="65"/>
      <c r="AB587" s="65"/>
      <c r="AC587" s="65"/>
      <c r="AD587" s="65"/>
    </row>
    <row r="588">
      <c r="A588" s="65"/>
      <c r="B588" s="64"/>
      <c r="C588" s="64"/>
      <c r="D588" s="64"/>
      <c r="E588" s="64"/>
      <c r="F588" s="64"/>
      <c r="G588" s="65"/>
      <c r="H588" s="65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  <c r="AA588" s="65"/>
      <c r="AB588" s="65"/>
      <c r="AC588" s="65"/>
      <c r="AD588" s="65"/>
    </row>
    <row r="589">
      <c r="A589" s="65"/>
      <c r="B589" s="64"/>
      <c r="C589" s="64"/>
      <c r="D589" s="64"/>
      <c r="E589" s="64"/>
      <c r="F589" s="64"/>
      <c r="G589" s="65"/>
      <c r="H589" s="65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  <c r="AA589" s="65"/>
      <c r="AB589" s="65"/>
      <c r="AC589" s="65"/>
      <c r="AD589" s="65"/>
    </row>
    <row r="590">
      <c r="A590" s="65"/>
      <c r="B590" s="64"/>
      <c r="C590" s="64"/>
      <c r="D590" s="64"/>
      <c r="E590" s="64"/>
      <c r="F590" s="64"/>
      <c r="G590" s="65"/>
      <c r="H590" s="65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  <c r="AA590" s="65"/>
      <c r="AB590" s="65"/>
      <c r="AC590" s="65"/>
      <c r="AD590" s="65"/>
    </row>
    <row r="591">
      <c r="A591" s="65"/>
      <c r="B591" s="64"/>
      <c r="C591" s="64"/>
      <c r="D591" s="64"/>
      <c r="E591" s="64"/>
      <c r="F591" s="64"/>
      <c r="G591" s="65"/>
      <c r="H591" s="65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  <c r="AA591" s="65"/>
      <c r="AB591" s="65"/>
      <c r="AC591" s="65"/>
      <c r="AD591" s="65"/>
    </row>
    <row r="592">
      <c r="A592" s="65"/>
      <c r="B592" s="64"/>
      <c r="C592" s="64"/>
      <c r="D592" s="64"/>
      <c r="E592" s="64"/>
      <c r="F592" s="64"/>
      <c r="G592" s="65"/>
      <c r="H592" s="65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  <c r="AA592" s="65"/>
      <c r="AB592" s="65"/>
      <c r="AC592" s="65"/>
      <c r="AD592" s="65"/>
    </row>
    <row r="593">
      <c r="A593" s="65"/>
      <c r="B593" s="64"/>
      <c r="C593" s="64"/>
      <c r="D593" s="64"/>
      <c r="E593" s="64"/>
      <c r="F593" s="64"/>
      <c r="G593" s="65"/>
      <c r="H593" s="65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  <c r="AA593" s="65"/>
      <c r="AB593" s="65"/>
      <c r="AC593" s="65"/>
      <c r="AD593" s="65"/>
    </row>
    <row r="594">
      <c r="A594" s="65"/>
      <c r="B594" s="64"/>
      <c r="C594" s="64"/>
      <c r="D594" s="64"/>
      <c r="E594" s="64"/>
      <c r="F594" s="64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  <c r="AA594" s="65"/>
      <c r="AB594" s="65"/>
      <c r="AC594" s="65"/>
      <c r="AD594" s="65"/>
    </row>
    <row r="595">
      <c r="A595" s="65"/>
      <c r="B595" s="64"/>
      <c r="C595" s="64"/>
      <c r="D595" s="64"/>
      <c r="E595" s="64"/>
      <c r="F595" s="64"/>
      <c r="G595" s="65"/>
      <c r="H595" s="65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  <c r="AA595" s="65"/>
      <c r="AB595" s="65"/>
      <c r="AC595" s="65"/>
      <c r="AD595" s="65"/>
    </row>
    <row r="596">
      <c r="A596" s="65"/>
      <c r="B596" s="64"/>
      <c r="C596" s="64"/>
      <c r="D596" s="64"/>
      <c r="E596" s="64"/>
      <c r="F596" s="64"/>
      <c r="G596" s="65"/>
      <c r="H596" s="65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  <c r="AA596" s="65"/>
      <c r="AB596" s="65"/>
      <c r="AC596" s="65"/>
      <c r="AD596" s="65"/>
    </row>
    <row r="597">
      <c r="A597" s="65"/>
      <c r="B597" s="64"/>
      <c r="C597" s="64"/>
      <c r="D597" s="64"/>
      <c r="E597" s="64"/>
      <c r="F597" s="64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  <c r="AA597" s="65"/>
      <c r="AB597" s="65"/>
      <c r="AC597" s="65"/>
      <c r="AD597" s="65"/>
    </row>
    <row r="598">
      <c r="A598" s="65"/>
      <c r="B598" s="64"/>
      <c r="C598" s="64"/>
      <c r="D598" s="64"/>
      <c r="E598" s="64"/>
      <c r="F598" s="64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  <c r="AA598" s="65"/>
      <c r="AB598" s="65"/>
      <c r="AC598" s="65"/>
      <c r="AD598" s="65"/>
    </row>
    <row r="599">
      <c r="A599" s="65"/>
      <c r="B599" s="64"/>
      <c r="C599" s="64"/>
      <c r="D599" s="64"/>
      <c r="E599" s="64"/>
      <c r="F599" s="64"/>
      <c r="G599" s="65"/>
      <c r="H599" s="65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  <c r="AA599" s="65"/>
      <c r="AB599" s="65"/>
      <c r="AC599" s="65"/>
      <c r="AD599" s="65"/>
    </row>
    <row r="600">
      <c r="A600" s="65"/>
      <c r="B600" s="64"/>
      <c r="C600" s="64"/>
      <c r="D600" s="64"/>
      <c r="E600" s="64"/>
      <c r="F600" s="64"/>
      <c r="G600" s="65"/>
      <c r="H600" s="65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  <c r="AA600" s="65"/>
      <c r="AB600" s="65"/>
      <c r="AC600" s="65"/>
      <c r="AD600" s="65"/>
    </row>
    <row r="601">
      <c r="A601" s="65"/>
      <c r="B601" s="64"/>
      <c r="C601" s="64"/>
      <c r="D601" s="64"/>
      <c r="E601" s="64"/>
      <c r="F601" s="64"/>
      <c r="G601" s="65"/>
      <c r="H601" s="65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  <c r="AA601" s="65"/>
      <c r="AB601" s="65"/>
      <c r="AC601" s="65"/>
      <c r="AD601" s="65"/>
    </row>
    <row r="602">
      <c r="A602" s="65"/>
      <c r="B602" s="64"/>
      <c r="C602" s="64"/>
      <c r="D602" s="64"/>
      <c r="E602" s="64"/>
      <c r="F602" s="64"/>
      <c r="G602" s="65"/>
      <c r="H602" s="65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  <c r="AA602" s="65"/>
      <c r="AB602" s="65"/>
      <c r="AC602" s="65"/>
      <c r="AD602" s="65"/>
    </row>
    <row r="603">
      <c r="A603" s="65"/>
      <c r="B603" s="64"/>
      <c r="C603" s="64"/>
      <c r="D603" s="64"/>
      <c r="E603" s="64"/>
      <c r="F603" s="64"/>
      <c r="G603" s="65"/>
      <c r="H603" s="65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  <c r="AA603" s="65"/>
      <c r="AB603" s="65"/>
      <c r="AC603" s="65"/>
      <c r="AD603" s="65"/>
    </row>
    <row r="604">
      <c r="A604" s="65"/>
      <c r="B604" s="64"/>
      <c r="C604" s="64"/>
      <c r="D604" s="64"/>
      <c r="E604" s="64"/>
      <c r="F604" s="64"/>
      <c r="G604" s="65"/>
      <c r="H604" s="65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  <c r="AA604" s="65"/>
      <c r="AB604" s="65"/>
      <c r="AC604" s="65"/>
      <c r="AD604" s="65"/>
    </row>
    <row r="605">
      <c r="A605" s="65"/>
      <c r="B605" s="64"/>
      <c r="C605" s="64"/>
      <c r="D605" s="64"/>
      <c r="E605" s="64"/>
      <c r="F605" s="64"/>
      <c r="G605" s="65"/>
      <c r="H605" s="65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  <c r="AA605" s="65"/>
      <c r="AB605" s="65"/>
      <c r="AC605" s="65"/>
      <c r="AD605" s="65"/>
    </row>
    <row r="606">
      <c r="A606" s="65"/>
      <c r="B606" s="64"/>
      <c r="C606" s="64"/>
      <c r="D606" s="64"/>
      <c r="E606" s="64"/>
      <c r="F606" s="64"/>
      <c r="G606" s="65"/>
      <c r="H606" s="65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  <c r="AA606" s="65"/>
      <c r="AB606" s="65"/>
      <c r="AC606" s="65"/>
      <c r="AD606" s="65"/>
    </row>
    <row r="607">
      <c r="A607" s="65"/>
      <c r="B607" s="64"/>
      <c r="C607" s="64"/>
      <c r="D607" s="64"/>
      <c r="E607" s="64"/>
      <c r="F607" s="64"/>
      <c r="G607" s="65"/>
      <c r="H607" s="65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  <c r="AA607" s="65"/>
      <c r="AB607" s="65"/>
      <c r="AC607" s="65"/>
      <c r="AD607" s="65"/>
    </row>
    <row r="608">
      <c r="A608" s="65"/>
      <c r="B608" s="64"/>
      <c r="C608" s="64"/>
      <c r="D608" s="64"/>
      <c r="E608" s="64"/>
      <c r="F608" s="64"/>
      <c r="G608" s="65"/>
      <c r="H608" s="65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  <c r="AA608" s="65"/>
      <c r="AB608" s="65"/>
      <c r="AC608" s="65"/>
      <c r="AD608" s="65"/>
    </row>
    <row r="609">
      <c r="A609" s="65"/>
      <c r="B609" s="64"/>
      <c r="C609" s="64"/>
      <c r="D609" s="64"/>
      <c r="E609" s="64"/>
      <c r="F609" s="64"/>
      <c r="G609" s="65"/>
      <c r="H609" s="65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  <c r="AA609" s="65"/>
      <c r="AB609" s="65"/>
      <c r="AC609" s="65"/>
      <c r="AD609" s="65"/>
    </row>
    <row r="610">
      <c r="A610" s="65"/>
      <c r="B610" s="64"/>
      <c r="C610" s="64"/>
      <c r="D610" s="64"/>
      <c r="E610" s="64"/>
      <c r="F610" s="64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  <c r="AA610" s="65"/>
      <c r="AB610" s="65"/>
      <c r="AC610" s="65"/>
      <c r="AD610" s="65"/>
    </row>
    <row r="611">
      <c r="A611" s="65"/>
      <c r="B611" s="64"/>
      <c r="C611" s="64"/>
      <c r="D611" s="64"/>
      <c r="E611" s="64"/>
      <c r="F611" s="64"/>
      <c r="G611" s="65"/>
      <c r="H611" s="65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  <c r="AA611" s="65"/>
      <c r="AB611" s="65"/>
      <c r="AC611" s="65"/>
      <c r="AD611" s="65"/>
    </row>
    <row r="612">
      <c r="A612" s="65"/>
      <c r="B612" s="64"/>
      <c r="C612" s="64"/>
      <c r="D612" s="64"/>
      <c r="E612" s="64"/>
      <c r="F612" s="64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  <c r="AA612" s="65"/>
      <c r="AB612" s="65"/>
      <c r="AC612" s="65"/>
      <c r="AD612" s="65"/>
    </row>
    <row r="613">
      <c r="A613" s="65"/>
      <c r="B613" s="64"/>
      <c r="C613" s="64"/>
      <c r="D613" s="64"/>
      <c r="E613" s="64"/>
      <c r="F613" s="64"/>
      <c r="G613" s="65"/>
      <c r="H613" s="65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  <c r="AA613" s="65"/>
      <c r="AB613" s="65"/>
      <c r="AC613" s="65"/>
      <c r="AD613" s="65"/>
    </row>
    <row r="614">
      <c r="A614" s="65"/>
      <c r="B614" s="64"/>
      <c r="C614" s="64"/>
      <c r="D614" s="64"/>
      <c r="E614" s="64"/>
      <c r="F614" s="64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  <c r="AA614" s="65"/>
      <c r="AB614" s="65"/>
      <c r="AC614" s="65"/>
      <c r="AD614" s="65"/>
    </row>
    <row r="615">
      <c r="A615" s="65"/>
      <c r="B615" s="64"/>
      <c r="C615" s="64"/>
      <c r="D615" s="64"/>
      <c r="E615" s="64"/>
      <c r="F615" s="64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  <c r="AA615" s="65"/>
      <c r="AB615" s="65"/>
      <c r="AC615" s="65"/>
      <c r="AD615" s="65"/>
    </row>
    <row r="616">
      <c r="A616" s="65"/>
      <c r="B616" s="64"/>
      <c r="C616" s="64"/>
      <c r="D616" s="64"/>
      <c r="E616" s="64"/>
      <c r="F616" s="64"/>
      <c r="G616" s="65"/>
      <c r="H616" s="65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  <c r="AA616" s="65"/>
      <c r="AB616" s="65"/>
      <c r="AC616" s="65"/>
      <c r="AD616" s="65"/>
    </row>
    <row r="617">
      <c r="A617" s="65"/>
      <c r="B617" s="64"/>
      <c r="C617" s="64"/>
      <c r="D617" s="64"/>
      <c r="E617" s="64"/>
      <c r="F617" s="64"/>
      <c r="G617" s="65"/>
      <c r="H617" s="65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  <c r="AA617" s="65"/>
      <c r="AB617" s="65"/>
      <c r="AC617" s="65"/>
      <c r="AD617" s="65"/>
    </row>
    <row r="618">
      <c r="A618" s="65"/>
      <c r="B618" s="64"/>
      <c r="C618" s="64"/>
      <c r="D618" s="64"/>
      <c r="E618" s="64"/>
      <c r="F618" s="64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  <c r="AA618" s="65"/>
      <c r="AB618" s="65"/>
      <c r="AC618" s="65"/>
      <c r="AD618" s="65"/>
    </row>
    <row r="619">
      <c r="A619" s="65"/>
      <c r="B619" s="64"/>
      <c r="C619" s="64"/>
      <c r="D619" s="64"/>
      <c r="E619" s="64"/>
      <c r="F619" s="64"/>
      <c r="G619" s="65"/>
      <c r="H619" s="65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  <c r="AA619" s="65"/>
      <c r="AB619" s="65"/>
      <c r="AC619" s="65"/>
      <c r="AD619" s="65"/>
    </row>
    <row r="620">
      <c r="A620" s="65"/>
      <c r="B620" s="64"/>
      <c r="C620" s="64"/>
      <c r="D620" s="64"/>
      <c r="E620" s="64"/>
      <c r="F620" s="64"/>
      <c r="G620" s="65"/>
      <c r="H620" s="65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  <c r="AA620" s="65"/>
      <c r="AB620" s="65"/>
      <c r="AC620" s="65"/>
      <c r="AD620" s="65"/>
    </row>
    <row r="621">
      <c r="A621" s="65"/>
      <c r="B621" s="64"/>
      <c r="C621" s="64"/>
      <c r="D621" s="64"/>
      <c r="E621" s="64"/>
      <c r="F621" s="64"/>
      <c r="G621" s="65"/>
      <c r="H621" s="65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  <c r="AA621" s="65"/>
      <c r="AB621" s="65"/>
      <c r="AC621" s="65"/>
      <c r="AD621" s="65"/>
    </row>
    <row r="622">
      <c r="A622" s="65"/>
      <c r="B622" s="64"/>
      <c r="C622" s="64"/>
      <c r="D622" s="64"/>
      <c r="E622" s="64"/>
      <c r="F622" s="64"/>
      <c r="G622" s="65"/>
      <c r="H622" s="65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  <c r="AA622" s="65"/>
      <c r="AB622" s="65"/>
      <c r="AC622" s="65"/>
      <c r="AD622" s="65"/>
    </row>
    <row r="623">
      <c r="A623" s="65"/>
      <c r="B623" s="64"/>
      <c r="C623" s="64"/>
      <c r="D623" s="64"/>
      <c r="E623" s="64"/>
      <c r="F623" s="64"/>
      <c r="G623" s="65"/>
      <c r="H623" s="65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  <c r="AA623" s="65"/>
      <c r="AB623" s="65"/>
      <c r="AC623" s="65"/>
      <c r="AD623" s="65"/>
    </row>
    <row r="624">
      <c r="A624" s="65"/>
      <c r="B624" s="64"/>
      <c r="C624" s="64"/>
      <c r="D624" s="64"/>
      <c r="E624" s="64"/>
      <c r="F624" s="64"/>
      <c r="G624" s="65"/>
      <c r="H624" s="65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  <c r="AA624" s="65"/>
      <c r="AB624" s="65"/>
      <c r="AC624" s="65"/>
      <c r="AD624" s="65"/>
    </row>
    <row r="625">
      <c r="A625" s="65"/>
      <c r="B625" s="64"/>
      <c r="C625" s="64"/>
      <c r="D625" s="64"/>
      <c r="E625" s="64"/>
      <c r="F625" s="64"/>
      <c r="G625" s="65"/>
      <c r="H625" s="65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  <c r="AA625" s="65"/>
      <c r="AB625" s="65"/>
      <c r="AC625" s="65"/>
      <c r="AD625" s="65"/>
    </row>
    <row r="626">
      <c r="A626" s="65"/>
      <c r="B626" s="64"/>
      <c r="C626" s="64"/>
      <c r="D626" s="64"/>
      <c r="E626" s="64"/>
      <c r="F626" s="64"/>
      <c r="G626" s="65"/>
      <c r="H626" s="65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  <c r="AA626" s="65"/>
      <c r="AB626" s="65"/>
      <c r="AC626" s="65"/>
      <c r="AD626" s="65"/>
    </row>
    <row r="627">
      <c r="A627" s="65"/>
      <c r="B627" s="64"/>
      <c r="C627" s="64"/>
      <c r="D627" s="64"/>
      <c r="E627" s="64"/>
      <c r="F627" s="64"/>
      <c r="G627" s="65"/>
      <c r="H627" s="65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  <c r="AA627" s="65"/>
      <c r="AB627" s="65"/>
      <c r="AC627" s="65"/>
      <c r="AD627" s="65"/>
    </row>
    <row r="628">
      <c r="A628" s="65"/>
      <c r="B628" s="64"/>
      <c r="C628" s="64"/>
      <c r="D628" s="64"/>
      <c r="E628" s="64"/>
      <c r="F628" s="64"/>
      <c r="G628" s="65"/>
      <c r="H628" s="65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  <c r="AA628" s="65"/>
      <c r="AB628" s="65"/>
      <c r="AC628" s="65"/>
      <c r="AD628" s="65"/>
    </row>
    <row r="629">
      <c r="A629" s="65"/>
      <c r="B629" s="64"/>
      <c r="C629" s="64"/>
      <c r="D629" s="64"/>
      <c r="E629" s="64"/>
      <c r="F629" s="64"/>
      <c r="G629" s="65"/>
      <c r="H629" s="65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  <c r="AA629" s="65"/>
      <c r="AB629" s="65"/>
      <c r="AC629" s="65"/>
      <c r="AD629" s="65"/>
    </row>
    <row r="630">
      <c r="A630" s="65"/>
      <c r="B630" s="64"/>
      <c r="C630" s="64"/>
      <c r="D630" s="64"/>
      <c r="E630" s="64"/>
      <c r="F630" s="64"/>
      <c r="G630" s="65"/>
      <c r="H630" s="65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  <c r="AA630" s="65"/>
      <c r="AB630" s="65"/>
      <c r="AC630" s="65"/>
      <c r="AD630" s="65"/>
    </row>
    <row r="631">
      <c r="A631" s="65"/>
      <c r="B631" s="64"/>
      <c r="C631" s="64"/>
      <c r="D631" s="64"/>
      <c r="E631" s="64"/>
      <c r="F631" s="64"/>
      <c r="G631" s="65"/>
      <c r="H631" s="65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  <c r="AA631" s="65"/>
      <c r="AB631" s="65"/>
      <c r="AC631" s="65"/>
      <c r="AD631" s="65"/>
    </row>
    <row r="632">
      <c r="A632" s="65"/>
      <c r="B632" s="64"/>
      <c r="C632" s="64"/>
      <c r="D632" s="64"/>
      <c r="E632" s="64"/>
      <c r="F632" s="64"/>
      <c r="G632" s="65"/>
      <c r="H632" s="65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  <c r="AA632" s="65"/>
      <c r="AB632" s="65"/>
      <c r="AC632" s="65"/>
      <c r="AD632" s="65"/>
    </row>
    <row r="633">
      <c r="A633" s="65"/>
      <c r="B633" s="64"/>
      <c r="C633" s="64"/>
      <c r="D633" s="64"/>
      <c r="E633" s="64"/>
      <c r="F633" s="64"/>
      <c r="G633" s="65"/>
      <c r="H633" s="65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  <c r="AA633" s="65"/>
      <c r="AB633" s="65"/>
      <c r="AC633" s="65"/>
      <c r="AD633" s="65"/>
    </row>
    <row r="634">
      <c r="A634" s="65"/>
      <c r="B634" s="64"/>
      <c r="C634" s="64"/>
      <c r="D634" s="64"/>
      <c r="E634" s="64"/>
      <c r="F634" s="64"/>
      <c r="G634" s="65"/>
      <c r="H634" s="65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  <c r="AA634" s="65"/>
      <c r="AB634" s="65"/>
      <c r="AC634" s="65"/>
      <c r="AD634" s="65"/>
    </row>
    <row r="635">
      <c r="A635" s="65"/>
      <c r="B635" s="64"/>
      <c r="C635" s="64"/>
      <c r="D635" s="64"/>
      <c r="E635" s="64"/>
      <c r="F635" s="64"/>
      <c r="G635" s="65"/>
      <c r="H635" s="65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  <c r="AA635" s="65"/>
      <c r="AB635" s="65"/>
      <c r="AC635" s="65"/>
      <c r="AD635" s="65"/>
    </row>
    <row r="636">
      <c r="A636" s="65"/>
      <c r="B636" s="64"/>
      <c r="C636" s="64"/>
      <c r="D636" s="64"/>
      <c r="E636" s="64"/>
      <c r="F636" s="64"/>
      <c r="G636" s="65"/>
      <c r="H636" s="65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  <c r="AA636" s="65"/>
      <c r="AB636" s="65"/>
      <c r="AC636" s="65"/>
      <c r="AD636" s="65"/>
    </row>
    <row r="637">
      <c r="A637" s="65"/>
      <c r="B637" s="64"/>
      <c r="C637" s="64"/>
      <c r="D637" s="64"/>
      <c r="E637" s="64"/>
      <c r="F637" s="64"/>
      <c r="G637" s="65"/>
      <c r="H637" s="65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  <c r="AA637" s="65"/>
      <c r="AB637" s="65"/>
      <c r="AC637" s="65"/>
      <c r="AD637" s="65"/>
    </row>
    <row r="638">
      <c r="A638" s="65"/>
      <c r="B638" s="64"/>
      <c r="C638" s="64"/>
      <c r="D638" s="64"/>
      <c r="E638" s="64"/>
      <c r="F638" s="64"/>
      <c r="G638" s="65"/>
      <c r="H638" s="65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  <c r="AA638" s="65"/>
      <c r="AB638" s="65"/>
      <c r="AC638" s="65"/>
      <c r="AD638" s="65"/>
    </row>
    <row r="639">
      <c r="A639" s="65"/>
      <c r="B639" s="64"/>
      <c r="C639" s="64"/>
      <c r="D639" s="64"/>
      <c r="E639" s="64"/>
      <c r="F639" s="64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  <c r="AA639" s="65"/>
      <c r="AB639" s="65"/>
      <c r="AC639" s="65"/>
      <c r="AD639" s="65"/>
    </row>
    <row r="640">
      <c r="A640" s="65"/>
      <c r="B640" s="64"/>
      <c r="C640" s="64"/>
      <c r="D640" s="64"/>
      <c r="E640" s="64"/>
      <c r="F640" s="64"/>
      <c r="G640" s="65"/>
      <c r="H640" s="65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  <c r="AA640" s="65"/>
      <c r="AB640" s="65"/>
      <c r="AC640" s="65"/>
      <c r="AD640" s="65"/>
    </row>
    <row r="641">
      <c r="A641" s="65"/>
      <c r="B641" s="64"/>
      <c r="C641" s="64"/>
      <c r="D641" s="64"/>
      <c r="E641" s="64"/>
      <c r="F641" s="64"/>
      <c r="G641" s="65"/>
      <c r="H641" s="65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  <c r="AA641" s="65"/>
      <c r="AB641" s="65"/>
      <c r="AC641" s="65"/>
      <c r="AD641" s="65"/>
    </row>
    <row r="642">
      <c r="A642" s="65"/>
      <c r="B642" s="64"/>
      <c r="C642" s="64"/>
      <c r="D642" s="64"/>
      <c r="E642" s="64"/>
      <c r="F642" s="64"/>
      <c r="G642" s="65"/>
      <c r="H642" s="65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  <c r="AA642" s="65"/>
      <c r="AB642" s="65"/>
      <c r="AC642" s="65"/>
      <c r="AD642" s="65"/>
    </row>
    <row r="643">
      <c r="A643" s="65"/>
      <c r="B643" s="64"/>
      <c r="C643" s="64"/>
      <c r="D643" s="64"/>
      <c r="E643" s="64"/>
      <c r="F643" s="64"/>
      <c r="G643" s="65"/>
      <c r="H643" s="65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  <c r="AA643" s="65"/>
      <c r="AB643" s="65"/>
      <c r="AC643" s="65"/>
      <c r="AD643" s="65"/>
    </row>
    <row r="644">
      <c r="A644" s="65"/>
      <c r="B644" s="64"/>
      <c r="C644" s="64"/>
      <c r="D644" s="64"/>
      <c r="E644" s="64"/>
      <c r="F644" s="64"/>
      <c r="G644" s="65"/>
      <c r="H644" s="65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  <c r="AA644" s="65"/>
      <c r="AB644" s="65"/>
      <c r="AC644" s="65"/>
      <c r="AD644" s="65"/>
    </row>
    <row r="645">
      <c r="A645" s="65"/>
      <c r="B645" s="64"/>
      <c r="C645" s="64"/>
      <c r="D645" s="64"/>
      <c r="E645" s="64"/>
      <c r="F645" s="64"/>
      <c r="G645" s="65"/>
      <c r="H645" s="65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  <c r="AA645" s="65"/>
      <c r="AB645" s="65"/>
      <c r="AC645" s="65"/>
      <c r="AD645" s="65"/>
    </row>
    <row r="646">
      <c r="A646" s="65"/>
      <c r="B646" s="64"/>
      <c r="C646" s="64"/>
      <c r="D646" s="64"/>
      <c r="E646" s="64"/>
      <c r="F646" s="64"/>
      <c r="G646" s="65"/>
      <c r="H646" s="65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  <c r="AA646" s="65"/>
      <c r="AB646" s="65"/>
      <c r="AC646" s="65"/>
      <c r="AD646" s="65"/>
    </row>
    <row r="647">
      <c r="A647" s="65"/>
      <c r="B647" s="64"/>
      <c r="C647" s="64"/>
      <c r="D647" s="64"/>
      <c r="E647" s="64"/>
      <c r="F647" s="64"/>
      <c r="G647" s="65"/>
      <c r="H647" s="65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  <c r="AA647" s="65"/>
      <c r="AB647" s="65"/>
      <c r="AC647" s="65"/>
      <c r="AD647" s="65"/>
    </row>
    <row r="648">
      <c r="A648" s="65"/>
      <c r="B648" s="64"/>
      <c r="C648" s="64"/>
      <c r="D648" s="64"/>
      <c r="E648" s="64"/>
      <c r="F648" s="64"/>
      <c r="G648" s="65"/>
      <c r="H648" s="65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  <c r="AA648" s="65"/>
      <c r="AB648" s="65"/>
      <c r="AC648" s="65"/>
      <c r="AD648" s="65"/>
    </row>
    <row r="649">
      <c r="A649" s="65"/>
      <c r="B649" s="64"/>
      <c r="C649" s="64"/>
      <c r="D649" s="64"/>
      <c r="E649" s="64"/>
      <c r="F649" s="64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  <c r="AA649" s="65"/>
      <c r="AB649" s="65"/>
      <c r="AC649" s="65"/>
      <c r="AD649" s="65"/>
    </row>
    <row r="650">
      <c r="A650" s="65"/>
      <c r="B650" s="64"/>
      <c r="C650" s="64"/>
      <c r="D650" s="64"/>
      <c r="E650" s="64"/>
      <c r="F650" s="64"/>
      <c r="G650" s="65"/>
      <c r="H650" s="65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  <c r="AA650" s="65"/>
      <c r="AB650" s="65"/>
      <c r="AC650" s="65"/>
      <c r="AD650" s="65"/>
    </row>
    <row r="651">
      <c r="A651" s="65"/>
      <c r="B651" s="64"/>
      <c r="C651" s="64"/>
      <c r="D651" s="64"/>
      <c r="E651" s="64"/>
      <c r="F651" s="64"/>
      <c r="G651" s="65"/>
      <c r="H651" s="65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  <c r="AA651" s="65"/>
      <c r="AB651" s="65"/>
      <c r="AC651" s="65"/>
      <c r="AD651" s="65"/>
    </row>
    <row r="652">
      <c r="A652" s="65"/>
      <c r="B652" s="64"/>
      <c r="C652" s="64"/>
      <c r="D652" s="64"/>
      <c r="E652" s="64"/>
      <c r="F652" s="64"/>
      <c r="G652" s="65"/>
      <c r="H652" s="65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  <c r="AA652" s="65"/>
      <c r="AB652" s="65"/>
      <c r="AC652" s="65"/>
      <c r="AD652" s="65"/>
    </row>
    <row r="653">
      <c r="A653" s="65"/>
      <c r="B653" s="64"/>
      <c r="C653" s="64"/>
      <c r="D653" s="64"/>
      <c r="E653" s="64"/>
      <c r="F653" s="64"/>
      <c r="G653" s="65"/>
      <c r="H653" s="65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  <c r="AA653" s="65"/>
      <c r="AB653" s="65"/>
      <c r="AC653" s="65"/>
      <c r="AD653" s="65"/>
    </row>
    <row r="654">
      <c r="A654" s="65"/>
      <c r="B654" s="64"/>
      <c r="C654" s="64"/>
      <c r="D654" s="64"/>
      <c r="E654" s="64"/>
      <c r="F654" s="64"/>
      <c r="G654" s="65"/>
      <c r="H654" s="65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  <c r="AA654" s="65"/>
      <c r="AB654" s="65"/>
      <c r="AC654" s="65"/>
      <c r="AD654" s="65"/>
    </row>
    <row r="655">
      <c r="A655" s="65"/>
      <c r="B655" s="64"/>
      <c r="C655" s="64"/>
      <c r="D655" s="64"/>
      <c r="E655" s="64"/>
      <c r="F655" s="64"/>
      <c r="G655" s="65"/>
      <c r="H655" s="65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  <c r="AA655" s="65"/>
      <c r="AB655" s="65"/>
      <c r="AC655" s="65"/>
      <c r="AD655" s="65"/>
    </row>
    <row r="656">
      <c r="A656" s="65"/>
      <c r="B656" s="64"/>
      <c r="C656" s="64"/>
      <c r="D656" s="64"/>
      <c r="E656" s="64"/>
      <c r="F656" s="64"/>
      <c r="G656" s="65"/>
      <c r="H656" s="65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  <c r="AA656" s="65"/>
      <c r="AB656" s="65"/>
      <c r="AC656" s="65"/>
      <c r="AD656" s="65"/>
    </row>
    <row r="657">
      <c r="A657" s="65"/>
      <c r="B657" s="64"/>
      <c r="C657" s="64"/>
      <c r="D657" s="64"/>
      <c r="E657" s="64"/>
      <c r="F657" s="64"/>
      <c r="G657" s="65"/>
      <c r="H657" s="65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  <c r="AA657" s="65"/>
      <c r="AB657" s="65"/>
      <c r="AC657" s="65"/>
      <c r="AD657" s="65"/>
    </row>
    <row r="658">
      <c r="A658" s="65"/>
      <c r="B658" s="64"/>
      <c r="C658" s="64"/>
      <c r="D658" s="64"/>
      <c r="E658" s="64"/>
      <c r="F658" s="64"/>
      <c r="G658" s="65"/>
      <c r="H658" s="65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  <c r="AA658" s="65"/>
      <c r="AB658" s="65"/>
      <c r="AC658" s="65"/>
      <c r="AD658" s="65"/>
    </row>
    <row r="659">
      <c r="A659" s="65"/>
      <c r="B659" s="64"/>
      <c r="C659" s="64"/>
      <c r="D659" s="64"/>
      <c r="E659" s="64"/>
      <c r="F659" s="64"/>
      <c r="G659" s="65"/>
      <c r="H659" s="65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  <c r="AA659" s="65"/>
      <c r="AB659" s="65"/>
      <c r="AC659" s="65"/>
      <c r="AD659" s="65"/>
    </row>
    <row r="660">
      <c r="A660" s="65"/>
      <c r="B660" s="64"/>
      <c r="C660" s="64"/>
      <c r="D660" s="64"/>
      <c r="E660" s="64"/>
      <c r="F660" s="64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  <c r="AA660" s="65"/>
      <c r="AB660" s="65"/>
      <c r="AC660" s="65"/>
      <c r="AD660" s="65"/>
    </row>
    <row r="661">
      <c r="A661" s="65"/>
      <c r="B661" s="64"/>
      <c r="C661" s="64"/>
      <c r="D661" s="64"/>
      <c r="E661" s="64"/>
      <c r="F661" s="64"/>
      <c r="G661" s="65"/>
      <c r="H661" s="65"/>
      <c r="I661" s="65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  <c r="AA661" s="65"/>
      <c r="AB661" s="65"/>
      <c r="AC661" s="65"/>
      <c r="AD661" s="65"/>
    </row>
    <row r="662">
      <c r="A662" s="65"/>
      <c r="B662" s="64"/>
      <c r="C662" s="64"/>
      <c r="D662" s="64"/>
      <c r="E662" s="64"/>
      <c r="F662" s="64"/>
      <c r="G662" s="65"/>
      <c r="H662" s="65"/>
      <c r="I662" s="65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  <c r="AA662" s="65"/>
      <c r="AB662" s="65"/>
      <c r="AC662" s="65"/>
      <c r="AD662" s="65"/>
    </row>
    <row r="663">
      <c r="A663" s="65"/>
      <c r="B663" s="64"/>
      <c r="C663" s="64"/>
      <c r="D663" s="64"/>
      <c r="E663" s="64"/>
      <c r="F663" s="64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  <c r="AA663" s="65"/>
      <c r="AB663" s="65"/>
      <c r="AC663" s="65"/>
      <c r="AD663" s="65"/>
    </row>
    <row r="664">
      <c r="A664" s="65"/>
      <c r="B664" s="64"/>
      <c r="C664" s="64"/>
      <c r="D664" s="64"/>
      <c r="E664" s="64"/>
      <c r="F664" s="64"/>
      <c r="G664" s="65"/>
      <c r="H664" s="65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  <c r="AA664" s="65"/>
      <c r="AB664" s="65"/>
      <c r="AC664" s="65"/>
      <c r="AD664" s="65"/>
    </row>
    <row r="665">
      <c r="A665" s="65"/>
      <c r="B665" s="64"/>
      <c r="C665" s="64"/>
      <c r="D665" s="64"/>
      <c r="E665" s="64"/>
      <c r="F665" s="64"/>
      <c r="G665" s="65"/>
      <c r="H665" s="65"/>
      <c r="I665" s="65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  <c r="AA665" s="65"/>
      <c r="AB665" s="65"/>
      <c r="AC665" s="65"/>
      <c r="AD665" s="65"/>
    </row>
    <row r="666">
      <c r="A666" s="65"/>
      <c r="B666" s="64"/>
      <c r="C666" s="64"/>
      <c r="D666" s="64"/>
      <c r="E666" s="64"/>
      <c r="F666" s="64"/>
      <c r="G666" s="65"/>
      <c r="H666" s="65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  <c r="AA666" s="65"/>
      <c r="AB666" s="65"/>
      <c r="AC666" s="65"/>
      <c r="AD666" s="65"/>
    </row>
    <row r="667">
      <c r="A667" s="65"/>
      <c r="B667" s="64"/>
      <c r="C667" s="64"/>
      <c r="D667" s="64"/>
      <c r="E667" s="64"/>
      <c r="F667" s="64"/>
      <c r="G667" s="65"/>
      <c r="H667" s="65"/>
      <c r="I667" s="65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  <c r="AA667" s="65"/>
      <c r="AB667" s="65"/>
      <c r="AC667" s="65"/>
      <c r="AD667" s="65"/>
    </row>
    <row r="668">
      <c r="A668" s="65"/>
      <c r="B668" s="64"/>
      <c r="C668" s="64"/>
      <c r="D668" s="64"/>
      <c r="E668" s="64"/>
      <c r="F668" s="64"/>
      <c r="G668" s="65"/>
      <c r="H668" s="65"/>
      <c r="I668" s="65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  <c r="AA668" s="65"/>
      <c r="AB668" s="65"/>
      <c r="AC668" s="65"/>
      <c r="AD668" s="65"/>
    </row>
    <row r="669">
      <c r="A669" s="65"/>
      <c r="B669" s="64"/>
      <c r="C669" s="64"/>
      <c r="D669" s="64"/>
      <c r="E669" s="64"/>
      <c r="F669" s="64"/>
      <c r="G669" s="65"/>
      <c r="H669" s="65"/>
      <c r="I669" s="65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  <c r="AA669" s="65"/>
      <c r="AB669" s="65"/>
      <c r="AC669" s="65"/>
      <c r="AD669" s="65"/>
    </row>
    <row r="670">
      <c r="A670" s="65"/>
      <c r="B670" s="64"/>
      <c r="C670" s="64"/>
      <c r="D670" s="64"/>
      <c r="E670" s="64"/>
      <c r="F670" s="64"/>
      <c r="G670" s="65"/>
      <c r="H670" s="65"/>
      <c r="I670" s="65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  <c r="AA670" s="65"/>
      <c r="AB670" s="65"/>
      <c r="AC670" s="65"/>
      <c r="AD670" s="65"/>
    </row>
    <row r="671">
      <c r="A671" s="65"/>
      <c r="B671" s="64"/>
      <c r="C671" s="64"/>
      <c r="D671" s="64"/>
      <c r="E671" s="64"/>
      <c r="F671" s="64"/>
      <c r="G671" s="65"/>
      <c r="H671" s="65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  <c r="AA671" s="65"/>
      <c r="AB671" s="65"/>
      <c r="AC671" s="65"/>
      <c r="AD671" s="65"/>
    </row>
    <row r="672">
      <c r="A672" s="65"/>
      <c r="B672" s="64"/>
      <c r="C672" s="64"/>
      <c r="D672" s="64"/>
      <c r="E672" s="64"/>
      <c r="F672" s="64"/>
      <c r="G672" s="65"/>
      <c r="H672" s="65"/>
      <c r="I672" s="65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  <c r="AA672" s="65"/>
      <c r="AB672" s="65"/>
      <c r="AC672" s="65"/>
      <c r="AD672" s="65"/>
    </row>
    <row r="673">
      <c r="A673" s="65"/>
      <c r="B673" s="64"/>
      <c r="C673" s="64"/>
      <c r="D673" s="64"/>
      <c r="E673" s="64"/>
      <c r="F673" s="64"/>
      <c r="G673" s="65"/>
      <c r="H673" s="65"/>
      <c r="I673" s="65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  <c r="AA673" s="65"/>
      <c r="AB673" s="65"/>
      <c r="AC673" s="65"/>
      <c r="AD673" s="65"/>
    </row>
    <row r="674">
      <c r="A674" s="65"/>
      <c r="B674" s="64"/>
      <c r="C674" s="64"/>
      <c r="D674" s="64"/>
      <c r="E674" s="64"/>
      <c r="F674" s="64"/>
      <c r="G674" s="65"/>
      <c r="H674" s="65"/>
      <c r="I674" s="65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  <c r="AA674" s="65"/>
      <c r="AB674" s="65"/>
      <c r="AC674" s="65"/>
      <c r="AD674" s="65"/>
    </row>
    <row r="675">
      <c r="A675" s="65"/>
      <c r="B675" s="64"/>
      <c r="C675" s="64"/>
      <c r="D675" s="64"/>
      <c r="E675" s="64"/>
      <c r="F675" s="64"/>
      <c r="G675" s="65"/>
      <c r="H675" s="65"/>
      <c r="I675" s="65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  <c r="AA675" s="65"/>
      <c r="AB675" s="65"/>
      <c r="AC675" s="65"/>
      <c r="AD675" s="65"/>
    </row>
    <row r="676">
      <c r="A676" s="65"/>
      <c r="B676" s="64"/>
      <c r="C676" s="64"/>
      <c r="D676" s="64"/>
      <c r="E676" s="64"/>
      <c r="F676" s="64"/>
      <c r="G676" s="65"/>
      <c r="H676" s="65"/>
      <c r="I676" s="65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  <c r="AA676" s="65"/>
      <c r="AB676" s="65"/>
      <c r="AC676" s="65"/>
      <c r="AD676" s="65"/>
    </row>
    <row r="677">
      <c r="A677" s="65"/>
      <c r="B677" s="64"/>
      <c r="C677" s="64"/>
      <c r="D677" s="64"/>
      <c r="E677" s="64"/>
      <c r="F677" s="64"/>
      <c r="G677" s="65"/>
      <c r="H677" s="65"/>
      <c r="I677" s="65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  <c r="AA677" s="65"/>
      <c r="AB677" s="65"/>
      <c r="AC677" s="65"/>
      <c r="AD677" s="65"/>
    </row>
    <row r="678">
      <c r="A678" s="65"/>
      <c r="B678" s="64"/>
      <c r="C678" s="64"/>
      <c r="D678" s="64"/>
      <c r="E678" s="64"/>
      <c r="F678" s="64"/>
      <c r="G678" s="65"/>
      <c r="H678" s="65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  <c r="AA678" s="65"/>
      <c r="AB678" s="65"/>
      <c r="AC678" s="65"/>
      <c r="AD678" s="65"/>
    </row>
    <row r="679">
      <c r="A679" s="65"/>
      <c r="B679" s="64"/>
      <c r="C679" s="64"/>
      <c r="D679" s="64"/>
      <c r="E679" s="64"/>
      <c r="F679" s="64"/>
      <c r="G679" s="65"/>
      <c r="H679" s="65"/>
      <c r="I679" s="65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  <c r="AA679" s="65"/>
      <c r="AB679" s="65"/>
      <c r="AC679" s="65"/>
      <c r="AD679" s="65"/>
    </row>
    <row r="680">
      <c r="A680" s="65"/>
      <c r="B680" s="64"/>
      <c r="C680" s="64"/>
      <c r="D680" s="64"/>
      <c r="E680" s="64"/>
      <c r="F680" s="64"/>
      <c r="G680" s="65"/>
      <c r="H680" s="65"/>
      <c r="I680" s="65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  <c r="AA680" s="65"/>
      <c r="AB680" s="65"/>
      <c r="AC680" s="65"/>
      <c r="AD680" s="65"/>
    </row>
    <row r="681">
      <c r="A681" s="65"/>
      <c r="B681" s="64"/>
      <c r="C681" s="64"/>
      <c r="D681" s="64"/>
      <c r="E681" s="64"/>
      <c r="F681" s="64"/>
      <c r="G681" s="65"/>
      <c r="H681" s="65"/>
      <c r="I681" s="65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  <c r="AA681" s="65"/>
      <c r="AB681" s="65"/>
      <c r="AC681" s="65"/>
      <c r="AD681" s="65"/>
    </row>
    <row r="682">
      <c r="A682" s="65"/>
      <c r="B682" s="64"/>
      <c r="C682" s="64"/>
      <c r="D682" s="64"/>
      <c r="E682" s="64"/>
      <c r="F682" s="64"/>
      <c r="G682" s="65"/>
      <c r="H682" s="65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  <c r="AA682" s="65"/>
      <c r="AB682" s="65"/>
      <c r="AC682" s="65"/>
      <c r="AD682" s="65"/>
    </row>
    <row r="683">
      <c r="A683" s="65"/>
      <c r="B683" s="64"/>
      <c r="C683" s="64"/>
      <c r="D683" s="64"/>
      <c r="E683" s="64"/>
      <c r="F683" s="64"/>
      <c r="G683" s="65"/>
      <c r="H683" s="65"/>
      <c r="I683" s="65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  <c r="AA683" s="65"/>
      <c r="AB683" s="65"/>
      <c r="AC683" s="65"/>
      <c r="AD683" s="65"/>
    </row>
    <row r="684">
      <c r="A684" s="65"/>
      <c r="B684" s="64"/>
      <c r="C684" s="64"/>
      <c r="D684" s="64"/>
      <c r="E684" s="64"/>
      <c r="F684" s="64"/>
      <c r="G684" s="65"/>
      <c r="H684" s="65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  <c r="AA684" s="65"/>
      <c r="AB684" s="65"/>
      <c r="AC684" s="65"/>
      <c r="AD684" s="65"/>
    </row>
    <row r="685">
      <c r="A685" s="65"/>
      <c r="B685" s="64"/>
      <c r="C685" s="64"/>
      <c r="D685" s="64"/>
      <c r="E685" s="64"/>
      <c r="F685" s="64"/>
      <c r="G685" s="65"/>
      <c r="H685" s="65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  <c r="AA685" s="65"/>
      <c r="AB685" s="65"/>
      <c r="AC685" s="65"/>
      <c r="AD685" s="65"/>
    </row>
    <row r="686">
      <c r="A686" s="65"/>
      <c r="B686" s="64"/>
      <c r="C686" s="64"/>
      <c r="D686" s="64"/>
      <c r="E686" s="64"/>
      <c r="F686" s="64"/>
      <c r="G686" s="65"/>
      <c r="H686" s="65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  <c r="AA686" s="65"/>
      <c r="AB686" s="65"/>
      <c r="AC686" s="65"/>
      <c r="AD686" s="65"/>
    </row>
    <row r="687">
      <c r="A687" s="65"/>
      <c r="B687" s="64"/>
      <c r="C687" s="64"/>
      <c r="D687" s="64"/>
      <c r="E687" s="64"/>
      <c r="F687" s="64"/>
      <c r="G687" s="65"/>
      <c r="H687" s="65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  <c r="AA687" s="65"/>
      <c r="AB687" s="65"/>
      <c r="AC687" s="65"/>
      <c r="AD687" s="65"/>
    </row>
    <row r="688">
      <c r="A688" s="65"/>
      <c r="B688" s="64"/>
      <c r="C688" s="64"/>
      <c r="D688" s="64"/>
      <c r="E688" s="64"/>
      <c r="F688" s="64"/>
      <c r="G688" s="65"/>
      <c r="H688" s="65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  <c r="AA688" s="65"/>
      <c r="AB688" s="65"/>
      <c r="AC688" s="65"/>
      <c r="AD688" s="65"/>
    </row>
    <row r="689">
      <c r="A689" s="65"/>
      <c r="B689" s="64"/>
      <c r="C689" s="64"/>
      <c r="D689" s="64"/>
      <c r="E689" s="64"/>
      <c r="F689" s="64"/>
      <c r="G689" s="65"/>
      <c r="H689" s="65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  <c r="AA689" s="65"/>
      <c r="AB689" s="65"/>
      <c r="AC689" s="65"/>
      <c r="AD689" s="65"/>
    </row>
    <row r="690">
      <c r="A690" s="65"/>
      <c r="B690" s="64"/>
      <c r="C690" s="64"/>
      <c r="D690" s="64"/>
      <c r="E690" s="64"/>
      <c r="F690" s="64"/>
      <c r="G690" s="65"/>
      <c r="H690" s="65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  <c r="AA690" s="65"/>
      <c r="AB690" s="65"/>
      <c r="AC690" s="65"/>
      <c r="AD690" s="65"/>
    </row>
    <row r="691">
      <c r="A691" s="65"/>
      <c r="B691" s="64"/>
      <c r="C691" s="64"/>
      <c r="D691" s="64"/>
      <c r="E691" s="64"/>
      <c r="F691" s="64"/>
      <c r="G691" s="65"/>
      <c r="H691" s="65"/>
      <c r="I691" s="65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  <c r="AA691" s="65"/>
      <c r="AB691" s="65"/>
      <c r="AC691" s="65"/>
      <c r="AD691" s="65"/>
    </row>
    <row r="692">
      <c r="A692" s="65"/>
      <c r="B692" s="64"/>
      <c r="C692" s="64"/>
      <c r="D692" s="64"/>
      <c r="E692" s="64"/>
      <c r="F692" s="64"/>
      <c r="G692" s="65"/>
      <c r="H692" s="65"/>
      <c r="I692" s="65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  <c r="AA692" s="65"/>
      <c r="AB692" s="65"/>
      <c r="AC692" s="65"/>
      <c r="AD692" s="65"/>
    </row>
    <row r="693">
      <c r="A693" s="65"/>
      <c r="B693" s="64"/>
      <c r="C693" s="64"/>
      <c r="D693" s="64"/>
      <c r="E693" s="64"/>
      <c r="F693" s="64"/>
      <c r="G693" s="65"/>
      <c r="H693" s="65"/>
      <c r="I693" s="65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  <c r="AA693" s="65"/>
      <c r="AB693" s="65"/>
      <c r="AC693" s="65"/>
      <c r="AD693" s="65"/>
    </row>
    <row r="694">
      <c r="A694" s="65"/>
      <c r="B694" s="64"/>
      <c r="C694" s="64"/>
      <c r="D694" s="64"/>
      <c r="E694" s="64"/>
      <c r="F694" s="64"/>
      <c r="G694" s="65"/>
      <c r="H694" s="65"/>
      <c r="I694" s="65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  <c r="AA694" s="65"/>
      <c r="AB694" s="65"/>
      <c r="AC694" s="65"/>
      <c r="AD694" s="65"/>
    </row>
    <row r="695">
      <c r="A695" s="65"/>
      <c r="B695" s="64"/>
      <c r="C695" s="64"/>
      <c r="D695" s="64"/>
      <c r="E695" s="64"/>
      <c r="F695" s="64"/>
      <c r="G695" s="65"/>
      <c r="H695" s="65"/>
      <c r="I695" s="65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  <c r="AA695" s="65"/>
      <c r="AB695" s="65"/>
      <c r="AC695" s="65"/>
      <c r="AD695" s="65"/>
    </row>
    <row r="696">
      <c r="A696" s="65"/>
      <c r="B696" s="64"/>
      <c r="C696" s="64"/>
      <c r="D696" s="64"/>
      <c r="E696" s="64"/>
      <c r="F696" s="64"/>
      <c r="G696" s="65"/>
      <c r="H696" s="65"/>
      <c r="I696" s="65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  <c r="AA696" s="65"/>
      <c r="AB696" s="65"/>
      <c r="AC696" s="65"/>
      <c r="AD696" s="65"/>
    </row>
    <row r="697">
      <c r="A697" s="65"/>
      <c r="B697" s="64"/>
      <c r="C697" s="64"/>
      <c r="D697" s="64"/>
      <c r="E697" s="64"/>
      <c r="F697" s="64"/>
      <c r="G697" s="65"/>
      <c r="H697" s="65"/>
      <c r="I697" s="65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  <c r="AA697" s="65"/>
      <c r="AB697" s="65"/>
      <c r="AC697" s="65"/>
      <c r="AD697" s="65"/>
    </row>
    <row r="698">
      <c r="A698" s="65"/>
      <c r="B698" s="64"/>
      <c r="C698" s="64"/>
      <c r="D698" s="64"/>
      <c r="E698" s="64"/>
      <c r="F698" s="64"/>
      <c r="G698" s="65"/>
      <c r="H698" s="65"/>
      <c r="I698" s="65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  <c r="AA698" s="65"/>
      <c r="AB698" s="65"/>
      <c r="AC698" s="65"/>
      <c r="AD698" s="65"/>
    </row>
    <row r="699">
      <c r="A699" s="65"/>
      <c r="B699" s="64"/>
      <c r="C699" s="64"/>
      <c r="D699" s="64"/>
      <c r="E699" s="64"/>
      <c r="F699" s="64"/>
      <c r="G699" s="65"/>
      <c r="H699" s="65"/>
      <c r="I699" s="65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  <c r="AA699" s="65"/>
      <c r="AB699" s="65"/>
      <c r="AC699" s="65"/>
      <c r="AD699" s="65"/>
    </row>
    <row r="700">
      <c r="A700" s="65"/>
      <c r="B700" s="64"/>
      <c r="C700" s="64"/>
      <c r="D700" s="64"/>
      <c r="E700" s="64"/>
      <c r="F700" s="64"/>
      <c r="G700" s="65"/>
      <c r="H700" s="65"/>
      <c r="I700" s="65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  <c r="AA700" s="65"/>
      <c r="AB700" s="65"/>
      <c r="AC700" s="65"/>
      <c r="AD700" s="65"/>
    </row>
    <row r="701">
      <c r="A701" s="65"/>
      <c r="B701" s="64"/>
      <c r="C701" s="64"/>
      <c r="D701" s="64"/>
      <c r="E701" s="64"/>
      <c r="F701" s="64"/>
      <c r="G701" s="65"/>
      <c r="H701" s="65"/>
      <c r="I701" s="65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  <c r="AA701" s="65"/>
      <c r="AB701" s="65"/>
      <c r="AC701" s="65"/>
      <c r="AD701" s="65"/>
    </row>
    <row r="702">
      <c r="A702" s="65"/>
      <c r="B702" s="64"/>
      <c r="C702" s="64"/>
      <c r="D702" s="64"/>
      <c r="E702" s="64"/>
      <c r="F702" s="64"/>
      <c r="G702" s="65"/>
      <c r="H702" s="65"/>
      <c r="I702" s="65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  <c r="AA702" s="65"/>
      <c r="AB702" s="65"/>
      <c r="AC702" s="65"/>
      <c r="AD702" s="65"/>
    </row>
    <row r="703">
      <c r="A703" s="65"/>
      <c r="B703" s="64"/>
      <c r="C703" s="64"/>
      <c r="D703" s="64"/>
      <c r="E703" s="64"/>
      <c r="F703" s="64"/>
      <c r="G703" s="65"/>
      <c r="H703" s="65"/>
      <c r="I703" s="65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  <c r="AA703" s="65"/>
      <c r="AB703" s="65"/>
      <c r="AC703" s="65"/>
      <c r="AD703" s="65"/>
    </row>
    <row r="704">
      <c r="A704" s="65"/>
      <c r="B704" s="64"/>
      <c r="C704" s="64"/>
      <c r="D704" s="64"/>
      <c r="E704" s="64"/>
      <c r="F704" s="64"/>
      <c r="G704" s="65"/>
      <c r="H704" s="65"/>
      <c r="I704" s="65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  <c r="AA704" s="65"/>
      <c r="AB704" s="65"/>
      <c r="AC704" s="65"/>
      <c r="AD704" s="65"/>
    </row>
    <row r="705">
      <c r="A705" s="65"/>
      <c r="B705" s="64"/>
      <c r="C705" s="64"/>
      <c r="D705" s="64"/>
      <c r="E705" s="64"/>
      <c r="F705" s="64"/>
      <c r="G705" s="65"/>
      <c r="H705" s="65"/>
      <c r="I705" s="65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  <c r="AA705" s="65"/>
      <c r="AB705" s="65"/>
      <c r="AC705" s="65"/>
      <c r="AD705" s="65"/>
    </row>
    <row r="706">
      <c r="A706" s="65"/>
      <c r="B706" s="64"/>
      <c r="C706" s="64"/>
      <c r="D706" s="64"/>
      <c r="E706" s="64"/>
      <c r="F706" s="64"/>
      <c r="G706" s="65"/>
      <c r="H706" s="65"/>
      <c r="I706" s="65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  <c r="AA706" s="65"/>
      <c r="AB706" s="65"/>
      <c r="AC706" s="65"/>
      <c r="AD706" s="65"/>
    </row>
    <row r="707">
      <c r="A707" s="65"/>
      <c r="B707" s="64"/>
      <c r="C707" s="64"/>
      <c r="D707" s="64"/>
      <c r="E707" s="64"/>
      <c r="F707" s="64"/>
      <c r="G707" s="65"/>
      <c r="H707" s="65"/>
      <c r="I707" s="65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  <c r="AA707" s="65"/>
      <c r="AB707" s="65"/>
      <c r="AC707" s="65"/>
      <c r="AD707" s="65"/>
    </row>
    <row r="708">
      <c r="A708" s="65"/>
      <c r="B708" s="64"/>
      <c r="C708" s="64"/>
      <c r="D708" s="64"/>
      <c r="E708" s="64"/>
      <c r="F708" s="64"/>
      <c r="G708" s="65"/>
      <c r="H708" s="65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  <c r="AA708" s="65"/>
      <c r="AB708" s="65"/>
      <c r="AC708" s="65"/>
      <c r="AD708" s="65"/>
    </row>
    <row r="709">
      <c r="A709" s="65"/>
      <c r="B709" s="64"/>
      <c r="C709" s="64"/>
      <c r="D709" s="64"/>
      <c r="E709" s="64"/>
      <c r="F709" s="64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  <c r="AA709" s="65"/>
      <c r="AB709" s="65"/>
      <c r="AC709" s="65"/>
      <c r="AD709" s="65"/>
    </row>
    <row r="710">
      <c r="A710" s="65"/>
      <c r="B710" s="64"/>
      <c r="C710" s="64"/>
      <c r="D710" s="64"/>
      <c r="E710" s="64"/>
      <c r="F710" s="64"/>
      <c r="G710" s="65"/>
      <c r="H710" s="65"/>
      <c r="I710" s="65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  <c r="AA710" s="65"/>
      <c r="AB710" s="65"/>
      <c r="AC710" s="65"/>
      <c r="AD710" s="65"/>
    </row>
    <row r="711">
      <c r="A711" s="65"/>
      <c r="B711" s="64"/>
      <c r="C711" s="64"/>
      <c r="D711" s="64"/>
      <c r="E711" s="64"/>
      <c r="F711" s="64"/>
      <c r="G711" s="65"/>
      <c r="H711" s="65"/>
      <c r="I711" s="65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  <c r="AA711" s="65"/>
      <c r="AB711" s="65"/>
      <c r="AC711" s="65"/>
      <c r="AD711" s="65"/>
    </row>
    <row r="712">
      <c r="A712" s="65"/>
      <c r="B712" s="64"/>
      <c r="C712" s="64"/>
      <c r="D712" s="64"/>
      <c r="E712" s="64"/>
      <c r="F712" s="64"/>
      <c r="G712" s="65"/>
      <c r="H712" s="65"/>
      <c r="I712" s="65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  <c r="AA712" s="65"/>
      <c r="AB712" s="65"/>
      <c r="AC712" s="65"/>
      <c r="AD712" s="65"/>
    </row>
    <row r="713">
      <c r="A713" s="65"/>
      <c r="B713" s="64"/>
      <c r="C713" s="64"/>
      <c r="D713" s="64"/>
      <c r="E713" s="64"/>
      <c r="F713" s="64"/>
      <c r="G713" s="65"/>
      <c r="H713" s="65"/>
      <c r="I713" s="65"/>
      <c r="J713" s="65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  <c r="AA713" s="65"/>
      <c r="AB713" s="65"/>
      <c r="AC713" s="65"/>
      <c r="AD713" s="65"/>
    </row>
    <row r="714">
      <c r="A714" s="65"/>
      <c r="B714" s="64"/>
      <c r="C714" s="64"/>
      <c r="D714" s="64"/>
      <c r="E714" s="64"/>
      <c r="F714" s="64"/>
      <c r="G714" s="65"/>
      <c r="H714" s="65"/>
      <c r="I714" s="65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  <c r="AA714" s="65"/>
      <c r="AB714" s="65"/>
      <c r="AC714" s="65"/>
      <c r="AD714" s="65"/>
    </row>
    <row r="715">
      <c r="A715" s="65"/>
      <c r="B715" s="64"/>
      <c r="C715" s="64"/>
      <c r="D715" s="64"/>
      <c r="E715" s="64"/>
      <c r="F715" s="64"/>
      <c r="G715" s="65"/>
      <c r="H715" s="65"/>
      <c r="I715" s="65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  <c r="AA715" s="65"/>
      <c r="AB715" s="65"/>
      <c r="AC715" s="65"/>
      <c r="AD715" s="65"/>
    </row>
    <row r="716">
      <c r="A716" s="65"/>
      <c r="B716" s="64"/>
      <c r="C716" s="64"/>
      <c r="D716" s="64"/>
      <c r="E716" s="64"/>
      <c r="F716" s="64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  <c r="AA716" s="65"/>
      <c r="AB716" s="65"/>
      <c r="AC716" s="65"/>
      <c r="AD716" s="65"/>
    </row>
    <row r="717">
      <c r="A717" s="65"/>
      <c r="B717" s="64"/>
      <c r="C717" s="64"/>
      <c r="D717" s="64"/>
      <c r="E717" s="64"/>
      <c r="F717" s="64"/>
      <c r="G717" s="65"/>
      <c r="H717" s="65"/>
      <c r="I717" s="65"/>
      <c r="J717" s="65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  <c r="AA717" s="65"/>
      <c r="AB717" s="65"/>
      <c r="AC717" s="65"/>
      <c r="AD717" s="65"/>
    </row>
    <row r="718">
      <c r="A718" s="65"/>
      <c r="B718" s="64"/>
      <c r="C718" s="64"/>
      <c r="D718" s="64"/>
      <c r="E718" s="64"/>
      <c r="F718" s="64"/>
      <c r="G718" s="65"/>
      <c r="H718" s="65"/>
      <c r="I718" s="65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  <c r="AA718" s="65"/>
      <c r="AB718" s="65"/>
      <c r="AC718" s="65"/>
      <c r="AD718" s="65"/>
    </row>
    <row r="719">
      <c r="A719" s="65"/>
      <c r="B719" s="64"/>
      <c r="C719" s="64"/>
      <c r="D719" s="64"/>
      <c r="E719" s="64"/>
      <c r="F719" s="64"/>
      <c r="G719" s="65"/>
      <c r="H719" s="65"/>
      <c r="I719" s="65"/>
      <c r="J719" s="65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  <c r="AA719" s="65"/>
      <c r="AB719" s="65"/>
      <c r="AC719" s="65"/>
      <c r="AD719" s="65"/>
    </row>
    <row r="720">
      <c r="A720" s="65"/>
      <c r="B720" s="64"/>
      <c r="C720" s="64"/>
      <c r="D720" s="64"/>
      <c r="E720" s="64"/>
      <c r="F720" s="64"/>
      <c r="G720" s="65"/>
      <c r="H720" s="65"/>
      <c r="I720" s="65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  <c r="AA720" s="65"/>
      <c r="AB720" s="65"/>
      <c r="AC720" s="65"/>
      <c r="AD720" s="65"/>
    </row>
    <row r="721">
      <c r="A721" s="65"/>
      <c r="B721" s="64"/>
      <c r="C721" s="64"/>
      <c r="D721" s="64"/>
      <c r="E721" s="64"/>
      <c r="F721" s="64"/>
      <c r="G721" s="65"/>
      <c r="H721" s="65"/>
      <c r="I721" s="65"/>
      <c r="J721" s="65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  <c r="AA721" s="65"/>
      <c r="AB721" s="65"/>
      <c r="AC721" s="65"/>
      <c r="AD721" s="65"/>
    </row>
    <row r="722">
      <c r="A722" s="65"/>
      <c r="B722" s="64"/>
      <c r="C722" s="64"/>
      <c r="D722" s="64"/>
      <c r="E722" s="64"/>
      <c r="F722" s="64"/>
      <c r="G722" s="65"/>
      <c r="H722" s="65"/>
      <c r="I722" s="65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  <c r="AA722" s="65"/>
      <c r="AB722" s="65"/>
      <c r="AC722" s="65"/>
      <c r="AD722" s="65"/>
    </row>
    <row r="723">
      <c r="A723" s="65"/>
      <c r="B723" s="64"/>
      <c r="C723" s="64"/>
      <c r="D723" s="64"/>
      <c r="E723" s="64"/>
      <c r="F723" s="64"/>
      <c r="G723" s="65"/>
      <c r="H723" s="65"/>
      <c r="I723" s="65"/>
      <c r="J723" s="65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  <c r="AA723" s="65"/>
      <c r="AB723" s="65"/>
      <c r="AC723" s="65"/>
      <c r="AD723" s="65"/>
    </row>
    <row r="724">
      <c r="A724" s="65"/>
      <c r="B724" s="64"/>
      <c r="C724" s="64"/>
      <c r="D724" s="64"/>
      <c r="E724" s="64"/>
      <c r="F724" s="64"/>
      <c r="G724" s="65"/>
      <c r="H724" s="65"/>
      <c r="I724" s="65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  <c r="AA724" s="65"/>
      <c r="AB724" s="65"/>
      <c r="AC724" s="65"/>
      <c r="AD724" s="65"/>
    </row>
    <row r="725">
      <c r="A725" s="65"/>
      <c r="B725" s="64"/>
      <c r="C725" s="64"/>
      <c r="D725" s="64"/>
      <c r="E725" s="64"/>
      <c r="F725" s="64"/>
      <c r="G725" s="65"/>
      <c r="H725" s="65"/>
      <c r="I725" s="65"/>
      <c r="J725" s="65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  <c r="AA725" s="65"/>
      <c r="AB725" s="65"/>
      <c r="AC725" s="65"/>
      <c r="AD725" s="65"/>
    </row>
    <row r="726">
      <c r="A726" s="65"/>
      <c r="B726" s="64"/>
      <c r="C726" s="64"/>
      <c r="D726" s="64"/>
      <c r="E726" s="64"/>
      <c r="F726" s="64"/>
      <c r="G726" s="65"/>
      <c r="H726" s="65"/>
      <c r="I726" s="65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  <c r="AA726" s="65"/>
      <c r="AB726" s="65"/>
      <c r="AC726" s="65"/>
      <c r="AD726" s="65"/>
    </row>
    <row r="727">
      <c r="A727" s="65"/>
      <c r="B727" s="64"/>
      <c r="C727" s="64"/>
      <c r="D727" s="64"/>
      <c r="E727" s="64"/>
      <c r="F727" s="64"/>
      <c r="G727" s="65"/>
      <c r="H727" s="65"/>
      <c r="I727" s="65"/>
      <c r="J727" s="65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  <c r="AA727" s="65"/>
      <c r="AB727" s="65"/>
      <c r="AC727" s="65"/>
      <c r="AD727" s="65"/>
    </row>
    <row r="728">
      <c r="A728" s="65"/>
      <c r="B728" s="64"/>
      <c r="C728" s="64"/>
      <c r="D728" s="64"/>
      <c r="E728" s="64"/>
      <c r="F728" s="64"/>
      <c r="G728" s="65"/>
      <c r="H728" s="65"/>
      <c r="I728" s="65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  <c r="AA728" s="65"/>
      <c r="AB728" s="65"/>
      <c r="AC728" s="65"/>
      <c r="AD728" s="65"/>
    </row>
    <row r="729">
      <c r="A729" s="65"/>
      <c r="B729" s="64"/>
      <c r="C729" s="64"/>
      <c r="D729" s="64"/>
      <c r="E729" s="64"/>
      <c r="F729" s="64"/>
      <c r="G729" s="65"/>
      <c r="H729" s="65"/>
      <c r="I729" s="65"/>
      <c r="J729" s="65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  <c r="AA729" s="65"/>
      <c r="AB729" s="65"/>
      <c r="AC729" s="65"/>
      <c r="AD729" s="65"/>
    </row>
    <row r="730">
      <c r="A730" s="65"/>
      <c r="B730" s="64"/>
      <c r="C730" s="64"/>
      <c r="D730" s="64"/>
      <c r="E730" s="64"/>
      <c r="F730" s="64"/>
      <c r="G730" s="65"/>
      <c r="H730" s="65"/>
      <c r="I730" s="65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  <c r="AA730" s="65"/>
      <c r="AB730" s="65"/>
      <c r="AC730" s="65"/>
      <c r="AD730" s="65"/>
    </row>
    <row r="731">
      <c r="A731" s="65"/>
      <c r="B731" s="64"/>
      <c r="C731" s="64"/>
      <c r="D731" s="64"/>
      <c r="E731" s="64"/>
      <c r="F731" s="64"/>
      <c r="G731" s="65"/>
      <c r="H731" s="65"/>
      <c r="I731" s="65"/>
      <c r="J731" s="65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  <c r="AA731" s="65"/>
      <c r="AB731" s="65"/>
      <c r="AC731" s="65"/>
      <c r="AD731" s="65"/>
    </row>
    <row r="732">
      <c r="A732" s="65"/>
      <c r="B732" s="64"/>
      <c r="C732" s="64"/>
      <c r="D732" s="64"/>
      <c r="E732" s="64"/>
      <c r="F732" s="64"/>
      <c r="G732" s="65"/>
      <c r="H732" s="65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  <c r="AA732" s="65"/>
      <c r="AB732" s="65"/>
      <c r="AC732" s="65"/>
      <c r="AD732" s="65"/>
    </row>
    <row r="733">
      <c r="A733" s="65"/>
      <c r="B733" s="64"/>
      <c r="C733" s="64"/>
      <c r="D733" s="64"/>
      <c r="E733" s="64"/>
      <c r="F733" s="64"/>
      <c r="G733" s="65"/>
      <c r="H733" s="65"/>
      <c r="I733" s="65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  <c r="AA733" s="65"/>
      <c r="AB733" s="65"/>
      <c r="AC733" s="65"/>
      <c r="AD733" s="65"/>
    </row>
    <row r="734">
      <c r="A734" s="65"/>
      <c r="B734" s="64"/>
      <c r="C734" s="64"/>
      <c r="D734" s="64"/>
      <c r="E734" s="64"/>
      <c r="F734" s="64"/>
      <c r="G734" s="65"/>
      <c r="H734" s="65"/>
      <c r="I734" s="65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  <c r="AA734" s="65"/>
      <c r="AB734" s="65"/>
      <c r="AC734" s="65"/>
      <c r="AD734" s="65"/>
    </row>
    <row r="735">
      <c r="A735" s="65"/>
      <c r="B735" s="64"/>
      <c r="C735" s="64"/>
      <c r="D735" s="64"/>
      <c r="E735" s="64"/>
      <c r="F735" s="64"/>
      <c r="G735" s="65"/>
      <c r="H735" s="65"/>
      <c r="I735" s="65"/>
      <c r="J735" s="65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  <c r="AA735" s="65"/>
      <c r="AB735" s="65"/>
      <c r="AC735" s="65"/>
      <c r="AD735" s="65"/>
    </row>
    <row r="736">
      <c r="A736" s="65"/>
      <c r="B736" s="64"/>
      <c r="C736" s="64"/>
      <c r="D736" s="64"/>
      <c r="E736" s="64"/>
      <c r="F736" s="64"/>
      <c r="G736" s="65"/>
      <c r="H736" s="65"/>
      <c r="I736" s="65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  <c r="AA736" s="65"/>
      <c r="AB736" s="65"/>
      <c r="AC736" s="65"/>
      <c r="AD736" s="65"/>
    </row>
    <row r="737">
      <c r="A737" s="65"/>
      <c r="B737" s="64"/>
      <c r="C737" s="64"/>
      <c r="D737" s="64"/>
      <c r="E737" s="64"/>
      <c r="F737" s="64"/>
      <c r="G737" s="65"/>
      <c r="H737" s="65"/>
      <c r="I737" s="65"/>
      <c r="J737" s="65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  <c r="AA737" s="65"/>
      <c r="AB737" s="65"/>
      <c r="AC737" s="65"/>
      <c r="AD737" s="65"/>
    </row>
    <row r="738">
      <c r="A738" s="65"/>
      <c r="B738" s="64"/>
      <c r="C738" s="64"/>
      <c r="D738" s="64"/>
      <c r="E738" s="64"/>
      <c r="F738" s="64"/>
      <c r="G738" s="65"/>
      <c r="H738" s="65"/>
      <c r="I738" s="65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  <c r="AA738" s="65"/>
      <c r="AB738" s="65"/>
      <c r="AC738" s="65"/>
      <c r="AD738" s="65"/>
    </row>
    <row r="739">
      <c r="A739" s="65"/>
      <c r="B739" s="64"/>
      <c r="C739" s="64"/>
      <c r="D739" s="64"/>
      <c r="E739" s="64"/>
      <c r="F739" s="64"/>
      <c r="G739" s="65"/>
      <c r="H739" s="65"/>
      <c r="I739" s="65"/>
      <c r="J739" s="65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  <c r="AA739" s="65"/>
      <c r="AB739" s="65"/>
      <c r="AC739" s="65"/>
      <c r="AD739" s="65"/>
    </row>
    <row r="740">
      <c r="A740" s="65"/>
      <c r="B740" s="64"/>
      <c r="C740" s="64"/>
      <c r="D740" s="64"/>
      <c r="E740" s="64"/>
      <c r="F740" s="64"/>
      <c r="G740" s="65"/>
      <c r="H740" s="65"/>
      <c r="I740" s="65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  <c r="AA740" s="65"/>
      <c r="AB740" s="65"/>
      <c r="AC740" s="65"/>
      <c r="AD740" s="65"/>
    </row>
    <row r="741">
      <c r="A741" s="65"/>
      <c r="B741" s="64"/>
      <c r="C741" s="64"/>
      <c r="D741" s="64"/>
      <c r="E741" s="64"/>
      <c r="F741" s="64"/>
      <c r="G741" s="65"/>
      <c r="H741" s="65"/>
      <c r="I741" s="65"/>
      <c r="J741" s="65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  <c r="AA741" s="65"/>
      <c r="AB741" s="65"/>
      <c r="AC741" s="65"/>
      <c r="AD741" s="65"/>
    </row>
    <row r="742">
      <c r="A742" s="65"/>
      <c r="B742" s="64"/>
      <c r="C742" s="64"/>
      <c r="D742" s="64"/>
      <c r="E742" s="64"/>
      <c r="F742" s="64"/>
      <c r="G742" s="65"/>
      <c r="H742" s="65"/>
      <c r="I742" s="65"/>
      <c r="J742" s="65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  <c r="AA742" s="65"/>
      <c r="AB742" s="65"/>
      <c r="AC742" s="65"/>
      <c r="AD742" s="65"/>
    </row>
    <row r="743">
      <c r="A743" s="65"/>
      <c r="B743" s="64"/>
      <c r="C743" s="64"/>
      <c r="D743" s="64"/>
      <c r="E743" s="64"/>
      <c r="F743" s="64"/>
      <c r="G743" s="65"/>
      <c r="H743" s="65"/>
      <c r="I743" s="65"/>
      <c r="J743" s="65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  <c r="AA743" s="65"/>
      <c r="AB743" s="65"/>
      <c r="AC743" s="65"/>
      <c r="AD743" s="65"/>
    </row>
    <row r="744">
      <c r="A744" s="65"/>
      <c r="B744" s="64"/>
      <c r="C744" s="64"/>
      <c r="D744" s="64"/>
      <c r="E744" s="64"/>
      <c r="F744" s="64"/>
      <c r="G744" s="65"/>
      <c r="H744" s="65"/>
      <c r="I744" s="65"/>
      <c r="J744" s="65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  <c r="AA744" s="65"/>
      <c r="AB744" s="65"/>
      <c r="AC744" s="65"/>
      <c r="AD744" s="65"/>
    </row>
    <row r="745">
      <c r="A745" s="65"/>
      <c r="B745" s="64"/>
      <c r="C745" s="64"/>
      <c r="D745" s="64"/>
      <c r="E745" s="64"/>
      <c r="F745" s="64"/>
      <c r="G745" s="65"/>
      <c r="H745" s="65"/>
      <c r="I745" s="65"/>
      <c r="J745" s="65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  <c r="AA745" s="65"/>
      <c r="AB745" s="65"/>
      <c r="AC745" s="65"/>
      <c r="AD745" s="65"/>
    </row>
    <row r="746">
      <c r="A746" s="65"/>
      <c r="B746" s="64"/>
      <c r="C746" s="64"/>
      <c r="D746" s="64"/>
      <c r="E746" s="64"/>
      <c r="F746" s="64"/>
      <c r="G746" s="65"/>
      <c r="H746" s="65"/>
      <c r="I746" s="65"/>
      <c r="J746" s="65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  <c r="AA746" s="65"/>
      <c r="AB746" s="65"/>
      <c r="AC746" s="65"/>
      <c r="AD746" s="65"/>
    </row>
    <row r="747">
      <c r="A747" s="65"/>
      <c r="B747" s="64"/>
      <c r="C747" s="64"/>
      <c r="D747" s="64"/>
      <c r="E747" s="64"/>
      <c r="F747" s="64"/>
      <c r="G747" s="65"/>
      <c r="H747" s="65"/>
      <c r="I747" s="65"/>
      <c r="J747" s="65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  <c r="AA747" s="65"/>
      <c r="AB747" s="65"/>
      <c r="AC747" s="65"/>
      <c r="AD747" s="65"/>
    </row>
    <row r="748">
      <c r="A748" s="65"/>
      <c r="B748" s="64"/>
      <c r="C748" s="64"/>
      <c r="D748" s="64"/>
      <c r="E748" s="64"/>
      <c r="F748" s="64"/>
      <c r="G748" s="65"/>
      <c r="H748" s="65"/>
      <c r="I748" s="65"/>
      <c r="J748" s="65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  <c r="AA748" s="65"/>
      <c r="AB748" s="65"/>
      <c r="AC748" s="65"/>
      <c r="AD748" s="65"/>
    </row>
    <row r="749">
      <c r="A749" s="65"/>
      <c r="B749" s="64"/>
      <c r="C749" s="64"/>
      <c r="D749" s="64"/>
      <c r="E749" s="64"/>
      <c r="F749" s="64"/>
      <c r="G749" s="65"/>
      <c r="H749" s="65"/>
      <c r="I749" s="65"/>
      <c r="J749" s="65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  <c r="AA749" s="65"/>
      <c r="AB749" s="65"/>
      <c r="AC749" s="65"/>
      <c r="AD749" s="65"/>
    </row>
    <row r="750">
      <c r="A750" s="65"/>
      <c r="B750" s="64"/>
      <c r="C750" s="64"/>
      <c r="D750" s="64"/>
      <c r="E750" s="64"/>
      <c r="F750" s="64"/>
      <c r="G750" s="65"/>
      <c r="H750" s="65"/>
      <c r="I750" s="65"/>
      <c r="J750" s="65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  <c r="AA750" s="65"/>
      <c r="AB750" s="65"/>
      <c r="AC750" s="65"/>
      <c r="AD750" s="65"/>
    </row>
    <row r="751">
      <c r="A751" s="65"/>
      <c r="B751" s="64"/>
      <c r="C751" s="64"/>
      <c r="D751" s="64"/>
      <c r="E751" s="64"/>
      <c r="F751" s="64"/>
      <c r="G751" s="65"/>
      <c r="H751" s="65"/>
      <c r="I751" s="65"/>
      <c r="J751" s="65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  <c r="AA751" s="65"/>
      <c r="AB751" s="65"/>
      <c r="AC751" s="65"/>
      <c r="AD751" s="65"/>
    </row>
    <row r="752">
      <c r="A752" s="65"/>
      <c r="B752" s="64"/>
      <c r="C752" s="64"/>
      <c r="D752" s="64"/>
      <c r="E752" s="64"/>
      <c r="F752" s="64"/>
      <c r="G752" s="65"/>
      <c r="H752" s="65"/>
      <c r="I752" s="65"/>
      <c r="J752" s="65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  <c r="AA752" s="65"/>
      <c r="AB752" s="65"/>
      <c r="AC752" s="65"/>
      <c r="AD752" s="65"/>
    </row>
    <row r="753">
      <c r="A753" s="65"/>
      <c r="B753" s="64"/>
      <c r="C753" s="64"/>
      <c r="D753" s="64"/>
      <c r="E753" s="64"/>
      <c r="F753" s="64"/>
      <c r="G753" s="65"/>
      <c r="H753" s="65"/>
      <c r="I753" s="65"/>
      <c r="J753" s="65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  <c r="AA753" s="65"/>
      <c r="AB753" s="65"/>
      <c r="AC753" s="65"/>
      <c r="AD753" s="65"/>
    </row>
    <row r="754">
      <c r="A754" s="65"/>
      <c r="B754" s="64"/>
      <c r="C754" s="64"/>
      <c r="D754" s="64"/>
      <c r="E754" s="64"/>
      <c r="F754" s="64"/>
      <c r="G754" s="65"/>
      <c r="H754" s="65"/>
      <c r="I754" s="65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  <c r="AA754" s="65"/>
      <c r="AB754" s="65"/>
      <c r="AC754" s="65"/>
      <c r="AD754" s="65"/>
    </row>
    <row r="755">
      <c r="A755" s="65"/>
      <c r="B755" s="64"/>
      <c r="C755" s="64"/>
      <c r="D755" s="64"/>
      <c r="E755" s="64"/>
      <c r="F755" s="64"/>
      <c r="G755" s="65"/>
      <c r="H755" s="65"/>
      <c r="I755" s="65"/>
      <c r="J755" s="65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  <c r="AA755" s="65"/>
      <c r="AB755" s="65"/>
      <c r="AC755" s="65"/>
      <c r="AD755" s="65"/>
    </row>
    <row r="756">
      <c r="A756" s="65"/>
      <c r="B756" s="64"/>
      <c r="C756" s="64"/>
      <c r="D756" s="64"/>
      <c r="E756" s="64"/>
      <c r="F756" s="64"/>
      <c r="G756" s="65"/>
      <c r="H756" s="65"/>
      <c r="I756" s="65"/>
      <c r="J756" s="65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  <c r="AA756" s="65"/>
      <c r="AB756" s="65"/>
      <c r="AC756" s="65"/>
      <c r="AD756" s="65"/>
    </row>
    <row r="757">
      <c r="A757" s="65"/>
      <c r="B757" s="64"/>
      <c r="C757" s="64"/>
      <c r="D757" s="64"/>
      <c r="E757" s="64"/>
      <c r="F757" s="64"/>
      <c r="G757" s="65"/>
      <c r="H757" s="65"/>
      <c r="I757" s="65"/>
      <c r="J757" s="65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  <c r="AA757" s="65"/>
      <c r="AB757" s="65"/>
      <c r="AC757" s="65"/>
      <c r="AD757" s="65"/>
    </row>
    <row r="758">
      <c r="A758" s="65"/>
      <c r="B758" s="64"/>
      <c r="C758" s="64"/>
      <c r="D758" s="64"/>
      <c r="E758" s="64"/>
      <c r="F758" s="64"/>
      <c r="G758" s="65"/>
      <c r="H758" s="65"/>
      <c r="I758" s="65"/>
      <c r="J758" s="65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  <c r="AA758" s="65"/>
      <c r="AB758" s="65"/>
      <c r="AC758" s="65"/>
      <c r="AD758" s="65"/>
    </row>
    <row r="759">
      <c r="A759" s="65"/>
      <c r="B759" s="64"/>
      <c r="C759" s="64"/>
      <c r="D759" s="64"/>
      <c r="E759" s="64"/>
      <c r="F759" s="64"/>
      <c r="G759" s="65"/>
      <c r="H759" s="65"/>
      <c r="I759" s="65"/>
      <c r="J759" s="65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  <c r="AA759" s="65"/>
      <c r="AB759" s="65"/>
      <c r="AC759" s="65"/>
      <c r="AD759" s="65"/>
    </row>
    <row r="760">
      <c r="A760" s="65"/>
      <c r="B760" s="64"/>
      <c r="C760" s="64"/>
      <c r="D760" s="64"/>
      <c r="E760" s="64"/>
      <c r="F760" s="64"/>
      <c r="G760" s="65"/>
      <c r="H760" s="65"/>
      <c r="I760" s="65"/>
      <c r="J760" s="65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  <c r="AA760" s="65"/>
      <c r="AB760" s="65"/>
      <c r="AC760" s="65"/>
      <c r="AD760" s="65"/>
    </row>
    <row r="761">
      <c r="A761" s="65"/>
      <c r="B761" s="64"/>
      <c r="C761" s="64"/>
      <c r="D761" s="64"/>
      <c r="E761" s="64"/>
      <c r="F761" s="64"/>
      <c r="G761" s="65"/>
      <c r="H761" s="65"/>
      <c r="I761" s="65"/>
      <c r="J761" s="65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  <c r="AA761" s="65"/>
      <c r="AB761" s="65"/>
      <c r="AC761" s="65"/>
      <c r="AD761" s="65"/>
    </row>
    <row r="762">
      <c r="A762" s="65"/>
      <c r="B762" s="64"/>
      <c r="C762" s="64"/>
      <c r="D762" s="64"/>
      <c r="E762" s="64"/>
      <c r="F762" s="64"/>
      <c r="G762" s="65"/>
      <c r="H762" s="65"/>
      <c r="I762" s="65"/>
      <c r="J762" s="65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  <c r="AA762" s="65"/>
      <c r="AB762" s="65"/>
      <c r="AC762" s="65"/>
      <c r="AD762" s="65"/>
    </row>
    <row r="763">
      <c r="A763" s="65"/>
      <c r="B763" s="64"/>
      <c r="C763" s="64"/>
      <c r="D763" s="64"/>
      <c r="E763" s="64"/>
      <c r="F763" s="64"/>
      <c r="G763" s="65"/>
      <c r="H763" s="65"/>
      <c r="I763" s="65"/>
      <c r="J763" s="65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  <c r="AA763" s="65"/>
      <c r="AB763" s="65"/>
      <c r="AC763" s="65"/>
      <c r="AD763" s="65"/>
    </row>
    <row r="764">
      <c r="A764" s="65"/>
      <c r="B764" s="64"/>
      <c r="C764" s="64"/>
      <c r="D764" s="64"/>
      <c r="E764" s="64"/>
      <c r="F764" s="64"/>
      <c r="G764" s="65"/>
      <c r="H764" s="65"/>
      <c r="I764" s="65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  <c r="AA764" s="65"/>
      <c r="AB764" s="65"/>
      <c r="AC764" s="65"/>
      <c r="AD764" s="65"/>
    </row>
    <row r="765">
      <c r="A765" s="65"/>
      <c r="B765" s="64"/>
      <c r="C765" s="64"/>
      <c r="D765" s="64"/>
      <c r="E765" s="64"/>
      <c r="F765" s="64"/>
      <c r="G765" s="65"/>
      <c r="H765" s="65"/>
      <c r="I765" s="65"/>
      <c r="J765" s="65"/>
      <c r="K765" s="65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  <c r="AA765" s="65"/>
      <c r="AB765" s="65"/>
      <c r="AC765" s="65"/>
      <c r="AD765" s="65"/>
    </row>
    <row r="766">
      <c r="A766" s="65"/>
      <c r="B766" s="64"/>
      <c r="C766" s="64"/>
      <c r="D766" s="64"/>
      <c r="E766" s="64"/>
      <c r="F766" s="64"/>
      <c r="G766" s="65"/>
      <c r="H766" s="65"/>
      <c r="I766" s="65"/>
      <c r="J766" s="65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  <c r="AA766" s="65"/>
      <c r="AB766" s="65"/>
      <c r="AC766" s="65"/>
      <c r="AD766" s="65"/>
    </row>
    <row r="767">
      <c r="A767" s="65"/>
      <c r="B767" s="64"/>
      <c r="C767" s="64"/>
      <c r="D767" s="64"/>
      <c r="E767" s="64"/>
      <c r="F767" s="64"/>
      <c r="G767" s="65"/>
      <c r="H767" s="65"/>
      <c r="I767" s="65"/>
      <c r="J767" s="65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  <c r="AA767" s="65"/>
      <c r="AB767" s="65"/>
      <c r="AC767" s="65"/>
      <c r="AD767" s="65"/>
    </row>
    <row r="768">
      <c r="A768" s="65"/>
      <c r="B768" s="64"/>
      <c r="C768" s="64"/>
      <c r="D768" s="64"/>
      <c r="E768" s="64"/>
      <c r="F768" s="64"/>
      <c r="G768" s="65"/>
      <c r="H768" s="65"/>
      <c r="I768" s="65"/>
      <c r="J768" s="65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  <c r="AA768" s="65"/>
      <c r="AB768" s="65"/>
      <c r="AC768" s="65"/>
      <c r="AD768" s="65"/>
    </row>
    <row r="769">
      <c r="A769" s="65"/>
      <c r="B769" s="64"/>
      <c r="C769" s="64"/>
      <c r="D769" s="64"/>
      <c r="E769" s="64"/>
      <c r="F769" s="64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  <c r="AA769" s="65"/>
      <c r="AB769" s="65"/>
      <c r="AC769" s="65"/>
      <c r="AD769" s="65"/>
    </row>
    <row r="770">
      <c r="A770" s="65"/>
      <c r="B770" s="64"/>
      <c r="C770" s="64"/>
      <c r="D770" s="64"/>
      <c r="E770" s="64"/>
      <c r="F770" s="64"/>
      <c r="G770" s="65"/>
      <c r="H770" s="65"/>
      <c r="I770" s="65"/>
      <c r="J770" s="65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  <c r="AA770" s="65"/>
      <c r="AB770" s="65"/>
      <c r="AC770" s="65"/>
      <c r="AD770" s="65"/>
    </row>
    <row r="771">
      <c r="A771" s="65"/>
      <c r="B771" s="64"/>
      <c r="C771" s="64"/>
      <c r="D771" s="64"/>
      <c r="E771" s="64"/>
      <c r="F771" s="64"/>
      <c r="G771" s="65"/>
      <c r="H771" s="65"/>
      <c r="I771" s="65"/>
      <c r="J771" s="65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  <c r="AA771" s="65"/>
      <c r="AB771" s="65"/>
      <c r="AC771" s="65"/>
      <c r="AD771" s="65"/>
    </row>
    <row r="772">
      <c r="A772" s="65"/>
      <c r="B772" s="64"/>
      <c r="C772" s="64"/>
      <c r="D772" s="64"/>
      <c r="E772" s="64"/>
      <c r="F772" s="64"/>
      <c r="G772" s="65"/>
      <c r="H772" s="65"/>
      <c r="I772" s="65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  <c r="AA772" s="65"/>
      <c r="AB772" s="65"/>
      <c r="AC772" s="65"/>
      <c r="AD772" s="65"/>
    </row>
    <row r="773">
      <c r="A773" s="65"/>
      <c r="B773" s="64"/>
      <c r="C773" s="64"/>
      <c r="D773" s="64"/>
      <c r="E773" s="64"/>
      <c r="F773" s="64"/>
      <c r="G773" s="65"/>
      <c r="H773" s="65"/>
      <c r="I773" s="65"/>
      <c r="J773" s="65"/>
      <c r="K773" s="65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  <c r="AA773" s="65"/>
      <c r="AB773" s="65"/>
      <c r="AC773" s="65"/>
      <c r="AD773" s="65"/>
    </row>
    <row r="774">
      <c r="A774" s="65"/>
      <c r="B774" s="64"/>
      <c r="C774" s="64"/>
      <c r="D774" s="64"/>
      <c r="E774" s="64"/>
      <c r="F774" s="64"/>
      <c r="G774" s="65"/>
      <c r="H774" s="65"/>
      <c r="I774" s="65"/>
      <c r="J774" s="65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  <c r="AA774" s="65"/>
      <c r="AB774" s="65"/>
      <c r="AC774" s="65"/>
      <c r="AD774" s="65"/>
    </row>
    <row r="775">
      <c r="A775" s="65"/>
      <c r="B775" s="64"/>
      <c r="C775" s="64"/>
      <c r="D775" s="64"/>
      <c r="E775" s="64"/>
      <c r="F775" s="64"/>
      <c r="G775" s="65"/>
      <c r="H775" s="65"/>
      <c r="I775" s="65"/>
      <c r="J775" s="65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  <c r="AA775" s="65"/>
      <c r="AB775" s="65"/>
      <c r="AC775" s="65"/>
      <c r="AD775" s="65"/>
    </row>
    <row r="776">
      <c r="A776" s="65"/>
      <c r="B776" s="64"/>
      <c r="C776" s="64"/>
      <c r="D776" s="64"/>
      <c r="E776" s="64"/>
      <c r="F776" s="64"/>
      <c r="G776" s="65"/>
      <c r="H776" s="65"/>
      <c r="I776" s="65"/>
      <c r="J776" s="65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  <c r="AA776" s="65"/>
      <c r="AB776" s="65"/>
      <c r="AC776" s="65"/>
      <c r="AD776" s="65"/>
    </row>
    <row r="777">
      <c r="A777" s="65"/>
      <c r="B777" s="64"/>
      <c r="C777" s="64"/>
      <c r="D777" s="64"/>
      <c r="E777" s="64"/>
      <c r="F777" s="64"/>
      <c r="G777" s="65"/>
      <c r="H777" s="65"/>
      <c r="I777" s="65"/>
      <c r="J777" s="65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  <c r="AA777" s="65"/>
      <c r="AB777" s="65"/>
      <c r="AC777" s="65"/>
      <c r="AD777" s="65"/>
    </row>
    <row r="778">
      <c r="A778" s="65"/>
      <c r="B778" s="64"/>
      <c r="C778" s="64"/>
      <c r="D778" s="64"/>
      <c r="E778" s="64"/>
      <c r="F778" s="64"/>
      <c r="G778" s="65"/>
      <c r="H778" s="65"/>
      <c r="I778" s="65"/>
      <c r="J778" s="65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  <c r="AA778" s="65"/>
      <c r="AB778" s="65"/>
      <c r="AC778" s="65"/>
      <c r="AD778" s="65"/>
    </row>
    <row r="779">
      <c r="A779" s="65"/>
      <c r="B779" s="64"/>
      <c r="C779" s="64"/>
      <c r="D779" s="64"/>
      <c r="E779" s="64"/>
      <c r="F779" s="64"/>
      <c r="G779" s="65"/>
      <c r="H779" s="65"/>
      <c r="I779" s="65"/>
      <c r="J779" s="65"/>
      <c r="K779" s="65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  <c r="AA779" s="65"/>
      <c r="AB779" s="65"/>
      <c r="AC779" s="65"/>
      <c r="AD779" s="65"/>
    </row>
    <row r="780">
      <c r="A780" s="65"/>
      <c r="B780" s="64"/>
      <c r="C780" s="64"/>
      <c r="D780" s="64"/>
      <c r="E780" s="64"/>
      <c r="F780" s="64"/>
      <c r="G780" s="65"/>
      <c r="H780" s="65"/>
      <c r="I780" s="65"/>
      <c r="J780" s="65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  <c r="AA780" s="65"/>
      <c r="AB780" s="65"/>
      <c r="AC780" s="65"/>
      <c r="AD780" s="65"/>
    </row>
    <row r="781">
      <c r="A781" s="65"/>
      <c r="B781" s="64"/>
      <c r="C781" s="64"/>
      <c r="D781" s="64"/>
      <c r="E781" s="64"/>
      <c r="F781" s="64"/>
      <c r="G781" s="65"/>
      <c r="H781" s="65"/>
      <c r="I781" s="65"/>
      <c r="J781" s="65"/>
      <c r="K781" s="65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  <c r="AA781" s="65"/>
      <c r="AB781" s="65"/>
      <c r="AC781" s="65"/>
      <c r="AD781" s="65"/>
    </row>
    <row r="782">
      <c r="A782" s="65"/>
      <c r="B782" s="64"/>
      <c r="C782" s="64"/>
      <c r="D782" s="64"/>
      <c r="E782" s="64"/>
      <c r="F782" s="64"/>
      <c r="G782" s="65"/>
      <c r="H782" s="65"/>
      <c r="I782" s="65"/>
      <c r="J782" s="65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  <c r="AA782" s="65"/>
      <c r="AB782" s="65"/>
      <c r="AC782" s="65"/>
      <c r="AD782" s="65"/>
    </row>
    <row r="783">
      <c r="A783" s="65"/>
      <c r="B783" s="64"/>
      <c r="C783" s="64"/>
      <c r="D783" s="64"/>
      <c r="E783" s="64"/>
      <c r="F783" s="64"/>
      <c r="G783" s="65"/>
      <c r="H783" s="65"/>
      <c r="I783" s="65"/>
      <c r="J783" s="65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  <c r="AA783" s="65"/>
      <c r="AB783" s="65"/>
      <c r="AC783" s="65"/>
      <c r="AD783" s="65"/>
    </row>
    <row r="784">
      <c r="A784" s="65"/>
      <c r="B784" s="64"/>
      <c r="C784" s="64"/>
      <c r="D784" s="64"/>
      <c r="E784" s="64"/>
      <c r="F784" s="64"/>
      <c r="G784" s="65"/>
      <c r="H784" s="65"/>
      <c r="I784" s="65"/>
      <c r="J784" s="65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  <c r="AA784" s="65"/>
      <c r="AB784" s="65"/>
      <c r="AC784" s="65"/>
      <c r="AD784" s="65"/>
    </row>
    <row r="785">
      <c r="A785" s="65"/>
      <c r="B785" s="64"/>
      <c r="C785" s="64"/>
      <c r="D785" s="64"/>
      <c r="E785" s="64"/>
      <c r="F785" s="64"/>
      <c r="G785" s="65"/>
      <c r="H785" s="65"/>
      <c r="I785" s="65"/>
      <c r="J785" s="65"/>
      <c r="K785" s="65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  <c r="AA785" s="65"/>
      <c r="AB785" s="65"/>
      <c r="AC785" s="65"/>
      <c r="AD785" s="65"/>
    </row>
    <row r="786">
      <c r="A786" s="65"/>
      <c r="B786" s="64"/>
      <c r="C786" s="64"/>
      <c r="D786" s="64"/>
      <c r="E786" s="64"/>
      <c r="F786" s="64"/>
      <c r="G786" s="65"/>
      <c r="H786" s="65"/>
      <c r="I786" s="65"/>
      <c r="J786" s="65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  <c r="AA786" s="65"/>
      <c r="AB786" s="65"/>
      <c r="AC786" s="65"/>
      <c r="AD786" s="65"/>
    </row>
    <row r="787">
      <c r="A787" s="65"/>
      <c r="B787" s="64"/>
      <c r="C787" s="64"/>
      <c r="D787" s="64"/>
      <c r="E787" s="64"/>
      <c r="F787" s="64"/>
      <c r="G787" s="65"/>
      <c r="H787" s="65"/>
      <c r="I787" s="65"/>
      <c r="J787" s="65"/>
      <c r="K787" s="65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  <c r="AA787" s="65"/>
      <c r="AB787" s="65"/>
      <c r="AC787" s="65"/>
      <c r="AD787" s="65"/>
    </row>
    <row r="788">
      <c r="A788" s="65"/>
      <c r="B788" s="64"/>
      <c r="C788" s="64"/>
      <c r="D788" s="64"/>
      <c r="E788" s="64"/>
      <c r="F788" s="64"/>
      <c r="G788" s="65"/>
      <c r="H788" s="65"/>
      <c r="I788" s="65"/>
      <c r="J788" s="65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  <c r="AA788" s="65"/>
      <c r="AB788" s="65"/>
      <c r="AC788" s="65"/>
      <c r="AD788" s="65"/>
    </row>
    <row r="789">
      <c r="A789" s="65"/>
      <c r="B789" s="64"/>
      <c r="C789" s="64"/>
      <c r="D789" s="64"/>
      <c r="E789" s="64"/>
      <c r="F789" s="64"/>
      <c r="G789" s="65"/>
      <c r="H789" s="65"/>
      <c r="I789" s="65"/>
      <c r="J789" s="65"/>
      <c r="K789" s="65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  <c r="AA789" s="65"/>
      <c r="AB789" s="65"/>
      <c r="AC789" s="65"/>
      <c r="AD789" s="65"/>
    </row>
    <row r="790">
      <c r="A790" s="65"/>
      <c r="B790" s="64"/>
      <c r="C790" s="64"/>
      <c r="D790" s="64"/>
      <c r="E790" s="64"/>
      <c r="F790" s="64"/>
      <c r="G790" s="65"/>
      <c r="H790" s="65"/>
      <c r="I790" s="65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  <c r="AA790" s="65"/>
      <c r="AB790" s="65"/>
      <c r="AC790" s="65"/>
      <c r="AD790" s="65"/>
    </row>
    <row r="791">
      <c r="A791" s="65"/>
      <c r="B791" s="64"/>
      <c r="C791" s="64"/>
      <c r="D791" s="64"/>
      <c r="E791" s="64"/>
      <c r="F791" s="64"/>
      <c r="G791" s="65"/>
      <c r="H791" s="65"/>
      <c r="I791" s="65"/>
      <c r="J791" s="65"/>
      <c r="K791" s="65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  <c r="AA791" s="65"/>
      <c r="AB791" s="65"/>
      <c r="AC791" s="65"/>
      <c r="AD791" s="65"/>
    </row>
    <row r="792">
      <c r="A792" s="65"/>
      <c r="B792" s="64"/>
      <c r="C792" s="64"/>
      <c r="D792" s="64"/>
      <c r="E792" s="64"/>
      <c r="F792" s="64"/>
      <c r="G792" s="65"/>
      <c r="H792" s="65"/>
      <c r="I792" s="65"/>
      <c r="J792" s="65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  <c r="AA792" s="65"/>
      <c r="AB792" s="65"/>
      <c r="AC792" s="65"/>
      <c r="AD792" s="65"/>
    </row>
    <row r="793">
      <c r="A793" s="65"/>
      <c r="B793" s="64"/>
      <c r="C793" s="64"/>
      <c r="D793" s="64"/>
      <c r="E793" s="64"/>
      <c r="F793" s="64"/>
      <c r="G793" s="65"/>
      <c r="H793" s="65"/>
      <c r="I793" s="65"/>
      <c r="J793" s="65"/>
      <c r="K793" s="65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  <c r="AA793" s="65"/>
      <c r="AB793" s="65"/>
      <c r="AC793" s="65"/>
      <c r="AD793" s="65"/>
    </row>
    <row r="794">
      <c r="A794" s="65"/>
      <c r="B794" s="64"/>
      <c r="C794" s="64"/>
      <c r="D794" s="64"/>
      <c r="E794" s="64"/>
      <c r="F794" s="64"/>
      <c r="G794" s="65"/>
      <c r="H794" s="65"/>
      <c r="I794" s="65"/>
      <c r="J794" s="65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  <c r="AA794" s="65"/>
      <c r="AB794" s="65"/>
      <c r="AC794" s="65"/>
      <c r="AD794" s="65"/>
    </row>
    <row r="795">
      <c r="A795" s="65"/>
      <c r="B795" s="64"/>
      <c r="C795" s="64"/>
      <c r="D795" s="64"/>
      <c r="E795" s="64"/>
      <c r="F795" s="64"/>
      <c r="G795" s="65"/>
      <c r="H795" s="65"/>
      <c r="I795" s="65"/>
      <c r="J795" s="65"/>
      <c r="K795" s="65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  <c r="AA795" s="65"/>
      <c r="AB795" s="65"/>
      <c r="AC795" s="65"/>
      <c r="AD795" s="65"/>
    </row>
    <row r="796">
      <c r="A796" s="65"/>
      <c r="B796" s="64"/>
      <c r="C796" s="64"/>
      <c r="D796" s="64"/>
      <c r="E796" s="64"/>
      <c r="F796" s="64"/>
      <c r="G796" s="65"/>
      <c r="H796" s="65"/>
      <c r="I796" s="65"/>
      <c r="J796" s="65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  <c r="AA796" s="65"/>
      <c r="AB796" s="65"/>
      <c r="AC796" s="65"/>
      <c r="AD796" s="65"/>
    </row>
    <row r="797">
      <c r="A797" s="65"/>
      <c r="B797" s="64"/>
      <c r="C797" s="64"/>
      <c r="D797" s="64"/>
      <c r="E797" s="64"/>
      <c r="F797" s="64"/>
      <c r="G797" s="65"/>
      <c r="H797" s="65"/>
      <c r="I797" s="65"/>
      <c r="J797" s="65"/>
      <c r="K797" s="65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  <c r="AA797" s="65"/>
      <c r="AB797" s="65"/>
      <c r="AC797" s="65"/>
      <c r="AD797" s="65"/>
    </row>
    <row r="798">
      <c r="A798" s="65"/>
      <c r="B798" s="64"/>
      <c r="C798" s="64"/>
      <c r="D798" s="64"/>
      <c r="E798" s="64"/>
      <c r="F798" s="64"/>
      <c r="G798" s="65"/>
      <c r="H798" s="65"/>
      <c r="I798" s="65"/>
      <c r="J798" s="65"/>
      <c r="K798" s="65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  <c r="AA798" s="65"/>
      <c r="AB798" s="65"/>
      <c r="AC798" s="65"/>
      <c r="AD798" s="65"/>
    </row>
    <row r="799">
      <c r="A799" s="65"/>
      <c r="B799" s="64"/>
      <c r="C799" s="64"/>
      <c r="D799" s="64"/>
      <c r="E799" s="64"/>
      <c r="F799" s="64"/>
      <c r="G799" s="65"/>
      <c r="H799" s="65"/>
      <c r="I799" s="65"/>
      <c r="J799" s="65"/>
      <c r="K799" s="65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  <c r="AA799" s="65"/>
      <c r="AB799" s="65"/>
      <c r="AC799" s="65"/>
      <c r="AD799" s="65"/>
    </row>
    <row r="800">
      <c r="A800" s="65"/>
      <c r="B800" s="64"/>
      <c r="C800" s="64"/>
      <c r="D800" s="64"/>
      <c r="E800" s="64"/>
      <c r="F800" s="64"/>
      <c r="G800" s="65"/>
      <c r="H800" s="65"/>
      <c r="I800" s="65"/>
      <c r="J800" s="65"/>
      <c r="K800" s="65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  <c r="AA800" s="65"/>
      <c r="AB800" s="65"/>
      <c r="AC800" s="65"/>
      <c r="AD800" s="65"/>
    </row>
    <row r="801">
      <c r="A801" s="65"/>
      <c r="B801" s="64"/>
      <c r="C801" s="64"/>
      <c r="D801" s="64"/>
      <c r="E801" s="64"/>
      <c r="F801" s="64"/>
      <c r="G801" s="65"/>
      <c r="H801" s="65"/>
      <c r="I801" s="65"/>
      <c r="J801" s="65"/>
      <c r="K801" s="65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  <c r="AA801" s="65"/>
      <c r="AB801" s="65"/>
      <c r="AC801" s="65"/>
      <c r="AD801" s="65"/>
    </row>
    <row r="802">
      <c r="A802" s="65"/>
      <c r="B802" s="64"/>
      <c r="C802" s="64"/>
      <c r="D802" s="64"/>
      <c r="E802" s="64"/>
      <c r="F802" s="64"/>
      <c r="G802" s="65"/>
      <c r="H802" s="65"/>
      <c r="I802" s="65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  <c r="AA802" s="65"/>
      <c r="AB802" s="65"/>
      <c r="AC802" s="65"/>
      <c r="AD802" s="65"/>
    </row>
    <row r="803">
      <c r="A803" s="65"/>
      <c r="B803" s="64"/>
      <c r="C803" s="64"/>
      <c r="D803" s="64"/>
      <c r="E803" s="64"/>
      <c r="F803" s="64"/>
      <c r="G803" s="65"/>
      <c r="H803" s="65"/>
      <c r="I803" s="65"/>
      <c r="J803" s="65"/>
      <c r="K803" s="65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  <c r="AA803" s="65"/>
      <c r="AB803" s="65"/>
      <c r="AC803" s="65"/>
      <c r="AD803" s="65"/>
    </row>
    <row r="804">
      <c r="A804" s="65"/>
      <c r="B804" s="64"/>
      <c r="C804" s="64"/>
      <c r="D804" s="64"/>
      <c r="E804" s="64"/>
      <c r="F804" s="64"/>
      <c r="G804" s="65"/>
      <c r="H804" s="65"/>
      <c r="I804" s="65"/>
      <c r="J804" s="65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  <c r="AA804" s="65"/>
      <c r="AB804" s="65"/>
      <c r="AC804" s="65"/>
      <c r="AD804" s="65"/>
    </row>
    <row r="805">
      <c r="A805" s="65"/>
      <c r="B805" s="64"/>
      <c r="C805" s="64"/>
      <c r="D805" s="64"/>
      <c r="E805" s="64"/>
      <c r="F805" s="64"/>
      <c r="G805" s="65"/>
      <c r="H805" s="65"/>
      <c r="I805" s="65"/>
      <c r="J805" s="65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  <c r="AA805" s="65"/>
      <c r="AB805" s="65"/>
      <c r="AC805" s="65"/>
      <c r="AD805" s="65"/>
    </row>
    <row r="806">
      <c r="A806" s="65"/>
      <c r="B806" s="64"/>
      <c r="C806" s="64"/>
      <c r="D806" s="64"/>
      <c r="E806" s="64"/>
      <c r="F806" s="64"/>
      <c r="G806" s="65"/>
      <c r="H806" s="65"/>
      <c r="I806" s="65"/>
      <c r="J806" s="65"/>
      <c r="K806" s="65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  <c r="AA806" s="65"/>
      <c r="AB806" s="65"/>
      <c r="AC806" s="65"/>
      <c r="AD806" s="65"/>
    </row>
    <row r="807">
      <c r="A807" s="65"/>
      <c r="B807" s="64"/>
      <c r="C807" s="64"/>
      <c r="D807" s="64"/>
      <c r="E807" s="64"/>
      <c r="F807" s="64"/>
      <c r="G807" s="65"/>
      <c r="H807" s="65"/>
      <c r="I807" s="65"/>
      <c r="J807" s="65"/>
      <c r="K807" s="65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  <c r="AA807" s="65"/>
      <c r="AB807" s="65"/>
      <c r="AC807" s="65"/>
      <c r="AD807" s="65"/>
    </row>
    <row r="808">
      <c r="A808" s="65"/>
      <c r="B808" s="64"/>
      <c r="C808" s="64"/>
      <c r="D808" s="64"/>
      <c r="E808" s="64"/>
      <c r="F808" s="64"/>
      <c r="G808" s="65"/>
      <c r="H808" s="65"/>
      <c r="I808" s="65"/>
      <c r="J808" s="65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  <c r="AA808" s="65"/>
      <c r="AB808" s="65"/>
      <c r="AC808" s="65"/>
      <c r="AD808" s="65"/>
    </row>
    <row r="809">
      <c r="A809" s="65"/>
      <c r="B809" s="64"/>
      <c r="C809" s="64"/>
      <c r="D809" s="64"/>
      <c r="E809" s="64"/>
      <c r="F809" s="64"/>
      <c r="G809" s="65"/>
      <c r="H809" s="65"/>
      <c r="I809" s="65"/>
      <c r="J809" s="65"/>
      <c r="K809" s="65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  <c r="AA809" s="65"/>
      <c r="AB809" s="65"/>
      <c r="AC809" s="65"/>
      <c r="AD809" s="65"/>
    </row>
    <row r="810">
      <c r="A810" s="65"/>
      <c r="B810" s="64"/>
      <c r="C810" s="64"/>
      <c r="D810" s="64"/>
      <c r="E810" s="64"/>
      <c r="F810" s="64"/>
      <c r="G810" s="65"/>
      <c r="H810" s="65"/>
      <c r="I810" s="65"/>
      <c r="J810" s="65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  <c r="AA810" s="65"/>
      <c r="AB810" s="65"/>
      <c r="AC810" s="65"/>
      <c r="AD810" s="65"/>
    </row>
    <row r="811">
      <c r="A811" s="65"/>
      <c r="B811" s="64"/>
      <c r="C811" s="64"/>
      <c r="D811" s="64"/>
      <c r="E811" s="64"/>
      <c r="F811" s="64"/>
      <c r="G811" s="65"/>
      <c r="H811" s="65"/>
      <c r="I811" s="65"/>
      <c r="J811" s="65"/>
      <c r="K811" s="65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  <c r="AA811" s="65"/>
      <c r="AB811" s="65"/>
      <c r="AC811" s="65"/>
      <c r="AD811" s="65"/>
    </row>
    <row r="812">
      <c r="A812" s="65"/>
      <c r="B812" s="64"/>
      <c r="C812" s="64"/>
      <c r="D812" s="64"/>
      <c r="E812" s="64"/>
      <c r="F812" s="64"/>
      <c r="G812" s="65"/>
      <c r="H812" s="65"/>
      <c r="I812" s="65"/>
      <c r="J812" s="65"/>
      <c r="K812" s="65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  <c r="AA812" s="65"/>
      <c r="AB812" s="65"/>
      <c r="AC812" s="65"/>
      <c r="AD812" s="65"/>
    </row>
    <row r="813">
      <c r="A813" s="65"/>
      <c r="B813" s="64"/>
      <c r="C813" s="64"/>
      <c r="D813" s="64"/>
      <c r="E813" s="64"/>
      <c r="F813" s="64"/>
      <c r="G813" s="65"/>
      <c r="H813" s="65"/>
      <c r="I813" s="65"/>
      <c r="J813" s="65"/>
      <c r="K813" s="65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  <c r="AA813" s="65"/>
      <c r="AB813" s="65"/>
      <c r="AC813" s="65"/>
      <c r="AD813" s="65"/>
    </row>
    <row r="814">
      <c r="A814" s="65"/>
      <c r="B814" s="64"/>
      <c r="C814" s="64"/>
      <c r="D814" s="64"/>
      <c r="E814" s="64"/>
      <c r="F814" s="64"/>
      <c r="G814" s="65"/>
      <c r="H814" s="65"/>
      <c r="I814" s="65"/>
      <c r="J814" s="65"/>
      <c r="K814" s="65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  <c r="AA814" s="65"/>
      <c r="AB814" s="65"/>
      <c r="AC814" s="65"/>
      <c r="AD814" s="65"/>
    </row>
    <row r="815">
      <c r="A815" s="65"/>
      <c r="B815" s="64"/>
      <c r="C815" s="64"/>
      <c r="D815" s="64"/>
      <c r="E815" s="64"/>
      <c r="F815" s="64"/>
      <c r="G815" s="65"/>
      <c r="H815" s="65"/>
      <c r="I815" s="65"/>
      <c r="J815" s="65"/>
      <c r="K815" s="65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  <c r="AA815" s="65"/>
      <c r="AB815" s="65"/>
      <c r="AC815" s="65"/>
      <c r="AD815" s="65"/>
    </row>
    <row r="816">
      <c r="A816" s="65"/>
      <c r="B816" s="64"/>
      <c r="C816" s="64"/>
      <c r="D816" s="64"/>
      <c r="E816" s="64"/>
      <c r="F816" s="64"/>
      <c r="G816" s="65"/>
      <c r="H816" s="65"/>
      <c r="I816" s="65"/>
      <c r="J816" s="65"/>
      <c r="K816" s="65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  <c r="AA816" s="65"/>
      <c r="AB816" s="65"/>
      <c r="AC816" s="65"/>
      <c r="AD816" s="65"/>
    </row>
    <row r="817">
      <c r="A817" s="65"/>
      <c r="B817" s="64"/>
      <c r="C817" s="64"/>
      <c r="D817" s="64"/>
      <c r="E817" s="64"/>
      <c r="F817" s="64"/>
      <c r="G817" s="65"/>
      <c r="H817" s="65"/>
      <c r="I817" s="65"/>
      <c r="J817" s="65"/>
      <c r="K817" s="65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  <c r="AA817" s="65"/>
      <c r="AB817" s="65"/>
      <c r="AC817" s="65"/>
      <c r="AD817" s="65"/>
    </row>
    <row r="818">
      <c r="A818" s="65"/>
      <c r="B818" s="64"/>
      <c r="C818" s="64"/>
      <c r="D818" s="64"/>
      <c r="E818" s="64"/>
      <c r="F818" s="64"/>
      <c r="G818" s="65"/>
      <c r="H818" s="65"/>
      <c r="I818" s="65"/>
      <c r="J818" s="65"/>
      <c r="K818" s="65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  <c r="AA818" s="65"/>
      <c r="AB818" s="65"/>
      <c r="AC818" s="65"/>
      <c r="AD818" s="65"/>
    </row>
    <row r="819">
      <c r="A819" s="65"/>
      <c r="B819" s="64"/>
      <c r="C819" s="64"/>
      <c r="D819" s="64"/>
      <c r="E819" s="64"/>
      <c r="F819" s="64"/>
      <c r="G819" s="65"/>
      <c r="H819" s="65"/>
      <c r="I819" s="65"/>
      <c r="J819" s="65"/>
      <c r="K819" s="65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  <c r="AA819" s="65"/>
      <c r="AB819" s="65"/>
      <c r="AC819" s="65"/>
      <c r="AD819" s="65"/>
    </row>
    <row r="820">
      <c r="A820" s="65"/>
      <c r="B820" s="64"/>
      <c r="C820" s="64"/>
      <c r="D820" s="64"/>
      <c r="E820" s="64"/>
      <c r="F820" s="64"/>
      <c r="G820" s="65"/>
      <c r="H820" s="65"/>
      <c r="I820" s="65"/>
      <c r="J820" s="65"/>
      <c r="K820" s="65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  <c r="AA820" s="65"/>
      <c r="AB820" s="65"/>
      <c r="AC820" s="65"/>
      <c r="AD820" s="65"/>
    </row>
    <row r="821">
      <c r="A821" s="65"/>
      <c r="B821" s="64"/>
      <c r="C821" s="64"/>
      <c r="D821" s="64"/>
      <c r="E821" s="64"/>
      <c r="F821" s="64"/>
      <c r="G821" s="65"/>
      <c r="H821" s="65"/>
      <c r="I821" s="65"/>
      <c r="J821" s="65"/>
      <c r="K821" s="65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  <c r="AA821" s="65"/>
      <c r="AB821" s="65"/>
      <c r="AC821" s="65"/>
      <c r="AD821" s="65"/>
    </row>
    <row r="822">
      <c r="A822" s="65"/>
      <c r="B822" s="64"/>
      <c r="C822" s="64"/>
      <c r="D822" s="64"/>
      <c r="E822" s="64"/>
      <c r="F822" s="64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  <c r="AA822" s="65"/>
      <c r="AB822" s="65"/>
      <c r="AC822" s="65"/>
      <c r="AD822" s="65"/>
    </row>
    <row r="823">
      <c r="A823" s="65"/>
      <c r="B823" s="64"/>
      <c r="C823" s="64"/>
      <c r="D823" s="64"/>
      <c r="E823" s="64"/>
      <c r="F823" s="64"/>
      <c r="G823" s="65"/>
      <c r="H823" s="65"/>
      <c r="I823" s="65"/>
      <c r="J823" s="65"/>
      <c r="K823" s="65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  <c r="AA823" s="65"/>
      <c r="AB823" s="65"/>
      <c r="AC823" s="65"/>
      <c r="AD823" s="65"/>
    </row>
    <row r="824">
      <c r="A824" s="65"/>
      <c r="B824" s="64"/>
      <c r="C824" s="64"/>
      <c r="D824" s="64"/>
      <c r="E824" s="64"/>
      <c r="F824" s="64"/>
      <c r="G824" s="65"/>
      <c r="H824" s="65"/>
      <c r="I824" s="65"/>
      <c r="J824" s="65"/>
      <c r="K824" s="65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  <c r="AA824" s="65"/>
      <c r="AB824" s="65"/>
      <c r="AC824" s="65"/>
      <c r="AD824" s="65"/>
    </row>
    <row r="825">
      <c r="A825" s="65"/>
      <c r="B825" s="64"/>
      <c r="C825" s="64"/>
      <c r="D825" s="64"/>
      <c r="E825" s="64"/>
      <c r="F825" s="64"/>
      <c r="G825" s="65"/>
      <c r="H825" s="65"/>
      <c r="I825" s="65"/>
      <c r="J825" s="65"/>
      <c r="K825" s="65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  <c r="AA825" s="65"/>
      <c r="AB825" s="65"/>
      <c r="AC825" s="65"/>
      <c r="AD825" s="65"/>
    </row>
    <row r="826">
      <c r="A826" s="65"/>
      <c r="B826" s="64"/>
      <c r="C826" s="64"/>
      <c r="D826" s="64"/>
      <c r="E826" s="64"/>
      <c r="F826" s="64"/>
      <c r="G826" s="65"/>
      <c r="H826" s="65"/>
      <c r="I826" s="65"/>
      <c r="J826" s="65"/>
      <c r="K826" s="65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  <c r="AA826" s="65"/>
      <c r="AB826" s="65"/>
      <c r="AC826" s="65"/>
      <c r="AD826" s="65"/>
    </row>
    <row r="827">
      <c r="A827" s="65"/>
      <c r="B827" s="64"/>
      <c r="C827" s="64"/>
      <c r="D827" s="64"/>
      <c r="E827" s="64"/>
      <c r="F827" s="64"/>
      <c r="G827" s="65"/>
      <c r="H827" s="65"/>
      <c r="I827" s="65"/>
      <c r="J827" s="65"/>
      <c r="K827" s="65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  <c r="AA827" s="65"/>
      <c r="AB827" s="65"/>
      <c r="AC827" s="65"/>
      <c r="AD827" s="65"/>
    </row>
    <row r="828">
      <c r="A828" s="65"/>
      <c r="B828" s="64"/>
      <c r="C828" s="64"/>
      <c r="D828" s="64"/>
      <c r="E828" s="64"/>
      <c r="F828" s="64"/>
      <c r="G828" s="65"/>
      <c r="H828" s="65"/>
      <c r="I828" s="65"/>
      <c r="J828" s="65"/>
      <c r="K828" s="65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  <c r="AA828" s="65"/>
      <c r="AB828" s="65"/>
      <c r="AC828" s="65"/>
      <c r="AD828" s="65"/>
    </row>
    <row r="829">
      <c r="A829" s="65"/>
      <c r="B829" s="64"/>
      <c r="C829" s="64"/>
      <c r="D829" s="64"/>
      <c r="E829" s="64"/>
      <c r="F829" s="64"/>
      <c r="G829" s="65"/>
      <c r="H829" s="65"/>
      <c r="I829" s="65"/>
      <c r="J829" s="65"/>
      <c r="K829" s="65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  <c r="AA829" s="65"/>
      <c r="AB829" s="65"/>
      <c r="AC829" s="65"/>
      <c r="AD829" s="65"/>
    </row>
    <row r="830">
      <c r="A830" s="65"/>
      <c r="B830" s="64"/>
      <c r="C830" s="64"/>
      <c r="D830" s="64"/>
      <c r="E830" s="64"/>
      <c r="F830" s="64"/>
      <c r="G830" s="65"/>
      <c r="H830" s="65"/>
      <c r="I830" s="65"/>
      <c r="J830" s="65"/>
      <c r="K830" s="65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  <c r="AA830" s="65"/>
      <c r="AB830" s="65"/>
      <c r="AC830" s="65"/>
      <c r="AD830" s="65"/>
    </row>
    <row r="831">
      <c r="A831" s="65"/>
      <c r="B831" s="64"/>
      <c r="C831" s="64"/>
      <c r="D831" s="64"/>
      <c r="E831" s="64"/>
      <c r="F831" s="64"/>
      <c r="G831" s="65"/>
      <c r="H831" s="65"/>
      <c r="I831" s="65"/>
      <c r="J831" s="65"/>
      <c r="K831" s="65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  <c r="AA831" s="65"/>
      <c r="AB831" s="65"/>
      <c r="AC831" s="65"/>
      <c r="AD831" s="65"/>
    </row>
    <row r="832">
      <c r="A832" s="65"/>
      <c r="B832" s="64"/>
      <c r="C832" s="64"/>
      <c r="D832" s="64"/>
      <c r="E832" s="64"/>
      <c r="F832" s="64"/>
      <c r="G832" s="65"/>
      <c r="H832" s="65"/>
      <c r="I832" s="65"/>
      <c r="J832" s="65"/>
      <c r="K832" s="65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  <c r="AA832" s="65"/>
      <c r="AB832" s="65"/>
      <c r="AC832" s="65"/>
      <c r="AD832" s="65"/>
    </row>
    <row r="833">
      <c r="A833" s="65"/>
      <c r="B833" s="64"/>
      <c r="C833" s="64"/>
      <c r="D833" s="64"/>
      <c r="E833" s="64"/>
      <c r="F833" s="64"/>
      <c r="G833" s="65"/>
      <c r="H833" s="65"/>
      <c r="I833" s="65"/>
      <c r="J833" s="65"/>
      <c r="K833" s="65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  <c r="AA833" s="65"/>
      <c r="AB833" s="65"/>
      <c r="AC833" s="65"/>
      <c r="AD833" s="65"/>
    </row>
    <row r="834">
      <c r="A834" s="65"/>
      <c r="B834" s="64"/>
      <c r="C834" s="64"/>
      <c r="D834" s="64"/>
      <c r="E834" s="64"/>
      <c r="F834" s="64"/>
      <c r="G834" s="65"/>
      <c r="H834" s="65"/>
      <c r="I834" s="65"/>
      <c r="J834" s="65"/>
      <c r="K834" s="65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  <c r="AA834" s="65"/>
      <c r="AB834" s="65"/>
      <c r="AC834" s="65"/>
      <c r="AD834" s="65"/>
    </row>
    <row r="835">
      <c r="A835" s="65"/>
      <c r="B835" s="64"/>
      <c r="C835" s="64"/>
      <c r="D835" s="64"/>
      <c r="E835" s="64"/>
      <c r="F835" s="64"/>
      <c r="G835" s="65"/>
      <c r="H835" s="65"/>
      <c r="I835" s="65"/>
      <c r="J835" s="65"/>
      <c r="K835" s="65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  <c r="AA835" s="65"/>
      <c r="AB835" s="65"/>
      <c r="AC835" s="65"/>
      <c r="AD835" s="65"/>
    </row>
    <row r="836">
      <c r="A836" s="65"/>
      <c r="B836" s="64"/>
      <c r="C836" s="64"/>
      <c r="D836" s="64"/>
      <c r="E836" s="64"/>
      <c r="F836" s="64"/>
      <c r="G836" s="65"/>
      <c r="H836" s="65"/>
      <c r="I836" s="65"/>
      <c r="J836" s="65"/>
      <c r="K836" s="65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  <c r="AA836" s="65"/>
      <c r="AB836" s="65"/>
      <c r="AC836" s="65"/>
      <c r="AD836" s="65"/>
    </row>
    <row r="837">
      <c r="A837" s="65"/>
      <c r="B837" s="64"/>
      <c r="C837" s="64"/>
      <c r="D837" s="64"/>
      <c r="E837" s="64"/>
      <c r="F837" s="64"/>
      <c r="G837" s="65"/>
      <c r="H837" s="65"/>
      <c r="I837" s="65"/>
      <c r="J837" s="65"/>
      <c r="K837" s="65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  <c r="AA837" s="65"/>
      <c r="AB837" s="65"/>
      <c r="AC837" s="65"/>
      <c r="AD837" s="65"/>
    </row>
    <row r="838">
      <c r="A838" s="65"/>
      <c r="B838" s="64"/>
      <c r="C838" s="64"/>
      <c r="D838" s="64"/>
      <c r="E838" s="64"/>
      <c r="F838" s="64"/>
      <c r="G838" s="65"/>
      <c r="H838" s="65"/>
      <c r="I838" s="65"/>
      <c r="J838" s="65"/>
      <c r="K838" s="65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  <c r="AA838" s="65"/>
      <c r="AB838" s="65"/>
      <c r="AC838" s="65"/>
      <c r="AD838" s="65"/>
    </row>
    <row r="839">
      <c r="A839" s="65"/>
      <c r="B839" s="64"/>
      <c r="C839" s="64"/>
      <c r="D839" s="64"/>
      <c r="E839" s="64"/>
      <c r="F839" s="64"/>
      <c r="G839" s="65"/>
      <c r="H839" s="65"/>
      <c r="I839" s="65"/>
      <c r="J839" s="65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  <c r="AA839" s="65"/>
      <c r="AB839" s="65"/>
      <c r="AC839" s="65"/>
      <c r="AD839" s="65"/>
    </row>
    <row r="840">
      <c r="A840" s="65"/>
      <c r="B840" s="64"/>
      <c r="C840" s="64"/>
      <c r="D840" s="64"/>
      <c r="E840" s="64"/>
      <c r="F840" s="64"/>
      <c r="G840" s="65"/>
      <c r="H840" s="65"/>
      <c r="I840" s="65"/>
      <c r="J840" s="65"/>
      <c r="K840" s="65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  <c r="AA840" s="65"/>
      <c r="AB840" s="65"/>
      <c r="AC840" s="65"/>
      <c r="AD840" s="65"/>
    </row>
    <row r="841">
      <c r="A841" s="65"/>
      <c r="B841" s="64"/>
      <c r="C841" s="64"/>
      <c r="D841" s="64"/>
      <c r="E841" s="64"/>
      <c r="F841" s="64"/>
      <c r="G841" s="65"/>
      <c r="H841" s="65"/>
      <c r="I841" s="65"/>
      <c r="J841" s="65"/>
      <c r="K841" s="65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  <c r="AA841" s="65"/>
      <c r="AB841" s="65"/>
      <c r="AC841" s="65"/>
      <c r="AD841" s="65"/>
    </row>
    <row r="842">
      <c r="A842" s="65"/>
      <c r="B842" s="64"/>
      <c r="C842" s="64"/>
      <c r="D842" s="64"/>
      <c r="E842" s="64"/>
      <c r="F842" s="64"/>
      <c r="G842" s="65"/>
      <c r="H842" s="65"/>
      <c r="I842" s="65"/>
      <c r="J842" s="65"/>
      <c r="K842" s="65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  <c r="AA842" s="65"/>
      <c r="AB842" s="65"/>
      <c r="AC842" s="65"/>
      <c r="AD842" s="65"/>
    </row>
    <row r="843">
      <c r="A843" s="65"/>
      <c r="B843" s="64"/>
      <c r="C843" s="64"/>
      <c r="D843" s="64"/>
      <c r="E843" s="64"/>
      <c r="F843" s="64"/>
      <c r="G843" s="65"/>
      <c r="H843" s="65"/>
      <c r="I843" s="65"/>
      <c r="J843" s="65"/>
      <c r="K843" s="65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  <c r="AA843" s="65"/>
      <c r="AB843" s="65"/>
      <c r="AC843" s="65"/>
      <c r="AD843" s="65"/>
    </row>
    <row r="844">
      <c r="A844" s="65"/>
      <c r="B844" s="64"/>
      <c r="C844" s="64"/>
      <c r="D844" s="64"/>
      <c r="E844" s="64"/>
      <c r="F844" s="64"/>
      <c r="G844" s="65"/>
      <c r="H844" s="65"/>
      <c r="I844" s="65"/>
      <c r="J844" s="65"/>
      <c r="K844" s="65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  <c r="AA844" s="65"/>
      <c r="AB844" s="65"/>
      <c r="AC844" s="65"/>
      <c r="AD844" s="65"/>
    </row>
    <row r="845">
      <c r="A845" s="65"/>
      <c r="B845" s="64"/>
      <c r="C845" s="64"/>
      <c r="D845" s="64"/>
      <c r="E845" s="64"/>
      <c r="F845" s="64"/>
      <c r="G845" s="65"/>
      <c r="H845" s="65"/>
      <c r="I845" s="65"/>
      <c r="J845" s="65"/>
      <c r="K845" s="65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  <c r="AA845" s="65"/>
      <c r="AB845" s="65"/>
      <c r="AC845" s="65"/>
      <c r="AD845" s="65"/>
    </row>
    <row r="846">
      <c r="A846" s="65"/>
      <c r="B846" s="64"/>
      <c r="C846" s="64"/>
      <c r="D846" s="64"/>
      <c r="E846" s="64"/>
      <c r="F846" s="64"/>
      <c r="G846" s="65"/>
      <c r="H846" s="65"/>
      <c r="I846" s="65"/>
      <c r="J846" s="65"/>
      <c r="K846" s="65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  <c r="AA846" s="65"/>
      <c r="AB846" s="65"/>
      <c r="AC846" s="65"/>
      <c r="AD846" s="65"/>
    </row>
    <row r="847">
      <c r="A847" s="65"/>
      <c r="B847" s="64"/>
      <c r="C847" s="64"/>
      <c r="D847" s="64"/>
      <c r="E847" s="64"/>
      <c r="F847" s="64"/>
      <c r="G847" s="65"/>
      <c r="H847" s="65"/>
      <c r="I847" s="65"/>
      <c r="J847" s="65"/>
      <c r="K847" s="65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  <c r="AA847" s="65"/>
      <c r="AB847" s="65"/>
      <c r="AC847" s="65"/>
      <c r="AD847" s="65"/>
    </row>
    <row r="848">
      <c r="A848" s="65"/>
      <c r="B848" s="64"/>
      <c r="C848" s="64"/>
      <c r="D848" s="64"/>
      <c r="E848" s="64"/>
      <c r="F848" s="64"/>
      <c r="G848" s="65"/>
      <c r="H848" s="65"/>
      <c r="I848" s="65"/>
      <c r="J848" s="65"/>
      <c r="K848" s="65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  <c r="AA848" s="65"/>
      <c r="AB848" s="65"/>
      <c r="AC848" s="65"/>
      <c r="AD848" s="65"/>
    </row>
    <row r="849">
      <c r="A849" s="65"/>
      <c r="B849" s="64"/>
      <c r="C849" s="64"/>
      <c r="D849" s="64"/>
      <c r="E849" s="64"/>
      <c r="F849" s="64"/>
      <c r="G849" s="65"/>
      <c r="H849" s="65"/>
      <c r="I849" s="65"/>
      <c r="J849" s="65"/>
      <c r="K849" s="65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  <c r="AA849" s="65"/>
      <c r="AB849" s="65"/>
      <c r="AC849" s="65"/>
      <c r="AD849" s="65"/>
    </row>
    <row r="850">
      <c r="A850" s="65"/>
      <c r="B850" s="64"/>
      <c r="C850" s="64"/>
      <c r="D850" s="64"/>
      <c r="E850" s="64"/>
      <c r="F850" s="64"/>
      <c r="G850" s="65"/>
      <c r="H850" s="65"/>
      <c r="I850" s="65"/>
      <c r="J850" s="65"/>
      <c r="K850" s="65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  <c r="AA850" s="65"/>
      <c r="AB850" s="65"/>
      <c r="AC850" s="65"/>
      <c r="AD850" s="65"/>
    </row>
    <row r="851">
      <c r="A851" s="65"/>
      <c r="B851" s="64"/>
      <c r="C851" s="64"/>
      <c r="D851" s="64"/>
      <c r="E851" s="64"/>
      <c r="F851" s="64"/>
      <c r="G851" s="65"/>
      <c r="H851" s="65"/>
      <c r="I851" s="65"/>
      <c r="J851" s="65"/>
      <c r="K851" s="65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  <c r="AA851" s="65"/>
      <c r="AB851" s="65"/>
      <c r="AC851" s="65"/>
      <c r="AD851" s="65"/>
    </row>
    <row r="852">
      <c r="A852" s="65"/>
      <c r="B852" s="64"/>
      <c r="C852" s="64"/>
      <c r="D852" s="64"/>
      <c r="E852" s="64"/>
      <c r="F852" s="64"/>
      <c r="G852" s="65"/>
      <c r="H852" s="65"/>
      <c r="I852" s="65"/>
      <c r="J852" s="65"/>
      <c r="K852" s="65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  <c r="AA852" s="65"/>
      <c r="AB852" s="65"/>
      <c r="AC852" s="65"/>
      <c r="AD852" s="65"/>
    </row>
    <row r="853">
      <c r="A853" s="65"/>
      <c r="B853" s="64"/>
      <c r="C853" s="64"/>
      <c r="D853" s="64"/>
      <c r="E853" s="64"/>
      <c r="F853" s="64"/>
      <c r="G853" s="65"/>
      <c r="H853" s="65"/>
      <c r="I853" s="65"/>
      <c r="J853" s="65"/>
      <c r="K853" s="65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  <c r="AA853" s="65"/>
      <c r="AB853" s="65"/>
      <c r="AC853" s="65"/>
      <c r="AD853" s="65"/>
    </row>
    <row r="854">
      <c r="A854" s="65"/>
      <c r="B854" s="64"/>
      <c r="C854" s="64"/>
      <c r="D854" s="64"/>
      <c r="E854" s="64"/>
      <c r="F854" s="64"/>
      <c r="G854" s="65"/>
      <c r="H854" s="65"/>
      <c r="I854" s="65"/>
      <c r="J854" s="65"/>
      <c r="K854" s="65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  <c r="AA854" s="65"/>
      <c r="AB854" s="65"/>
      <c r="AC854" s="65"/>
      <c r="AD854" s="65"/>
    </row>
    <row r="855">
      <c r="A855" s="65"/>
      <c r="B855" s="64"/>
      <c r="C855" s="64"/>
      <c r="D855" s="64"/>
      <c r="E855" s="64"/>
      <c r="F855" s="64"/>
      <c r="G855" s="65"/>
      <c r="H855" s="65"/>
      <c r="I855" s="65"/>
      <c r="J855" s="65"/>
      <c r="K855" s="65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  <c r="AA855" s="65"/>
      <c r="AB855" s="65"/>
      <c r="AC855" s="65"/>
      <c r="AD855" s="65"/>
    </row>
    <row r="856">
      <c r="A856" s="65"/>
      <c r="B856" s="64"/>
      <c r="C856" s="64"/>
      <c r="D856" s="64"/>
      <c r="E856" s="64"/>
      <c r="F856" s="64"/>
      <c r="G856" s="65"/>
      <c r="H856" s="65"/>
      <c r="I856" s="65"/>
      <c r="J856" s="65"/>
      <c r="K856" s="65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  <c r="AA856" s="65"/>
      <c r="AB856" s="65"/>
      <c r="AC856" s="65"/>
      <c r="AD856" s="65"/>
    </row>
    <row r="857">
      <c r="A857" s="65"/>
      <c r="B857" s="64"/>
      <c r="C857" s="64"/>
      <c r="D857" s="64"/>
      <c r="E857" s="64"/>
      <c r="F857" s="64"/>
      <c r="G857" s="65"/>
      <c r="H857" s="65"/>
      <c r="I857" s="65"/>
      <c r="J857" s="65"/>
      <c r="K857" s="65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  <c r="AA857" s="65"/>
      <c r="AB857" s="65"/>
      <c r="AC857" s="65"/>
      <c r="AD857" s="65"/>
    </row>
    <row r="858">
      <c r="A858" s="65"/>
      <c r="B858" s="64"/>
      <c r="C858" s="64"/>
      <c r="D858" s="64"/>
      <c r="E858" s="64"/>
      <c r="F858" s="64"/>
      <c r="G858" s="65"/>
      <c r="H858" s="65"/>
      <c r="I858" s="65"/>
      <c r="J858" s="65"/>
      <c r="K858" s="65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  <c r="AA858" s="65"/>
      <c r="AB858" s="65"/>
      <c r="AC858" s="65"/>
      <c r="AD858" s="65"/>
    </row>
    <row r="859">
      <c r="A859" s="65"/>
      <c r="B859" s="64"/>
      <c r="C859" s="64"/>
      <c r="D859" s="64"/>
      <c r="E859" s="64"/>
      <c r="F859" s="64"/>
      <c r="G859" s="65"/>
      <c r="H859" s="65"/>
      <c r="I859" s="65"/>
      <c r="J859" s="65"/>
      <c r="K859" s="65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  <c r="AA859" s="65"/>
      <c r="AB859" s="65"/>
      <c r="AC859" s="65"/>
      <c r="AD859" s="65"/>
    </row>
    <row r="860">
      <c r="A860" s="65"/>
      <c r="B860" s="64"/>
      <c r="C860" s="64"/>
      <c r="D860" s="64"/>
      <c r="E860" s="64"/>
      <c r="F860" s="64"/>
      <c r="G860" s="65"/>
      <c r="H860" s="65"/>
      <c r="I860" s="65"/>
      <c r="J860" s="65"/>
      <c r="K860" s="65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  <c r="AA860" s="65"/>
      <c r="AB860" s="65"/>
      <c r="AC860" s="65"/>
      <c r="AD860" s="65"/>
    </row>
    <row r="861">
      <c r="A861" s="65"/>
      <c r="B861" s="64"/>
      <c r="C861" s="64"/>
      <c r="D861" s="64"/>
      <c r="E861" s="64"/>
      <c r="F861" s="64"/>
      <c r="G861" s="65"/>
      <c r="H861" s="65"/>
      <c r="I861" s="65"/>
      <c r="J861" s="65"/>
      <c r="K861" s="65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  <c r="AA861" s="65"/>
      <c r="AB861" s="65"/>
      <c r="AC861" s="65"/>
      <c r="AD861" s="65"/>
    </row>
    <row r="862">
      <c r="A862" s="65"/>
      <c r="B862" s="64"/>
      <c r="C862" s="64"/>
      <c r="D862" s="64"/>
      <c r="E862" s="64"/>
      <c r="F862" s="64"/>
      <c r="G862" s="65"/>
      <c r="H862" s="65"/>
      <c r="I862" s="65"/>
      <c r="J862" s="65"/>
      <c r="K862" s="65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  <c r="AA862" s="65"/>
      <c r="AB862" s="65"/>
      <c r="AC862" s="65"/>
      <c r="AD862" s="65"/>
    </row>
    <row r="863">
      <c r="A863" s="65"/>
      <c r="B863" s="64"/>
      <c r="C863" s="64"/>
      <c r="D863" s="64"/>
      <c r="E863" s="64"/>
      <c r="F863" s="64"/>
      <c r="G863" s="65"/>
      <c r="H863" s="65"/>
      <c r="I863" s="65"/>
      <c r="J863" s="65"/>
      <c r="K863" s="65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  <c r="AA863" s="65"/>
      <c r="AB863" s="65"/>
      <c r="AC863" s="65"/>
      <c r="AD863" s="65"/>
    </row>
    <row r="864">
      <c r="A864" s="65"/>
      <c r="B864" s="64"/>
      <c r="C864" s="64"/>
      <c r="D864" s="64"/>
      <c r="E864" s="64"/>
      <c r="F864" s="64"/>
      <c r="G864" s="65"/>
      <c r="H864" s="65"/>
      <c r="I864" s="65"/>
      <c r="J864" s="65"/>
      <c r="K864" s="65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  <c r="AA864" s="65"/>
      <c r="AB864" s="65"/>
      <c r="AC864" s="65"/>
      <c r="AD864" s="65"/>
    </row>
    <row r="865">
      <c r="A865" s="65"/>
      <c r="B865" s="64"/>
      <c r="C865" s="64"/>
      <c r="D865" s="64"/>
      <c r="E865" s="64"/>
      <c r="F865" s="64"/>
      <c r="G865" s="65"/>
      <c r="H865" s="65"/>
      <c r="I865" s="65"/>
      <c r="J865" s="65"/>
      <c r="K865" s="65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  <c r="AA865" s="65"/>
      <c r="AB865" s="65"/>
      <c r="AC865" s="65"/>
      <c r="AD865" s="65"/>
    </row>
    <row r="866">
      <c r="A866" s="65"/>
      <c r="B866" s="64"/>
      <c r="C866" s="64"/>
      <c r="D866" s="64"/>
      <c r="E866" s="64"/>
      <c r="F866" s="64"/>
      <c r="G866" s="65"/>
      <c r="H866" s="65"/>
      <c r="I866" s="65"/>
      <c r="J866" s="65"/>
      <c r="K866" s="65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  <c r="AA866" s="65"/>
      <c r="AB866" s="65"/>
      <c r="AC866" s="65"/>
      <c r="AD866" s="65"/>
    </row>
    <row r="867">
      <c r="A867" s="65"/>
      <c r="B867" s="64"/>
      <c r="C867" s="64"/>
      <c r="D867" s="64"/>
      <c r="E867" s="64"/>
      <c r="F867" s="64"/>
      <c r="G867" s="65"/>
      <c r="H867" s="65"/>
      <c r="I867" s="65"/>
      <c r="J867" s="65"/>
      <c r="K867" s="65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  <c r="AA867" s="65"/>
      <c r="AB867" s="65"/>
      <c r="AC867" s="65"/>
      <c r="AD867" s="65"/>
    </row>
    <row r="868">
      <c r="A868" s="65"/>
      <c r="B868" s="64"/>
      <c r="C868" s="64"/>
      <c r="D868" s="64"/>
      <c r="E868" s="64"/>
      <c r="F868" s="64"/>
      <c r="G868" s="65"/>
      <c r="H868" s="65"/>
      <c r="I868" s="65"/>
      <c r="J868" s="65"/>
      <c r="K868" s="65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  <c r="AA868" s="65"/>
      <c r="AB868" s="65"/>
      <c r="AC868" s="65"/>
      <c r="AD868" s="65"/>
    </row>
    <row r="869">
      <c r="A869" s="65"/>
      <c r="B869" s="64"/>
      <c r="C869" s="64"/>
      <c r="D869" s="64"/>
      <c r="E869" s="64"/>
      <c r="F869" s="64"/>
      <c r="G869" s="65"/>
      <c r="H869" s="65"/>
      <c r="I869" s="65"/>
      <c r="J869" s="65"/>
      <c r="K869" s="65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  <c r="AA869" s="65"/>
      <c r="AB869" s="65"/>
      <c r="AC869" s="65"/>
      <c r="AD869" s="65"/>
    </row>
    <row r="870">
      <c r="A870" s="65"/>
      <c r="B870" s="64"/>
      <c r="C870" s="64"/>
      <c r="D870" s="64"/>
      <c r="E870" s="64"/>
      <c r="F870" s="64"/>
      <c r="G870" s="65"/>
      <c r="H870" s="65"/>
      <c r="I870" s="65"/>
      <c r="J870" s="65"/>
      <c r="K870" s="65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  <c r="AA870" s="65"/>
      <c r="AB870" s="65"/>
      <c r="AC870" s="65"/>
      <c r="AD870" s="65"/>
    </row>
    <row r="871">
      <c r="A871" s="65"/>
      <c r="B871" s="64"/>
      <c r="C871" s="64"/>
      <c r="D871" s="64"/>
      <c r="E871" s="64"/>
      <c r="F871" s="64"/>
      <c r="G871" s="65"/>
      <c r="H871" s="65"/>
      <c r="I871" s="65"/>
      <c r="J871" s="65"/>
      <c r="K871" s="65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  <c r="AA871" s="65"/>
      <c r="AB871" s="65"/>
      <c r="AC871" s="65"/>
      <c r="AD871" s="65"/>
    </row>
    <row r="872">
      <c r="A872" s="65"/>
      <c r="B872" s="64"/>
      <c r="C872" s="64"/>
      <c r="D872" s="64"/>
      <c r="E872" s="64"/>
      <c r="F872" s="64"/>
      <c r="G872" s="65"/>
      <c r="H872" s="65"/>
      <c r="I872" s="65"/>
      <c r="J872" s="65"/>
      <c r="K872" s="65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  <c r="AA872" s="65"/>
      <c r="AB872" s="65"/>
      <c r="AC872" s="65"/>
      <c r="AD872" s="65"/>
    </row>
    <row r="873">
      <c r="A873" s="65"/>
      <c r="B873" s="64"/>
      <c r="C873" s="64"/>
      <c r="D873" s="64"/>
      <c r="E873" s="64"/>
      <c r="F873" s="64"/>
      <c r="G873" s="65"/>
      <c r="H873" s="65"/>
      <c r="I873" s="65"/>
      <c r="J873" s="65"/>
      <c r="K873" s="65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  <c r="AA873" s="65"/>
      <c r="AB873" s="65"/>
      <c r="AC873" s="65"/>
      <c r="AD873" s="65"/>
    </row>
    <row r="874">
      <c r="A874" s="65"/>
      <c r="B874" s="64"/>
      <c r="C874" s="64"/>
      <c r="D874" s="64"/>
      <c r="E874" s="64"/>
      <c r="F874" s="64"/>
      <c r="G874" s="65"/>
      <c r="H874" s="65"/>
      <c r="I874" s="65"/>
      <c r="J874" s="65"/>
      <c r="K874" s="65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  <c r="AA874" s="65"/>
      <c r="AB874" s="65"/>
      <c r="AC874" s="65"/>
      <c r="AD874" s="65"/>
    </row>
    <row r="875">
      <c r="A875" s="65"/>
      <c r="B875" s="64"/>
      <c r="C875" s="64"/>
      <c r="D875" s="64"/>
      <c r="E875" s="64"/>
      <c r="F875" s="64"/>
      <c r="G875" s="65"/>
      <c r="H875" s="65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  <c r="AA875" s="65"/>
      <c r="AB875" s="65"/>
      <c r="AC875" s="65"/>
      <c r="AD875" s="65"/>
    </row>
    <row r="876">
      <c r="A876" s="65"/>
      <c r="B876" s="64"/>
      <c r="C876" s="64"/>
      <c r="D876" s="64"/>
      <c r="E876" s="64"/>
      <c r="F876" s="64"/>
      <c r="G876" s="65"/>
      <c r="H876" s="65"/>
      <c r="I876" s="65"/>
      <c r="J876" s="65"/>
      <c r="K876" s="65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  <c r="AA876" s="65"/>
      <c r="AB876" s="65"/>
      <c r="AC876" s="65"/>
      <c r="AD876" s="65"/>
    </row>
    <row r="877">
      <c r="A877" s="65"/>
      <c r="B877" s="64"/>
      <c r="C877" s="64"/>
      <c r="D877" s="64"/>
      <c r="E877" s="64"/>
      <c r="F877" s="64"/>
      <c r="G877" s="65"/>
      <c r="H877" s="65"/>
      <c r="I877" s="65"/>
      <c r="J877" s="65"/>
      <c r="K877" s="65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  <c r="AA877" s="65"/>
      <c r="AB877" s="65"/>
      <c r="AC877" s="65"/>
      <c r="AD877" s="65"/>
    </row>
    <row r="878">
      <c r="A878" s="65"/>
      <c r="B878" s="64"/>
      <c r="C878" s="64"/>
      <c r="D878" s="64"/>
      <c r="E878" s="64"/>
      <c r="F878" s="64"/>
      <c r="G878" s="65"/>
      <c r="H878" s="65"/>
      <c r="I878" s="65"/>
      <c r="J878" s="65"/>
      <c r="K878" s="65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  <c r="AA878" s="65"/>
      <c r="AB878" s="65"/>
      <c r="AC878" s="65"/>
      <c r="AD878" s="65"/>
    </row>
    <row r="879">
      <c r="A879" s="65"/>
      <c r="B879" s="64"/>
      <c r="C879" s="64"/>
      <c r="D879" s="64"/>
      <c r="E879" s="64"/>
      <c r="F879" s="64"/>
      <c r="G879" s="65"/>
      <c r="H879" s="65"/>
      <c r="I879" s="65"/>
      <c r="J879" s="65"/>
      <c r="K879" s="65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  <c r="AA879" s="65"/>
      <c r="AB879" s="65"/>
      <c r="AC879" s="65"/>
      <c r="AD879" s="65"/>
    </row>
    <row r="880">
      <c r="A880" s="65"/>
      <c r="B880" s="64"/>
      <c r="C880" s="64"/>
      <c r="D880" s="64"/>
      <c r="E880" s="64"/>
      <c r="F880" s="64"/>
      <c r="G880" s="65"/>
      <c r="H880" s="65"/>
      <c r="I880" s="65"/>
      <c r="J880" s="65"/>
      <c r="K880" s="65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  <c r="AA880" s="65"/>
      <c r="AB880" s="65"/>
      <c r="AC880" s="65"/>
      <c r="AD880" s="65"/>
    </row>
    <row r="881">
      <c r="A881" s="65"/>
      <c r="B881" s="64"/>
      <c r="C881" s="64"/>
      <c r="D881" s="64"/>
      <c r="E881" s="64"/>
      <c r="F881" s="64"/>
      <c r="G881" s="65"/>
      <c r="H881" s="65"/>
      <c r="I881" s="65"/>
      <c r="J881" s="65"/>
      <c r="K881" s="65"/>
      <c r="L881" s="65"/>
      <c r="M881" s="65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  <c r="AA881" s="65"/>
      <c r="AB881" s="65"/>
      <c r="AC881" s="65"/>
      <c r="AD881" s="65"/>
    </row>
    <row r="882">
      <c r="A882" s="65"/>
      <c r="B882" s="64"/>
      <c r="C882" s="64"/>
      <c r="D882" s="64"/>
      <c r="E882" s="64"/>
      <c r="F882" s="64"/>
      <c r="G882" s="65"/>
      <c r="H882" s="65"/>
      <c r="I882" s="65"/>
      <c r="J882" s="65"/>
      <c r="K882" s="65"/>
      <c r="L882" s="65"/>
      <c r="M882" s="65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  <c r="AA882" s="65"/>
      <c r="AB882" s="65"/>
      <c r="AC882" s="65"/>
      <c r="AD882" s="65"/>
    </row>
    <row r="883">
      <c r="A883" s="65"/>
      <c r="B883" s="64"/>
      <c r="C883" s="64"/>
      <c r="D883" s="64"/>
      <c r="E883" s="64"/>
      <c r="F883" s="64"/>
      <c r="G883" s="65"/>
      <c r="H883" s="65"/>
      <c r="I883" s="65"/>
      <c r="J883" s="65"/>
      <c r="K883" s="65"/>
      <c r="L883" s="65"/>
      <c r="M883" s="65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  <c r="AA883" s="65"/>
      <c r="AB883" s="65"/>
      <c r="AC883" s="65"/>
      <c r="AD883" s="65"/>
    </row>
    <row r="884">
      <c r="A884" s="65"/>
      <c r="B884" s="64"/>
      <c r="C884" s="64"/>
      <c r="D884" s="64"/>
      <c r="E884" s="64"/>
      <c r="F884" s="64"/>
      <c r="G884" s="65"/>
      <c r="H884" s="65"/>
      <c r="I884" s="65"/>
      <c r="J884" s="65"/>
      <c r="K884" s="65"/>
      <c r="L884" s="65"/>
      <c r="M884" s="65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  <c r="AA884" s="65"/>
      <c r="AB884" s="65"/>
      <c r="AC884" s="65"/>
      <c r="AD884" s="65"/>
    </row>
    <row r="885">
      <c r="A885" s="65"/>
      <c r="B885" s="64"/>
      <c r="C885" s="64"/>
      <c r="D885" s="64"/>
      <c r="E885" s="64"/>
      <c r="F885" s="64"/>
      <c r="G885" s="65"/>
      <c r="H885" s="65"/>
      <c r="I885" s="65"/>
      <c r="J885" s="65"/>
      <c r="K885" s="65"/>
      <c r="L885" s="65"/>
      <c r="M885" s="65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  <c r="AA885" s="65"/>
      <c r="AB885" s="65"/>
      <c r="AC885" s="65"/>
      <c r="AD885" s="65"/>
    </row>
    <row r="886">
      <c r="A886" s="65"/>
      <c r="B886" s="64"/>
      <c r="C886" s="64"/>
      <c r="D886" s="64"/>
      <c r="E886" s="64"/>
      <c r="F886" s="64"/>
      <c r="G886" s="65"/>
      <c r="H886" s="65"/>
      <c r="I886" s="65"/>
      <c r="J886" s="65"/>
      <c r="K886" s="65"/>
      <c r="L886" s="65"/>
      <c r="M886" s="65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  <c r="AA886" s="65"/>
      <c r="AB886" s="65"/>
      <c r="AC886" s="65"/>
      <c r="AD886" s="65"/>
    </row>
    <row r="887">
      <c r="A887" s="65"/>
      <c r="B887" s="64"/>
      <c r="C887" s="64"/>
      <c r="D887" s="64"/>
      <c r="E887" s="64"/>
      <c r="F887" s="64"/>
      <c r="G887" s="65"/>
      <c r="H887" s="65"/>
      <c r="I887" s="65"/>
      <c r="J887" s="65"/>
      <c r="K887" s="65"/>
      <c r="L887" s="65"/>
      <c r="M887" s="65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  <c r="AA887" s="65"/>
      <c r="AB887" s="65"/>
      <c r="AC887" s="65"/>
      <c r="AD887" s="65"/>
    </row>
    <row r="888">
      <c r="A888" s="65"/>
      <c r="B888" s="64"/>
      <c r="C888" s="64"/>
      <c r="D888" s="64"/>
      <c r="E888" s="64"/>
      <c r="F888" s="64"/>
      <c r="G888" s="65"/>
      <c r="H888" s="65"/>
      <c r="I888" s="65"/>
      <c r="J888" s="65"/>
      <c r="K888" s="65"/>
      <c r="L888" s="65"/>
      <c r="M888" s="65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  <c r="AA888" s="65"/>
      <c r="AB888" s="65"/>
      <c r="AC888" s="65"/>
      <c r="AD888" s="65"/>
    </row>
    <row r="889">
      <c r="A889" s="65"/>
      <c r="B889" s="64"/>
      <c r="C889" s="64"/>
      <c r="D889" s="64"/>
      <c r="E889" s="64"/>
      <c r="F889" s="64"/>
      <c r="G889" s="65"/>
      <c r="H889" s="65"/>
      <c r="I889" s="65"/>
      <c r="J889" s="65"/>
      <c r="K889" s="65"/>
      <c r="L889" s="65"/>
      <c r="M889" s="65"/>
      <c r="N889" s="65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5"/>
      <c r="AA889" s="65"/>
      <c r="AB889" s="65"/>
      <c r="AC889" s="65"/>
      <c r="AD889" s="65"/>
    </row>
    <row r="890">
      <c r="A890" s="65"/>
      <c r="B890" s="64"/>
      <c r="C890" s="64"/>
      <c r="D890" s="64"/>
      <c r="E890" s="64"/>
      <c r="F890" s="64"/>
      <c r="G890" s="65"/>
      <c r="H890" s="65"/>
      <c r="I890" s="65"/>
      <c r="J890" s="65"/>
      <c r="K890" s="65"/>
      <c r="L890" s="65"/>
      <c r="M890" s="65"/>
      <c r="N890" s="65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5"/>
      <c r="AA890" s="65"/>
      <c r="AB890" s="65"/>
      <c r="AC890" s="65"/>
      <c r="AD890" s="65"/>
    </row>
    <row r="891">
      <c r="A891" s="65"/>
      <c r="B891" s="64"/>
      <c r="C891" s="64"/>
      <c r="D891" s="64"/>
      <c r="E891" s="64"/>
      <c r="F891" s="64"/>
      <c r="G891" s="65"/>
      <c r="H891" s="65"/>
      <c r="I891" s="65"/>
      <c r="J891" s="65"/>
      <c r="K891" s="65"/>
      <c r="L891" s="65"/>
      <c r="M891" s="65"/>
      <c r="N891" s="65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5"/>
      <c r="AA891" s="65"/>
      <c r="AB891" s="65"/>
      <c r="AC891" s="65"/>
      <c r="AD891" s="65"/>
    </row>
    <row r="892">
      <c r="A892" s="65"/>
      <c r="B892" s="64"/>
      <c r="C892" s="64"/>
      <c r="D892" s="64"/>
      <c r="E892" s="64"/>
      <c r="F892" s="64"/>
      <c r="G892" s="65"/>
      <c r="H892" s="65"/>
      <c r="I892" s="65"/>
      <c r="J892" s="65"/>
      <c r="K892" s="65"/>
      <c r="L892" s="65"/>
      <c r="M892" s="65"/>
      <c r="N892" s="65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5"/>
      <c r="AA892" s="65"/>
      <c r="AB892" s="65"/>
      <c r="AC892" s="65"/>
      <c r="AD892" s="65"/>
    </row>
    <row r="893">
      <c r="A893" s="65"/>
      <c r="B893" s="64"/>
      <c r="C893" s="64"/>
      <c r="D893" s="64"/>
      <c r="E893" s="64"/>
      <c r="F893" s="64"/>
      <c r="G893" s="65"/>
      <c r="H893" s="65"/>
      <c r="I893" s="65"/>
      <c r="J893" s="65"/>
      <c r="K893" s="65"/>
      <c r="L893" s="65"/>
      <c r="M893" s="65"/>
      <c r="N893" s="65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5"/>
      <c r="AA893" s="65"/>
      <c r="AB893" s="65"/>
      <c r="AC893" s="65"/>
      <c r="AD893" s="65"/>
    </row>
    <row r="894">
      <c r="A894" s="65"/>
      <c r="B894" s="64"/>
      <c r="C894" s="64"/>
      <c r="D894" s="64"/>
      <c r="E894" s="64"/>
      <c r="F894" s="64"/>
      <c r="G894" s="65"/>
      <c r="H894" s="65"/>
      <c r="I894" s="65"/>
      <c r="J894" s="65"/>
      <c r="K894" s="65"/>
      <c r="L894" s="65"/>
      <c r="M894" s="65"/>
      <c r="N894" s="65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5"/>
      <c r="AA894" s="65"/>
      <c r="AB894" s="65"/>
      <c r="AC894" s="65"/>
      <c r="AD894" s="65"/>
    </row>
    <row r="895">
      <c r="A895" s="65"/>
      <c r="B895" s="64"/>
      <c r="C895" s="64"/>
      <c r="D895" s="64"/>
      <c r="E895" s="64"/>
      <c r="F895" s="64"/>
      <c r="G895" s="65"/>
      <c r="H895" s="65"/>
      <c r="I895" s="65"/>
      <c r="J895" s="65"/>
      <c r="K895" s="65"/>
      <c r="L895" s="65"/>
      <c r="M895" s="65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  <c r="AA895" s="65"/>
      <c r="AB895" s="65"/>
      <c r="AC895" s="65"/>
      <c r="AD895" s="65"/>
    </row>
    <row r="896">
      <c r="A896" s="65"/>
      <c r="B896" s="64"/>
      <c r="C896" s="64"/>
      <c r="D896" s="64"/>
      <c r="E896" s="64"/>
      <c r="F896" s="64"/>
      <c r="G896" s="65"/>
      <c r="H896" s="65"/>
      <c r="I896" s="65"/>
      <c r="J896" s="65"/>
      <c r="K896" s="65"/>
      <c r="L896" s="65"/>
      <c r="M896" s="65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  <c r="AA896" s="65"/>
      <c r="AB896" s="65"/>
      <c r="AC896" s="65"/>
      <c r="AD896" s="65"/>
    </row>
    <row r="897">
      <c r="A897" s="65"/>
      <c r="B897" s="64"/>
      <c r="C897" s="64"/>
      <c r="D897" s="64"/>
      <c r="E897" s="64"/>
      <c r="F897" s="64"/>
      <c r="G897" s="65"/>
      <c r="H897" s="65"/>
      <c r="I897" s="65"/>
      <c r="J897" s="65"/>
      <c r="K897" s="65"/>
      <c r="L897" s="65"/>
      <c r="M897" s="65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  <c r="AA897" s="65"/>
      <c r="AB897" s="65"/>
      <c r="AC897" s="65"/>
      <c r="AD897" s="65"/>
    </row>
    <row r="898">
      <c r="A898" s="65"/>
      <c r="B898" s="64"/>
      <c r="C898" s="64"/>
      <c r="D898" s="64"/>
      <c r="E898" s="64"/>
      <c r="F898" s="64"/>
      <c r="G898" s="65"/>
      <c r="H898" s="65"/>
      <c r="I898" s="65"/>
      <c r="J898" s="65"/>
      <c r="K898" s="65"/>
      <c r="L898" s="65"/>
      <c r="M898" s="65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  <c r="AA898" s="65"/>
      <c r="AB898" s="65"/>
      <c r="AC898" s="65"/>
      <c r="AD898" s="65"/>
    </row>
    <row r="899">
      <c r="A899" s="65"/>
      <c r="B899" s="64"/>
      <c r="C899" s="64"/>
      <c r="D899" s="64"/>
      <c r="E899" s="64"/>
      <c r="F899" s="64"/>
      <c r="G899" s="65"/>
      <c r="H899" s="65"/>
      <c r="I899" s="65"/>
      <c r="J899" s="65"/>
      <c r="K899" s="65"/>
      <c r="L899" s="65"/>
      <c r="M899" s="65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  <c r="AA899" s="65"/>
      <c r="AB899" s="65"/>
      <c r="AC899" s="65"/>
      <c r="AD899" s="65"/>
    </row>
    <row r="900">
      <c r="A900" s="65"/>
      <c r="B900" s="64"/>
      <c r="C900" s="64"/>
      <c r="D900" s="64"/>
      <c r="E900" s="64"/>
      <c r="F900" s="64"/>
      <c r="G900" s="65"/>
      <c r="H900" s="65"/>
      <c r="I900" s="65"/>
      <c r="J900" s="65"/>
      <c r="K900" s="65"/>
      <c r="L900" s="65"/>
      <c r="M900" s="65"/>
      <c r="N900" s="65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5"/>
      <c r="AA900" s="65"/>
      <c r="AB900" s="65"/>
      <c r="AC900" s="65"/>
      <c r="AD900" s="65"/>
    </row>
    <row r="901">
      <c r="A901" s="65"/>
      <c r="B901" s="64"/>
      <c r="C901" s="64"/>
      <c r="D901" s="64"/>
      <c r="E901" s="64"/>
      <c r="F901" s="64"/>
      <c r="G901" s="65"/>
      <c r="H901" s="65"/>
      <c r="I901" s="65"/>
      <c r="J901" s="65"/>
      <c r="K901" s="65"/>
      <c r="L901" s="65"/>
      <c r="M901" s="65"/>
      <c r="N901" s="65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5"/>
      <c r="AA901" s="65"/>
      <c r="AB901" s="65"/>
      <c r="AC901" s="65"/>
      <c r="AD901" s="65"/>
    </row>
    <row r="902">
      <c r="A902" s="65"/>
      <c r="B902" s="64"/>
      <c r="C902" s="64"/>
      <c r="D902" s="64"/>
      <c r="E902" s="64"/>
      <c r="F902" s="64"/>
      <c r="G902" s="65"/>
      <c r="H902" s="65"/>
      <c r="I902" s="65"/>
      <c r="J902" s="65"/>
      <c r="K902" s="65"/>
      <c r="L902" s="65"/>
      <c r="M902" s="65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  <c r="AA902" s="65"/>
      <c r="AB902" s="65"/>
      <c r="AC902" s="65"/>
      <c r="AD902" s="65"/>
    </row>
    <row r="903">
      <c r="A903" s="65"/>
      <c r="B903" s="64"/>
      <c r="C903" s="64"/>
      <c r="D903" s="64"/>
      <c r="E903" s="64"/>
      <c r="F903" s="64"/>
      <c r="G903" s="65"/>
      <c r="H903" s="65"/>
      <c r="I903" s="65"/>
      <c r="J903" s="65"/>
      <c r="K903" s="65"/>
      <c r="L903" s="65"/>
      <c r="M903" s="65"/>
      <c r="N903" s="65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5"/>
      <c r="AA903" s="65"/>
      <c r="AB903" s="65"/>
      <c r="AC903" s="65"/>
      <c r="AD903" s="65"/>
    </row>
    <row r="904">
      <c r="A904" s="65"/>
      <c r="B904" s="64"/>
      <c r="C904" s="64"/>
      <c r="D904" s="64"/>
      <c r="E904" s="64"/>
      <c r="F904" s="64"/>
      <c r="G904" s="65"/>
      <c r="H904" s="65"/>
      <c r="I904" s="65"/>
      <c r="J904" s="65"/>
      <c r="K904" s="65"/>
      <c r="L904" s="65"/>
      <c r="M904" s="65"/>
      <c r="N904" s="65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5"/>
      <c r="AA904" s="65"/>
      <c r="AB904" s="65"/>
      <c r="AC904" s="65"/>
      <c r="AD904" s="65"/>
    </row>
    <row r="905">
      <c r="A905" s="65"/>
      <c r="B905" s="64"/>
      <c r="C905" s="64"/>
      <c r="D905" s="64"/>
      <c r="E905" s="64"/>
      <c r="F905" s="64"/>
      <c r="G905" s="65"/>
      <c r="H905" s="65"/>
      <c r="I905" s="65"/>
      <c r="J905" s="65"/>
      <c r="K905" s="65"/>
      <c r="L905" s="65"/>
      <c r="M905" s="65"/>
      <c r="N905" s="65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5"/>
      <c r="AA905" s="65"/>
      <c r="AB905" s="65"/>
      <c r="AC905" s="65"/>
      <c r="AD905" s="65"/>
    </row>
    <row r="906">
      <c r="A906" s="65"/>
      <c r="B906" s="64"/>
      <c r="C906" s="64"/>
      <c r="D906" s="64"/>
      <c r="E906" s="64"/>
      <c r="F906" s="64"/>
      <c r="G906" s="65"/>
      <c r="H906" s="65"/>
      <c r="I906" s="65"/>
      <c r="J906" s="65"/>
      <c r="K906" s="65"/>
      <c r="L906" s="65"/>
      <c r="M906" s="65"/>
      <c r="N906" s="65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5"/>
      <c r="AA906" s="65"/>
      <c r="AB906" s="65"/>
      <c r="AC906" s="65"/>
      <c r="AD906" s="65"/>
    </row>
    <row r="907">
      <c r="A907" s="65"/>
      <c r="B907" s="64"/>
      <c r="C907" s="64"/>
      <c r="D907" s="64"/>
      <c r="E907" s="64"/>
      <c r="F907" s="64"/>
      <c r="G907" s="65"/>
      <c r="H907" s="65"/>
      <c r="I907" s="65"/>
      <c r="J907" s="65"/>
      <c r="K907" s="65"/>
      <c r="L907" s="65"/>
      <c r="M907" s="65"/>
      <c r="N907" s="65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5"/>
      <c r="AA907" s="65"/>
      <c r="AB907" s="65"/>
      <c r="AC907" s="65"/>
      <c r="AD907" s="65"/>
    </row>
    <row r="908">
      <c r="A908" s="65"/>
      <c r="B908" s="64"/>
      <c r="C908" s="64"/>
      <c r="D908" s="64"/>
      <c r="E908" s="64"/>
      <c r="F908" s="64"/>
      <c r="G908" s="65"/>
      <c r="H908" s="65"/>
      <c r="I908" s="65"/>
      <c r="J908" s="65"/>
      <c r="K908" s="65"/>
      <c r="L908" s="65"/>
      <c r="M908" s="65"/>
      <c r="N908" s="65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5"/>
      <c r="AA908" s="65"/>
      <c r="AB908" s="65"/>
      <c r="AC908" s="65"/>
      <c r="AD908" s="65"/>
    </row>
    <row r="909">
      <c r="A909" s="65"/>
      <c r="B909" s="64"/>
      <c r="C909" s="64"/>
      <c r="D909" s="64"/>
      <c r="E909" s="64"/>
      <c r="F909" s="64"/>
      <c r="G909" s="65"/>
      <c r="H909" s="65"/>
      <c r="I909" s="65"/>
      <c r="J909" s="65"/>
      <c r="K909" s="65"/>
      <c r="L909" s="65"/>
      <c r="M909" s="65"/>
      <c r="N909" s="65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5"/>
      <c r="AA909" s="65"/>
      <c r="AB909" s="65"/>
      <c r="AC909" s="65"/>
      <c r="AD909" s="65"/>
    </row>
    <row r="910">
      <c r="A910" s="65"/>
      <c r="B910" s="64"/>
      <c r="C910" s="64"/>
      <c r="D910" s="64"/>
      <c r="E910" s="64"/>
      <c r="F910" s="64"/>
      <c r="G910" s="65"/>
      <c r="H910" s="65"/>
      <c r="I910" s="65"/>
      <c r="J910" s="65"/>
      <c r="K910" s="65"/>
      <c r="L910" s="65"/>
      <c r="M910" s="65"/>
      <c r="N910" s="65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5"/>
      <c r="AA910" s="65"/>
      <c r="AB910" s="65"/>
      <c r="AC910" s="65"/>
      <c r="AD910" s="65"/>
    </row>
    <row r="911">
      <c r="A911" s="65"/>
      <c r="B911" s="64"/>
      <c r="C911" s="64"/>
      <c r="D911" s="64"/>
      <c r="E911" s="64"/>
      <c r="F911" s="64"/>
      <c r="G911" s="65"/>
      <c r="H911" s="65"/>
      <c r="I911" s="65"/>
      <c r="J911" s="65"/>
      <c r="K911" s="65"/>
      <c r="L911" s="65"/>
      <c r="M911" s="65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  <c r="AA911" s="65"/>
      <c r="AB911" s="65"/>
      <c r="AC911" s="65"/>
      <c r="AD911" s="65"/>
    </row>
    <row r="912">
      <c r="A912" s="65"/>
      <c r="B912" s="64"/>
      <c r="C912" s="64"/>
      <c r="D912" s="64"/>
      <c r="E912" s="64"/>
      <c r="F912" s="64"/>
      <c r="G912" s="65"/>
      <c r="H912" s="65"/>
      <c r="I912" s="65"/>
      <c r="J912" s="65"/>
      <c r="K912" s="65"/>
      <c r="L912" s="65"/>
      <c r="M912" s="65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  <c r="AA912" s="65"/>
      <c r="AB912" s="65"/>
      <c r="AC912" s="65"/>
      <c r="AD912" s="65"/>
    </row>
    <row r="913">
      <c r="A913" s="65"/>
      <c r="B913" s="64"/>
      <c r="C913" s="64"/>
      <c r="D913" s="64"/>
      <c r="E913" s="64"/>
      <c r="F913" s="64"/>
      <c r="G913" s="65"/>
      <c r="H913" s="65"/>
      <c r="I913" s="65"/>
      <c r="J913" s="65"/>
      <c r="K913" s="65"/>
      <c r="L913" s="65"/>
      <c r="M913" s="65"/>
      <c r="N913" s="65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5"/>
      <c r="AA913" s="65"/>
      <c r="AB913" s="65"/>
      <c r="AC913" s="65"/>
      <c r="AD913" s="65"/>
    </row>
    <row r="914">
      <c r="A914" s="65"/>
      <c r="B914" s="64"/>
      <c r="C914" s="64"/>
      <c r="D914" s="64"/>
      <c r="E914" s="64"/>
      <c r="F914" s="64"/>
      <c r="G914" s="65"/>
      <c r="H914" s="65"/>
      <c r="I914" s="65"/>
      <c r="J914" s="65"/>
      <c r="K914" s="65"/>
      <c r="L914" s="65"/>
      <c r="M914" s="65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  <c r="AA914" s="65"/>
      <c r="AB914" s="65"/>
      <c r="AC914" s="65"/>
      <c r="AD914" s="65"/>
    </row>
    <row r="915">
      <c r="A915" s="65"/>
      <c r="B915" s="64"/>
      <c r="C915" s="64"/>
      <c r="D915" s="64"/>
      <c r="E915" s="64"/>
      <c r="F915" s="64"/>
      <c r="G915" s="65"/>
      <c r="H915" s="65"/>
      <c r="I915" s="65"/>
      <c r="J915" s="65"/>
      <c r="K915" s="65"/>
      <c r="L915" s="65"/>
      <c r="M915" s="65"/>
      <c r="N915" s="65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5"/>
      <c r="AA915" s="65"/>
      <c r="AB915" s="65"/>
      <c r="AC915" s="65"/>
      <c r="AD915" s="65"/>
    </row>
    <row r="916">
      <c r="A916" s="65"/>
      <c r="B916" s="64"/>
      <c r="C916" s="64"/>
      <c r="D916" s="64"/>
      <c r="E916" s="64"/>
      <c r="F916" s="64"/>
      <c r="G916" s="65"/>
      <c r="H916" s="65"/>
      <c r="I916" s="65"/>
      <c r="J916" s="65"/>
      <c r="K916" s="65"/>
      <c r="L916" s="65"/>
      <c r="M916" s="65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  <c r="AA916" s="65"/>
      <c r="AB916" s="65"/>
      <c r="AC916" s="65"/>
      <c r="AD916" s="65"/>
    </row>
    <row r="917">
      <c r="A917" s="65"/>
      <c r="B917" s="64"/>
      <c r="C917" s="64"/>
      <c r="D917" s="64"/>
      <c r="E917" s="64"/>
      <c r="F917" s="64"/>
      <c r="G917" s="65"/>
      <c r="H917" s="65"/>
      <c r="I917" s="65"/>
      <c r="J917" s="65"/>
      <c r="K917" s="65"/>
      <c r="L917" s="65"/>
      <c r="M917" s="65"/>
      <c r="N917" s="65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5"/>
      <c r="AA917" s="65"/>
      <c r="AB917" s="65"/>
      <c r="AC917" s="65"/>
      <c r="AD917" s="65"/>
    </row>
    <row r="918">
      <c r="A918" s="65"/>
      <c r="B918" s="64"/>
      <c r="C918" s="64"/>
      <c r="D918" s="64"/>
      <c r="E918" s="64"/>
      <c r="F918" s="64"/>
      <c r="G918" s="65"/>
      <c r="H918" s="65"/>
      <c r="I918" s="65"/>
      <c r="J918" s="65"/>
      <c r="K918" s="65"/>
      <c r="L918" s="65"/>
      <c r="M918" s="65"/>
      <c r="N918" s="65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5"/>
      <c r="AA918" s="65"/>
      <c r="AB918" s="65"/>
      <c r="AC918" s="65"/>
      <c r="AD918" s="65"/>
    </row>
    <row r="919">
      <c r="A919" s="65"/>
      <c r="B919" s="64"/>
      <c r="C919" s="64"/>
      <c r="D919" s="64"/>
      <c r="E919" s="64"/>
      <c r="F919" s="64"/>
      <c r="G919" s="65"/>
      <c r="H919" s="65"/>
      <c r="I919" s="65"/>
      <c r="J919" s="65"/>
      <c r="K919" s="65"/>
      <c r="L919" s="65"/>
      <c r="M919" s="65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  <c r="AA919" s="65"/>
      <c r="AB919" s="65"/>
      <c r="AC919" s="65"/>
      <c r="AD919" s="65"/>
    </row>
    <row r="920">
      <c r="A920" s="65"/>
      <c r="B920" s="64"/>
      <c r="C920" s="64"/>
      <c r="D920" s="64"/>
      <c r="E920" s="64"/>
      <c r="F920" s="64"/>
      <c r="G920" s="65"/>
      <c r="H920" s="65"/>
      <c r="I920" s="65"/>
      <c r="J920" s="65"/>
      <c r="K920" s="65"/>
      <c r="L920" s="65"/>
      <c r="M920" s="65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  <c r="AA920" s="65"/>
      <c r="AB920" s="65"/>
      <c r="AC920" s="65"/>
      <c r="AD920" s="65"/>
    </row>
    <row r="921">
      <c r="A921" s="65"/>
      <c r="B921" s="64"/>
      <c r="C921" s="64"/>
      <c r="D921" s="64"/>
      <c r="E921" s="64"/>
      <c r="F921" s="64"/>
      <c r="G921" s="65"/>
      <c r="H921" s="65"/>
      <c r="I921" s="65"/>
      <c r="J921" s="65"/>
      <c r="K921" s="65"/>
      <c r="L921" s="65"/>
      <c r="M921" s="65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5"/>
      <c r="AA921" s="65"/>
      <c r="AB921" s="65"/>
      <c r="AC921" s="65"/>
      <c r="AD921" s="65"/>
    </row>
    <row r="922">
      <c r="A922" s="65"/>
      <c r="B922" s="64"/>
      <c r="C922" s="64"/>
      <c r="D922" s="64"/>
      <c r="E922" s="64"/>
      <c r="F922" s="64"/>
      <c r="G922" s="65"/>
      <c r="H922" s="65"/>
      <c r="I922" s="65"/>
      <c r="J922" s="65"/>
      <c r="K922" s="65"/>
      <c r="L922" s="65"/>
      <c r="M922" s="65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5"/>
      <c r="AA922" s="65"/>
      <c r="AB922" s="65"/>
      <c r="AC922" s="65"/>
      <c r="AD922" s="65"/>
    </row>
    <row r="923">
      <c r="A923" s="65"/>
      <c r="B923" s="64"/>
      <c r="C923" s="64"/>
      <c r="D923" s="64"/>
      <c r="E923" s="64"/>
      <c r="F923" s="64"/>
      <c r="G923" s="65"/>
      <c r="H923" s="65"/>
      <c r="I923" s="65"/>
      <c r="J923" s="65"/>
      <c r="K923" s="65"/>
      <c r="L923" s="65"/>
      <c r="M923" s="65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5"/>
      <c r="AA923" s="65"/>
      <c r="AB923" s="65"/>
      <c r="AC923" s="65"/>
      <c r="AD923" s="65"/>
    </row>
    <row r="924">
      <c r="A924" s="65"/>
      <c r="B924" s="64"/>
      <c r="C924" s="64"/>
      <c r="D924" s="64"/>
      <c r="E924" s="64"/>
      <c r="F924" s="64"/>
      <c r="G924" s="65"/>
      <c r="H924" s="65"/>
      <c r="I924" s="65"/>
      <c r="J924" s="65"/>
      <c r="K924" s="65"/>
      <c r="L924" s="65"/>
      <c r="M924" s="65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5"/>
      <c r="AA924" s="65"/>
      <c r="AB924" s="65"/>
      <c r="AC924" s="65"/>
      <c r="AD924" s="65"/>
    </row>
    <row r="925">
      <c r="A925" s="65"/>
      <c r="B925" s="64"/>
      <c r="C925" s="64"/>
      <c r="D925" s="64"/>
      <c r="E925" s="64"/>
      <c r="F925" s="64"/>
      <c r="G925" s="65"/>
      <c r="H925" s="65"/>
      <c r="I925" s="65"/>
      <c r="J925" s="65"/>
      <c r="K925" s="65"/>
      <c r="L925" s="65"/>
      <c r="M925" s="65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5"/>
      <c r="AA925" s="65"/>
      <c r="AB925" s="65"/>
      <c r="AC925" s="65"/>
      <c r="AD925" s="65"/>
    </row>
    <row r="926">
      <c r="A926" s="65"/>
      <c r="B926" s="64"/>
      <c r="C926" s="64"/>
      <c r="D926" s="64"/>
      <c r="E926" s="64"/>
      <c r="F926" s="64"/>
      <c r="G926" s="65"/>
      <c r="H926" s="65"/>
      <c r="I926" s="65"/>
      <c r="J926" s="65"/>
      <c r="K926" s="65"/>
      <c r="L926" s="65"/>
      <c r="M926" s="65"/>
      <c r="N926" s="65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65"/>
      <c r="AA926" s="65"/>
      <c r="AB926" s="65"/>
      <c r="AC926" s="65"/>
      <c r="AD926" s="65"/>
    </row>
    <row r="927">
      <c r="A927" s="65"/>
      <c r="B927" s="64"/>
      <c r="C927" s="64"/>
      <c r="D927" s="64"/>
      <c r="E927" s="64"/>
      <c r="F927" s="64"/>
      <c r="G927" s="65"/>
      <c r="H927" s="65"/>
      <c r="I927" s="65"/>
      <c r="J927" s="65"/>
      <c r="K927" s="65"/>
      <c r="L927" s="65"/>
      <c r="M927" s="65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5"/>
      <c r="AA927" s="65"/>
      <c r="AB927" s="65"/>
      <c r="AC927" s="65"/>
      <c r="AD927" s="65"/>
    </row>
    <row r="928">
      <c r="A928" s="65"/>
      <c r="B928" s="64"/>
      <c r="C928" s="64"/>
      <c r="D928" s="64"/>
      <c r="E928" s="64"/>
      <c r="F928" s="64"/>
      <c r="G928" s="65"/>
      <c r="H928" s="65"/>
      <c r="I928" s="65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  <c r="AA928" s="65"/>
      <c r="AB928" s="65"/>
      <c r="AC928" s="65"/>
      <c r="AD928" s="65"/>
    </row>
    <row r="929">
      <c r="A929" s="65"/>
      <c r="B929" s="64"/>
      <c r="C929" s="64"/>
      <c r="D929" s="64"/>
      <c r="E929" s="64"/>
      <c r="F929" s="64"/>
      <c r="G929" s="65"/>
      <c r="H929" s="65"/>
      <c r="I929" s="65"/>
      <c r="J929" s="65"/>
      <c r="K929" s="65"/>
      <c r="L929" s="65"/>
      <c r="M929" s="65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5"/>
      <c r="AA929" s="65"/>
      <c r="AB929" s="65"/>
      <c r="AC929" s="65"/>
      <c r="AD929" s="65"/>
    </row>
    <row r="930">
      <c r="A930" s="65"/>
      <c r="B930" s="64"/>
      <c r="C930" s="64"/>
      <c r="D930" s="64"/>
      <c r="E930" s="64"/>
      <c r="F930" s="64"/>
      <c r="G930" s="65"/>
      <c r="H930" s="65"/>
      <c r="I930" s="65"/>
      <c r="J930" s="65"/>
      <c r="K930" s="65"/>
      <c r="L930" s="65"/>
      <c r="M930" s="65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5"/>
      <c r="AA930" s="65"/>
      <c r="AB930" s="65"/>
      <c r="AC930" s="65"/>
      <c r="AD930" s="65"/>
    </row>
    <row r="931">
      <c r="A931" s="65"/>
      <c r="B931" s="64"/>
      <c r="C931" s="64"/>
      <c r="D931" s="64"/>
      <c r="E931" s="64"/>
      <c r="F931" s="64"/>
      <c r="G931" s="65"/>
      <c r="H931" s="65"/>
      <c r="I931" s="65"/>
      <c r="J931" s="65"/>
      <c r="K931" s="65"/>
      <c r="L931" s="65"/>
      <c r="M931" s="65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5"/>
      <c r="AA931" s="65"/>
      <c r="AB931" s="65"/>
      <c r="AC931" s="65"/>
      <c r="AD931" s="65"/>
    </row>
    <row r="932">
      <c r="A932" s="65"/>
      <c r="B932" s="64"/>
      <c r="C932" s="64"/>
      <c r="D932" s="64"/>
      <c r="E932" s="64"/>
      <c r="F932" s="64"/>
      <c r="G932" s="65"/>
      <c r="H932" s="65"/>
      <c r="I932" s="65"/>
      <c r="J932" s="65"/>
      <c r="K932" s="65"/>
      <c r="L932" s="65"/>
      <c r="M932" s="65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5"/>
      <c r="AA932" s="65"/>
      <c r="AB932" s="65"/>
      <c r="AC932" s="65"/>
      <c r="AD932" s="65"/>
    </row>
    <row r="933">
      <c r="A933" s="65"/>
      <c r="B933" s="64"/>
      <c r="C933" s="64"/>
      <c r="D933" s="64"/>
      <c r="E933" s="64"/>
      <c r="F933" s="64"/>
      <c r="G933" s="65"/>
      <c r="H933" s="65"/>
      <c r="I933" s="65"/>
      <c r="J933" s="65"/>
      <c r="K933" s="65"/>
      <c r="L933" s="65"/>
      <c r="M933" s="65"/>
      <c r="N933" s="65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65"/>
      <c r="AA933" s="65"/>
      <c r="AB933" s="65"/>
      <c r="AC933" s="65"/>
      <c r="AD933" s="65"/>
    </row>
    <row r="934">
      <c r="A934" s="65"/>
      <c r="B934" s="64"/>
      <c r="C934" s="64"/>
      <c r="D934" s="64"/>
      <c r="E934" s="64"/>
      <c r="F934" s="64"/>
      <c r="G934" s="65"/>
      <c r="H934" s="65"/>
      <c r="I934" s="65"/>
      <c r="J934" s="65"/>
      <c r="K934" s="65"/>
      <c r="L934" s="65"/>
      <c r="M934" s="65"/>
      <c r="N934" s="65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5"/>
      <c r="AA934" s="65"/>
      <c r="AB934" s="65"/>
      <c r="AC934" s="65"/>
      <c r="AD934" s="65"/>
    </row>
    <row r="935">
      <c r="A935" s="65"/>
      <c r="B935" s="64"/>
      <c r="C935" s="64"/>
      <c r="D935" s="64"/>
      <c r="E935" s="64"/>
      <c r="F935" s="64"/>
      <c r="G935" s="65"/>
      <c r="H935" s="65"/>
      <c r="I935" s="65"/>
      <c r="J935" s="65"/>
      <c r="K935" s="65"/>
      <c r="L935" s="65"/>
      <c r="M935" s="65"/>
      <c r="N935" s="65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65"/>
      <c r="AA935" s="65"/>
      <c r="AB935" s="65"/>
      <c r="AC935" s="65"/>
      <c r="AD935" s="65"/>
    </row>
    <row r="936">
      <c r="A936" s="65"/>
      <c r="B936" s="64"/>
      <c r="C936" s="64"/>
      <c r="D936" s="64"/>
      <c r="E936" s="64"/>
      <c r="F936" s="64"/>
      <c r="G936" s="65"/>
      <c r="H936" s="65"/>
      <c r="I936" s="65"/>
      <c r="J936" s="65"/>
      <c r="K936" s="65"/>
      <c r="L936" s="65"/>
      <c r="M936" s="65"/>
      <c r="N936" s="65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65"/>
      <c r="AA936" s="65"/>
      <c r="AB936" s="65"/>
      <c r="AC936" s="65"/>
      <c r="AD936" s="65"/>
    </row>
    <row r="937">
      <c r="A937" s="65"/>
      <c r="B937" s="64"/>
      <c r="C937" s="64"/>
      <c r="D937" s="64"/>
      <c r="E937" s="64"/>
      <c r="F937" s="64"/>
      <c r="G937" s="65"/>
      <c r="H937" s="65"/>
      <c r="I937" s="65"/>
      <c r="J937" s="65"/>
      <c r="K937" s="65"/>
      <c r="L937" s="65"/>
      <c r="M937" s="65"/>
      <c r="N937" s="65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65"/>
      <c r="AA937" s="65"/>
      <c r="AB937" s="65"/>
      <c r="AC937" s="65"/>
      <c r="AD937" s="65"/>
    </row>
    <row r="938">
      <c r="A938" s="65"/>
      <c r="B938" s="64"/>
      <c r="C938" s="64"/>
      <c r="D938" s="64"/>
      <c r="E938" s="64"/>
      <c r="F938" s="64"/>
      <c r="G938" s="65"/>
      <c r="H938" s="65"/>
      <c r="I938" s="65"/>
      <c r="J938" s="65"/>
      <c r="K938" s="65"/>
      <c r="L938" s="65"/>
      <c r="M938" s="65"/>
      <c r="N938" s="65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65"/>
      <c r="AA938" s="65"/>
      <c r="AB938" s="65"/>
      <c r="AC938" s="65"/>
      <c r="AD938" s="65"/>
    </row>
    <row r="939">
      <c r="A939" s="65"/>
      <c r="B939" s="64"/>
      <c r="C939" s="64"/>
      <c r="D939" s="64"/>
      <c r="E939" s="64"/>
      <c r="F939" s="64"/>
      <c r="G939" s="65"/>
      <c r="H939" s="65"/>
      <c r="I939" s="65"/>
      <c r="J939" s="65"/>
      <c r="K939" s="65"/>
      <c r="L939" s="65"/>
      <c r="M939" s="65"/>
      <c r="N939" s="65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65"/>
      <c r="AA939" s="65"/>
      <c r="AB939" s="65"/>
      <c r="AC939" s="65"/>
      <c r="AD939" s="65"/>
    </row>
    <row r="940">
      <c r="A940" s="65"/>
      <c r="B940" s="64"/>
      <c r="C940" s="64"/>
      <c r="D940" s="64"/>
      <c r="E940" s="64"/>
      <c r="F940" s="64"/>
      <c r="G940" s="65"/>
      <c r="H940" s="65"/>
      <c r="I940" s="65"/>
      <c r="J940" s="65"/>
      <c r="K940" s="65"/>
      <c r="L940" s="65"/>
      <c r="M940" s="65"/>
      <c r="N940" s="65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65"/>
      <c r="AA940" s="65"/>
      <c r="AB940" s="65"/>
      <c r="AC940" s="65"/>
      <c r="AD940" s="65"/>
    </row>
    <row r="941">
      <c r="A941" s="65"/>
      <c r="B941" s="64"/>
      <c r="C941" s="64"/>
      <c r="D941" s="64"/>
      <c r="E941" s="64"/>
      <c r="F941" s="64"/>
      <c r="G941" s="65"/>
      <c r="H941" s="65"/>
      <c r="I941" s="65"/>
      <c r="J941" s="65"/>
      <c r="K941" s="65"/>
      <c r="L941" s="65"/>
      <c r="M941" s="65"/>
      <c r="N941" s="65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65"/>
      <c r="AA941" s="65"/>
      <c r="AB941" s="65"/>
      <c r="AC941" s="65"/>
      <c r="AD941" s="65"/>
    </row>
    <row r="942">
      <c r="A942" s="65"/>
      <c r="B942" s="64"/>
      <c r="C942" s="64"/>
      <c r="D942" s="64"/>
      <c r="E942" s="64"/>
      <c r="F942" s="64"/>
      <c r="G942" s="65"/>
      <c r="H942" s="65"/>
      <c r="I942" s="65"/>
      <c r="J942" s="65"/>
      <c r="K942" s="65"/>
      <c r="L942" s="65"/>
      <c r="M942" s="65"/>
      <c r="N942" s="65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65"/>
      <c r="AA942" s="65"/>
      <c r="AB942" s="65"/>
      <c r="AC942" s="65"/>
      <c r="AD942" s="65"/>
    </row>
    <row r="943">
      <c r="A943" s="65"/>
      <c r="B943" s="64"/>
      <c r="C943" s="64"/>
      <c r="D943" s="64"/>
      <c r="E943" s="64"/>
      <c r="F943" s="64"/>
      <c r="G943" s="65"/>
      <c r="H943" s="65"/>
      <c r="I943" s="65"/>
      <c r="J943" s="65"/>
      <c r="K943" s="65"/>
      <c r="L943" s="65"/>
      <c r="M943" s="65"/>
      <c r="N943" s="65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  <c r="Z943" s="65"/>
      <c r="AA943" s="65"/>
      <c r="AB943" s="65"/>
      <c r="AC943" s="65"/>
      <c r="AD943" s="65"/>
    </row>
    <row r="944">
      <c r="A944" s="65"/>
      <c r="B944" s="64"/>
      <c r="C944" s="64"/>
      <c r="D944" s="64"/>
      <c r="E944" s="64"/>
      <c r="F944" s="64"/>
      <c r="G944" s="65"/>
      <c r="H944" s="65"/>
      <c r="I944" s="65"/>
      <c r="J944" s="65"/>
      <c r="K944" s="65"/>
      <c r="L944" s="65"/>
      <c r="M944" s="65"/>
      <c r="N944" s="65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  <c r="Z944" s="65"/>
      <c r="AA944" s="65"/>
      <c r="AB944" s="65"/>
      <c r="AC944" s="65"/>
      <c r="AD944" s="65"/>
    </row>
    <row r="945">
      <c r="A945" s="65"/>
      <c r="B945" s="64"/>
      <c r="C945" s="64"/>
      <c r="D945" s="64"/>
      <c r="E945" s="64"/>
      <c r="F945" s="64"/>
      <c r="G945" s="65"/>
      <c r="H945" s="65"/>
      <c r="I945" s="65"/>
      <c r="J945" s="65"/>
      <c r="K945" s="65"/>
      <c r="L945" s="65"/>
      <c r="M945" s="65"/>
      <c r="N945" s="65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  <c r="Z945" s="65"/>
      <c r="AA945" s="65"/>
      <c r="AB945" s="65"/>
      <c r="AC945" s="65"/>
      <c r="AD945" s="65"/>
    </row>
    <row r="946">
      <c r="A946" s="65"/>
      <c r="B946" s="64"/>
      <c r="C946" s="64"/>
      <c r="D946" s="64"/>
      <c r="E946" s="64"/>
      <c r="F946" s="64"/>
      <c r="G946" s="65"/>
      <c r="H946" s="65"/>
      <c r="I946" s="65"/>
      <c r="J946" s="65"/>
      <c r="K946" s="65"/>
      <c r="L946" s="65"/>
      <c r="M946" s="65"/>
      <c r="N946" s="65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65"/>
      <c r="AA946" s="65"/>
      <c r="AB946" s="65"/>
      <c r="AC946" s="65"/>
      <c r="AD946" s="65"/>
    </row>
    <row r="947">
      <c r="A947" s="65"/>
      <c r="B947" s="64"/>
      <c r="C947" s="64"/>
      <c r="D947" s="64"/>
      <c r="E947" s="64"/>
      <c r="F947" s="64"/>
      <c r="G947" s="65"/>
      <c r="H947" s="65"/>
      <c r="I947" s="65"/>
      <c r="J947" s="65"/>
      <c r="K947" s="65"/>
      <c r="L947" s="65"/>
      <c r="M947" s="65"/>
      <c r="N947" s="65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  <c r="Z947" s="65"/>
      <c r="AA947" s="65"/>
      <c r="AB947" s="65"/>
      <c r="AC947" s="65"/>
      <c r="AD947" s="65"/>
    </row>
    <row r="948">
      <c r="A948" s="65"/>
      <c r="B948" s="64"/>
      <c r="C948" s="64"/>
      <c r="D948" s="64"/>
      <c r="E948" s="64"/>
      <c r="F948" s="64"/>
      <c r="G948" s="65"/>
      <c r="H948" s="65"/>
      <c r="I948" s="65"/>
      <c r="J948" s="65"/>
      <c r="K948" s="65"/>
      <c r="L948" s="65"/>
      <c r="M948" s="65"/>
      <c r="N948" s="65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  <c r="Z948" s="65"/>
      <c r="AA948" s="65"/>
      <c r="AB948" s="65"/>
      <c r="AC948" s="65"/>
      <c r="AD948" s="65"/>
    </row>
    <row r="949">
      <c r="A949" s="65"/>
      <c r="B949" s="64"/>
      <c r="C949" s="64"/>
      <c r="D949" s="64"/>
      <c r="E949" s="64"/>
      <c r="F949" s="64"/>
      <c r="G949" s="65"/>
      <c r="H949" s="65"/>
      <c r="I949" s="65"/>
      <c r="J949" s="65"/>
      <c r="K949" s="65"/>
      <c r="L949" s="65"/>
      <c r="M949" s="65"/>
      <c r="N949" s="65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  <c r="Z949" s="65"/>
      <c r="AA949" s="65"/>
      <c r="AB949" s="65"/>
      <c r="AC949" s="65"/>
      <c r="AD949" s="65"/>
    </row>
    <row r="950">
      <c r="A950" s="65"/>
      <c r="B950" s="64"/>
      <c r="C950" s="64"/>
      <c r="D950" s="64"/>
      <c r="E950" s="64"/>
      <c r="F950" s="64"/>
      <c r="G950" s="65"/>
      <c r="H950" s="65"/>
      <c r="I950" s="65"/>
      <c r="J950" s="65"/>
      <c r="K950" s="65"/>
      <c r="L950" s="65"/>
      <c r="M950" s="65"/>
      <c r="N950" s="65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65"/>
      <c r="AA950" s="65"/>
      <c r="AB950" s="65"/>
      <c r="AC950" s="65"/>
      <c r="AD950" s="65"/>
    </row>
    <row r="951">
      <c r="A951" s="65"/>
      <c r="B951" s="64"/>
      <c r="C951" s="64"/>
      <c r="D951" s="64"/>
      <c r="E951" s="64"/>
      <c r="F951" s="64"/>
      <c r="G951" s="65"/>
      <c r="H951" s="65"/>
      <c r="I951" s="65"/>
      <c r="J951" s="65"/>
      <c r="K951" s="65"/>
      <c r="L951" s="65"/>
      <c r="M951" s="65"/>
      <c r="N951" s="65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65"/>
      <c r="AA951" s="65"/>
      <c r="AB951" s="65"/>
      <c r="AC951" s="65"/>
      <c r="AD951" s="65"/>
    </row>
    <row r="952">
      <c r="A952" s="65"/>
      <c r="B952" s="64"/>
      <c r="C952" s="64"/>
      <c r="D952" s="64"/>
      <c r="E952" s="64"/>
      <c r="F952" s="64"/>
      <c r="G952" s="65"/>
      <c r="H952" s="65"/>
      <c r="I952" s="65"/>
      <c r="J952" s="65"/>
      <c r="K952" s="65"/>
      <c r="L952" s="65"/>
      <c r="M952" s="65"/>
      <c r="N952" s="65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  <c r="Z952" s="65"/>
      <c r="AA952" s="65"/>
      <c r="AB952" s="65"/>
      <c r="AC952" s="65"/>
      <c r="AD952" s="65"/>
    </row>
    <row r="953">
      <c r="A953" s="65"/>
      <c r="B953" s="64"/>
      <c r="C953" s="64"/>
      <c r="D953" s="64"/>
      <c r="E953" s="64"/>
      <c r="F953" s="64"/>
      <c r="G953" s="65"/>
      <c r="H953" s="65"/>
      <c r="I953" s="65"/>
      <c r="J953" s="65"/>
      <c r="K953" s="65"/>
      <c r="L953" s="65"/>
      <c r="M953" s="65"/>
      <c r="N953" s="65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  <c r="Z953" s="65"/>
      <c r="AA953" s="65"/>
      <c r="AB953" s="65"/>
      <c r="AC953" s="65"/>
      <c r="AD953" s="65"/>
    </row>
    <row r="954">
      <c r="A954" s="65"/>
      <c r="B954" s="64"/>
      <c r="C954" s="64"/>
      <c r="D954" s="64"/>
      <c r="E954" s="64"/>
      <c r="F954" s="64"/>
      <c r="G954" s="65"/>
      <c r="H954" s="65"/>
      <c r="I954" s="65"/>
      <c r="J954" s="65"/>
      <c r="K954" s="65"/>
      <c r="L954" s="65"/>
      <c r="M954" s="65"/>
      <c r="N954" s="65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  <c r="Z954" s="65"/>
      <c r="AA954" s="65"/>
      <c r="AB954" s="65"/>
      <c r="AC954" s="65"/>
      <c r="AD954" s="65"/>
    </row>
    <row r="955">
      <c r="A955" s="65"/>
      <c r="B955" s="64"/>
      <c r="C955" s="64"/>
      <c r="D955" s="64"/>
      <c r="E955" s="64"/>
      <c r="F955" s="64"/>
      <c r="G955" s="65"/>
      <c r="H955" s="65"/>
      <c r="I955" s="65"/>
      <c r="J955" s="65"/>
      <c r="K955" s="65"/>
      <c r="L955" s="65"/>
      <c r="M955" s="65"/>
      <c r="N955" s="65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65"/>
      <c r="AA955" s="65"/>
      <c r="AB955" s="65"/>
      <c r="AC955" s="65"/>
      <c r="AD955" s="65"/>
    </row>
    <row r="956">
      <c r="A956" s="65"/>
      <c r="B956" s="64"/>
      <c r="C956" s="64"/>
      <c r="D956" s="64"/>
      <c r="E956" s="64"/>
      <c r="F956" s="64"/>
      <c r="G956" s="65"/>
      <c r="H956" s="65"/>
      <c r="I956" s="65"/>
      <c r="J956" s="65"/>
      <c r="K956" s="65"/>
      <c r="L956" s="65"/>
      <c r="M956" s="65"/>
      <c r="N956" s="65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  <c r="Z956" s="65"/>
      <c r="AA956" s="65"/>
      <c r="AB956" s="65"/>
      <c r="AC956" s="65"/>
      <c r="AD956" s="65"/>
    </row>
    <row r="957">
      <c r="A957" s="65"/>
      <c r="B957" s="64"/>
      <c r="C957" s="64"/>
      <c r="D957" s="64"/>
      <c r="E957" s="64"/>
      <c r="F957" s="64"/>
      <c r="G957" s="65"/>
      <c r="H957" s="65"/>
      <c r="I957" s="65"/>
      <c r="J957" s="65"/>
      <c r="K957" s="65"/>
      <c r="L957" s="65"/>
      <c r="M957" s="65"/>
      <c r="N957" s="65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  <c r="Z957" s="65"/>
      <c r="AA957" s="65"/>
      <c r="AB957" s="65"/>
      <c r="AC957" s="65"/>
      <c r="AD957" s="65"/>
    </row>
    <row r="958">
      <c r="A958" s="65"/>
      <c r="B958" s="64"/>
      <c r="C958" s="64"/>
      <c r="D958" s="64"/>
      <c r="E958" s="64"/>
      <c r="F958" s="64"/>
      <c r="G958" s="65"/>
      <c r="H958" s="65"/>
      <c r="I958" s="65"/>
      <c r="J958" s="65"/>
      <c r="K958" s="65"/>
      <c r="L958" s="65"/>
      <c r="M958" s="65"/>
      <c r="N958" s="65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  <c r="Z958" s="65"/>
      <c r="AA958" s="65"/>
      <c r="AB958" s="65"/>
      <c r="AC958" s="65"/>
      <c r="AD958" s="65"/>
    </row>
    <row r="959">
      <c r="A959" s="65"/>
      <c r="B959" s="64"/>
      <c r="C959" s="64"/>
      <c r="D959" s="64"/>
      <c r="E959" s="64"/>
      <c r="F959" s="64"/>
      <c r="G959" s="65"/>
      <c r="H959" s="65"/>
      <c r="I959" s="65"/>
      <c r="J959" s="65"/>
      <c r="K959" s="65"/>
      <c r="L959" s="65"/>
      <c r="M959" s="65"/>
      <c r="N959" s="65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  <c r="Z959" s="65"/>
      <c r="AA959" s="65"/>
      <c r="AB959" s="65"/>
      <c r="AC959" s="65"/>
      <c r="AD959" s="65"/>
    </row>
    <row r="960">
      <c r="A960" s="65"/>
      <c r="B960" s="64"/>
      <c r="C960" s="64"/>
      <c r="D960" s="64"/>
      <c r="E960" s="64"/>
      <c r="F960" s="64"/>
      <c r="G960" s="65"/>
      <c r="H960" s="65"/>
      <c r="I960" s="65"/>
      <c r="J960" s="65"/>
      <c r="K960" s="65"/>
      <c r="L960" s="65"/>
      <c r="M960" s="65"/>
      <c r="N960" s="65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  <c r="Z960" s="65"/>
      <c r="AA960" s="65"/>
      <c r="AB960" s="65"/>
      <c r="AC960" s="65"/>
      <c r="AD960" s="65"/>
    </row>
    <row r="961">
      <c r="A961" s="65"/>
      <c r="B961" s="64"/>
      <c r="C961" s="64"/>
      <c r="D961" s="64"/>
      <c r="E961" s="64"/>
      <c r="F961" s="64"/>
      <c r="G961" s="65"/>
      <c r="H961" s="65"/>
      <c r="I961" s="65"/>
      <c r="J961" s="65"/>
      <c r="K961" s="65"/>
      <c r="L961" s="65"/>
      <c r="M961" s="65"/>
      <c r="N961" s="65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  <c r="Z961" s="65"/>
      <c r="AA961" s="65"/>
      <c r="AB961" s="65"/>
      <c r="AC961" s="65"/>
      <c r="AD961" s="65"/>
    </row>
    <row r="962">
      <c r="A962" s="65"/>
      <c r="B962" s="64"/>
      <c r="C962" s="64"/>
      <c r="D962" s="64"/>
      <c r="E962" s="64"/>
      <c r="F962" s="64"/>
      <c r="G962" s="65"/>
      <c r="H962" s="65"/>
      <c r="I962" s="65"/>
      <c r="J962" s="65"/>
      <c r="K962" s="65"/>
      <c r="L962" s="65"/>
      <c r="M962" s="65"/>
      <c r="N962" s="65"/>
      <c r="O962" s="65"/>
      <c r="P962" s="65"/>
      <c r="Q962" s="65"/>
      <c r="R962" s="65"/>
      <c r="S962" s="65"/>
      <c r="T962" s="65"/>
      <c r="U962" s="65"/>
      <c r="V962" s="65"/>
      <c r="W962" s="65"/>
      <c r="X962" s="65"/>
      <c r="Y962" s="65"/>
      <c r="Z962" s="65"/>
      <c r="AA962" s="65"/>
      <c r="AB962" s="65"/>
      <c r="AC962" s="65"/>
      <c r="AD962" s="65"/>
    </row>
    <row r="963">
      <c r="A963" s="65"/>
      <c r="B963" s="64"/>
      <c r="C963" s="64"/>
      <c r="D963" s="64"/>
      <c r="E963" s="64"/>
      <c r="F963" s="64"/>
      <c r="G963" s="65"/>
      <c r="H963" s="65"/>
      <c r="I963" s="65"/>
      <c r="J963" s="65"/>
      <c r="K963" s="65"/>
      <c r="L963" s="65"/>
      <c r="M963" s="65"/>
      <c r="N963" s="65"/>
      <c r="O963" s="65"/>
      <c r="P963" s="65"/>
      <c r="Q963" s="65"/>
      <c r="R963" s="65"/>
      <c r="S963" s="65"/>
      <c r="T963" s="65"/>
      <c r="U963" s="65"/>
      <c r="V963" s="65"/>
      <c r="W963" s="65"/>
      <c r="X963" s="65"/>
      <c r="Y963" s="65"/>
      <c r="Z963" s="65"/>
      <c r="AA963" s="65"/>
      <c r="AB963" s="65"/>
      <c r="AC963" s="65"/>
      <c r="AD963" s="65"/>
    </row>
    <row r="964">
      <c r="A964" s="65"/>
      <c r="B964" s="64"/>
      <c r="C964" s="64"/>
      <c r="D964" s="64"/>
      <c r="E964" s="64"/>
      <c r="F964" s="64"/>
      <c r="G964" s="65"/>
      <c r="H964" s="65"/>
      <c r="I964" s="65"/>
      <c r="J964" s="65"/>
      <c r="K964" s="65"/>
      <c r="L964" s="65"/>
      <c r="M964" s="65"/>
      <c r="N964" s="65"/>
      <c r="O964" s="65"/>
      <c r="P964" s="65"/>
      <c r="Q964" s="65"/>
      <c r="R964" s="65"/>
      <c r="S964" s="65"/>
      <c r="T964" s="65"/>
      <c r="U964" s="65"/>
      <c r="V964" s="65"/>
      <c r="W964" s="65"/>
      <c r="X964" s="65"/>
      <c r="Y964" s="65"/>
      <c r="Z964" s="65"/>
      <c r="AA964" s="65"/>
      <c r="AB964" s="65"/>
      <c r="AC964" s="65"/>
      <c r="AD964" s="65"/>
    </row>
    <row r="965">
      <c r="A965" s="65"/>
      <c r="B965" s="64"/>
      <c r="C965" s="64"/>
      <c r="D965" s="64"/>
      <c r="E965" s="64"/>
      <c r="F965" s="64"/>
      <c r="G965" s="65"/>
      <c r="H965" s="65"/>
      <c r="I965" s="65"/>
      <c r="J965" s="65"/>
      <c r="K965" s="65"/>
      <c r="L965" s="65"/>
      <c r="M965" s="65"/>
      <c r="N965" s="65"/>
      <c r="O965" s="65"/>
      <c r="P965" s="65"/>
      <c r="Q965" s="65"/>
      <c r="R965" s="65"/>
      <c r="S965" s="65"/>
      <c r="T965" s="65"/>
      <c r="U965" s="65"/>
      <c r="V965" s="65"/>
      <c r="W965" s="65"/>
      <c r="X965" s="65"/>
      <c r="Y965" s="65"/>
      <c r="Z965" s="65"/>
      <c r="AA965" s="65"/>
      <c r="AB965" s="65"/>
      <c r="AC965" s="65"/>
      <c r="AD965" s="65"/>
    </row>
    <row r="966">
      <c r="A966" s="65"/>
      <c r="B966" s="64"/>
      <c r="C966" s="64"/>
      <c r="D966" s="64"/>
      <c r="E966" s="64"/>
      <c r="F966" s="64"/>
      <c r="G966" s="65"/>
      <c r="H966" s="65"/>
      <c r="I966" s="65"/>
      <c r="J966" s="65"/>
      <c r="K966" s="65"/>
      <c r="L966" s="65"/>
      <c r="M966" s="65"/>
      <c r="N966" s="65"/>
      <c r="O966" s="65"/>
      <c r="P966" s="65"/>
      <c r="Q966" s="65"/>
      <c r="R966" s="65"/>
      <c r="S966" s="65"/>
      <c r="T966" s="65"/>
      <c r="U966" s="65"/>
      <c r="V966" s="65"/>
      <c r="W966" s="65"/>
      <c r="X966" s="65"/>
      <c r="Y966" s="65"/>
      <c r="Z966" s="65"/>
      <c r="AA966" s="65"/>
      <c r="AB966" s="65"/>
      <c r="AC966" s="65"/>
      <c r="AD966" s="65"/>
    </row>
    <row r="967">
      <c r="A967" s="65"/>
      <c r="B967" s="64"/>
      <c r="C967" s="64"/>
      <c r="D967" s="64"/>
      <c r="E967" s="64"/>
      <c r="F967" s="64"/>
      <c r="G967" s="65"/>
      <c r="H967" s="65"/>
      <c r="I967" s="65"/>
      <c r="J967" s="65"/>
      <c r="K967" s="65"/>
      <c r="L967" s="65"/>
      <c r="M967" s="65"/>
      <c r="N967" s="65"/>
      <c r="O967" s="65"/>
      <c r="P967" s="65"/>
      <c r="Q967" s="65"/>
      <c r="R967" s="65"/>
      <c r="S967" s="65"/>
      <c r="T967" s="65"/>
      <c r="U967" s="65"/>
      <c r="V967" s="65"/>
      <c r="W967" s="65"/>
      <c r="X967" s="65"/>
      <c r="Y967" s="65"/>
      <c r="Z967" s="65"/>
      <c r="AA967" s="65"/>
      <c r="AB967" s="65"/>
      <c r="AC967" s="65"/>
      <c r="AD967" s="65"/>
    </row>
    <row r="968">
      <c r="A968" s="65"/>
      <c r="B968" s="64"/>
      <c r="C968" s="64"/>
      <c r="D968" s="64"/>
      <c r="E968" s="64"/>
      <c r="F968" s="64"/>
      <c r="G968" s="65"/>
      <c r="H968" s="65"/>
      <c r="I968" s="65"/>
      <c r="J968" s="65"/>
      <c r="K968" s="65"/>
      <c r="L968" s="65"/>
      <c r="M968" s="65"/>
      <c r="N968" s="65"/>
      <c r="O968" s="65"/>
      <c r="P968" s="65"/>
      <c r="Q968" s="65"/>
      <c r="R968" s="65"/>
      <c r="S968" s="65"/>
      <c r="T968" s="65"/>
      <c r="U968" s="65"/>
      <c r="V968" s="65"/>
      <c r="W968" s="65"/>
      <c r="X968" s="65"/>
      <c r="Y968" s="65"/>
      <c r="Z968" s="65"/>
      <c r="AA968" s="65"/>
      <c r="AB968" s="65"/>
      <c r="AC968" s="65"/>
      <c r="AD968" s="65"/>
    </row>
    <row r="969">
      <c r="A969" s="65"/>
      <c r="B969" s="64"/>
      <c r="C969" s="64"/>
      <c r="D969" s="64"/>
      <c r="E969" s="64"/>
      <c r="F969" s="64"/>
      <c r="G969" s="65"/>
      <c r="H969" s="65"/>
      <c r="I969" s="65"/>
      <c r="J969" s="65"/>
      <c r="K969" s="65"/>
      <c r="L969" s="65"/>
      <c r="M969" s="65"/>
      <c r="N969" s="65"/>
      <c r="O969" s="65"/>
      <c r="P969" s="65"/>
      <c r="Q969" s="65"/>
      <c r="R969" s="65"/>
      <c r="S969" s="65"/>
      <c r="T969" s="65"/>
      <c r="U969" s="65"/>
      <c r="V969" s="65"/>
      <c r="W969" s="65"/>
      <c r="X969" s="65"/>
      <c r="Y969" s="65"/>
      <c r="Z969" s="65"/>
      <c r="AA969" s="65"/>
      <c r="AB969" s="65"/>
      <c r="AC969" s="65"/>
      <c r="AD969" s="65"/>
    </row>
    <row r="970">
      <c r="A970" s="65"/>
      <c r="B970" s="64"/>
      <c r="C970" s="64"/>
      <c r="D970" s="64"/>
      <c r="E970" s="64"/>
      <c r="F970" s="64"/>
      <c r="G970" s="65"/>
      <c r="H970" s="65"/>
      <c r="I970" s="65"/>
      <c r="J970" s="65"/>
      <c r="K970" s="65"/>
      <c r="L970" s="65"/>
      <c r="M970" s="65"/>
      <c r="N970" s="65"/>
      <c r="O970" s="65"/>
      <c r="P970" s="65"/>
      <c r="Q970" s="65"/>
      <c r="R970" s="65"/>
      <c r="S970" s="65"/>
      <c r="T970" s="65"/>
      <c r="U970" s="65"/>
      <c r="V970" s="65"/>
      <c r="W970" s="65"/>
      <c r="X970" s="65"/>
      <c r="Y970" s="65"/>
      <c r="Z970" s="65"/>
      <c r="AA970" s="65"/>
      <c r="AB970" s="65"/>
      <c r="AC970" s="65"/>
      <c r="AD970" s="65"/>
    </row>
    <row r="971">
      <c r="A971" s="65"/>
      <c r="B971" s="64"/>
      <c r="C971" s="64"/>
      <c r="D971" s="64"/>
      <c r="E971" s="64"/>
      <c r="F971" s="64"/>
      <c r="G971" s="65"/>
      <c r="H971" s="65"/>
      <c r="I971" s="65"/>
      <c r="J971" s="65"/>
      <c r="K971" s="65"/>
      <c r="L971" s="65"/>
      <c r="M971" s="65"/>
      <c r="N971" s="65"/>
      <c r="O971" s="65"/>
      <c r="P971" s="65"/>
      <c r="Q971" s="65"/>
      <c r="R971" s="65"/>
      <c r="S971" s="65"/>
      <c r="T971" s="65"/>
      <c r="U971" s="65"/>
      <c r="V971" s="65"/>
      <c r="W971" s="65"/>
      <c r="X971" s="65"/>
      <c r="Y971" s="65"/>
      <c r="Z971" s="65"/>
      <c r="AA971" s="65"/>
      <c r="AB971" s="65"/>
      <c r="AC971" s="65"/>
      <c r="AD971" s="65"/>
    </row>
    <row r="972">
      <c r="A972" s="65"/>
      <c r="B972" s="64"/>
      <c r="C972" s="64"/>
      <c r="D972" s="64"/>
      <c r="E972" s="64"/>
      <c r="F972" s="64"/>
      <c r="G972" s="65"/>
      <c r="H972" s="65"/>
      <c r="I972" s="65"/>
      <c r="J972" s="65"/>
      <c r="K972" s="65"/>
      <c r="L972" s="65"/>
      <c r="M972" s="65"/>
      <c r="N972" s="65"/>
      <c r="O972" s="65"/>
      <c r="P972" s="65"/>
      <c r="Q972" s="65"/>
      <c r="R972" s="65"/>
      <c r="S972" s="65"/>
      <c r="T972" s="65"/>
      <c r="U972" s="65"/>
      <c r="V972" s="65"/>
      <c r="W972" s="65"/>
      <c r="X972" s="65"/>
      <c r="Y972" s="65"/>
      <c r="Z972" s="65"/>
      <c r="AA972" s="65"/>
      <c r="AB972" s="65"/>
      <c r="AC972" s="65"/>
      <c r="AD972" s="65"/>
    </row>
    <row r="973">
      <c r="A973" s="65"/>
      <c r="B973" s="64"/>
      <c r="C973" s="64"/>
      <c r="D973" s="64"/>
      <c r="E973" s="64"/>
      <c r="F973" s="64"/>
      <c r="G973" s="65"/>
      <c r="H973" s="65"/>
      <c r="I973" s="65"/>
      <c r="J973" s="65"/>
      <c r="K973" s="65"/>
      <c r="L973" s="65"/>
      <c r="M973" s="65"/>
      <c r="N973" s="65"/>
      <c r="O973" s="65"/>
      <c r="P973" s="65"/>
      <c r="Q973" s="65"/>
      <c r="R973" s="65"/>
      <c r="S973" s="65"/>
      <c r="T973" s="65"/>
      <c r="U973" s="65"/>
      <c r="V973" s="65"/>
      <c r="W973" s="65"/>
      <c r="X973" s="65"/>
      <c r="Y973" s="65"/>
      <c r="Z973" s="65"/>
      <c r="AA973" s="65"/>
      <c r="AB973" s="65"/>
      <c r="AC973" s="65"/>
      <c r="AD973" s="65"/>
    </row>
    <row r="974">
      <c r="A974" s="65"/>
      <c r="B974" s="64"/>
      <c r="C974" s="64"/>
      <c r="D974" s="64"/>
      <c r="E974" s="64"/>
      <c r="F974" s="64"/>
      <c r="G974" s="65"/>
      <c r="H974" s="65"/>
      <c r="I974" s="65"/>
      <c r="J974" s="65"/>
      <c r="K974" s="65"/>
      <c r="L974" s="65"/>
      <c r="M974" s="65"/>
      <c r="N974" s="65"/>
      <c r="O974" s="65"/>
      <c r="P974" s="65"/>
      <c r="Q974" s="65"/>
      <c r="R974" s="65"/>
      <c r="S974" s="65"/>
      <c r="T974" s="65"/>
      <c r="U974" s="65"/>
      <c r="V974" s="65"/>
      <c r="W974" s="65"/>
      <c r="X974" s="65"/>
      <c r="Y974" s="65"/>
      <c r="Z974" s="65"/>
      <c r="AA974" s="65"/>
      <c r="AB974" s="65"/>
      <c r="AC974" s="65"/>
      <c r="AD974" s="65"/>
    </row>
    <row r="975">
      <c r="A975" s="65"/>
      <c r="B975" s="64"/>
      <c r="C975" s="64"/>
      <c r="D975" s="64"/>
      <c r="E975" s="64"/>
      <c r="F975" s="64"/>
      <c r="G975" s="65"/>
      <c r="H975" s="65"/>
      <c r="I975" s="65"/>
      <c r="J975" s="65"/>
      <c r="K975" s="65"/>
      <c r="L975" s="65"/>
      <c r="M975" s="65"/>
      <c r="N975" s="65"/>
      <c r="O975" s="65"/>
      <c r="P975" s="65"/>
      <c r="Q975" s="65"/>
      <c r="R975" s="65"/>
      <c r="S975" s="65"/>
      <c r="T975" s="65"/>
      <c r="U975" s="65"/>
      <c r="V975" s="65"/>
      <c r="W975" s="65"/>
      <c r="X975" s="65"/>
      <c r="Y975" s="65"/>
      <c r="Z975" s="65"/>
      <c r="AA975" s="65"/>
      <c r="AB975" s="65"/>
      <c r="AC975" s="65"/>
      <c r="AD975" s="65"/>
    </row>
    <row r="976">
      <c r="A976" s="65"/>
      <c r="B976" s="64"/>
      <c r="C976" s="64"/>
      <c r="D976" s="64"/>
      <c r="E976" s="64"/>
      <c r="F976" s="64"/>
      <c r="G976" s="65"/>
      <c r="H976" s="65"/>
      <c r="I976" s="65"/>
      <c r="J976" s="65"/>
      <c r="K976" s="65"/>
      <c r="L976" s="65"/>
      <c r="M976" s="65"/>
      <c r="N976" s="65"/>
      <c r="O976" s="65"/>
      <c r="P976" s="65"/>
      <c r="Q976" s="65"/>
      <c r="R976" s="65"/>
      <c r="S976" s="65"/>
      <c r="T976" s="65"/>
      <c r="U976" s="65"/>
      <c r="V976" s="65"/>
      <c r="W976" s="65"/>
      <c r="X976" s="65"/>
      <c r="Y976" s="65"/>
      <c r="Z976" s="65"/>
      <c r="AA976" s="65"/>
      <c r="AB976" s="65"/>
      <c r="AC976" s="65"/>
      <c r="AD976" s="65"/>
    </row>
    <row r="977">
      <c r="A977" s="65"/>
      <c r="B977" s="64"/>
      <c r="C977" s="64"/>
      <c r="D977" s="64"/>
      <c r="E977" s="64"/>
      <c r="F977" s="64"/>
      <c r="G977" s="65"/>
      <c r="H977" s="65"/>
      <c r="I977" s="65"/>
      <c r="J977" s="65"/>
      <c r="K977" s="65"/>
      <c r="L977" s="65"/>
      <c r="M977" s="65"/>
      <c r="N977" s="65"/>
      <c r="O977" s="65"/>
      <c r="P977" s="65"/>
      <c r="Q977" s="65"/>
      <c r="R977" s="65"/>
      <c r="S977" s="65"/>
      <c r="T977" s="65"/>
      <c r="U977" s="65"/>
      <c r="V977" s="65"/>
      <c r="W977" s="65"/>
      <c r="X977" s="65"/>
      <c r="Y977" s="65"/>
      <c r="Z977" s="65"/>
      <c r="AA977" s="65"/>
      <c r="AB977" s="65"/>
      <c r="AC977" s="65"/>
      <c r="AD977" s="65"/>
    </row>
    <row r="978">
      <c r="A978" s="65"/>
      <c r="B978" s="64"/>
      <c r="C978" s="64"/>
      <c r="D978" s="64"/>
      <c r="E978" s="64"/>
      <c r="F978" s="64"/>
      <c r="G978" s="65"/>
      <c r="H978" s="65"/>
      <c r="I978" s="65"/>
      <c r="J978" s="65"/>
      <c r="K978" s="65"/>
      <c r="L978" s="65"/>
      <c r="M978" s="65"/>
      <c r="N978" s="65"/>
      <c r="O978" s="65"/>
      <c r="P978" s="65"/>
      <c r="Q978" s="65"/>
      <c r="R978" s="65"/>
      <c r="S978" s="65"/>
      <c r="T978" s="65"/>
      <c r="U978" s="65"/>
      <c r="V978" s="65"/>
      <c r="W978" s="65"/>
      <c r="X978" s="65"/>
      <c r="Y978" s="65"/>
      <c r="Z978" s="65"/>
      <c r="AA978" s="65"/>
      <c r="AB978" s="65"/>
      <c r="AC978" s="65"/>
      <c r="AD978" s="65"/>
    </row>
    <row r="979">
      <c r="A979" s="65"/>
      <c r="B979" s="64"/>
      <c r="C979" s="64"/>
      <c r="D979" s="64"/>
      <c r="E979" s="64"/>
      <c r="F979" s="64"/>
      <c r="G979" s="65"/>
      <c r="H979" s="65"/>
      <c r="I979" s="65"/>
      <c r="J979" s="65"/>
      <c r="K979" s="65"/>
      <c r="L979" s="65"/>
      <c r="M979" s="65"/>
      <c r="N979" s="65"/>
      <c r="O979" s="65"/>
      <c r="P979" s="65"/>
      <c r="Q979" s="65"/>
      <c r="R979" s="65"/>
      <c r="S979" s="65"/>
      <c r="T979" s="65"/>
      <c r="U979" s="65"/>
      <c r="V979" s="65"/>
      <c r="W979" s="65"/>
      <c r="X979" s="65"/>
      <c r="Y979" s="65"/>
      <c r="Z979" s="65"/>
      <c r="AA979" s="65"/>
      <c r="AB979" s="65"/>
      <c r="AC979" s="65"/>
      <c r="AD979" s="65"/>
    </row>
    <row r="980">
      <c r="A980" s="65"/>
      <c r="B980" s="64"/>
      <c r="C980" s="64"/>
      <c r="D980" s="64"/>
      <c r="E980" s="64"/>
      <c r="F980" s="64"/>
      <c r="G980" s="65"/>
      <c r="H980" s="65"/>
      <c r="I980" s="65"/>
      <c r="J980" s="65"/>
      <c r="K980" s="65"/>
      <c r="L980" s="65"/>
      <c r="M980" s="65"/>
      <c r="N980" s="65"/>
      <c r="O980" s="65"/>
      <c r="P980" s="65"/>
      <c r="Q980" s="65"/>
      <c r="R980" s="65"/>
      <c r="S980" s="65"/>
      <c r="T980" s="65"/>
      <c r="U980" s="65"/>
      <c r="V980" s="65"/>
      <c r="W980" s="65"/>
      <c r="X980" s="65"/>
      <c r="Y980" s="65"/>
      <c r="Z980" s="65"/>
      <c r="AA980" s="65"/>
      <c r="AB980" s="65"/>
      <c r="AC980" s="65"/>
      <c r="AD980" s="65"/>
    </row>
    <row r="981">
      <c r="A981" s="65"/>
      <c r="B981" s="64"/>
      <c r="C981" s="64"/>
      <c r="D981" s="64"/>
      <c r="E981" s="64"/>
      <c r="F981" s="64"/>
      <c r="G981" s="65"/>
      <c r="H981" s="65"/>
      <c r="I981" s="65"/>
      <c r="J981" s="65"/>
      <c r="K981" s="65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  <c r="AA981" s="65"/>
      <c r="AB981" s="65"/>
      <c r="AC981" s="65"/>
      <c r="AD981" s="65"/>
    </row>
    <row r="982">
      <c r="A982" s="65"/>
      <c r="B982" s="64"/>
      <c r="C982" s="64"/>
      <c r="D982" s="64"/>
      <c r="E982" s="64"/>
      <c r="F982" s="64"/>
      <c r="G982" s="65"/>
      <c r="H982" s="65"/>
      <c r="I982" s="65"/>
      <c r="J982" s="65"/>
      <c r="K982" s="65"/>
      <c r="L982" s="65"/>
      <c r="M982" s="65"/>
      <c r="N982" s="65"/>
      <c r="O982" s="65"/>
      <c r="P982" s="65"/>
      <c r="Q982" s="65"/>
      <c r="R982" s="65"/>
      <c r="S982" s="65"/>
      <c r="T982" s="65"/>
      <c r="U982" s="65"/>
      <c r="V982" s="65"/>
      <c r="W982" s="65"/>
      <c r="X982" s="65"/>
      <c r="Y982" s="65"/>
      <c r="Z982" s="65"/>
      <c r="AA982" s="65"/>
      <c r="AB982" s="65"/>
      <c r="AC982" s="65"/>
      <c r="AD982" s="6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25"/>
  </cols>
  <sheetData>
    <row r="1">
      <c r="A1" s="156" t="s">
        <v>356</v>
      </c>
      <c r="B1" s="156" t="s">
        <v>357</v>
      </c>
      <c r="C1" s="156" t="s">
        <v>358</v>
      </c>
      <c r="D1" s="156" t="s">
        <v>359</v>
      </c>
      <c r="E1" s="156" t="s">
        <v>360</v>
      </c>
      <c r="F1" s="156" t="s">
        <v>361</v>
      </c>
      <c r="G1" s="156" t="s">
        <v>362</v>
      </c>
      <c r="H1" s="157" t="s">
        <v>363</v>
      </c>
      <c r="I1" s="158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</row>
    <row r="2">
      <c r="A2" s="158"/>
      <c r="B2" s="158"/>
      <c r="C2" s="158"/>
      <c r="D2" s="158"/>
      <c r="E2" s="158"/>
      <c r="F2" s="158"/>
      <c r="G2" s="158"/>
      <c r="H2" s="159"/>
      <c r="I2" s="158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</row>
    <row r="3">
      <c r="A3" s="160" t="s">
        <v>364</v>
      </c>
      <c r="B3" s="161" t="s">
        <v>365</v>
      </c>
      <c r="C3" s="162">
        <v>168.0</v>
      </c>
      <c r="D3" s="161">
        <v>216.0</v>
      </c>
      <c r="E3" s="161">
        <v>95.0</v>
      </c>
      <c r="F3" s="161" t="s">
        <v>366</v>
      </c>
      <c r="G3" s="161" t="s">
        <v>367</v>
      </c>
      <c r="H3" s="163">
        <f>21*15</f>
        <v>315</v>
      </c>
      <c r="I3" s="158" t="s">
        <v>368</v>
      </c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</row>
    <row r="4">
      <c r="A4" s="160" t="s">
        <v>369</v>
      </c>
      <c r="B4" s="162">
        <v>70.0</v>
      </c>
      <c r="C4" s="162">
        <v>48.0</v>
      </c>
      <c r="D4" s="162">
        <v>36.0</v>
      </c>
      <c r="E4" s="162">
        <v>30.0</v>
      </c>
      <c r="F4" s="162">
        <v>34.0</v>
      </c>
      <c r="G4" s="161" t="s">
        <v>370</v>
      </c>
      <c r="H4" s="163">
        <v>76.1825</v>
      </c>
      <c r="I4" s="158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</row>
    <row r="5">
      <c r="A5" s="164" t="s">
        <v>371</v>
      </c>
      <c r="B5" s="165">
        <v>70.0</v>
      </c>
      <c r="C5" s="165">
        <v>48.0</v>
      </c>
      <c r="D5" s="165">
        <v>36.0</v>
      </c>
      <c r="E5" s="165">
        <v>30.0</v>
      </c>
      <c r="F5" s="165">
        <v>34.0</v>
      </c>
      <c r="G5" s="166" t="s">
        <v>372</v>
      </c>
      <c r="H5" s="167">
        <v>75.295</v>
      </c>
      <c r="I5" s="158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</row>
    <row r="6">
      <c r="A6" s="160" t="s">
        <v>373</v>
      </c>
      <c r="B6" s="161">
        <v>145.0</v>
      </c>
      <c r="C6" s="162">
        <v>102.0</v>
      </c>
      <c r="D6" s="162">
        <v>75.0</v>
      </c>
      <c r="E6" s="162">
        <v>74.0</v>
      </c>
      <c r="F6" s="162">
        <v>64.0</v>
      </c>
      <c r="G6" s="161" t="s">
        <v>374</v>
      </c>
      <c r="H6" s="163">
        <f>128.91825</f>
        <v>128.91825</v>
      </c>
      <c r="I6" s="158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</row>
    <row r="7">
      <c r="A7" s="164" t="s">
        <v>375</v>
      </c>
      <c r="B7" s="165">
        <v>80.0</v>
      </c>
      <c r="C7" s="165">
        <v>54.0</v>
      </c>
      <c r="D7" s="165">
        <v>36.0</v>
      </c>
      <c r="E7" s="165">
        <v>30.0</v>
      </c>
      <c r="F7" s="165">
        <v>36.0</v>
      </c>
      <c r="G7" s="166" t="s">
        <v>376</v>
      </c>
      <c r="H7" s="167">
        <f>85.5232</f>
        <v>85.5232</v>
      </c>
      <c r="I7" s="158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</row>
    <row r="8">
      <c r="A8" s="160" t="s">
        <v>377</v>
      </c>
      <c r="B8" s="162">
        <v>80.0</v>
      </c>
      <c r="C8" s="162">
        <v>54.0</v>
      </c>
      <c r="D8" s="162">
        <v>36.0</v>
      </c>
      <c r="E8" s="162">
        <v>30.0</v>
      </c>
      <c r="F8" s="162">
        <v>36.0</v>
      </c>
      <c r="G8" s="161" t="s">
        <v>376</v>
      </c>
      <c r="H8" s="163">
        <v>86.15</v>
      </c>
      <c r="I8" s="158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</row>
    <row r="9">
      <c r="A9" s="164" t="s">
        <v>378</v>
      </c>
      <c r="B9" s="166" t="s">
        <v>366</v>
      </c>
      <c r="C9" s="165">
        <v>144.0</v>
      </c>
      <c r="D9" s="166" t="s">
        <v>366</v>
      </c>
      <c r="E9" s="166" t="s">
        <v>366</v>
      </c>
      <c r="F9" s="166" t="s">
        <v>366</v>
      </c>
      <c r="G9" s="164"/>
      <c r="H9" s="168"/>
      <c r="I9" s="158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</row>
    <row r="10">
      <c r="A10" s="160" t="s">
        <v>379</v>
      </c>
      <c r="B10" s="161">
        <v>240.0</v>
      </c>
      <c r="C10" s="162">
        <v>180.0</v>
      </c>
      <c r="D10" s="161" t="s">
        <v>366</v>
      </c>
      <c r="E10" s="161" t="s">
        <v>366</v>
      </c>
      <c r="F10" s="161" t="s">
        <v>366</v>
      </c>
      <c r="G10" s="161" t="s">
        <v>380</v>
      </c>
      <c r="H10" s="163">
        <f>3.1416*9.5*9.5</f>
        <v>283.5294</v>
      </c>
      <c r="I10" s="158" t="s">
        <v>381</v>
      </c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</row>
    <row r="11">
      <c r="A11" s="164" t="s">
        <v>382</v>
      </c>
      <c r="B11" s="169" t="s">
        <v>383</v>
      </c>
      <c r="C11" s="169" t="s">
        <v>383</v>
      </c>
      <c r="D11" s="169" t="s">
        <v>383</v>
      </c>
      <c r="E11" s="169" t="s">
        <v>383</v>
      </c>
      <c r="F11" s="170" t="s">
        <v>384</v>
      </c>
      <c r="G11" s="166" t="s">
        <v>385</v>
      </c>
      <c r="H11" s="167">
        <v>62.046</v>
      </c>
      <c r="I11" s="158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</row>
    <row r="12">
      <c r="A12" s="171" t="s">
        <v>386</v>
      </c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</row>
    <row r="13">
      <c r="A13" s="172"/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</row>
    <row r="14">
      <c r="A14" s="173"/>
      <c r="B14" s="173"/>
      <c r="C14" s="173"/>
      <c r="D14" s="173"/>
      <c r="E14" s="173"/>
      <c r="F14" s="173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</row>
    <row r="15">
      <c r="A15" s="173"/>
      <c r="B15" s="173"/>
      <c r="C15" s="173"/>
      <c r="D15" s="173"/>
      <c r="E15" s="173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</row>
    <row r="16">
      <c r="A16" s="174"/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</row>
    <row r="17">
      <c r="A17" s="175"/>
      <c r="B17" s="173"/>
      <c r="C17" s="173"/>
      <c r="D17" s="173"/>
      <c r="E17" s="173"/>
      <c r="F17" s="173"/>
      <c r="G17" s="173"/>
      <c r="H17" s="173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</row>
    <row r="18">
      <c r="A18" s="175"/>
      <c r="B18" s="173"/>
      <c r="C18" s="173"/>
      <c r="D18" s="173"/>
      <c r="E18" s="173"/>
      <c r="F18" s="173"/>
      <c r="G18" s="173"/>
      <c r="H18" s="173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</row>
    <row r="19">
      <c r="A19" s="65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</row>
    <row r="20">
      <c r="A20" s="172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</row>
    <row r="21">
      <c r="A21" s="172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</row>
    <row r="22">
      <c r="A22" s="173"/>
      <c r="B22" s="173"/>
      <c r="C22" s="173"/>
      <c r="D22" s="173"/>
      <c r="E22" s="173"/>
      <c r="F22" s="173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</row>
    <row r="23">
      <c r="A23" s="173"/>
      <c r="B23" s="173"/>
      <c r="C23" s="173"/>
      <c r="D23" s="173"/>
      <c r="E23" s="173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</row>
    <row r="24">
      <c r="A24" s="174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</row>
    <row r="25">
      <c r="A25" s="175"/>
      <c r="B25" s="173"/>
      <c r="C25" s="173"/>
      <c r="D25" s="173"/>
      <c r="E25" s="173"/>
      <c r="F25" s="173"/>
      <c r="G25" s="173"/>
      <c r="H25" s="173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</row>
    <row r="26">
      <c r="A26" s="175"/>
      <c r="B26" s="173"/>
      <c r="C26" s="173"/>
      <c r="D26" s="173"/>
      <c r="E26" s="173"/>
      <c r="F26" s="173"/>
      <c r="G26" s="173"/>
      <c r="H26" s="173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</row>
    <row r="27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</row>
    <row r="28">
      <c r="A28" s="172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</row>
    <row r="29">
      <c r="A29" s="172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</row>
    <row r="30">
      <c r="A30" s="173"/>
      <c r="B30" s="173"/>
      <c r="C30" s="173"/>
      <c r="D30" s="173"/>
      <c r="E30" s="173"/>
      <c r="F30" s="173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</row>
    <row r="31">
      <c r="A31" s="173"/>
      <c r="B31" s="173"/>
      <c r="C31" s="173"/>
      <c r="D31" s="173"/>
      <c r="E31" s="173"/>
      <c r="F31" s="173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</row>
    <row r="32">
      <c r="A32" s="174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</row>
    <row r="33">
      <c r="A33" s="175"/>
      <c r="B33" s="173"/>
      <c r="C33" s="173"/>
      <c r="D33" s="173"/>
      <c r="E33" s="173"/>
      <c r="F33" s="173"/>
      <c r="G33" s="173"/>
      <c r="H33" s="173"/>
      <c r="I33" s="173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</row>
    <row r="34">
      <c r="A34" s="175"/>
      <c r="B34" s="173"/>
      <c r="C34" s="173"/>
      <c r="D34" s="173"/>
      <c r="E34" s="173"/>
      <c r="F34" s="173"/>
      <c r="G34" s="173"/>
      <c r="H34" s="173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</row>
    <row r="35">
      <c r="A35" s="65"/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</row>
    <row r="36">
      <c r="A36" s="172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</row>
    <row r="37">
      <c r="A37" s="172"/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</row>
    <row r="38">
      <c r="A38" s="173"/>
      <c r="B38" s="173"/>
      <c r="C38" s="173"/>
      <c r="D38" s="173"/>
      <c r="E38" s="173"/>
      <c r="F38" s="173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</row>
    <row r="39">
      <c r="A39" s="173"/>
      <c r="B39" s="173"/>
      <c r="C39" s="173"/>
      <c r="D39" s="173"/>
      <c r="E39" s="173"/>
      <c r="F39" s="173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</row>
    <row r="40">
      <c r="A40" s="174"/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</row>
    <row r="41">
      <c r="A41" s="175"/>
      <c r="B41" s="173"/>
      <c r="C41" s="173"/>
      <c r="D41" s="173"/>
      <c r="E41" s="173"/>
      <c r="F41" s="173"/>
      <c r="G41" s="173"/>
      <c r="H41" s="173"/>
      <c r="I41" s="173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</row>
    <row r="42">
      <c r="A42" s="175"/>
      <c r="B42" s="173"/>
      <c r="C42" s="173"/>
      <c r="D42" s="173"/>
      <c r="E42" s="173"/>
      <c r="F42" s="173"/>
      <c r="G42" s="173"/>
      <c r="H42" s="173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</row>
    <row r="43">
      <c r="A43" s="65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</row>
    <row r="44">
      <c r="A44" s="65"/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</row>
    <row r="45">
      <c r="A45" s="65"/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</row>
    <row r="46">
      <c r="A46" s="65"/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</row>
    <row r="47">
      <c r="A47" s="65"/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</row>
    <row r="48">
      <c r="A48" s="65"/>
      <c r="B48" s="65"/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</row>
    <row r="49">
      <c r="A49" s="65"/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</row>
    <row r="50">
      <c r="A50" s="65"/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</row>
    <row r="51">
      <c r="A51" s="65"/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</row>
    <row r="52">
      <c r="A52" s="65"/>
      <c r="B52" s="65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</row>
    <row r="53">
      <c r="A53" s="65"/>
      <c r="B53" s="65"/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</row>
    <row r="54">
      <c r="A54" s="65"/>
      <c r="B54" s="65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</row>
    <row r="55">
      <c r="A55" s="65"/>
      <c r="B55" s="65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</row>
    <row r="56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</row>
    <row r="57">
      <c r="A57" s="65"/>
      <c r="B57" s="65"/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</row>
    <row r="58">
      <c r="A58" s="65"/>
      <c r="B58" s="65"/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</row>
    <row r="59">
      <c r="A59" s="65"/>
      <c r="B59" s="65"/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</row>
    <row r="60">
      <c r="A60" s="65"/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</row>
    <row r="61">
      <c r="A61" s="65"/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</row>
    <row r="62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</row>
    <row r="63">
      <c r="A63" s="65"/>
      <c r="B63" s="65"/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</row>
    <row r="64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</row>
    <row r="65">
      <c r="A65" s="65"/>
      <c r="B65" s="65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</row>
    <row r="66">
      <c r="A66" s="65"/>
      <c r="B66" s="65"/>
      <c r="C66" s="65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</row>
    <row r="67">
      <c r="A67" s="65"/>
      <c r="B67" s="65"/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</row>
    <row r="68">
      <c r="A68" s="65"/>
      <c r="B68" s="65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</row>
    <row r="69">
      <c r="A69" s="65"/>
      <c r="B69" s="65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</row>
    <row r="70">
      <c r="A70" s="65"/>
      <c r="B70" s="65"/>
      <c r="C70" s="65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</row>
    <row r="71">
      <c r="A71" s="65"/>
      <c r="B71" s="65"/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</row>
    <row r="72">
      <c r="A72" s="65"/>
      <c r="B72" s="65"/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</row>
    <row r="73">
      <c r="A73" s="65"/>
      <c r="B73" s="65"/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</row>
    <row r="74">
      <c r="A74" s="65"/>
      <c r="B74" s="65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</row>
    <row r="75">
      <c r="A75" s="65"/>
      <c r="B75" s="65"/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</row>
    <row r="76">
      <c r="A76" s="65"/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</row>
    <row r="77">
      <c r="A77" s="65"/>
      <c r="B77" s="65"/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</row>
    <row r="78">
      <c r="A78" s="65"/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</row>
    <row r="79">
      <c r="A79" s="65"/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</row>
    <row r="80">
      <c r="A80" s="65"/>
      <c r="B80" s="65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</row>
    <row r="81">
      <c r="A81" s="65"/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</row>
    <row r="82">
      <c r="A82" s="65"/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</row>
    <row r="83">
      <c r="A83" s="65"/>
      <c r="B83" s="65"/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</row>
    <row r="84">
      <c r="A84" s="65"/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</row>
    <row r="8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</row>
    <row r="86">
      <c r="A86" s="65"/>
      <c r="B86" s="65"/>
      <c r="C86" s="65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</row>
    <row r="87">
      <c r="A87" s="65"/>
      <c r="B87" s="65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</row>
    <row r="88">
      <c r="A88" s="65"/>
      <c r="B88" s="65"/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</row>
    <row r="89">
      <c r="A89" s="65"/>
      <c r="B89" s="65"/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</row>
    <row r="90">
      <c r="A90" s="65"/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</row>
    <row r="91">
      <c r="A91" s="65"/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</row>
    <row r="92">
      <c r="A92" s="65"/>
      <c r="B92" s="65"/>
      <c r="C92" s="65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</row>
    <row r="93">
      <c r="A93" s="65"/>
      <c r="B93" s="65"/>
      <c r="C93" s="65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</row>
    <row r="94">
      <c r="A94" s="65"/>
      <c r="B94" s="65"/>
      <c r="C94" s="65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</row>
    <row r="95">
      <c r="A95" s="65"/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</row>
    <row r="96">
      <c r="A96" s="65"/>
      <c r="B96" s="65"/>
      <c r="C96" s="65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</row>
    <row r="97">
      <c r="A97" s="65"/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</row>
    <row r="98">
      <c r="A98" s="65"/>
      <c r="B98" s="65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</row>
    <row r="99">
      <c r="A99" s="65"/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</row>
    <row r="100">
      <c r="A100" s="65"/>
      <c r="B100" s="65"/>
      <c r="C100" s="65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</row>
    <row r="101">
      <c r="A101" s="65"/>
      <c r="B101" s="65"/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</row>
    <row r="102">
      <c r="A102" s="65"/>
      <c r="B102" s="65"/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</row>
    <row r="103">
      <c r="A103" s="65"/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</row>
    <row r="104">
      <c r="A104" s="65"/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</row>
    <row r="105">
      <c r="A105" s="65"/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</row>
    <row r="106">
      <c r="A106" s="65"/>
      <c r="B106" s="65"/>
      <c r="C106" s="65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</row>
    <row r="107">
      <c r="A107" s="65"/>
      <c r="B107" s="65"/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</row>
    <row r="108">
      <c r="A108" s="65"/>
      <c r="B108" s="65"/>
      <c r="C108" s="65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</row>
    <row r="109">
      <c r="A109" s="65"/>
      <c r="B109" s="65"/>
      <c r="C109" s="65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</row>
    <row r="110">
      <c r="A110" s="65"/>
      <c r="B110" s="65"/>
      <c r="C110" s="65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</row>
    <row r="111">
      <c r="A111" s="65"/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</row>
    <row r="112">
      <c r="A112" s="65"/>
      <c r="B112" s="65"/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</row>
    <row r="113">
      <c r="A113" s="65"/>
      <c r="B113" s="65"/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</row>
    <row r="114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</row>
    <row r="115">
      <c r="A115" s="65"/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</row>
    <row r="116">
      <c r="A116" s="65"/>
      <c r="B116" s="65"/>
      <c r="C116" s="65"/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</row>
    <row r="117">
      <c r="A117" s="65"/>
      <c r="B117" s="65"/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</row>
    <row r="118">
      <c r="A118" s="65"/>
      <c r="B118" s="65"/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</row>
    <row r="119">
      <c r="A119" s="65"/>
      <c r="B119" s="65"/>
      <c r="C119" s="65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</row>
    <row r="120">
      <c r="A120" s="65"/>
      <c r="B120" s="65"/>
      <c r="C120" s="65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</row>
    <row r="121">
      <c r="A121" s="65"/>
      <c r="B121" s="65"/>
      <c r="C121" s="65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</row>
    <row r="122">
      <c r="A122" s="65"/>
      <c r="B122" s="65"/>
      <c r="C122" s="65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</row>
    <row r="123">
      <c r="A123" s="65"/>
      <c r="B123" s="65"/>
      <c r="C123" s="65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</row>
    <row r="124">
      <c r="A124" s="65"/>
      <c r="B124" s="65"/>
      <c r="C124" s="65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</row>
    <row r="125">
      <c r="A125" s="65"/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</row>
    <row r="126">
      <c r="A126" s="65"/>
      <c r="B126" s="65"/>
      <c r="C126" s="65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</row>
    <row r="127">
      <c r="A127" s="65"/>
      <c r="B127" s="65"/>
      <c r="C127" s="65"/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</row>
    <row r="128">
      <c r="A128" s="65"/>
      <c r="B128" s="65"/>
      <c r="C128" s="65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</row>
    <row r="129">
      <c r="A129" s="65"/>
      <c r="B129" s="65"/>
      <c r="C129" s="65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</row>
    <row r="130">
      <c r="A130" s="65"/>
      <c r="B130" s="65"/>
      <c r="C130" s="65"/>
      <c r="D130" s="65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</row>
    <row r="131">
      <c r="A131" s="65"/>
      <c r="B131" s="65"/>
      <c r="C131" s="65"/>
      <c r="D131" s="65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</row>
    <row r="132">
      <c r="A132" s="65"/>
      <c r="B132" s="65"/>
      <c r="C132" s="65"/>
      <c r="D132" s="65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</row>
    <row r="133">
      <c r="A133" s="65"/>
      <c r="B133" s="65"/>
      <c r="C133" s="65"/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</row>
    <row r="134">
      <c r="A134" s="65"/>
      <c r="B134" s="65"/>
      <c r="C134" s="65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</row>
    <row r="135">
      <c r="A135" s="65"/>
      <c r="B135" s="65"/>
      <c r="C135" s="65"/>
      <c r="D135" s="65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</row>
    <row r="136">
      <c r="A136" s="65"/>
      <c r="B136" s="65"/>
      <c r="C136" s="65"/>
      <c r="D136" s="65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</row>
    <row r="137">
      <c r="A137" s="65"/>
      <c r="B137" s="65"/>
      <c r="C137" s="65"/>
      <c r="D137" s="65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</row>
    <row r="138">
      <c r="A138" s="65"/>
      <c r="B138" s="65"/>
      <c r="C138" s="65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</row>
    <row r="139">
      <c r="A139" s="65"/>
      <c r="B139" s="65"/>
      <c r="C139" s="65"/>
      <c r="D139" s="65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</row>
    <row r="140">
      <c r="A140" s="65"/>
      <c r="B140" s="65"/>
      <c r="C140" s="65"/>
      <c r="D140" s="65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</row>
    <row r="141">
      <c r="A141" s="65"/>
      <c r="B141" s="65"/>
      <c r="C141" s="65"/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</row>
    <row r="142">
      <c r="A142" s="65"/>
      <c r="B142" s="65"/>
      <c r="C142" s="65"/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</row>
    <row r="143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</row>
    <row r="144">
      <c r="A144" s="65"/>
      <c r="B144" s="65"/>
      <c r="C144" s="65"/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</row>
    <row r="145">
      <c r="A145" s="65"/>
      <c r="B145" s="65"/>
      <c r="C145" s="65"/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</row>
    <row r="146">
      <c r="A146" s="65"/>
      <c r="B146" s="65"/>
      <c r="C146" s="65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</row>
    <row r="147">
      <c r="A147" s="65"/>
      <c r="B147" s="65"/>
      <c r="C147" s="65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</row>
    <row r="148">
      <c r="A148" s="65"/>
      <c r="B148" s="65"/>
      <c r="C148" s="65"/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</row>
    <row r="149">
      <c r="A149" s="65"/>
      <c r="B149" s="65"/>
      <c r="C149" s="65"/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</row>
    <row r="150">
      <c r="A150" s="65"/>
      <c r="B150" s="65"/>
      <c r="C150" s="65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</row>
    <row r="151">
      <c r="A151" s="65"/>
      <c r="B151" s="65"/>
      <c r="C151" s="65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</row>
    <row r="152">
      <c r="A152" s="65"/>
      <c r="B152" s="65"/>
      <c r="C152" s="65"/>
      <c r="D152" s="65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</row>
    <row r="153">
      <c r="A153" s="65"/>
      <c r="B153" s="65"/>
      <c r="C153" s="65"/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</row>
    <row r="154">
      <c r="A154" s="65"/>
      <c r="B154" s="65"/>
      <c r="C154" s="65"/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</row>
    <row r="155">
      <c r="A155" s="65"/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</row>
    <row r="156">
      <c r="A156" s="65"/>
      <c r="B156" s="65"/>
      <c r="C156" s="65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</row>
    <row r="157">
      <c r="A157" s="65"/>
      <c r="B157" s="65"/>
      <c r="C157" s="65"/>
      <c r="D157" s="65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</row>
    <row r="158">
      <c r="A158" s="65"/>
      <c r="B158" s="65"/>
      <c r="C158" s="65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</row>
    <row r="159">
      <c r="A159" s="65"/>
      <c r="B159" s="65"/>
      <c r="C159" s="65"/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</row>
    <row r="160">
      <c r="A160" s="65"/>
      <c r="B160" s="65"/>
      <c r="C160" s="65"/>
      <c r="D160" s="65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</row>
    <row r="161">
      <c r="A161" s="65"/>
      <c r="B161" s="65"/>
      <c r="C161" s="65"/>
      <c r="D161" s="65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</row>
    <row r="162">
      <c r="A162" s="65"/>
      <c r="B162" s="65"/>
      <c r="C162" s="65"/>
      <c r="D162" s="65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</row>
    <row r="163">
      <c r="A163" s="65"/>
      <c r="B163" s="65"/>
      <c r="C163" s="65"/>
      <c r="D163" s="65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</row>
    <row r="164">
      <c r="A164" s="65"/>
      <c r="B164" s="65"/>
      <c r="C164" s="65"/>
      <c r="D164" s="65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</row>
    <row r="165">
      <c r="A165" s="65"/>
      <c r="B165" s="65"/>
      <c r="C165" s="65"/>
      <c r="D165" s="65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</row>
    <row r="166">
      <c r="A166" s="65"/>
      <c r="B166" s="65"/>
      <c r="C166" s="65"/>
      <c r="D166" s="65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</row>
    <row r="167">
      <c r="A167" s="65"/>
      <c r="B167" s="65"/>
      <c r="C167" s="65"/>
      <c r="D167" s="65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</row>
    <row r="168">
      <c r="A168" s="65"/>
      <c r="B168" s="65"/>
      <c r="C168" s="65"/>
      <c r="D168" s="65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</row>
    <row r="169">
      <c r="A169" s="65"/>
      <c r="B169" s="65"/>
      <c r="C169" s="65"/>
      <c r="D169" s="65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</row>
    <row r="170">
      <c r="A170" s="65"/>
      <c r="B170" s="65"/>
      <c r="C170" s="65"/>
      <c r="D170" s="65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</row>
    <row r="171">
      <c r="A171" s="65"/>
      <c r="B171" s="65"/>
      <c r="C171" s="65"/>
      <c r="D171" s="65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</row>
    <row r="172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</row>
    <row r="173">
      <c r="A173" s="65"/>
      <c r="B173" s="65"/>
      <c r="C173" s="65"/>
      <c r="D173" s="65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</row>
    <row r="174">
      <c r="A174" s="65"/>
      <c r="B174" s="65"/>
      <c r="C174" s="65"/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</row>
    <row r="175">
      <c r="A175" s="65"/>
      <c r="B175" s="65"/>
      <c r="C175" s="65"/>
      <c r="D175" s="65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</row>
    <row r="176">
      <c r="A176" s="65"/>
      <c r="B176" s="65"/>
      <c r="C176" s="65"/>
      <c r="D176" s="65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</row>
    <row r="177">
      <c r="A177" s="65"/>
      <c r="B177" s="65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</row>
    <row r="178">
      <c r="A178" s="65"/>
      <c r="B178" s="65"/>
      <c r="C178" s="65"/>
      <c r="D178" s="65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</row>
    <row r="179">
      <c r="A179" s="65"/>
      <c r="B179" s="65"/>
      <c r="C179" s="65"/>
      <c r="D179" s="65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</row>
    <row r="180">
      <c r="A180" s="65"/>
      <c r="B180" s="65"/>
      <c r="C180" s="65"/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</row>
    <row r="181">
      <c r="A181" s="65"/>
      <c r="B181" s="65"/>
      <c r="C181" s="65"/>
      <c r="D181" s="65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</row>
    <row r="182">
      <c r="A182" s="65"/>
      <c r="B182" s="65"/>
      <c r="C182" s="65"/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</row>
    <row r="183">
      <c r="A183" s="65"/>
      <c r="B183" s="65"/>
      <c r="C183" s="65"/>
      <c r="D183" s="65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</row>
    <row r="184">
      <c r="A184" s="65"/>
      <c r="B184" s="65"/>
      <c r="C184" s="65"/>
      <c r="D184" s="65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</row>
    <row r="185">
      <c r="A185" s="65"/>
      <c r="B185" s="65"/>
      <c r="C185" s="65"/>
      <c r="D185" s="65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</row>
    <row r="186">
      <c r="A186" s="65"/>
      <c r="B186" s="65"/>
      <c r="C186" s="65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</row>
    <row r="187">
      <c r="A187" s="65"/>
      <c r="B187" s="65"/>
      <c r="C187" s="65"/>
      <c r="D187" s="65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</row>
    <row r="188">
      <c r="A188" s="65"/>
      <c r="B188" s="65"/>
      <c r="C188" s="65"/>
      <c r="D188" s="65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</row>
    <row r="189">
      <c r="A189" s="65"/>
      <c r="B189" s="65"/>
      <c r="C189" s="65"/>
      <c r="D189" s="65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</row>
    <row r="190">
      <c r="A190" s="65"/>
      <c r="B190" s="65"/>
      <c r="C190" s="65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</row>
    <row r="191">
      <c r="A191" s="65"/>
      <c r="B191" s="65"/>
      <c r="C191" s="65"/>
      <c r="D191" s="65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</row>
    <row r="192">
      <c r="A192" s="65"/>
      <c r="B192" s="65"/>
      <c r="C192" s="65"/>
      <c r="D192" s="65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</row>
    <row r="193">
      <c r="A193" s="65"/>
      <c r="B193" s="65"/>
      <c r="C193" s="65"/>
      <c r="D193" s="65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</row>
    <row r="194">
      <c r="A194" s="65"/>
      <c r="B194" s="65"/>
      <c r="C194" s="65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</row>
    <row r="195">
      <c r="A195" s="65"/>
      <c r="B195" s="65"/>
      <c r="C195" s="65"/>
      <c r="D195" s="65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</row>
    <row r="196">
      <c r="A196" s="65"/>
      <c r="B196" s="65"/>
      <c r="C196" s="65"/>
      <c r="D196" s="65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</row>
    <row r="197">
      <c r="A197" s="65"/>
      <c r="B197" s="65"/>
      <c r="C197" s="65"/>
      <c r="D197" s="65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</row>
    <row r="198">
      <c r="A198" s="65"/>
      <c r="B198" s="65"/>
      <c r="C198" s="65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</row>
    <row r="199">
      <c r="A199" s="65"/>
      <c r="B199" s="65"/>
      <c r="C199" s="65"/>
      <c r="D199" s="65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</row>
    <row r="200">
      <c r="A200" s="65"/>
      <c r="B200" s="65"/>
      <c r="C200" s="65"/>
      <c r="D200" s="65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</row>
    <row r="201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</row>
    <row r="202">
      <c r="A202" s="65"/>
      <c r="B202" s="65"/>
      <c r="C202" s="65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</row>
    <row r="203">
      <c r="A203" s="65"/>
      <c r="B203" s="65"/>
      <c r="C203" s="65"/>
      <c r="D203" s="65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</row>
    <row r="204">
      <c r="A204" s="65"/>
      <c r="B204" s="65"/>
      <c r="C204" s="65"/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</row>
    <row r="205">
      <c r="A205" s="65"/>
      <c r="B205" s="65"/>
      <c r="C205" s="65"/>
      <c r="D205" s="65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</row>
    <row r="206">
      <c r="A206" s="65"/>
      <c r="B206" s="65"/>
      <c r="C206" s="65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</row>
    <row r="207">
      <c r="A207" s="65"/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</row>
    <row r="208">
      <c r="A208" s="65"/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</row>
    <row r="209">
      <c r="A209" s="65"/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</row>
    <row r="210">
      <c r="A210" s="65"/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</row>
    <row r="211">
      <c r="A211" s="65"/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</row>
    <row r="212">
      <c r="A212" s="65"/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</row>
    <row r="213">
      <c r="A213" s="65"/>
      <c r="B213" s="65"/>
      <c r="C213" s="65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</row>
    <row r="214">
      <c r="A214" s="65"/>
      <c r="B214" s="65"/>
      <c r="C214" s="65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</row>
    <row r="215">
      <c r="A215" s="65"/>
      <c r="B215" s="65"/>
      <c r="C215" s="65"/>
      <c r="D215" s="65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</row>
    <row r="216">
      <c r="A216" s="65"/>
      <c r="B216" s="65"/>
      <c r="C216" s="65"/>
      <c r="D216" s="65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</row>
    <row r="217">
      <c r="A217" s="65"/>
      <c r="B217" s="65"/>
      <c r="C217" s="65"/>
      <c r="D217" s="65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</row>
    <row r="218">
      <c r="A218" s="65"/>
      <c r="B218" s="65"/>
      <c r="C218" s="65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</row>
    <row r="219">
      <c r="A219" s="65"/>
      <c r="B219" s="65"/>
      <c r="C219" s="65"/>
      <c r="D219" s="65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</row>
    <row r="220">
      <c r="A220" s="65"/>
      <c r="B220" s="65"/>
      <c r="C220" s="65"/>
      <c r="D220" s="65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</row>
    <row r="221">
      <c r="A221" s="65"/>
      <c r="B221" s="65"/>
      <c r="C221" s="65"/>
      <c r="D221" s="65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</row>
    <row r="222">
      <c r="A222" s="65"/>
      <c r="B222" s="65"/>
      <c r="C222" s="65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</row>
    <row r="223">
      <c r="A223" s="65"/>
      <c r="B223" s="65"/>
      <c r="C223" s="65"/>
      <c r="D223" s="65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</row>
    <row r="224">
      <c r="A224" s="65"/>
      <c r="B224" s="65"/>
      <c r="C224" s="65"/>
      <c r="D224" s="65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</row>
    <row r="225">
      <c r="A225" s="65"/>
      <c r="B225" s="65"/>
      <c r="C225" s="65"/>
      <c r="D225" s="65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</row>
    <row r="226">
      <c r="A226" s="65"/>
      <c r="B226" s="65"/>
      <c r="C226" s="65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</row>
    <row r="227">
      <c r="A227" s="65"/>
      <c r="B227" s="65"/>
      <c r="C227" s="65"/>
      <c r="D227" s="65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</row>
    <row r="228">
      <c r="A228" s="65"/>
      <c r="B228" s="65"/>
      <c r="C228" s="65"/>
      <c r="D228" s="65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</row>
    <row r="229">
      <c r="A229" s="65"/>
      <c r="B229" s="65"/>
      <c r="C229" s="65"/>
      <c r="D229" s="65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</row>
    <row r="230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</row>
    <row r="231">
      <c r="A231" s="65"/>
      <c r="B231" s="65"/>
      <c r="C231" s="65"/>
      <c r="D231" s="65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</row>
    <row r="232">
      <c r="A232" s="65"/>
      <c r="B232" s="65"/>
      <c r="C232" s="65"/>
      <c r="D232" s="65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</row>
    <row r="233">
      <c r="A233" s="65"/>
      <c r="B233" s="65"/>
      <c r="C233" s="65"/>
      <c r="D233" s="65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</row>
    <row r="234">
      <c r="A234" s="65"/>
      <c r="B234" s="65"/>
      <c r="C234" s="65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</row>
    <row r="235">
      <c r="A235" s="65"/>
      <c r="B235" s="65"/>
      <c r="C235" s="65"/>
      <c r="D235" s="65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</row>
    <row r="236">
      <c r="A236" s="65"/>
      <c r="B236" s="65"/>
      <c r="C236" s="65"/>
      <c r="D236" s="65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</row>
    <row r="237">
      <c r="A237" s="65"/>
      <c r="B237" s="65"/>
      <c r="C237" s="65"/>
      <c r="D237" s="65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</row>
    <row r="238">
      <c r="A238" s="65"/>
      <c r="B238" s="65"/>
      <c r="C238" s="65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</row>
    <row r="239">
      <c r="A239" s="65"/>
      <c r="B239" s="65"/>
      <c r="C239" s="65"/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</row>
    <row r="240">
      <c r="A240" s="65"/>
      <c r="B240" s="65"/>
      <c r="C240" s="65"/>
      <c r="D240" s="65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</row>
    <row r="241">
      <c r="A241" s="65"/>
      <c r="B241" s="65"/>
      <c r="C241" s="65"/>
      <c r="D241" s="65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</row>
    <row r="242">
      <c r="A242" s="65"/>
      <c r="B242" s="65"/>
      <c r="C242" s="65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</row>
    <row r="243">
      <c r="A243" s="65"/>
      <c r="B243" s="65"/>
      <c r="C243" s="65"/>
      <c r="D243" s="65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</row>
    <row r="244">
      <c r="A244" s="65"/>
      <c r="B244" s="65"/>
      <c r="C244" s="65"/>
      <c r="D244" s="65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</row>
    <row r="245">
      <c r="A245" s="65"/>
      <c r="B245" s="65"/>
      <c r="C245" s="65"/>
      <c r="D245" s="65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</row>
    <row r="246">
      <c r="A246" s="65"/>
      <c r="B246" s="65"/>
      <c r="C246" s="65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</row>
    <row r="247">
      <c r="A247" s="65"/>
      <c r="B247" s="65"/>
      <c r="C247" s="65"/>
      <c r="D247" s="65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</row>
    <row r="248">
      <c r="A248" s="65"/>
      <c r="B248" s="65"/>
      <c r="C248" s="65"/>
      <c r="D248" s="65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</row>
    <row r="249">
      <c r="A249" s="65"/>
      <c r="B249" s="65"/>
      <c r="C249" s="65"/>
      <c r="D249" s="65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</row>
    <row r="250">
      <c r="A250" s="65"/>
      <c r="B250" s="65"/>
      <c r="C250" s="65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</row>
    <row r="251">
      <c r="A251" s="65"/>
      <c r="B251" s="65"/>
      <c r="C251" s="65"/>
      <c r="D251" s="65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</row>
    <row r="252">
      <c r="A252" s="65"/>
      <c r="B252" s="65"/>
      <c r="C252" s="65"/>
      <c r="D252" s="65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</row>
    <row r="253">
      <c r="A253" s="65"/>
      <c r="B253" s="65"/>
      <c r="C253" s="65"/>
      <c r="D253" s="65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</row>
    <row r="254">
      <c r="A254" s="65"/>
      <c r="B254" s="65"/>
      <c r="C254" s="65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</row>
    <row r="255">
      <c r="A255" s="65"/>
      <c r="B255" s="65"/>
      <c r="C255" s="65"/>
      <c r="D255" s="65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</row>
    <row r="256">
      <c r="A256" s="65"/>
      <c r="B256" s="65"/>
      <c r="C256" s="65"/>
      <c r="D256" s="65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</row>
    <row r="257">
      <c r="A257" s="65"/>
      <c r="B257" s="65"/>
      <c r="C257" s="65"/>
      <c r="D257" s="65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</row>
    <row r="258">
      <c r="A258" s="65"/>
      <c r="B258" s="65"/>
      <c r="C258" s="65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</row>
    <row r="259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</row>
    <row r="260">
      <c r="A260" s="65"/>
      <c r="B260" s="65"/>
      <c r="C260" s="65"/>
      <c r="D260" s="65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</row>
    <row r="261">
      <c r="A261" s="65"/>
      <c r="B261" s="65"/>
      <c r="C261" s="65"/>
      <c r="D261" s="65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</row>
    <row r="262">
      <c r="A262" s="65"/>
      <c r="B262" s="65"/>
      <c r="C262" s="65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</row>
    <row r="263">
      <c r="A263" s="65"/>
      <c r="B263" s="65"/>
      <c r="C263" s="65"/>
      <c r="D263" s="65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</row>
    <row r="264">
      <c r="A264" s="65"/>
      <c r="B264" s="65"/>
      <c r="C264" s="65"/>
      <c r="D264" s="65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</row>
    <row r="265">
      <c r="A265" s="65"/>
      <c r="B265" s="65"/>
      <c r="C265" s="65"/>
      <c r="D265" s="65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</row>
    <row r="266">
      <c r="A266" s="65"/>
      <c r="B266" s="65"/>
      <c r="C266" s="65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</row>
    <row r="267">
      <c r="A267" s="65"/>
      <c r="B267" s="65"/>
      <c r="C267" s="65"/>
      <c r="D267" s="65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</row>
    <row r="268">
      <c r="A268" s="65"/>
      <c r="B268" s="65"/>
      <c r="C268" s="65"/>
      <c r="D268" s="65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</row>
    <row r="269">
      <c r="A269" s="65"/>
      <c r="B269" s="65"/>
      <c r="C269" s="65"/>
      <c r="D269" s="65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</row>
    <row r="270">
      <c r="A270" s="65"/>
      <c r="B270" s="65"/>
      <c r="C270" s="65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</row>
    <row r="271">
      <c r="A271" s="65"/>
      <c r="B271" s="65"/>
      <c r="C271" s="65"/>
      <c r="D271" s="65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</row>
    <row r="272">
      <c r="A272" s="65"/>
      <c r="B272" s="65"/>
      <c r="C272" s="65"/>
      <c r="D272" s="65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</row>
    <row r="273">
      <c r="A273" s="65"/>
      <c r="B273" s="65"/>
      <c r="C273" s="65"/>
      <c r="D273" s="65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</row>
    <row r="274">
      <c r="A274" s="65"/>
      <c r="B274" s="65"/>
      <c r="C274" s="65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</row>
    <row r="275">
      <c r="A275" s="65"/>
      <c r="B275" s="65"/>
      <c r="C275" s="65"/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</row>
    <row r="276">
      <c r="A276" s="65"/>
      <c r="B276" s="65"/>
      <c r="C276" s="65"/>
      <c r="D276" s="65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</row>
    <row r="277">
      <c r="A277" s="65"/>
      <c r="B277" s="65"/>
      <c r="C277" s="65"/>
      <c r="D277" s="65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</row>
    <row r="278">
      <c r="A278" s="65"/>
      <c r="B278" s="65"/>
      <c r="C278" s="65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</row>
    <row r="279">
      <c r="A279" s="65"/>
      <c r="B279" s="65"/>
      <c r="C279" s="65"/>
      <c r="D279" s="65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</row>
    <row r="280">
      <c r="A280" s="65"/>
      <c r="B280" s="65"/>
      <c r="C280" s="65"/>
      <c r="D280" s="65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</row>
    <row r="281">
      <c r="A281" s="65"/>
      <c r="B281" s="65"/>
      <c r="C281" s="65"/>
      <c r="D281" s="65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</row>
    <row r="282">
      <c r="A282" s="65"/>
      <c r="B282" s="65"/>
      <c r="C282" s="65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</row>
    <row r="283">
      <c r="A283" s="65"/>
      <c r="B283" s="65"/>
      <c r="C283" s="65"/>
      <c r="D283" s="65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</row>
    <row r="284">
      <c r="A284" s="65"/>
      <c r="B284" s="65"/>
      <c r="C284" s="65"/>
      <c r="D284" s="65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</row>
    <row r="285">
      <c r="A285" s="65"/>
      <c r="B285" s="65"/>
      <c r="C285" s="65"/>
      <c r="D285" s="65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</row>
    <row r="286">
      <c r="A286" s="65"/>
      <c r="B286" s="65"/>
      <c r="C286" s="65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</row>
    <row r="287">
      <c r="A287" s="65"/>
      <c r="B287" s="65"/>
      <c r="C287" s="65"/>
      <c r="D287" s="65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</row>
    <row r="288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</row>
    <row r="289">
      <c r="A289" s="65"/>
      <c r="B289" s="65"/>
      <c r="C289" s="65"/>
      <c r="D289" s="65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</row>
    <row r="290">
      <c r="A290" s="65"/>
      <c r="B290" s="65"/>
      <c r="C290" s="65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</row>
    <row r="291">
      <c r="A291" s="65"/>
      <c r="B291" s="65"/>
      <c r="C291" s="65"/>
      <c r="D291" s="65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</row>
    <row r="292">
      <c r="A292" s="65"/>
      <c r="B292" s="65"/>
      <c r="C292" s="65"/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</row>
    <row r="293">
      <c r="A293" s="65"/>
      <c r="B293" s="65"/>
      <c r="C293" s="65"/>
      <c r="D293" s="65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</row>
    <row r="294">
      <c r="A294" s="65"/>
      <c r="B294" s="65"/>
      <c r="C294" s="65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</row>
    <row r="295">
      <c r="A295" s="65"/>
      <c r="B295" s="65"/>
      <c r="C295" s="65"/>
      <c r="D295" s="65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</row>
    <row r="296">
      <c r="A296" s="65"/>
      <c r="B296" s="65"/>
      <c r="C296" s="65"/>
      <c r="D296" s="65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</row>
    <row r="297">
      <c r="A297" s="65"/>
      <c r="B297" s="65"/>
      <c r="C297" s="65"/>
      <c r="D297" s="65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</row>
    <row r="298">
      <c r="A298" s="65"/>
      <c r="B298" s="65"/>
      <c r="C298" s="65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</row>
    <row r="299">
      <c r="A299" s="65"/>
      <c r="B299" s="65"/>
      <c r="C299" s="65"/>
      <c r="D299" s="65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</row>
    <row r="300">
      <c r="A300" s="65"/>
      <c r="B300" s="65"/>
      <c r="C300" s="65"/>
      <c r="D300" s="65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</row>
    <row r="301">
      <c r="A301" s="65"/>
      <c r="B301" s="65"/>
      <c r="C301" s="65"/>
      <c r="D301" s="65"/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</row>
    <row r="302">
      <c r="A302" s="65"/>
      <c r="B302" s="65"/>
      <c r="C302" s="65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</row>
    <row r="303">
      <c r="A303" s="65"/>
      <c r="B303" s="65"/>
      <c r="C303" s="65"/>
      <c r="D303" s="65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</row>
    <row r="304">
      <c r="A304" s="65"/>
      <c r="B304" s="65"/>
      <c r="C304" s="65"/>
      <c r="D304" s="65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</row>
    <row r="305">
      <c r="A305" s="65"/>
      <c r="B305" s="65"/>
      <c r="C305" s="65"/>
      <c r="D305" s="65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</row>
    <row r="306">
      <c r="A306" s="65"/>
      <c r="B306" s="65"/>
      <c r="C306" s="65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</row>
    <row r="307">
      <c r="A307" s="65"/>
      <c r="B307" s="65"/>
      <c r="C307" s="65"/>
      <c r="D307" s="65"/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</row>
    <row r="308">
      <c r="A308" s="65"/>
      <c r="B308" s="65"/>
      <c r="C308" s="65"/>
      <c r="D308" s="65"/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</row>
    <row r="309">
      <c r="A309" s="65"/>
      <c r="B309" s="65"/>
      <c r="C309" s="65"/>
      <c r="D309" s="65"/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</row>
    <row r="310">
      <c r="A310" s="65"/>
      <c r="B310" s="65"/>
      <c r="C310" s="65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</row>
    <row r="311">
      <c r="A311" s="65"/>
      <c r="B311" s="65"/>
      <c r="C311" s="65"/>
      <c r="D311" s="65"/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</row>
    <row r="312">
      <c r="A312" s="65"/>
      <c r="B312" s="65"/>
      <c r="C312" s="65"/>
      <c r="D312" s="65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</row>
    <row r="313">
      <c r="A313" s="65"/>
      <c r="B313" s="65"/>
      <c r="C313" s="65"/>
      <c r="D313" s="65"/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</row>
    <row r="314">
      <c r="A314" s="65"/>
      <c r="B314" s="65"/>
      <c r="C314" s="65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</row>
    <row r="315">
      <c r="A315" s="65"/>
      <c r="B315" s="65"/>
      <c r="C315" s="65"/>
      <c r="D315" s="65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</row>
    <row r="316">
      <c r="A316" s="65"/>
      <c r="B316" s="65"/>
      <c r="C316" s="65"/>
      <c r="D316" s="65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</row>
    <row r="317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</row>
    <row r="318">
      <c r="A318" s="65"/>
      <c r="B318" s="65"/>
      <c r="C318" s="65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</row>
    <row r="319">
      <c r="A319" s="65"/>
      <c r="B319" s="65"/>
      <c r="C319" s="65"/>
      <c r="D319" s="65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</row>
    <row r="320">
      <c r="A320" s="65"/>
      <c r="B320" s="65"/>
      <c r="C320" s="65"/>
      <c r="D320" s="65"/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</row>
    <row r="321">
      <c r="A321" s="65"/>
      <c r="B321" s="65"/>
      <c r="C321" s="65"/>
      <c r="D321" s="65"/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</row>
    <row r="322">
      <c r="A322" s="65"/>
      <c r="B322" s="65"/>
      <c r="C322" s="65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</row>
    <row r="323">
      <c r="A323" s="65"/>
      <c r="B323" s="65"/>
      <c r="C323" s="65"/>
      <c r="D323" s="65"/>
      <c r="E323" s="65"/>
      <c r="F323" s="65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</row>
    <row r="324">
      <c r="A324" s="65"/>
      <c r="B324" s="65"/>
      <c r="C324" s="65"/>
      <c r="D324" s="65"/>
      <c r="E324" s="65"/>
      <c r="F324" s="65"/>
      <c r="G324" s="65"/>
      <c r="H324" s="65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</row>
    <row r="325">
      <c r="A325" s="65"/>
      <c r="B325" s="65"/>
      <c r="C325" s="65"/>
      <c r="D325" s="65"/>
      <c r="E325" s="65"/>
      <c r="F325" s="65"/>
      <c r="G325" s="65"/>
      <c r="H325" s="65"/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</row>
    <row r="326">
      <c r="A326" s="65"/>
      <c r="B326" s="65"/>
      <c r="C326" s="65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</row>
    <row r="327">
      <c r="A327" s="65"/>
      <c r="B327" s="65"/>
      <c r="C327" s="65"/>
      <c r="D327" s="65"/>
      <c r="E327" s="65"/>
      <c r="F327" s="65"/>
      <c r="G327" s="65"/>
      <c r="H327" s="65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</row>
    <row r="328">
      <c r="A328" s="65"/>
      <c r="B328" s="65"/>
      <c r="C328" s="65"/>
      <c r="D328" s="65"/>
      <c r="E328" s="65"/>
      <c r="F328" s="65"/>
      <c r="G328" s="65"/>
      <c r="H328" s="65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</row>
    <row r="329">
      <c r="A329" s="65"/>
      <c r="B329" s="65"/>
      <c r="C329" s="65"/>
      <c r="D329" s="65"/>
      <c r="E329" s="65"/>
      <c r="F329" s="65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</row>
    <row r="330">
      <c r="A330" s="65"/>
      <c r="B330" s="65"/>
      <c r="C330" s="65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</row>
    <row r="331">
      <c r="A331" s="65"/>
      <c r="B331" s="65"/>
      <c r="C331" s="65"/>
      <c r="D331" s="65"/>
      <c r="E331" s="65"/>
      <c r="F331" s="65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</row>
    <row r="332">
      <c r="A332" s="65"/>
      <c r="B332" s="65"/>
      <c r="C332" s="65"/>
      <c r="D332" s="65"/>
      <c r="E332" s="65"/>
      <c r="F332" s="65"/>
      <c r="G332" s="65"/>
      <c r="H332" s="65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</row>
    <row r="333">
      <c r="A333" s="65"/>
      <c r="B333" s="65"/>
      <c r="C333" s="65"/>
      <c r="D333" s="65"/>
      <c r="E333" s="65"/>
      <c r="F333" s="65"/>
      <c r="G333" s="65"/>
      <c r="H333" s="65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</row>
    <row r="334">
      <c r="A334" s="65"/>
      <c r="B334" s="65"/>
      <c r="C334" s="65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</row>
    <row r="335">
      <c r="A335" s="65"/>
      <c r="B335" s="65"/>
      <c r="C335" s="65"/>
      <c r="D335" s="65"/>
      <c r="E335" s="65"/>
      <c r="F335" s="65"/>
      <c r="G335" s="65"/>
      <c r="H335" s="65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</row>
    <row r="336">
      <c r="A336" s="65"/>
      <c r="B336" s="65"/>
      <c r="C336" s="65"/>
      <c r="D336" s="65"/>
      <c r="E336" s="65"/>
      <c r="F336" s="65"/>
      <c r="G336" s="65"/>
      <c r="H336" s="65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</row>
    <row r="337">
      <c r="A337" s="65"/>
      <c r="B337" s="65"/>
      <c r="C337" s="65"/>
      <c r="D337" s="65"/>
      <c r="E337" s="65"/>
      <c r="F337" s="65"/>
      <c r="G337" s="65"/>
      <c r="H337" s="65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</row>
    <row r="338">
      <c r="A338" s="65"/>
      <c r="B338" s="65"/>
      <c r="C338" s="65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</row>
    <row r="339">
      <c r="A339" s="65"/>
      <c r="B339" s="65"/>
      <c r="C339" s="65"/>
      <c r="D339" s="65"/>
      <c r="E339" s="65"/>
      <c r="F339" s="65"/>
      <c r="G339" s="65"/>
      <c r="H339" s="65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</row>
    <row r="340">
      <c r="A340" s="65"/>
      <c r="B340" s="65"/>
      <c r="C340" s="65"/>
      <c r="D340" s="65"/>
      <c r="E340" s="65"/>
      <c r="F340" s="65"/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</row>
    <row r="341">
      <c r="A341" s="65"/>
      <c r="B341" s="65"/>
      <c r="C341" s="65"/>
      <c r="D341" s="65"/>
      <c r="E341" s="65"/>
      <c r="F341" s="65"/>
      <c r="G341" s="65"/>
      <c r="H341" s="65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</row>
    <row r="342">
      <c r="A342" s="65"/>
      <c r="B342" s="65"/>
      <c r="C342" s="65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</row>
    <row r="343">
      <c r="A343" s="65"/>
      <c r="B343" s="65"/>
      <c r="C343" s="65"/>
      <c r="D343" s="65"/>
      <c r="E343" s="65"/>
      <c r="F343" s="65"/>
      <c r="G343" s="65"/>
      <c r="H343" s="65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</row>
    <row r="344">
      <c r="A344" s="65"/>
      <c r="B344" s="65"/>
      <c r="C344" s="65"/>
      <c r="D344" s="65"/>
      <c r="E344" s="65"/>
      <c r="F344" s="65"/>
      <c r="G344" s="65"/>
      <c r="H344" s="65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</row>
    <row r="345">
      <c r="A345" s="65"/>
      <c r="B345" s="65"/>
      <c r="C345" s="65"/>
      <c r="D345" s="65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</row>
    <row r="346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</row>
    <row r="347">
      <c r="A347" s="65"/>
      <c r="B347" s="65"/>
      <c r="C347" s="65"/>
      <c r="D347" s="65"/>
      <c r="E347" s="65"/>
      <c r="F347" s="65"/>
      <c r="G347" s="65"/>
      <c r="H347" s="65"/>
      <c r="I347" s="65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</row>
    <row r="348">
      <c r="A348" s="65"/>
      <c r="B348" s="65"/>
      <c r="C348" s="65"/>
      <c r="D348" s="65"/>
      <c r="E348" s="65"/>
      <c r="F348" s="65"/>
      <c r="G348" s="65"/>
      <c r="H348" s="65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</row>
    <row r="349">
      <c r="A349" s="65"/>
      <c r="B349" s="65"/>
      <c r="C349" s="65"/>
      <c r="D349" s="65"/>
      <c r="E349" s="65"/>
      <c r="F349" s="65"/>
      <c r="G349" s="65"/>
      <c r="H349" s="65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</row>
    <row r="350">
      <c r="A350" s="65"/>
      <c r="B350" s="65"/>
      <c r="C350" s="65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</row>
    <row r="351">
      <c r="A351" s="65"/>
      <c r="B351" s="65"/>
      <c r="C351" s="65"/>
      <c r="D351" s="65"/>
      <c r="E351" s="65"/>
      <c r="F351" s="65"/>
      <c r="G351" s="65"/>
      <c r="H351" s="65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</row>
    <row r="352">
      <c r="A352" s="65"/>
      <c r="B352" s="65"/>
      <c r="C352" s="65"/>
      <c r="D352" s="65"/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</row>
    <row r="353">
      <c r="A353" s="65"/>
      <c r="B353" s="65"/>
      <c r="C353" s="65"/>
      <c r="D353" s="65"/>
      <c r="E353" s="65"/>
      <c r="F353" s="65"/>
      <c r="G353" s="65"/>
      <c r="H353" s="65"/>
      <c r="I353" s="65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</row>
    <row r="354">
      <c r="A354" s="65"/>
      <c r="B354" s="65"/>
      <c r="C354" s="65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</row>
    <row r="355">
      <c r="A355" s="65"/>
      <c r="B355" s="65"/>
      <c r="C355" s="65"/>
      <c r="D355" s="65"/>
      <c r="E355" s="65"/>
      <c r="F355" s="65"/>
      <c r="G355" s="65"/>
      <c r="H355" s="65"/>
      <c r="I355" s="65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</row>
    <row r="356">
      <c r="A356" s="65"/>
      <c r="B356" s="65"/>
      <c r="C356" s="65"/>
      <c r="D356" s="65"/>
      <c r="E356" s="65"/>
      <c r="F356" s="65"/>
      <c r="G356" s="65"/>
      <c r="H356" s="65"/>
      <c r="I356" s="65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</row>
    <row r="357">
      <c r="A357" s="65"/>
      <c r="B357" s="65"/>
      <c r="C357" s="65"/>
      <c r="D357" s="65"/>
      <c r="E357" s="65"/>
      <c r="F357" s="65"/>
      <c r="G357" s="65"/>
      <c r="H357" s="65"/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</row>
    <row r="358">
      <c r="A358" s="65"/>
      <c r="B358" s="65"/>
      <c r="C358" s="65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</row>
    <row r="359">
      <c r="A359" s="65"/>
      <c r="B359" s="65"/>
      <c r="C359" s="65"/>
      <c r="D359" s="65"/>
      <c r="E359" s="65"/>
      <c r="F359" s="65"/>
      <c r="G359" s="65"/>
      <c r="H359" s="65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</row>
    <row r="360">
      <c r="A360" s="65"/>
      <c r="B360" s="65"/>
      <c r="C360" s="65"/>
      <c r="D360" s="65"/>
      <c r="E360" s="65"/>
      <c r="F360" s="65"/>
      <c r="G360" s="65"/>
      <c r="H360" s="65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</row>
    <row r="361">
      <c r="A361" s="65"/>
      <c r="B361" s="65"/>
      <c r="C361" s="65"/>
      <c r="D361" s="65"/>
      <c r="E361" s="65"/>
      <c r="F361" s="65"/>
      <c r="G361" s="65"/>
      <c r="H361" s="65"/>
      <c r="I361" s="65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</row>
    <row r="362">
      <c r="A362" s="65"/>
      <c r="B362" s="65"/>
      <c r="C362" s="65"/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</row>
    <row r="363">
      <c r="A363" s="65"/>
      <c r="B363" s="65"/>
      <c r="C363" s="65"/>
      <c r="D363" s="65"/>
      <c r="E363" s="65"/>
      <c r="F363" s="65"/>
      <c r="G363" s="65"/>
      <c r="H363" s="65"/>
      <c r="I363" s="65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</row>
    <row r="364">
      <c r="A364" s="65"/>
      <c r="B364" s="65"/>
      <c r="C364" s="65"/>
      <c r="D364" s="65"/>
      <c r="E364" s="65"/>
      <c r="F364" s="65"/>
      <c r="G364" s="65"/>
      <c r="H364" s="65"/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</row>
    <row r="365">
      <c r="A365" s="65"/>
      <c r="B365" s="65"/>
      <c r="C365" s="65"/>
      <c r="D365" s="65"/>
      <c r="E365" s="65"/>
      <c r="F365" s="65"/>
      <c r="G365" s="65"/>
      <c r="H365" s="65"/>
      <c r="I365" s="65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</row>
    <row r="366">
      <c r="A366" s="65"/>
      <c r="B366" s="65"/>
      <c r="C366" s="65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</row>
    <row r="367">
      <c r="A367" s="65"/>
      <c r="B367" s="65"/>
      <c r="C367" s="65"/>
      <c r="D367" s="65"/>
      <c r="E367" s="65"/>
      <c r="F367" s="65"/>
      <c r="G367" s="65"/>
      <c r="H367" s="65"/>
      <c r="I367" s="65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</row>
    <row r="368">
      <c r="A368" s="65"/>
      <c r="B368" s="65"/>
      <c r="C368" s="65"/>
      <c r="D368" s="65"/>
      <c r="E368" s="65"/>
      <c r="F368" s="65"/>
      <c r="G368" s="65"/>
      <c r="H368" s="65"/>
      <c r="I368" s="65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</row>
    <row r="369">
      <c r="A369" s="65"/>
      <c r="B369" s="65"/>
      <c r="C369" s="65"/>
      <c r="D369" s="65"/>
      <c r="E369" s="65"/>
      <c r="F369" s="65"/>
      <c r="G369" s="65"/>
      <c r="H369" s="65"/>
      <c r="I369" s="65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</row>
    <row r="370">
      <c r="A370" s="65"/>
      <c r="B370" s="65"/>
      <c r="C370" s="65"/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</row>
    <row r="371">
      <c r="A371" s="65"/>
      <c r="B371" s="65"/>
      <c r="C371" s="65"/>
      <c r="D371" s="65"/>
      <c r="E371" s="65"/>
      <c r="F371" s="65"/>
      <c r="G371" s="65"/>
      <c r="H371" s="65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</row>
    <row r="372">
      <c r="A372" s="65"/>
      <c r="B372" s="65"/>
      <c r="C372" s="65"/>
      <c r="D372" s="65"/>
      <c r="E372" s="65"/>
      <c r="F372" s="65"/>
      <c r="G372" s="65"/>
      <c r="H372" s="65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</row>
    <row r="373">
      <c r="A373" s="65"/>
      <c r="B373" s="65"/>
      <c r="C373" s="65"/>
      <c r="D373" s="65"/>
      <c r="E373" s="65"/>
      <c r="F373" s="65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</row>
    <row r="374">
      <c r="A374" s="65"/>
      <c r="B374" s="65"/>
      <c r="C374" s="65"/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</row>
    <row r="37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</row>
    <row r="376">
      <c r="A376" s="65"/>
      <c r="B376" s="65"/>
      <c r="C376" s="65"/>
      <c r="D376" s="65"/>
      <c r="E376" s="65"/>
      <c r="F376" s="65"/>
      <c r="G376" s="65"/>
      <c r="H376" s="65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</row>
    <row r="377">
      <c r="A377" s="65"/>
      <c r="B377" s="65"/>
      <c r="C377" s="65"/>
      <c r="D377" s="65"/>
      <c r="E377" s="65"/>
      <c r="F377" s="65"/>
      <c r="G377" s="65"/>
      <c r="H377" s="65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</row>
    <row r="378">
      <c r="A378" s="65"/>
      <c r="B378" s="65"/>
      <c r="C378" s="65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</row>
    <row r="379">
      <c r="A379" s="65"/>
      <c r="B379" s="65"/>
      <c r="C379" s="65"/>
      <c r="D379" s="65"/>
      <c r="E379" s="65"/>
      <c r="F379" s="65"/>
      <c r="G379" s="65"/>
      <c r="H379" s="65"/>
      <c r="I379" s="65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</row>
    <row r="380">
      <c r="A380" s="65"/>
      <c r="B380" s="65"/>
      <c r="C380" s="65"/>
      <c r="D380" s="65"/>
      <c r="E380" s="65"/>
      <c r="F380" s="65"/>
      <c r="G380" s="65"/>
      <c r="H380" s="65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</row>
    <row r="381">
      <c r="A381" s="65"/>
      <c r="B381" s="65"/>
      <c r="C381" s="65"/>
      <c r="D381" s="65"/>
      <c r="E381" s="65"/>
      <c r="F381" s="65"/>
      <c r="G381" s="65"/>
      <c r="H381" s="65"/>
      <c r="I381" s="65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</row>
    <row r="382">
      <c r="A382" s="65"/>
      <c r="B382" s="65"/>
      <c r="C382" s="65"/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</row>
    <row r="383">
      <c r="A383" s="65"/>
      <c r="B383" s="65"/>
      <c r="C383" s="65"/>
      <c r="D383" s="65"/>
      <c r="E383" s="65"/>
      <c r="F383" s="65"/>
      <c r="G383" s="65"/>
      <c r="H383" s="65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</row>
    <row r="384">
      <c r="A384" s="65"/>
      <c r="B384" s="65"/>
      <c r="C384" s="65"/>
      <c r="D384" s="65"/>
      <c r="E384" s="65"/>
      <c r="F384" s="65"/>
      <c r="G384" s="65"/>
      <c r="H384" s="65"/>
      <c r="I384" s="65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</row>
    <row r="385">
      <c r="A385" s="65"/>
      <c r="B385" s="65"/>
      <c r="C385" s="65"/>
      <c r="D385" s="65"/>
      <c r="E385" s="65"/>
      <c r="F385" s="65"/>
      <c r="G385" s="65"/>
      <c r="H385" s="65"/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</row>
    <row r="386">
      <c r="A386" s="65"/>
      <c r="B386" s="65"/>
      <c r="C386" s="65"/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</row>
    <row r="387">
      <c r="A387" s="65"/>
      <c r="B387" s="65"/>
      <c r="C387" s="65"/>
      <c r="D387" s="65"/>
      <c r="E387" s="65"/>
      <c r="F387" s="65"/>
      <c r="G387" s="65"/>
      <c r="H387" s="65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</row>
    <row r="388">
      <c r="A388" s="65"/>
      <c r="B388" s="65"/>
      <c r="C388" s="65"/>
      <c r="D388" s="65"/>
      <c r="E388" s="65"/>
      <c r="F388" s="65"/>
      <c r="G388" s="65"/>
      <c r="H388" s="65"/>
      <c r="I388" s="65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</row>
    <row r="389">
      <c r="A389" s="65"/>
      <c r="B389" s="65"/>
      <c r="C389" s="65"/>
      <c r="D389" s="65"/>
      <c r="E389" s="65"/>
      <c r="F389" s="65"/>
      <c r="G389" s="65"/>
      <c r="H389" s="65"/>
      <c r="I389" s="65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</row>
    <row r="390">
      <c r="A390" s="65"/>
      <c r="B390" s="65"/>
      <c r="C390" s="65"/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</row>
    <row r="391">
      <c r="A391" s="65"/>
      <c r="B391" s="65"/>
      <c r="C391" s="65"/>
      <c r="D391" s="65"/>
      <c r="E391" s="65"/>
      <c r="F391" s="65"/>
      <c r="G391" s="65"/>
      <c r="H391" s="65"/>
      <c r="I391" s="65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</row>
    <row r="392">
      <c r="A392" s="65"/>
      <c r="B392" s="65"/>
      <c r="C392" s="65"/>
      <c r="D392" s="65"/>
      <c r="E392" s="65"/>
      <c r="F392" s="65"/>
      <c r="G392" s="65"/>
      <c r="H392" s="65"/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</row>
    <row r="393">
      <c r="A393" s="65"/>
      <c r="B393" s="65"/>
      <c r="C393" s="65"/>
      <c r="D393" s="65"/>
      <c r="E393" s="65"/>
      <c r="F393" s="65"/>
      <c r="G393" s="65"/>
      <c r="H393" s="65"/>
      <c r="I393" s="65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</row>
    <row r="394">
      <c r="A394" s="65"/>
      <c r="B394" s="65"/>
      <c r="C394" s="65"/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</row>
    <row r="395">
      <c r="A395" s="65"/>
      <c r="B395" s="65"/>
      <c r="C395" s="65"/>
      <c r="D395" s="65"/>
      <c r="E395" s="65"/>
      <c r="F395" s="65"/>
      <c r="G395" s="65"/>
      <c r="H395" s="65"/>
      <c r="I395" s="65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</row>
    <row r="396">
      <c r="A396" s="65"/>
      <c r="B396" s="65"/>
      <c r="C396" s="65"/>
      <c r="D396" s="65"/>
      <c r="E396" s="65"/>
      <c r="F396" s="65"/>
      <c r="G396" s="65"/>
      <c r="H396" s="65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</row>
    <row r="397">
      <c r="A397" s="65"/>
      <c r="B397" s="65"/>
      <c r="C397" s="65"/>
      <c r="D397" s="65"/>
      <c r="E397" s="65"/>
      <c r="F397" s="65"/>
      <c r="G397" s="65"/>
      <c r="H397" s="65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</row>
    <row r="398">
      <c r="A398" s="65"/>
      <c r="B398" s="65"/>
      <c r="C398" s="65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</row>
    <row r="399">
      <c r="A399" s="65"/>
      <c r="B399" s="65"/>
      <c r="C399" s="65"/>
      <c r="D399" s="65"/>
      <c r="E399" s="65"/>
      <c r="F399" s="65"/>
      <c r="G399" s="65"/>
      <c r="H399" s="65"/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</row>
    <row r="400">
      <c r="A400" s="65"/>
      <c r="B400" s="65"/>
      <c r="C400" s="65"/>
      <c r="D400" s="65"/>
      <c r="E400" s="65"/>
      <c r="F400" s="65"/>
      <c r="G400" s="65"/>
      <c r="H400" s="65"/>
      <c r="I400" s="65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</row>
    <row r="401">
      <c r="A401" s="65"/>
      <c r="B401" s="65"/>
      <c r="C401" s="65"/>
      <c r="D401" s="65"/>
      <c r="E401" s="65"/>
      <c r="F401" s="65"/>
      <c r="G401" s="65"/>
      <c r="H401" s="65"/>
      <c r="I401" s="65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</row>
    <row r="402">
      <c r="A402" s="65"/>
      <c r="B402" s="65"/>
      <c r="C402" s="65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</row>
    <row r="403">
      <c r="A403" s="65"/>
      <c r="B403" s="65"/>
      <c r="C403" s="65"/>
      <c r="D403" s="65"/>
      <c r="E403" s="65"/>
      <c r="F403" s="65"/>
      <c r="G403" s="65"/>
      <c r="H403" s="65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</row>
    <row r="404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</row>
    <row r="405">
      <c r="A405" s="65"/>
      <c r="B405" s="65"/>
      <c r="C405" s="65"/>
      <c r="D405" s="65"/>
      <c r="E405" s="65"/>
      <c r="F405" s="65"/>
      <c r="G405" s="65"/>
      <c r="H405" s="65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</row>
    <row r="406">
      <c r="A406" s="65"/>
      <c r="B406" s="65"/>
      <c r="C406" s="65"/>
      <c r="D406" s="65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</row>
    <row r="407">
      <c r="A407" s="65"/>
      <c r="B407" s="65"/>
      <c r="C407" s="65"/>
      <c r="D407" s="65"/>
      <c r="E407" s="65"/>
      <c r="F407" s="65"/>
      <c r="G407" s="65"/>
      <c r="H407" s="65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</row>
    <row r="408">
      <c r="A408" s="65"/>
      <c r="B408" s="65"/>
      <c r="C408" s="65"/>
      <c r="D408" s="65"/>
      <c r="E408" s="65"/>
      <c r="F408" s="65"/>
      <c r="G408" s="65"/>
      <c r="H408" s="65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</row>
    <row r="409">
      <c r="A409" s="65"/>
      <c r="B409" s="65"/>
      <c r="C409" s="65"/>
      <c r="D409" s="65"/>
      <c r="E409" s="65"/>
      <c r="F409" s="65"/>
      <c r="G409" s="65"/>
      <c r="H409" s="65"/>
      <c r="I409" s="65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</row>
    <row r="410">
      <c r="A410" s="65"/>
      <c r="B410" s="65"/>
      <c r="C410" s="65"/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</row>
    <row r="411">
      <c r="A411" s="65"/>
      <c r="B411" s="65"/>
      <c r="C411" s="65"/>
      <c r="D411" s="65"/>
      <c r="E411" s="65"/>
      <c r="F411" s="65"/>
      <c r="G411" s="65"/>
      <c r="H411" s="65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</row>
    <row r="412">
      <c r="A412" s="65"/>
      <c r="B412" s="65"/>
      <c r="C412" s="65"/>
      <c r="D412" s="65"/>
      <c r="E412" s="65"/>
      <c r="F412" s="65"/>
      <c r="G412" s="65"/>
      <c r="H412" s="65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</row>
    <row r="413">
      <c r="A413" s="65"/>
      <c r="B413" s="65"/>
      <c r="C413" s="65"/>
      <c r="D413" s="65"/>
      <c r="E413" s="65"/>
      <c r="F413" s="65"/>
      <c r="G413" s="65"/>
      <c r="H413" s="65"/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</row>
    <row r="414">
      <c r="A414" s="65"/>
      <c r="B414" s="65"/>
      <c r="C414" s="65"/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</row>
    <row r="415">
      <c r="A415" s="65"/>
      <c r="B415" s="65"/>
      <c r="C415" s="65"/>
      <c r="D415" s="65"/>
      <c r="E415" s="65"/>
      <c r="F415" s="65"/>
      <c r="G415" s="65"/>
      <c r="H415" s="65"/>
      <c r="I415" s="65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</row>
    <row r="416">
      <c r="A416" s="65"/>
      <c r="B416" s="65"/>
      <c r="C416" s="65"/>
      <c r="D416" s="65"/>
      <c r="E416" s="65"/>
      <c r="F416" s="65"/>
      <c r="G416" s="65"/>
      <c r="H416" s="65"/>
      <c r="I416" s="65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</row>
    <row r="417">
      <c r="A417" s="65"/>
      <c r="B417" s="65"/>
      <c r="C417" s="65"/>
      <c r="D417" s="65"/>
      <c r="E417" s="65"/>
      <c r="F417" s="65"/>
      <c r="G417" s="65"/>
      <c r="H417" s="65"/>
      <c r="I417" s="65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</row>
    <row r="418">
      <c r="A418" s="65"/>
      <c r="B418" s="65"/>
      <c r="C418" s="65"/>
      <c r="D418" s="65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</row>
    <row r="419">
      <c r="A419" s="65"/>
      <c r="B419" s="65"/>
      <c r="C419" s="65"/>
      <c r="D419" s="65"/>
      <c r="E419" s="65"/>
      <c r="F419" s="65"/>
      <c r="G419" s="65"/>
      <c r="H419" s="65"/>
      <c r="I419" s="65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</row>
    <row r="420">
      <c r="A420" s="65"/>
      <c r="B420" s="65"/>
      <c r="C420" s="65"/>
      <c r="D420" s="65"/>
      <c r="E420" s="65"/>
      <c r="F420" s="65"/>
      <c r="G420" s="65"/>
      <c r="H420" s="65"/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</row>
    <row r="421">
      <c r="A421" s="65"/>
      <c r="B421" s="65"/>
      <c r="C421" s="65"/>
      <c r="D421" s="65"/>
      <c r="E421" s="65"/>
      <c r="F421" s="65"/>
      <c r="G421" s="65"/>
      <c r="H421" s="65"/>
      <c r="I421" s="65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</row>
    <row r="422">
      <c r="A422" s="65"/>
      <c r="B422" s="65"/>
      <c r="C422" s="65"/>
      <c r="D422" s="65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</row>
    <row r="423">
      <c r="A423" s="65"/>
      <c r="B423" s="65"/>
      <c r="C423" s="65"/>
      <c r="D423" s="65"/>
      <c r="E423" s="65"/>
      <c r="F423" s="65"/>
      <c r="G423" s="65"/>
      <c r="H423" s="65"/>
      <c r="I423" s="65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</row>
    <row r="424">
      <c r="A424" s="65"/>
      <c r="B424" s="65"/>
      <c r="C424" s="65"/>
      <c r="D424" s="65"/>
      <c r="E424" s="65"/>
      <c r="F424" s="65"/>
      <c r="G424" s="65"/>
      <c r="H424" s="65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</row>
    <row r="425">
      <c r="A425" s="65"/>
      <c r="B425" s="65"/>
      <c r="C425" s="65"/>
      <c r="D425" s="65"/>
      <c r="E425" s="65"/>
      <c r="F425" s="65"/>
      <c r="G425" s="65"/>
      <c r="H425" s="65"/>
      <c r="I425" s="65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</row>
    <row r="426">
      <c r="A426" s="65"/>
      <c r="B426" s="65"/>
      <c r="C426" s="65"/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</row>
    <row r="427">
      <c r="A427" s="65"/>
      <c r="B427" s="65"/>
      <c r="C427" s="65"/>
      <c r="D427" s="65"/>
      <c r="E427" s="65"/>
      <c r="F427" s="65"/>
      <c r="G427" s="65"/>
      <c r="H427" s="65"/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</row>
    <row r="428">
      <c r="A428" s="65"/>
      <c r="B428" s="65"/>
      <c r="C428" s="65"/>
      <c r="D428" s="65"/>
      <c r="E428" s="65"/>
      <c r="F428" s="65"/>
      <c r="G428" s="65"/>
      <c r="H428" s="65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</row>
    <row r="429">
      <c r="A429" s="65"/>
      <c r="B429" s="65"/>
      <c r="C429" s="65"/>
      <c r="D429" s="65"/>
      <c r="E429" s="65"/>
      <c r="F429" s="65"/>
      <c r="G429" s="65"/>
      <c r="H429" s="65"/>
      <c r="I429" s="65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</row>
    <row r="430">
      <c r="A430" s="65"/>
      <c r="B430" s="65"/>
      <c r="C430" s="65"/>
      <c r="D430" s="65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</row>
    <row r="431">
      <c r="A431" s="65"/>
      <c r="B431" s="65"/>
      <c r="C431" s="65"/>
      <c r="D431" s="65"/>
      <c r="E431" s="65"/>
      <c r="F431" s="65"/>
      <c r="G431" s="65"/>
      <c r="H431" s="65"/>
      <c r="I431" s="65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</row>
    <row r="432">
      <c r="A432" s="65"/>
      <c r="B432" s="65"/>
      <c r="C432" s="65"/>
      <c r="D432" s="65"/>
      <c r="E432" s="65"/>
      <c r="F432" s="65"/>
      <c r="G432" s="65"/>
      <c r="H432" s="65"/>
      <c r="I432" s="65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</row>
    <row r="433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</row>
    <row r="434">
      <c r="A434" s="65"/>
      <c r="B434" s="65"/>
      <c r="C434" s="65"/>
      <c r="D434" s="65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</row>
    <row r="435">
      <c r="A435" s="65"/>
      <c r="B435" s="65"/>
      <c r="C435" s="65"/>
      <c r="D435" s="65"/>
      <c r="E435" s="65"/>
      <c r="F435" s="65"/>
      <c r="G435" s="65"/>
      <c r="H435" s="65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</row>
    <row r="436">
      <c r="A436" s="65"/>
      <c r="B436" s="65"/>
      <c r="C436" s="65"/>
      <c r="D436" s="65"/>
      <c r="E436" s="65"/>
      <c r="F436" s="65"/>
      <c r="G436" s="65"/>
      <c r="H436" s="65"/>
      <c r="I436" s="65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</row>
    <row r="437">
      <c r="A437" s="65"/>
      <c r="B437" s="65"/>
      <c r="C437" s="65"/>
      <c r="D437" s="65"/>
      <c r="E437" s="65"/>
      <c r="F437" s="65"/>
      <c r="G437" s="65"/>
      <c r="H437" s="65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</row>
    <row r="438">
      <c r="A438" s="65"/>
      <c r="B438" s="65"/>
      <c r="C438" s="65"/>
      <c r="D438" s="65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</row>
    <row r="439">
      <c r="A439" s="65"/>
      <c r="B439" s="65"/>
      <c r="C439" s="65"/>
      <c r="D439" s="65"/>
      <c r="E439" s="65"/>
      <c r="F439" s="65"/>
      <c r="G439" s="65"/>
      <c r="H439" s="65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</row>
    <row r="440">
      <c r="A440" s="65"/>
      <c r="B440" s="65"/>
      <c r="C440" s="65"/>
      <c r="D440" s="65"/>
      <c r="E440" s="65"/>
      <c r="F440" s="65"/>
      <c r="G440" s="65"/>
      <c r="H440" s="65"/>
      <c r="I440" s="65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</row>
    <row r="441">
      <c r="A441" s="65"/>
      <c r="B441" s="65"/>
      <c r="C441" s="65"/>
      <c r="D441" s="65"/>
      <c r="E441" s="65"/>
      <c r="F441" s="65"/>
      <c r="G441" s="65"/>
      <c r="H441" s="65"/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</row>
    <row r="442">
      <c r="A442" s="65"/>
      <c r="B442" s="65"/>
      <c r="C442" s="65"/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</row>
    <row r="443">
      <c r="A443" s="65"/>
      <c r="B443" s="65"/>
      <c r="C443" s="65"/>
      <c r="D443" s="65"/>
      <c r="E443" s="65"/>
      <c r="F443" s="65"/>
      <c r="G443" s="65"/>
      <c r="H443" s="65"/>
      <c r="I443" s="65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</row>
    <row r="444">
      <c r="A444" s="65"/>
      <c r="B444" s="65"/>
      <c r="C444" s="65"/>
      <c r="D444" s="65"/>
      <c r="E444" s="65"/>
      <c r="F444" s="65"/>
      <c r="G444" s="65"/>
      <c r="H444" s="65"/>
      <c r="I444" s="65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</row>
    <row r="445">
      <c r="A445" s="65"/>
      <c r="B445" s="65"/>
      <c r="C445" s="65"/>
      <c r="D445" s="65"/>
      <c r="E445" s="65"/>
      <c r="F445" s="65"/>
      <c r="G445" s="65"/>
      <c r="H445" s="65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</row>
    <row r="446">
      <c r="A446" s="65"/>
      <c r="B446" s="65"/>
      <c r="C446" s="65"/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</row>
    <row r="447">
      <c r="A447" s="65"/>
      <c r="B447" s="65"/>
      <c r="C447" s="65"/>
      <c r="D447" s="65"/>
      <c r="E447" s="65"/>
      <c r="F447" s="65"/>
      <c r="G447" s="65"/>
      <c r="H447" s="65"/>
      <c r="I447" s="65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</row>
    <row r="448">
      <c r="A448" s="65"/>
      <c r="B448" s="65"/>
      <c r="C448" s="65"/>
      <c r="D448" s="65"/>
      <c r="E448" s="65"/>
      <c r="F448" s="65"/>
      <c r="G448" s="65"/>
      <c r="H448" s="65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</row>
    <row r="449">
      <c r="A449" s="65"/>
      <c r="B449" s="65"/>
      <c r="C449" s="65"/>
      <c r="D449" s="65"/>
      <c r="E449" s="65"/>
      <c r="F449" s="65"/>
      <c r="G449" s="65"/>
      <c r="H449" s="65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</row>
    <row r="450">
      <c r="A450" s="65"/>
      <c r="B450" s="65"/>
      <c r="C450" s="65"/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</row>
    <row r="451">
      <c r="A451" s="65"/>
      <c r="B451" s="65"/>
      <c r="C451" s="65"/>
      <c r="D451" s="65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</row>
    <row r="452">
      <c r="A452" s="65"/>
      <c r="B452" s="65"/>
      <c r="C452" s="65"/>
      <c r="D452" s="65"/>
      <c r="E452" s="65"/>
      <c r="F452" s="65"/>
      <c r="G452" s="65"/>
      <c r="H452" s="65"/>
      <c r="I452" s="65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</row>
    <row r="453">
      <c r="A453" s="65"/>
      <c r="B453" s="65"/>
      <c r="C453" s="65"/>
      <c r="D453" s="65"/>
      <c r="E453" s="65"/>
      <c r="F453" s="65"/>
      <c r="G453" s="65"/>
      <c r="H453" s="65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</row>
    <row r="454">
      <c r="A454" s="65"/>
      <c r="B454" s="65"/>
      <c r="C454" s="65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</row>
    <row r="455">
      <c r="A455" s="65"/>
      <c r="B455" s="65"/>
      <c r="C455" s="65"/>
      <c r="D455" s="65"/>
      <c r="E455" s="65"/>
      <c r="F455" s="65"/>
      <c r="G455" s="65"/>
      <c r="H455" s="65"/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</row>
    <row r="456">
      <c r="A456" s="65"/>
      <c r="B456" s="65"/>
      <c r="C456" s="65"/>
      <c r="D456" s="65"/>
      <c r="E456" s="65"/>
      <c r="F456" s="65"/>
      <c r="G456" s="65"/>
      <c r="H456" s="65"/>
      <c r="I456" s="65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</row>
    <row r="457">
      <c r="A457" s="65"/>
      <c r="B457" s="65"/>
      <c r="C457" s="65"/>
      <c r="D457" s="65"/>
      <c r="E457" s="65"/>
      <c r="F457" s="65"/>
      <c r="G457" s="65"/>
      <c r="H457" s="65"/>
      <c r="I457" s="65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</row>
    <row r="458">
      <c r="A458" s="65"/>
      <c r="B458" s="65"/>
      <c r="C458" s="65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</row>
    <row r="459">
      <c r="A459" s="65"/>
      <c r="B459" s="65"/>
      <c r="C459" s="65"/>
      <c r="D459" s="65"/>
      <c r="E459" s="65"/>
      <c r="F459" s="65"/>
      <c r="G459" s="65"/>
      <c r="H459" s="65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</row>
    <row r="460">
      <c r="A460" s="65"/>
      <c r="B460" s="65"/>
      <c r="C460" s="65"/>
      <c r="D460" s="65"/>
      <c r="E460" s="65"/>
      <c r="F460" s="65"/>
      <c r="G460" s="65"/>
      <c r="H460" s="65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</row>
    <row r="461">
      <c r="A461" s="65"/>
      <c r="B461" s="65"/>
      <c r="C461" s="65"/>
      <c r="D461" s="65"/>
      <c r="E461" s="65"/>
      <c r="F461" s="65"/>
      <c r="G461" s="65"/>
      <c r="H461" s="65"/>
      <c r="I461" s="65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</row>
    <row r="462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</row>
    <row r="463">
      <c r="A463" s="65"/>
      <c r="B463" s="65"/>
      <c r="C463" s="65"/>
      <c r="D463" s="65"/>
      <c r="E463" s="65"/>
      <c r="F463" s="65"/>
      <c r="G463" s="65"/>
      <c r="H463" s="65"/>
      <c r="I463" s="65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</row>
    <row r="464">
      <c r="A464" s="65"/>
      <c r="B464" s="65"/>
      <c r="C464" s="65"/>
      <c r="D464" s="65"/>
      <c r="E464" s="65"/>
      <c r="F464" s="65"/>
      <c r="G464" s="65"/>
      <c r="H464" s="65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</row>
    <row r="465">
      <c r="A465" s="65"/>
      <c r="B465" s="65"/>
      <c r="C465" s="65"/>
      <c r="D465" s="65"/>
      <c r="E465" s="65"/>
      <c r="F465" s="65"/>
      <c r="G465" s="65"/>
      <c r="H465" s="65"/>
      <c r="I465" s="65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</row>
    <row r="466">
      <c r="A466" s="65"/>
      <c r="B466" s="65"/>
      <c r="C466" s="65"/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</row>
    <row r="467">
      <c r="A467" s="65"/>
      <c r="B467" s="65"/>
      <c r="C467" s="65"/>
      <c r="D467" s="65"/>
      <c r="E467" s="65"/>
      <c r="F467" s="65"/>
      <c r="G467" s="65"/>
      <c r="H467" s="65"/>
      <c r="I467" s="65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</row>
    <row r="468">
      <c r="A468" s="65"/>
      <c r="B468" s="65"/>
      <c r="C468" s="65"/>
      <c r="D468" s="65"/>
      <c r="E468" s="65"/>
      <c r="F468" s="65"/>
      <c r="G468" s="65"/>
      <c r="H468" s="65"/>
      <c r="I468" s="65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</row>
    <row r="469">
      <c r="A469" s="65"/>
      <c r="B469" s="65"/>
      <c r="C469" s="65"/>
      <c r="D469" s="65"/>
      <c r="E469" s="65"/>
      <c r="F469" s="65"/>
      <c r="G469" s="65"/>
      <c r="H469" s="65"/>
      <c r="I469" s="65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</row>
    <row r="470">
      <c r="A470" s="65"/>
      <c r="B470" s="65"/>
      <c r="C470" s="65"/>
      <c r="D470" s="65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</row>
    <row r="471">
      <c r="A471" s="65"/>
      <c r="B471" s="65"/>
      <c r="C471" s="65"/>
      <c r="D471" s="65"/>
      <c r="E471" s="65"/>
      <c r="F471" s="65"/>
      <c r="G471" s="65"/>
      <c r="H471" s="65"/>
      <c r="I471" s="65"/>
      <c r="J471" s="65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</row>
    <row r="472">
      <c r="A472" s="65"/>
      <c r="B472" s="65"/>
      <c r="C472" s="65"/>
      <c r="D472" s="65"/>
      <c r="E472" s="65"/>
      <c r="F472" s="65"/>
      <c r="G472" s="65"/>
      <c r="H472" s="65"/>
      <c r="I472" s="65"/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</row>
    <row r="473">
      <c r="A473" s="65"/>
      <c r="B473" s="65"/>
      <c r="C473" s="65"/>
      <c r="D473" s="65"/>
      <c r="E473" s="65"/>
      <c r="F473" s="65"/>
      <c r="G473" s="65"/>
      <c r="H473" s="65"/>
      <c r="I473" s="65"/>
      <c r="J473" s="65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</row>
    <row r="474">
      <c r="A474" s="65"/>
      <c r="B474" s="65"/>
      <c r="C474" s="65"/>
      <c r="D474" s="65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</row>
    <row r="475">
      <c r="A475" s="65"/>
      <c r="B475" s="65"/>
      <c r="C475" s="65"/>
      <c r="D475" s="65"/>
      <c r="E475" s="65"/>
      <c r="F475" s="65"/>
      <c r="G475" s="65"/>
      <c r="H475" s="65"/>
      <c r="I475" s="65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</row>
    <row r="476">
      <c r="A476" s="65"/>
      <c r="B476" s="65"/>
      <c r="C476" s="65"/>
      <c r="D476" s="65"/>
      <c r="E476" s="65"/>
      <c r="F476" s="65"/>
      <c r="G476" s="65"/>
      <c r="H476" s="65"/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</row>
    <row r="477">
      <c r="A477" s="65"/>
      <c r="B477" s="65"/>
      <c r="C477" s="65"/>
      <c r="D477" s="65"/>
      <c r="E477" s="65"/>
      <c r="F477" s="65"/>
      <c r="G477" s="65"/>
      <c r="H477" s="65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</row>
    <row r="478">
      <c r="A478" s="65"/>
      <c r="B478" s="65"/>
      <c r="C478" s="65"/>
      <c r="D478" s="65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</row>
    <row r="479">
      <c r="A479" s="65"/>
      <c r="B479" s="65"/>
      <c r="C479" s="65"/>
      <c r="D479" s="65"/>
      <c r="E479" s="65"/>
      <c r="F479" s="65"/>
      <c r="G479" s="65"/>
      <c r="H479" s="65"/>
      <c r="I479" s="65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</row>
    <row r="480">
      <c r="A480" s="65"/>
      <c r="B480" s="65"/>
      <c r="C480" s="65"/>
      <c r="D480" s="65"/>
      <c r="E480" s="65"/>
      <c r="F480" s="65"/>
      <c r="G480" s="65"/>
      <c r="H480" s="65"/>
      <c r="I480" s="65"/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</row>
    <row r="481">
      <c r="A481" s="65"/>
      <c r="B481" s="65"/>
      <c r="C481" s="65"/>
      <c r="D481" s="65"/>
      <c r="E481" s="65"/>
      <c r="F481" s="65"/>
      <c r="G481" s="65"/>
      <c r="H481" s="65"/>
      <c r="I481" s="65"/>
      <c r="J481" s="65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</row>
    <row r="482">
      <c r="A482" s="65"/>
      <c r="B482" s="65"/>
      <c r="C482" s="65"/>
      <c r="D482" s="65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</row>
    <row r="483">
      <c r="A483" s="65"/>
      <c r="B483" s="65"/>
      <c r="C483" s="65"/>
      <c r="D483" s="65"/>
      <c r="E483" s="65"/>
      <c r="F483" s="65"/>
      <c r="G483" s="65"/>
      <c r="H483" s="65"/>
      <c r="I483" s="65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</row>
    <row r="484">
      <c r="A484" s="65"/>
      <c r="B484" s="65"/>
      <c r="C484" s="65"/>
      <c r="D484" s="65"/>
      <c r="E484" s="65"/>
      <c r="F484" s="65"/>
      <c r="G484" s="65"/>
      <c r="H484" s="65"/>
      <c r="I484" s="65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</row>
    <row r="485">
      <c r="A485" s="65"/>
      <c r="B485" s="65"/>
      <c r="C485" s="65"/>
      <c r="D485" s="65"/>
      <c r="E485" s="65"/>
      <c r="F485" s="65"/>
      <c r="G485" s="65"/>
      <c r="H485" s="65"/>
      <c r="I485" s="65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</row>
    <row r="486">
      <c r="A486" s="65"/>
      <c r="B486" s="65"/>
      <c r="C486" s="65"/>
      <c r="D486" s="65"/>
      <c r="E486" s="65"/>
      <c r="F486" s="65"/>
      <c r="G486" s="65"/>
      <c r="H486" s="65"/>
      <c r="I486" s="65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</row>
    <row r="487">
      <c r="A487" s="65"/>
      <c r="B487" s="65"/>
      <c r="C487" s="65"/>
      <c r="D487" s="65"/>
      <c r="E487" s="65"/>
      <c r="F487" s="65"/>
      <c r="G487" s="65"/>
      <c r="H487" s="65"/>
      <c r="I487" s="65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</row>
    <row r="488">
      <c r="A488" s="65"/>
      <c r="B488" s="65"/>
      <c r="C488" s="65"/>
      <c r="D488" s="65"/>
      <c r="E488" s="65"/>
      <c r="F488" s="65"/>
      <c r="G488" s="65"/>
      <c r="H488" s="65"/>
      <c r="I488" s="65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</row>
    <row r="489">
      <c r="A489" s="65"/>
      <c r="B489" s="65"/>
      <c r="C489" s="65"/>
      <c r="D489" s="65"/>
      <c r="E489" s="65"/>
      <c r="F489" s="65"/>
      <c r="G489" s="65"/>
      <c r="H489" s="65"/>
      <c r="I489" s="65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</row>
    <row r="490">
      <c r="A490" s="65"/>
      <c r="B490" s="65"/>
      <c r="C490" s="65"/>
      <c r="D490" s="65"/>
      <c r="E490" s="65"/>
      <c r="F490" s="65"/>
      <c r="G490" s="65"/>
      <c r="H490" s="65"/>
      <c r="I490" s="65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</row>
    <row r="491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</row>
    <row r="492">
      <c r="A492" s="65"/>
      <c r="B492" s="65"/>
      <c r="C492" s="65"/>
      <c r="D492" s="65"/>
      <c r="E492" s="65"/>
      <c r="F492" s="65"/>
      <c r="G492" s="65"/>
      <c r="H492" s="65"/>
      <c r="I492" s="65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</row>
    <row r="493">
      <c r="A493" s="65"/>
      <c r="B493" s="65"/>
      <c r="C493" s="65"/>
      <c r="D493" s="65"/>
      <c r="E493" s="65"/>
      <c r="F493" s="65"/>
      <c r="G493" s="65"/>
      <c r="H493" s="65"/>
      <c r="I493" s="65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</row>
    <row r="494">
      <c r="A494" s="65"/>
      <c r="B494" s="65"/>
      <c r="C494" s="65"/>
      <c r="D494" s="65"/>
      <c r="E494" s="65"/>
      <c r="F494" s="65"/>
      <c r="G494" s="65"/>
      <c r="H494" s="65"/>
      <c r="I494" s="65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</row>
    <row r="495">
      <c r="A495" s="65"/>
      <c r="B495" s="65"/>
      <c r="C495" s="65"/>
      <c r="D495" s="65"/>
      <c r="E495" s="65"/>
      <c r="F495" s="65"/>
      <c r="G495" s="65"/>
      <c r="H495" s="65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</row>
    <row r="496">
      <c r="A496" s="65"/>
      <c r="B496" s="65"/>
      <c r="C496" s="65"/>
      <c r="D496" s="65"/>
      <c r="E496" s="65"/>
      <c r="F496" s="65"/>
      <c r="G496" s="65"/>
      <c r="H496" s="65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</row>
    <row r="497">
      <c r="A497" s="65"/>
      <c r="B497" s="65"/>
      <c r="C497" s="65"/>
      <c r="D497" s="65"/>
      <c r="E497" s="65"/>
      <c r="F497" s="65"/>
      <c r="G497" s="65"/>
      <c r="H497" s="65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</row>
    <row r="498">
      <c r="A498" s="65"/>
      <c r="B498" s="65"/>
      <c r="C498" s="65"/>
      <c r="D498" s="65"/>
      <c r="E498" s="65"/>
      <c r="F498" s="65"/>
      <c r="G498" s="65"/>
      <c r="H498" s="65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</row>
    <row r="499">
      <c r="A499" s="65"/>
      <c r="B499" s="65"/>
      <c r="C499" s="65"/>
      <c r="D499" s="65"/>
      <c r="E499" s="65"/>
      <c r="F499" s="65"/>
      <c r="G499" s="65"/>
      <c r="H499" s="65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</row>
    <row r="500">
      <c r="A500" s="65"/>
      <c r="B500" s="65"/>
      <c r="C500" s="65"/>
      <c r="D500" s="65"/>
      <c r="E500" s="65"/>
      <c r="F500" s="65"/>
      <c r="G500" s="65"/>
      <c r="H500" s="65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</row>
    <row r="501">
      <c r="A501" s="65"/>
      <c r="B501" s="65"/>
      <c r="C501" s="65"/>
      <c r="D501" s="65"/>
      <c r="E501" s="65"/>
      <c r="F501" s="65"/>
      <c r="G501" s="65"/>
      <c r="H501" s="65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</row>
    <row r="502">
      <c r="A502" s="65"/>
      <c r="B502" s="65"/>
      <c r="C502" s="65"/>
      <c r="D502" s="65"/>
      <c r="E502" s="65"/>
      <c r="F502" s="65"/>
      <c r="G502" s="65"/>
      <c r="H502" s="65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</row>
    <row r="503">
      <c r="A503" s="65"/>
      <c r="B503" s="65"/>
      <c r="C503" s="65"/>
      <c r="D503" s="65"/>
      <c r="E503" s="65"/>
      <c r="F503" s="65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</row>
    <row r="504">
      <c r="A504" s="65"/>
      <c r="B504" s="65"/>
      <c r="C504" s="65"/>
      <c r="D504" s="65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</row>
    <row r="505">
      <c r="A505" s="65"/>
      <c r="B505" s="65"/>
      <c r="C505" s="65"/>
      <c r="D505" s="65"/>
      <c r="E505" s="65"/>
      <c r="F505" s="65"/>
      <c r="G505" s="65"/>
      <c r="H505" s="65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</row>
    <row r="506">
      <c r="A506" s="65"/>
      <c r="B506" s="65"/>
      <c r="C506" s="65"/>
      <c r="D506" s="65"/>
      <c r="E506" s="65"/>
      <c r="F506" s="65"/>
      <c r="G506" s="65"/>
      <c r="H506" s="65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</row>
    <row r="507">
      <c r="A507" s="65"/>
      <c r="B507" s="65"/>
      <c r="C507" s="65"/>
      <c r="D507" s="65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</row>
    <row r="508">
      <c r="A508" s="65"/>
      <c r="B508" s="65"/>
      <c r="C508" s="65"/>
      <c r="D508" s="65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</row>
    <row r="509">
      <c r="A509" s="65"/>
      <c r="B509" s="65"/>
      <c r="C509" s="65"/>
      <c r="D509" s="65"/>
      <c r="E509" s="65"/>
      <c r="F509" s="65"/>
      <c r="G509" s="65"/>
      <c r="H509" s="65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</row>
    <row r="510">
      <c r="A510" s="65"/>
      <c r="B510" s="65"/>
      <c r="C510" s="65"/>
      <c r="D510" s="65"/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</row>
    <row r="511">
      <c r="A511" s="65"/>
      <c r="B511" s="65"/>
      <c r="C511" s="65"/>
      <c r="D511" s="65"/>
      <c r="E511" s="65"/>
      <c r="F511" s="65"/>
      <c r="G511" s="65"/>
      <c r="H511" s="65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</row>
    <row r="512">
      <c r="A512" s="65"/>
      <c r="B512" s="65"/>
      <c r="C512" s="65"/>
      <c r="D512" s="65"/>
      <c r="E512" s="65"/>
      <c r="F512" s="65"/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</row>
    <row r="513">
      <c r="A513" s="65"/>
      <c r="B513" s="65"/>
      <c r="C513" s="65"/>
      <c r="D513" s="65"/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</row>
    <row r="514">
      <c r="A514" s="65"/>
      <c r="B514" s="65"/>
      <c r="C514" s="65"/>
      <c r="D514" s="65"/>
      <c r="E514" s="65"/>
      <c r="F514" s="65"/>
      <c r="G514" s="65"/>
      <c r="H514" s="65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</row>
    <row r="515">
      <c r="A515" s="65"/>
      <c r="B515" s="65"/>
      <c r="C515" s="65"/>
      <c r="D515" s="65"/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</row>
    <row r="516">
      <c r="A516" s="65"/>
      <c r="B516" s="65"/>
      <c r="C516" s="65"/>
      <c r="D516" s="65"/>
      <c r="E516" s="65"/>
      <c r="F516" s="65"/>
      <c r="G516" s="65"/>
      <c r="H516" s="65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</row>
    <row r="517">
      <c r="A517" s="65"/>
      <c r="B517" s="65"/>
      <c r="C517" s="65"/>
      <c r="D517" s="65"/>
      <c r="E517" s="65"/>
      <c r="F517" s="65"/>
      <c r="G517" s="65"/>
      <c r="H517" s="65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</row>
    <row r="518">
      <c r="A518" s="65"/>
      <c r="B518" s="65"/>
      <c r="C518" s="65"/>
      <c r="D518" s="65"/>
      <c r="E518" s="65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</row>
    <row r="519">
      <c r="A519" s="65"/>
      <c r="B519" s="65"/>
      <c r="C519" s="65"/>
      <c r="D519" s="65"/>
      <c r="E519" s="65"/>
      <c r="F519" s="65"/>
      <c r="G519" s="65"/>
      <c r="H519" s="65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</row>
    <row r="520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</row>
    <row r="521">
      <c r="A521" s="65"/>
      <c r="B521" s="65"/>
      <c r="C521" s="65"/>
      <c r="D521" s="65"/>
      <c r="E521" s="65"/>
      <c r="F521" s="65"/>
      <c r="G521" s="65"/>
      <c r="H521" s="65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</row>
    <row r="522">
      <c r="A522" s="65"/>
      <c r="B522" s="65"/>
      <c r="C522" s="65"/>
      <c r="D522" s="65"/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</row>
    <row r="523">
      <c r="A523" s="65"/>
      <c r="B523" s="65"/>
      <c r="C523" s="65"/>
      <c r="D523" s="65"/>
      <c r="E523" s="65"/>
      <c r="F523" s="65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</row>
    <row r="524">
      <c r="A524" s="65"/>
      <c r="B524" s="65"/>
      <c r="C524" s="65"/>
      <c r="D524" s="65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</row>
    <row r="525">
      <c r="A525" s="65"/>
      <c r="B525" s="65"/>
      <c r="C525" s="65"/>
      <c r="D525" s="65"/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</row>
    <row r="526">
      <c r="A526" s="65"/>
      <c r="B526" s="65"/>
      <c r="C526" s="65"/>
      <c r="D526" s="65"/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</row>
    <row r="527">
      <c r="A527" s="65"/>
      <c r="B527" s="65"/>
      <c r="C527" s="65"/>
      <c r="D527" s="65"/>
      <c r="E527" s="65"/>
      <c r="F527" s="65"/>
      <c r="G527" s="65"/>
      <c r="H527" s="65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</row>
    <row r="528">
      <c r="A528" s="65"/>
      <c r="B528" s="65"/>
      <c r="C528" s="65"/>
      <c r="D528" s="65"/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</row>
    <row r="529">
      <c r="A529" s="65"/>
      <c r="B529" s="65"/>
      <c r="C529" s="65"/>
      <c r="D529" s="65"/>
      <c r="E529" s="65"/>
      <c r="F529" s="65"/>
      <c r="G529" s="65"/>
      <c r="H529" s="65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</row>
    <row r="530">
      <c r="A530" s="65"/>
      <c r="B530" s="65"/>
      <c r="C530" s="65"/>
      <c r="D530" s="65"/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</row>
    <row r="531">
      <c r="A531" s="65"/>
      <c r="B531" s="65"/>
      <c r="C531" s="65"/>
      <c r="D531" s="65"/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</row>
    <row r="532">
      <c r="A532" s="65"/>
      <c r="B532" s="65"/>
      <c r="C532" s="65"/>
      <c r="D532" s="65"/>
      <c r="E532" s="65"/>
      <c r="F532" s="65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</row>
    <row r="533">
      <c r="A533" s="65"/>
      <c r="B533" s="65"/>
      <c r="C533" s="65"/>
      <c r="D533" s="65"/>
      <c r="E533" s="65"/>
      <c r="F533" s="65"/>
      <c r="G533" s="65"/>
      <c r="H533" s="65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</row>
    <row r="534">
      <c r="A534" s="65"/>
      <c r="B534" s="65"/>
      <c r="C534" s="65"/>
      <c r="D534" s="65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</row>
    <row r="535">
      <c r="A535" s="65"/>
      <c r="B535" s="65"/>
      <c r="C535" s="65"/>
      <c r="D535" s="65"/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</row>
    <row r="536">
      <c r="A536" s="65"/>
      <c r="B536" s="65"/>
      <c r="C536" s="65"/>
      <c r="D536" s="65"/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</row>
    <row r="537">
      <c r="A537" s="65"/>
      <c r="B537" s="65"/>
      <c r="C537" s="65"/>
      <c r="D537" s="65"/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</row>
    <row r="538">
      <c r="A538" s="65"/>
      <c r="B538" s="65"/>
      <c r="C538" s="65"/>
      <c r="D538" s="65"/>
      <c r="E538" s="65"/>
      <c r="F538" s="65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</row>
    <row r="539">
      <c r="A539" s="65"/>
      <c r="B539" s="65"/>
      <c r="C539" s="65"/>
      <c r="D539" s="65"/>
      <c r="E539" s="65"/>
      <c r="F539" s="65"/>
      <c r="G539" s="65"/>
      <c r="H539" s="65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</row>
    <row r="540">
      <c r="A540" s="65"/>
      <c r="B540" s="65"/>
      <c r="C540" s="65"/>
      <c r="D540" s="65"/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</row>
    <row r="541">
      <c r="A541" s="65"/>
      <c r="B541" s="65"/>
      <c r="C541" s="65"/>
      <c r="D541" s="65"/>
      <c r="E541" s="65"/>
      <c r="F541" s="65"/>
      <c r="G541" s="65"/>
      <c r="H541" s="65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</row>
    <row r="542">
      <c r="A542" s="65"/>
      <c r="B542" s="65"/>
      <c r="C542" s="65"/>
      <c r="D542" s="65"/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</row>
    <row r="543">
      <c r="A543" s="65"/>
      <c r="B543" s="65"/>
      <c r="C543" s="65"/>
      <c r="D543" s="65"/>
      <c r="E543" s="65"/>
      <c r="F543" s="65"/>
      <c r="G543" s="65"/>
      <c r="H543" s="65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</row>
    <row r="544">
      <c r="A544" s="65"/>
      <c r="B544" s="65"/>
      <c r="C544" s="65"/>
      <c r="D544" s="65"/>
      <c r="E544" s="65"/>
      <c r="F544" s="65"/>
      <c r="G544" s="65"/>
      <c r="H544" s="65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</row>
    <row r="545">
      <c r="A545" s="65"/>
      <c r="B545" s="65"/>
      <c r="C545" s="65"/>
      <c r="D545" s="65"/>
      <c r="E545" s="65"/>
      <c r="F545" s="65"/>
      <c r="G545" s="65"/>
      <c r="H545" s="65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</row>
    <row r="546">
      <c r="A546" s="65"/>
      <c r="B546" s="65"/>
      <c r="C546" s="65"/>
      <c r="D546" s="65"/>
      <c r="E546" s="65"/>
      <c r="F546" s="65"/>
      <c r="G546" s="65"/>
      <c r="H546" s="65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</row>
    <row r="547">
      <c r="A547" s="65"/>
      <c r="B547" s="65"/>
      <c r="C547" s="65"/>
      <c r="D547" s="65"/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</row>
    <row r="548">
      <c r="A548" s="65"/>
      <c r="B548" s="65"/>
      <c r="C548" s="65"/>
      <c r="D548" s="65"/>
      <c r="E548" s="65"/>
      <c r="F548" s="65"/>
      <c r="G548" s="65"/>
      <c r="H548" s="65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</row>
    <row r="549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</row>
    <row r="550">
      <c r="A550" s="65"/>
      <c r="B550" s="65"/>
      <c r="C550" s="65"/>
      <c r="D550" s="65"/>
      <c r="E550" s="65"/>
      <c r="F550" s="65"/>
      <c r="G550" s="65"/>
      <c r="H550" s="65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</row>
    <row r="551">
      <c r="A551" s="65"/>
      <c r="B551" s="65"/>
      <c r="C551" s="65"/>
      <c r="D551" s="65"/>
      <c r="E551" s="65"/>
      <c r="F551" s="65"/>
      <c r="G551" s="65"/>
      <c r="H551" s="65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</row>
    <row r="552">
      <c r="A552" s="65"/>
      <c r="B552" s="65"/>
      <c r="C552" s="65"/>
      <c r="D552" s="65"/>
      <c r="E552" s="65"/>
      <c r="F552" s="65"/>
      <c r="G552" s="65"/>
      <c r="H552" s="65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</row>
    <row r="553">
      <c r="A553" s="65"/>
      <c r="B553" s="65"/>
      <c r="C553" s="65"/>
      <c r="D553" s="65"/>
      <c r="E553" s="65"/>
      <c r="F553" s="65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</row>
    <row r="554">
      <c r="A554" s="65"/>
      <c r="B554" s="65"/>
      <c r="C554" s="65"/>
      <c r="D554" s="65"/>
      <c r="E554" s="65"/>
      <c r="F554" s="65"/>
      <c r="G554" s="65"/>
      <c r="H554" s="65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</row>
    <row r="555">
      <c r="A555" s="65"/>
      <c r="B555" s="65"/>
      <c r="C555" s="65"/>
      <c r="D555" s="65"/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</row>
    <row r="556">
      <c r="A556" s="65"/>
      <c r="B556" s="65"/>
      <c r="C556" s="65"/>
      <c r="D556" s="65"/>
      <c r="E556" s="65"/>
      <c r="F556" s="65"/>
      <c r="G556" s="65"/>
      <c r="H556" s="65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</row>
    <row r="557">
      <c r="A557" s="65"/>
      <c r="B557" s="65"/>
      <c r="C557" s="65"/>
      <c r="D557" s="65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</row>
    <row r="558">
      <c r="A558" s="65"/>
      <c r="B558" s="65"/>
      <c r="C558" s="65"/>
      <c r="D558" s="65"/>
      <c r="E558" s="65"/>
      <c r="F558" s="65"/>
      <c r="G558" s="65"/>
      <c r="H558" s="65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</row>
    <row r="559">
      <c r="A559" s="65"/>
      <c r="B559" s="65"/>
      <c r="C559" s="65"/>
      <c r="D559" s="65"/>
      <c r="E559" s="65"/>
      <c r="F559" s="65"/>
      <c r="G559" s="65"/>
      <c r="H559" s="65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</row>
    <row r="560">
      <c r="A560" s="65"/>
      <c r="B560" s="65"/>
      <c r="C560" s="65"/>
      <c r="D560" s="65"/>
      <c r="E560" s="65"/>
      <c r="F560" s="65"/>
      <c r="G560" s="65"/>
      <c r="H560" s="65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</row>
    <row r="561">
      <c r="A561" s="65"/>
      <c r="B561" s="65"/>
      <c r="C561" s="65"/>
      <c r="D561" s="65"/>
      <c r="E561" s="65"/>
      <c r="F561" s="65"/>
      <c r="G561" s="65"/>
      <c r="H561" s="65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</row>
    <row r="562">
      <c r="A562" s="65"/>
      <c r="B562" s="65"/>
      <c r="C562" s="65"/>
      <c r="D562" s="65"/>
      <c r="E562" s="65"/>
      <c r="F562" s="65"/>
      <c r="G562" s="65"/>
      <c r="H562" s="65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</row>
    <row r="563">
      <c r="A563" s="65"/>
      <c r="B563" s="65"/>
      <c r="C563" s="65"/>
      <c r="D563" s="65"/>
      <c r="E563" s="65"/>
      <c r="F563" s="65"/>
      <c r="G563" s="65"/>
      <c r="H563" s="65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</row>
    <row r="564">
      <c r="A564" s="65"/>
      <c r="B564" s="65"/>
      <c r="C564" s="65"/>
      <c r="D564" s="65"/>
      <c r="E564" s="65"/>
      <c r="F564" s="65"/>
      <c r="G564" s="65"/>
      <c r="H564" s="65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</row>
    <row r="565">
      <c r="A565" s="65"/>
      <c r="B565" s="65"/>
      <c r="C565" s="65"/>
      <c r="D565" s="65"/>
      <c r="E565" s="65"/>
      <c r="F565" s="65"/>
      <c r="G565" s="65"/>
      <c r="H565" s="65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</row>
    <row r="566">
      <c r="A566" s="65"/>
      <c r="B566" s="65"/>
      <c r="C566" s="65"/>
      <c r="D566" s="65"/>
      <c r="E566" s="65"/>
      <c r="F566" s="65"/>
      <c r="G566" s="65"/>
      <c r="H566" s="65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</row>
    <row r="567">
      <c r="A567" s="65"/>
      <c r="B567" s="65"/>
      <c r="C567" s="65"/>
      <c r="D567" s="65"/>
      <c r="E567" s="65"/>
      <c r="F567" s="65"/>
      <c r="G567" s="65"/>
      <c r="H567" s="65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</row>
    <row r="568">
      <c r="A568" s="65"/>
      <c r="B568" s="65"/>
      <c r="C568" s="65"/>
      <c r="D568" s="65"/>
      <c r="E568" s="65"/>
      <c r="F568" s="65"/>
      <c r="G568" s="65"/>
      <c r="H568" s="65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</row>
    <row r="569">
      <c r="A569" s="65"/>
      <c r="B569" s="65"/>
      <c r="C569" s="65"/>
      <c r="D569" s="65"/>
      <c r="E569" s="65"/>
      <c r="F569" s="65"/>
      <c r="G569" s="65"/>
      <c r="H569" s="65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</row>
    <row r="570">
      <c r="A570" s="65"/>
      <c r="B570" s="65"/>
      <c r="C570" s="65"/>
      <c r="D570" s="65"/>
      <c r="E570" s="65"/>
      <c r="F570" s="65"/>
      <c r="G570" s="65"/>
      <c r="H570" s="65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</row>
    <row r="571">
      <c r="A571" s="65"/>
      <c r="B571" s="65"/>
      <c r="C571" s="65"/>
      <c r="D571" s="65"/>
      <c r="E571" s="65"/>
      <c r="F571" s="65"/>
      <c r="G571" s="65"/>
      <c r="H571" s="65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</row>
    <row r="572">
      <c r="A572" s="65"/>
      <c r="B572" s="65"/>
      <c r="C572" s="65"/>
      <c r="D572" s="65"/>
      <c r="E572" s="65"/>
      <c r="F572" s="65"/>
      <c r="G572" s="65"/>
      <c r="H572" s="65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</row>
    <row r="573">
      <c r="A573" s="65"/>
      <c r="B573" s="65"/>
      <c r="C573" s="65"/>
      <c r="D573" s="65"/>
      <c r="E573" s="65"/>
      <c r="F573" s="65"/>
      <c r="G573" s="65"/>
      <c r="H573" s="65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</row>
    <row r="574">
      <c r="A574" s="65"/>
      <c r="B574" s="65"/>
      <c r="C574" s="65"/>
      <c r="D574" s="65"/>
      <c r="E574" s="65"/>
      <c r="F574" s="65"/>
      <c r="G574" s="65"/>
      <c r="H574" s="65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</row>
    <row r="575">
      <c r="A575" s="65"/>
      <c r="B575" s="65"/>
      <c r="C575" s="65"/>
      <c r="D575" s="65"/>
      <c r="E575" s="65"/>
      <c r="F575" s="65"/>
      <c r="G575" s="65"/>
      <c r="H575" s="65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</row>
    <row r="576">
      <c r="A576" s="65"/>
      <c r="B576" s="65"/>
      <c r="C576" s="65"/>
      <c r="D576" s="65"/>
      <c r="E576" s="65"/>
      <c r="F576" s="65"/>
      <c r="G576" s="65"/>
      <c r="H576" s="65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</row>
    <row r="577">
      <c r="A577" s="65"/>
      <c r="B577" s="65"/>
      <c r="C577" s="65"/>
      <c r="D577" s="65"/>
      <c r="E577" s="65"/>
      <c r="F577" s="65"/>
      <c r="G577" s="65"/>
      <c r="H577" s="65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</row>
    <row r="578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</row>
    <row r="579">
      <c r="A579" s="65"/>
      <c r="B579" s="65"/>
      <c r="C579" s="65"/>
      <c r="D579" s="65"/>
      <c r="E579" s="65"/>
      <c r="F579" s="65"/>
      <c r="G579" s="65"/>
      <c r="H579" s="65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</row>
    <row r="580">
      <c r="A580" s="65"/>
      <c r="B580" s="65"/>
      <c r="C580" s="65"/>
      <c r="D580" s="65"/>
      <c r="E580" s="65"/>
      <c r="F580" s="65"/>
      <c r="G580" s="65"/>
      <c r="H580" s="65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</row>
    <row r="581">
      <c r="A581" s="65"/>
      <c r="B581" s="65"/>
      <c r="C581" s="65"/>
      <c r="D581" s="65"/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</row>
    <row r="582">
      <c r="A582" s="65"/>
      <c r="B582" s="65"/>
      <c r="C582" s="65"/>
      <c r="D582" s="65"/>
      <c r="E582" s="65"/>
      <c r="F582" s="65"/>
      <c r="G582" s="65"/>
      <c r="H582" s="65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</row>
    <row r="583">
      <c r="A583" s="65"/>
      <c r="B583" s="65"/>
      <c r="C583" s="65"/>
      <c r="D583" s="65"/>
      <c r="E583" s="65"/>
      <c r="F583" s="65"/>
      <c r="G583" s="65"/>
      <c r="H583" s="65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</row>
    <row r="584">
      <c r="A584" s="65"/>
      <c r="B584" s="65"/>
      <c r="C584" s="65"/>
      <c r="D584" s="65"/>
      <c r="E584" s="65"/>
      <c r="F584" s="65"/>
      <c r="G584" s="65"/>
      <c r="H584" s="65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</row>
    <row r="585">
      <c r="A585" s="65"/>
      <c r="B585" s="65"/>
      <c r="C585" s="65"/>
      <c r="D585" s="65"/>
      <c r="E585" s="65"/>
      <c r="F585" s="65"/>
      <c r="G585" s="65"/>
      <c r="H585" s="65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</row>
    <row r="586">
      <c r="A586" s="65"/>
      <c r="B586" s="65"/>
      <c r="C586" s="65"/>
      <c r="D586" s="65"/>
      <c r="E586" s="65"/>
      <c r="F586" s="65"/>
      <c r="G586" s="65"/>
      <c r="H586" s="65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</row>
    <row r="587">
      <c r="A587" s="65"/>
      <c r="B587" s="65"/>
      <c r="C587" s="65"/>
      <c r="D587" s="65"/>
      <c r="E587" s="65"/>
      <c r="F587" s="65"/>
      <c r="G587" s="65"/>
      <c r="H587" s="65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</row>
    <row r="588">
      <c r="A588" s="65"/>
      <c r="B588" s="65"/>
      <c r="C588" s="65"/>
      <c r="D588" s="65"/>
      <c r="E588" s="65"/>
      <c r="F588" s="65"/>
      <c r="G588" s="65"/>
      <c r="H588" s="65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</row>
    <row r="589">
      <c r="A589" s="65"/>
      <c r="B589" s="65"/>
      <c r="C589" s="65"/>
      <c r="D589" s="65"/>
      <c r="E589" s="65"/>
      <c r="F589" s="65"/>
      <c r="G589" s="65"/>
      <c r="H589" s="65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</row>
    <row r="590">
      <c r="A590" s="65"/>
      <c r="B590" s="65"/>
      <c r="C590" s="65"/>
      <c r="D590" s="65"/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</row>
    <row r="591">
      <c r="A591" s="65"/>
      <c r="B591" s="65"/>
      <c r="C591" s="65"/>
      <c r="D591" s="65"/>
      <c r="E591" s="65"/>
      <c r="F591" s="65"/>
      <c r="G591" s="65"/>
      <c r="H591" s="65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</row>
    <row r="592">
      <c r="A592" s="65"/>
      <c r="B592" s="65"/>
      <c r="C592" s="65"/>
      <c r="D592" s="65"/>
      <c r="E592" s="65"/>
      <c r="F592" s="65"/>
      <c r="G592" s="65"/>
      <c r="H592" s="65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</row>
    <row r="593">
      <c r="A593" s="65"/>
      <c r="B593" s="65"/>
      <c r="C593" s="65"/>
      <c r="D593" s="65"/>
      <c r="E593" s="65"/>
      <c r="F593" s="65"/>
      <c r="G593" s="65"/>
      <c r="H593" s="65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</row>
    <row r="594">
      <c r="A594" s="65"/>
      <c r="B594" s="65"/>
      <c r="C594" s="65"/>
      <c r="D594" s="65"/>
      <c r="E594" s="65"/>
      <c r="F594" s="65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</row>
    <row r="595">
      <c r="A595" s="65"/>
      <c r="B595" s="65"/>
      <c r="C595" s="65"/>
      <c r="D595" s="65"/>
      <c r="E595" s="65"/>
      <c r="F595" s="65"/>
      <c r="G595" s="65"/>
      <c r="H595" s="65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</row>
    <row r="596">
      <c r="A596" s="65"/>
      <c r="B596" s="65"/>
      <c r="C596" s="65"/>
      <c r="D596" s="65"/>
      <c r="E596" s="65"/>
      <c r="F596" s="65"/>
      <c r="G596" s="65"/>
      <c r="H596" s="65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</row>
    <row r="597">
      <c r="A597" s="65"/>
      <c r="B597" s="65"/>
      <c r="C597" s="65"/>
      <c r="D597" s="65"/>
      <c r="E597" s="65"/>
      <c r="F597" s="65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</row>
    <row r="598">
      <c r="A598" s="65"/>
      <c r="B598" s="65"/>
      <c r="C598" s="65"/>
      <c r="D598" s="65"/>
      <c r="E598" s="65"/>
      <c r="F598" s="65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</row>
    <row r="599">
      <c r="A599" s="65"/>
      <c r="B599" s="65"/>
      <c r="C599" s="65"/>
      <c r="D599" s="65"/>
      <c r="E599" s="65"/>
      <c r="F599" s="65"/>
      <c r="G599" s="65"/>
      <c r="H599" s="65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</row>
    <row r="600">
      <c r="A600" s="65"/>
      <c r="B600" s="65"/>
      <c r="C600" s="65"/>
      <c r="D600" s="65"/>
      <c r="E600" s="65"/>
      <c r="F600" s="65"/>
      <c r="G600" s="65"/>
      <c r="H600" s="65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</row>
    <row r="601">
      <c r="A601" s="65"/>
      <c r="B601" s="65"/>
      <c r="C601" s="65"/>
      <c r="D601" s="65"/>
      <c r="E601" s="65"/>
      <c r="F601" s="65"/>
      <c r="G601" s="65"/>
      <c r="H601" s="65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</row>
    <row r="602">
      <c r="A602" s="65"/>
      <c r="B602" s="65"/>
      <c r="C602" s="65"/>
      <c r="D602" s="65"/>
      <c r="E602" s="65"/>
      <c r="F602" s="65"/>
      <c r="G602" s="65"/>
      <c r="H602" s="65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</row>
    <row r="603">
      <c r="A603" s="65"/>
      <c r="B603" s="65"/>
      <c r="C603" s="65"/>
      <c r="D603" s="65"/>
      <c r="E603" s="65"/>
      <c r="F603" s="65"/>
      <c r="G603" s="65"/>
      <c r="H603" s="65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</row>
    <row r="604">
      <c r="A604" s="65"/>
      <c r="B604" s="65"/>
      <c r="C604" s="65"/>
      <c r="D604" s="65"/>
      <c r="E604" s="65"/>
      <c r="F604" s="65"/>
      <c r="G604" s="65"/>
      <c r="H604" s="65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</row>
    <row r="605">
      <c r="A605" s="65"/>
      <c r="B605" s="65"/>
      <c r="C605" s="65"/>
      <c r="D605" s="65"/>
      <c r="E605" s="65"/>
      <c r="F605" s="65"/>
      <c r="G605" s="65"/>
      <c r="H605" s="65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</row>
    <row r="606">
      <c r="A606" s="65"/>
      <c r="B606" s="65"/>
      <c r="C606" s="65"/>
      <c r="D606" s="65"/>
      <c r="E606" s="65"/>
      <c r="F606" s="65"/>
      <c r="G606" s="65"/>
      <c r="H606" s="65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</row>
    <row r="607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</row>
    <row r="608">
      <c r="A608" s="65"/>
      <c r="B608" s="65"/>
      <c r="C608" s="65"/>
      <c r="D608" s="65"/>
      <c r="E608" s="65"/>
      <c r="F608" s="65"/>
      <c r="G608" s="65"/>
      <c r="H608" s="65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</row>
    <row r="609">
      <c r="A609" s="65"/>
      <c r="B609" s="65"/>
      <c r="C609" s="65"/>
      <c r="D609" s="65"/>
      <c r="E609" s="65"/>
      <c r="F609" s="65"/>
      <c r="G609" s="65"/>
      <c r="H609" s="65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</row>
    <row r="610">
      <c r="A610" s="65"/>
      <c r="B610" s="65"/>
      <c r="C610" s="65"/>
      <c r="D610" s="65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</row>
    <row r="611">
      <c r="A611" s="65"/>
      <c r="B611" s="65"/>
      <c r="C611" s="65"/>
      <c r="D611" s="65"/>
      <c r="E611" s="65"/>
      <c r="F611" s="65"/>
      <c r="G611" s="65"/>
      <c r="H611" s="65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</row>
    <row r="612">
      <c r="A612" s="65"/>
      <c r="B612" s="65"/>
      <c r="C612" s="65"/>
      <c r="D612" s="65"/>
      <c r="E612" s="65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</row>
    <row r="613">
      <c r="A613" s="65"/>
      <c r="B613" s="65"/>
      <c r="C613" s="65"/>
      <c r="D613" s="65"/>
      <c r="E613" s="65"/>
      <c r="F613" s="65"/>
      <c r="G613" s="65"/>
      <c r="H613" s="65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</row>
    <row r="614">
      <c r="A614" s="65"/>
      <c r="B614" s="65"/>
      <c r="C614" s="65"/>
      <c r="D614" s="65"/>
      <c r="E614" s="65"/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</row>
    <row r="615">
      <c r="A615" s="65"/>
      <c r="B615" s="65"/>
      <c r="C615" s="65"/>
      <c r="D615" s="65"/>
      <c r="E615" s="65"/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</row>
    <row r="616">
      <c r="A616" s="65"/>
      <c r="B616" s="65"/>
      <c r="C616" s="65"/>
      <c r="D616" s="65"/>
      <c r="E616" s="65"/>
      <c r="F616" s="65"/>
      <c r="G616" s="65"/>
      <c r="H616" s="65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</row>
    <row r="617">
      <c r="A617" s="65"/>
      <c r="B617" s="65"/>
      <c r="C617" s="65"/>
      <c r="D617" s="65"/>
      <c r="E617" s="65"/>
      <c r="F617" s="65"/>
      <c r="G617" s="65"/>
      <c r="H617" s="65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</row>
    <row r="618">
      <c r="A618" s="65"/>
      <c r="B618" s="65"/>
      <c r="C618" s="65"/>
      <c r="D618" s="65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</row>
    <row r="619">
      <c r="A619" s="65"/>
      <c r="B619" s="65"/>
      <c r="C619" s="65"/>
      <c r="D619" s="65"/>
      <c r="E619" s="65"/>
      <c r="F619" s="65"/>
      <c r="G619" s="65"/>
      <c r="H619" s="65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</row>
    <row r="620">
      <c r="A620" s="65"/>
      <c r="B620" s="65"/>
      <c r="C620" s="65"/>
      <c r="D620" s="65"/>
      <c r="E620" s="65"/>
      <c r="F620" s="65"/>
      <c r="G620" s="65"/>
      <c r="H620" s="65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</row>
    <row r="621">
      <c r="A621" s="65"/>
      <c r="B621" s="65"/>
      <c r="C621" s="65"/>
      <c r="D621" s="65"/>
      <c r="E621" s="65"/>
      <c r="F621" s="65"/>
      <c r="G621" s="65"/>
      <c r="H621" s="65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</row>
    <row r="622">
      <c r="A622" s="65"/>
      <c r="B622" s="65"/>
      <c r="C622" s="65"/>
      <c r="D622" s="65"/>
      <c r="E622" s="65"/>
      <c r="F622" s="65"/>
      <c r="G622" s="65"/>
      <c r="H622" s="65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</row>
    <row r="623">
      <c r="A623" s="65"/>
      <c r="B623" s="65"/>
      <c r="C623" s="65"/>
      <c r="D623" s="65"/>
      <c r="E623" s="65"/>
      <c r="F623" s="65"/>
      <c r="G623" s="65"/>
      <c r="H623" s="65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</row>
    <row r="624">
      <c r="A624" s="65"/>
      <c r="B624" s="65"/>
      <c r="C624" s="65"/>
      <c r="D624" s="65"/>
      <c r="E624" s="65"/>
      <c r="F624" s="65"/>
      <c r="G624" s="65"/>
      <c r="H624" s="65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</row>
    <row r="625">
      <c r="A625" s="65"/>
      <c r="B625" s="65"/>
      <c r="C625" s="65"/>
      <c r="D625" s="65"/>
      <c r="E625" s="65"/>
      <c r="F625" s="65"/>
      <c r="G625" s="65"/>
      <c r="H625" s="65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</row>
    <row r="626">
      <c r="A626" s="65"/>
      <c r="B626" s="65"/>
      <c r="C626" s="65"/>
      <c r="D626" s="65"/>
      <c r="E626" s="65"/>
      <c r="F626" s="65"/>
      <c r="G626" s="65"/>
      <c r="H626" s="65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</row>
    <row r="627">
      <c r="A627" s="65"/>
      <c r="B627" s="65"/>
      <c r="C627" s="65"/>
      <c r="D627" s="65"/>
      <c r="E627" s="65"/>
      <c r="F627" s="65"/>
      <c r="G627" s="65"/>
      <c r="H627" s="65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</row>
    <row r="628">
      <c r="A628" s="65"/>
      <c r="B628" s="65"/>
      <c r="C628" s="65"/>
      <c r="D628" s="65"/>
      <c r="E628" s="65"/>
      <c r="F628" s="65"/>
      <c r="G628" s="65"/>
      <c r="H628" s="65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</row>
    <row r="629">
      <c r="A629" s="65"/>
      <c r="B629" s="65"/>
      <c r="C629" s="65"/>
      <c r="D629" s="65"/>
      <c r="E629" s="65"/>
      <c r="F629" s="65"/>
      <c r="G629" s="65"/>
      <c r="H629" s="65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</row>
    <row r="630">
      <c r="A630" s="65"/>
      <c r="B630" s="65"/>
      <c r="C630" s="65"/>
      <c r="D630" s="65"/>
      <c r="E630" s="65"/>
      <c r="F630" s="65"/>
      <c r="G630" s="65"/>
      <c r="H630" s="65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</row>
    <row r="631">
      <c r="A631" s="65"/>
      <c r="B631" s="65"/>
      <c r="C631" s="65"/>
      <c r="D631" s="65"/>
      <c r="E631" s="65"/>
      <c r="F631" s="65"/>
      <c r="G631" s="65"/>
      <c r="H631" s="65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</row>
    <row r="632">
      <c r="A632" s="65"/>
      <c r="B632" s="65"/>
      <c r="C632" s="65"/>
      <c r="D632" s="65"/>
      <c r="E632" s="65"/>
      <c r="F632" s="65"/>
      <c r="G632" s="65"/>
      <c r="H632" s="65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</row>
    <row r="633">
      <c r="A633" s="65"/>
      <c r="B633" s="65"/>
      <c r="C633" s="65"/>
      <c r="D633" s="65"/>
      <c r="E633" s="65"/>
      <c r="F633" s="65"/>
      <c r="G633" s="65"/>
      <c r="H633" s="65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</row>
    <row r="634">
      <c r="A634" s="65"/>
      <c r="B634" s="65"/>
      <c r="C634" s="65"/>
      <c r="D634" s="65"/>
      <c r="E634" s="65"/>
      <c r="F634" s="65"/>
      <c r="G634" s="65"/>
      <c r="H634" s="65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</row>
    <row r="635">
      <c r="A635" s="65"/>
      <c r="B635" s="65"/>
      <c r="C635" s="65"/>
      <c r="D635" s="65"/>
      <c r="E635" s="65"/>
      <c r="F635" s="65"/>
      <c r="G635" s="65"/>
      <c r="H635" s="65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</row>
    <row r="636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</row>
    <row r="637">
      <c r="A637" s="65"/>
      <c r="B637" s="65"/>
      <c r="C637" s="65"/>
      <c r="D637" s="65"/>
      <c r="E637" s="65"/>
      <c r="F637" s="65"/>
      <c r="G637" s="65"/>
      <c r="H637" s="65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</row>
    <row r="638">
      <c r="A638" s="65"/>
      <c r="B638" s="65"/>
      <c r="C638" s="65"/>
      <c r="D638" s="65"/>
      <c r="E638" s="65"/>
      <c r="F638" s="65"/>
      <c r="G638" s="65"/>
      <c r="H638" s="65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</row>
    <row r="639">
      <c r="A639" s="65"/>
      <c r="B639" s="65"/>
      <c r="C639" s="65"/>
      <c r="D639" s="65"/>
      <c r="E639" s="65"/>
      <c r="F639" s="65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</row>
    <row r="640">
      <c r="A640" s="65"/>
      <c r="B640" s="65"/>
      <c r="C640" s="65"/>
      <c r="D640" s="65"/>
      <c r="E640" s="65"/>
      <c r="F640" s="65"/>
      <c r="G640" s="65"/>
      <c r="H640" s="65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</row>
    <row r="641">
      <c r="A641" s="65"/>
      <c r="B641" s="65"/>
      <c r="C641" s="65"/>
      <c r="D641" s="65"/>
      <c r="E641" s="65"/>
      <c r="F641" s="65"/>
      <c r="G641" s="65"/>
      <c r="H641" s="65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</row>
    <row r="642">
      <c r="A642" s="65"/>
      <c r="B642" s="65"/>
      <c r="C642" s="65"/>
      <c r="D642" s="65"/>
      <c r="E642" s="65"/>
      <c r="F642" s="65"/>
      <c r="G642" s="65"/>
      <c r="H642" s="65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</row>
    <row r="643">
      <c r="A643" s="65"/>
      <c r="B643" s="65"/>
      <c r="C643" s="65"/>
      <c r="D643" s="65"/>
      <c r="E643" s="65"/>
      <c r="F643" s="65"/>
      <c r="G643" s="65"/>
      <c r="H643" s="65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</row>
    <row r="644">
      <c r="A644" s="65"/>
      <c r="B644" s="65"/>
      <c r="C644" s="65"/>
      <c r="D644" s="65"/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</row>
    <row r="645">
      <c r="A645" s="65"/>
      <c r="B645" s="65"/>
      <c r="C645" s="65"/>
      <c r="D645" s="65"/>
      <c r="E645" s="65"/>
      <c r="F645" s="65"/>
      <c r="G645" s="65"/>
      <c r="H645" s="65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</row>
    <row r="646">
      <c r="A646" s="65"/>
      <c r="B646" s="65"/>
      <c r="C646" s="65"/>
      <c r="D646" s="65"/>
      <c r="E646" s="65"/>
      <c r="F646" s="65"/>
      <c r="G646" s="65"/>
      <c r="H646" s="65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</row>
    <row r="647">
      <c r="A647" s="65"/>
      <c r="B647" s="65"/>
      <c r="C647" s="65"/>
      <c r="D647" s="65"/>
      <c r="E647" s="65"/>
      <c r="F647" s="65"/>
      <c r="G647" s="65"/>
      <c r="H647" s="65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</row>
    <row r="648">
      <c r="A648" s="65"/>
      <c r="B648" s="65"/>
      <c r="C648" s="65"/>
      <c r="D648" s="65"/>
      <c r="E648" s="65"/>
      <c r="F648" s="65"/>
      <c r="G648" s="65"/>
      <c r="H648" s="65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</row>
    <row r="649">
      <c r="A649" s="65"/>
      <c r="B649" s="65"/>
      <c r="C649" s="65"/>
      <c r="D649" s="65"/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</row>
    <row r="650">
      <c r="A650" s="65"/>
      <c r="B650" s="65"/>
      <c r="C650" s="65"/>
      <c r="D650" s="65"/>
      <c r="E650" s="65"/>
      <c r="F650" s="65"/>
      <c r="G650" s="65"/>
      <c r="H650" s="65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</row>
    <row r="651">
      <c r="A651" s="65"/>
      <c r="B651" s="65"/>
      <c r="C651" s="65"/>
      <c r="D651" s="65"/>
      <c r="E651" s="65"/>
      <c r="F651" s="65"/>
      <c r="G651" s="65"/>
      <c r="H651" s="65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</row>
    <row r="652">
      <c r="A652" s="65"/>
      <c r="B652" s="65"/>
      <c r="C652" s="65"/>
      <c r="D652" s="65"/>
      <c r="E652" s="65"/>
      <c r="F652" s="65"/>
      <c r="G652" s="65"/>
      <c r="H652" s="65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</row>
    <row r="653">
      <c r="A653" s="65"/>
      <c r="B653" s="65"/>
      <c r="C653" s="65"/>
      <c r="D653" s="65"/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</row>
    <row r="654">
      <c r="A654" s="65"/>
      <c r="B654" s="65"/>
      <c r="C654" s="65"/>
      <c r="D654" s="65"/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</row>
    <row r="655">
      <c r="A655" s="65"/>
      <c r="B655" s="65"/>
      <c r="C655" s="65"/>
      <c r="D655" s="65"/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</row>
    <row r="656">
      <c r="A656" s="65"/>
      <c r="B656" s="65"/>
      <c r="C656" s="65"/>
      <c r="D656" s="65"/>
      <c r="E656" s="65"/>
      <c r="F656" s="65"/>
      <c r="G656" s="65"/>
      <c r="H656" s="65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</row>
    <row r="657">
      <c r="A657" s="65"/>
      <c r="B657" s="65"/>
      <c r="C657" s="65"/>
      <c r="D657" s="65"/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</row>
    <row r="658">
      <c r="A658" s="65"/>
      <c r="B658" s="65"/>
      <c r="C658" s="65"/>
      <c r="D658" s="65"/>
      <c r="E658" s="65"/>
      <c r="F658" s="65"/>
      <c r="G658" s="65"/>
      <c r="H658" s="65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</row>
    <row r="659">
      <c r="A659" s="65"/>
      <c r="B659" s="65"/>
      <c r="C659" s="65"/>
      <c r="D659" s="65"/>
      <c r="E659" s="65"/>
      <c r="F659" s="65"/>
      <c r="G659" s="65"/>
      <c r="H659" s="65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</row>
    <row r="660">
      <c r="A660" s="65"/>
      <c r="B660" s="65"/>
      <c r="C660" s="65"/>
      <c r="D660" s="65"/>
      <c r="E660" s="65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</row>
    <row r="661">
      <c r="A661" s="65"/>
      <c r="B661" s="65"/>
      <c r="C661" s="65"/>
      <c r="D661" s="65"/>
      <c r="E661" s="65"/>
      <c r="F661" s="65"/>
      <c r="G661" s="65"/>
      <c r="H661" s="65"/>
      <c r="I661" s="65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</row>
    <row r="662">
      <c r="A662" s="65"/>
      <c r="B662" s="65"/>
      <c r="C662" s="65"/>
      <c r="D662" s="65"/>
      <c r="E662" s="65"/>
      <c r="F662" s="65"/>
      <c r="G662" s="65"/>
      <c r="H662" s="65"/>
      <c r="I662" s="65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</row>
    <row r="663">
      <c r="A663" s="65"/>
      <c r="B663" s="65"/>
      <c r="C663" s="65"/>
      <c r="D663" s="65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</row>
    <row r="664">
      <c r="A664" s="65"/>
      <c r="B664" s="65"/>
      <c r="C664" s="65"/>
      <c r="D664" s="65"/>
      <c r="E664" s="65"/>
      <c r="F664" s="65"/>
      <c r="G664" s="65"/>
      <c r="H664" s="65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</row>
    <row r="66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</row>
    <row r="666">
      <c r="A666" s="65"/>
      <c r="B666" s="65"/>
      <c r="C666" s="65"/>
      <c r="D666" s="65"/>
      <c r="E666" s="65"/>
      <c r="F666" s="65"/>
      <c r="G666" s="65"/>
      <c r="H666" s="65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</row>
    <row r="667">
      <c r="A667" s="65"/>
      <c r="B667" s="65"/>
      <c r="C667" s="65"/>
      <c r="D667" s="65"/>
      <c r="E667" s="65"/>
      <c r="F667" s="65"/>
      <c r="G667" s="65"/>
      <c r="H667" s="65"/>
      <c r="I667" s="65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</row>
    <row r="668">
      <c r="A668" s="65"/>
      <c r="B668" s="65"/>
      <c r="C668" s="65"/>
      <c r="D668" s="65"/>
      <c r="E668" s="65"/>
      <c r="F668" s="65"/>
      <c r="G668" s="65"/>
      <c r="H668" s="65"/>
      <c r="I668" s="65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</row>
    <row r="669">
      <c r="A669" s="65"/>
      <c r="B669" s="65"/>
      <c r="C669" s="65"/>
      <c r="D669" s="65"/>
      <c r="E669" s="65"/>
      <c r="F669" s="65"/>
      <c r="G669" s="65"/>
      <c r="H669" s="65"/>
      <c r="I669" s="65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</row>
    <row r="670">
      <c r="A670" s="65"/>
      <c r="B670" s="65"/>
      <c r="C670" s="65"/>
      <c r="D670" s="65"/>
      <c r="E670" s="65"/>
      <c r="F670" s="65"/>
      <c r="G670" s="65"/>
      <c r="H670" s="65"/>
      <c r="I670" s="65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</row>
    <row r="671">
      <c r="A671" s="65"/>
      <c r="B671" s="65"/>
      <c r="C671" s="65"/>
      <c r="D671" s="65"/>
      <c r="E671" s="65"/>
      <c r="F671" s="65"/>
      <c r="G671" s="65"/>
      <c r="H671" s="65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</row>
    <row r="672">
      <c r="A672" s="65"/>
      <c r="B672" s="65"/>
      <c r="C672" s="65"/>
      <c r="D672" s="65"/>
      <c r="E672" s="65"/>
      <c r="F672" s="65"/>
      <c r="G672" s="65"/>
      <c r="H672" s="65"/>
      <c r="I672" s="65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</row>
    <row r="673">
      <c r="A673" s="65"/>
      <c r="B673" s="65"/>
      <c r="C673" s="65"/>
      <c r="D673" s="65"/>
      <c r="E673" s="65"/>
      <c r="F673" s="65"/>
      <c r="G673" s="65"/>
      <c r="H673" s="65"/>
      <c r="I673" s="65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</row>
    <row r="674">
      <c r="A674" s="65"/>
      <c r="B674" s="65"/>
      <c r="C674" s="65"/>
      <c r="D674" s="65"/>
      <c r="E674" s="65"/>
      <c r="F674" s="65"/>
      <c r="G674" s="65"/>
      <c r="H674" s="65"/>
      <c r="I674" s="65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</row>
    <row r="675">
      <c r="A675" s="65"/>
      <c r="B675" s="65"/>
      <c r="C675" s="65"/>
      <c r="D675" s="65"/>
      <c r="E675" s="65"/>
      <c r="F675" s="65"/>
      <c r="G675" s="65"/>
      <c r="H675" s="65"/>
      <c r="I675" s="65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</row>
    <row r="676">
      <c r="A676" s="65"/>
      <c r="B676" s="65"/>
      <c r="C676" s="65"/>
      <c r="D676" s="65"/>
      <c r="E676" s="65"/>
      <c r="F676" s="65"/>
      <c r="G676" s="65"/>
      <c r="H676" s="65"/>
      <c r="I676" s="65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</row>
    <row r="677">
      <c r="A677" s="65"/>
      <c r="B677" s="65"/>
      <c r="C677" s="65"/>
      <c r="D677" s="65"/>
      <c r="E677" s="65"/>
      <c r="F677" s="65"/>
      <c r="G677" s="65"/>
      <c r="H677" s="65"/>
      <c r="I677" s="65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</row>
    <row r="678">
      <c r="A678" s="65"/>
      <c r="B678" s="65"/>
      <c r="C678" s="65"/>
      <c r="D678" s="65"/>
      <c r="E678" s="65"/>
      <c r="F678" s="65"/>
      <c r="G678" s="65"/>
      <c r="H678" s="65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</row>
    <row r="679">
      <c r="A679" s="65"/>
      <c r="B679" s="65"/>
      <c r="C679" s="65"/>
      <c r="D679" s="65"/>
      <c r="E679" s="65"/>
      <c r="F679" s="65"/>
      <c r="G679" s="65"/>
      <c r="H679" s="65"/>
      <c r="I679" s="65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</row>
    <row r="680">
      <c r="A680" s="65"/>
      <c r="B680" s="65"/>
      <c r="C680" s="65"/>
      <c r="D680" s="65"/>
      <c r="E680" s="65"/>
      <c r="F680" s="65"/>
      <c r="G680" s="65"/>
      <c r="H680" s="65"/>
      <c r="I680" s="65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</row>
    <row r="681">
      <c r="A681" s="65"/>
      <c r="B681" s="65"/>
      <c r="C681" s="65"/>
      <c r="D681" s="65"/>
      <c r="E681" s="65"/>
      <c r="F681" s="65"/>
      <c r="G681" s="65"/>
      <c r="H681" s="65"/>
      <c r="I681" s="65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</row>
    <row r="682">
      <c r="A682" s="65"/>
      <c r="B682" s="65"/>
      <c r="C682" s="65"/>
      <c r="D682" s="65"/>
      <c r="E682" s="65"/>
      <c r="F682" s="65"/>
      <c r="G682" s="65"/>
      <c r="H682" s="65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</row>
    <row r="683">
      <c r="A683" s="65"/>
      <c r="B683" s="65"/>
      <c r="C683" s="65"/>
      <c r="D683" s="65"/>
      <c r="E683" s="65"/>
      <c r="F683" s="65"/>
      <c r="G683" s="65"/>
      <c r="H683" s="65"/>
      <c r="I683" s="65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</row>
    <row r="684">
      <c r="A684" s="65"/>
      <c r="B684" s="65"/>
      <c r="C684" s="65"/>
      <c r="D684" s="65"/>
      <c r="E684" s="65"/>
      <c r="F684" s="65"/>
      <c r="G684" s="65"/>
      <c r="H684" s="65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</row>
    <row r="685">
      <c r="A685" s="65"/>
      <c r="B685" s="65"/>
      <c r="C685" s="65"/>
      <c r="D685" s="65"/>
      <c r="E685" s="65"/>
      <c r="F685" s="65"/>
      <c r="G685" s="65"/>
      <c r="H685" s="65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</row>
    <row r="686">
      <c r="A686" s="65"/>
      <c r="B686" s="65"/>
      <c r="C686" s="65"/>
      <c r="D686" s="65"/>
      <c r="E686" s="65"/>
      <c r="F686" s="65"/>
      <c r="G686" s="65"/>
      <c r="H686" s="65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</row>
    <row r="687">
      <c r="A687" s="65"/>
      <c r="B687" s="65"/>
      <c r="C687" s="65"/>
      <c r="D687" s="65"/>
      <c r="E687" s="65"/>
      <c r="F687" s="65"/>
      <c r="G687" s="65"/>
      <c r="H687" s="65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</row>
    <row r="688">
      <c r="A688" s="65"/>
      <c r="B688" s="65"/>
      <c r="C688" s="65"/>
      <c r="D688" s="65"/>
      <c r="E688" s="65"/>
      <c r="F688" s="65"/>
      <c r="G688" s="65"/>
      <c r="H688" s="65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</row>
    <row r="689">
      <c r="A689" s="65"/>
      <c r="B689" s="65"/>
      <c r="C689" s="65"/>
      <c r="D689" s="65"/>
      <c r="E689" s="65"/>
      <c r="F689" s="65"/>
      <c r="G689" s="65"/>
      <c r="H689" s="65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</row>
    <row r="690">
      <c r="A690" s="65"/>
      <c r="B690" s="65"/>
      <c r="C690" s="65"/>
      <c r="D690" s="65"/>
      <c r="E690" s="65"/>
      <c r="F690" s="65"/>
      <c r="G690" s="65"/>
      <c r="H690" s="65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</row>
    <row r="691">
      <c r="A691" s="65"/>
      <c r="B691" s="65"/>
      <c r="C691" s="65"/>
      <c r="D691" s="65"/>
      <c r="E691" s="65"/>
      <c r="F691" s="65"/>
      <c r="G691" s="65"/>
      <c r="H691" s="65"/>
      <c r="I691" s="65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</row>
    <row r="692">
      <c r="A692" s="65"/>
      <c r="B692" s="65"/>
      <c r="C692" s="65"/>
      <c r="D692" s="65"/>
      <c r="E692" s="65"/>
      <c r="F692" s="65"/>
      <c r="G692" s="65"/>
      <c r="H692" s="65"/>
      <c r="I692" s="65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</row>
    <row r="693">
      <c r="A693" s="65"/>
      <c r="B693" s="65"/>
      <c r="C693" s="65"/>
      <c r="D693" s="65"/>
      <c r="E693" s="65"/>
      <c r="F693" s="65"/>
      <c r="G693" s="65"/>
      <c r="H693" s="65"/>
      <c r="I693" s="65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</row>
    <row r="694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</row>
    <row r="695">
      <c r="A695" s="65"/>
      <c r="B695" s="65"/>
      <c r="C695" s="65"/>
      <c r="D695" s="65"/>
      <c r="E695" s="65"/>
      <c r="F695" s="65"/>
      <c r="G695" s="65"/>
      <c r="H695" s="65"/>
      <c r="I695" s="65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</row>
    <row r="696">
      <c r="A696" s="65"/>
      <c r="B696" s="65"/>
      <c r="C696" s="65"/>
      <c r="D696" s="65"/>
      <c r="E696" s="65"/>
      <c r="F696" s="65"/>
      <c r="G696" s="65"/>
      <c r="H696" s="65"/>
      <c r="I696" s="65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</row>
    <row r="697">
      <c r="A697" s="65"/>
      <c r="B697" s="65"/>
      <c r="C697" s="65"/>
      <c r="D697" s="65"/>
      <c r="E697" s="65"/>
      <c r="F697" s="65"/>
      <c r="G697" s="65"/>
      <c r="H697" s="65"/>
      <c r="I697" s="65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</row>
    <row r="698">
      <c r="A698" s="65"/>
      <c r="B698" s="65"/>
      <c r="C698" s="65"/>
      <c r="D698" s="65"/>
      <c r="E698" s="65"/>
      <c r="F698" s="65"/>
      <c r="G698" s="65"/>
      <c r="H698" s="65"/>
      <c r="I698" s="65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</row>
    <row r="699">
      <c r="A699" s="65"/>
      <c r="B699" s="65"/>
      <c r="C699" s="65"/>
      <c r="D699" s="65"/>
      <c r="E699" s="65"/>
      <c r="F699" s="65"/>
      <c r="G699" s="65"/>
      <c r="H699" s="65"/>
      <c r="I699" s="65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</row>
    <row r="700">
      <c r="A700" s="65"/>
      <c r="B700" s="65"/>
      <c r="C700" s="65"/>
      <c r="D700" s="65"/>
      <c r="E700" s="65"/>
      <c r="F700" s="65"/>
      <c r="G700" s="65"/>
      <c r="H700" s="65"/>
      <c r="I700" s="65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</row>
    <row r="701">
      <c r="A701" s="65"/>
      <c r="B701" s="65"/>
      <c r="C701" s="65"/>
      <c r="D701" s="65"/>
      <c r="E701" s="65"/>
      <c r="F701" s="65"/>
      <c r="G701" s="65"/>
      <c r="H701" s="65"/>
      <c r="I701" s="65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</row>
    <row r="702">
      <c r="A702" s="65"/>
      <c r="B702" s="65"/>
      <c r="C702" s="65"/>
      <c r="D702" s="65"/>
      <c r="E702" s="65"/>
      <c r="F702" s="65"/>
      <c r="G702" s="65"/>
      <c r="H702" s="65"/>
      <c r="I702" s="65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</row>
    <row r="703">
      <c r="A703" s="65"/>
      <c r="B703" s="65"/>
      <c r="C703" s="65"/>
      <c r="D703" s="65"/>
      <c r="E703" s="65"/>
      <c r="F703" s="65"/>
      <c r="G703" s="65"/>
      <c r="H703" s="65"/>
      <c r="I703" s="65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</row>
    <row r="704">
      <c r="A704" s="65"/>
      <c r="B704" s="65"/>
      <c r="C704" s="65"/>
      <c r="D704" s="65"/>
      <c r="E704" s="65"/>
      <c r="F704" s="65"/>
      <c r="G704" s="65"/>
      <c r="H704" s="65"/>
      <c r="I704" s="65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</row>
    <row r="705">
      <c r="A705" s="65"/>
      <c r="B705" s="65"/>
      <c r="C705" s="65"/>
      <c r="D705" s="65"/>
      <c r="E705" s="65"/>
      <c r="F705" s="65"/>
      <c r="G705" s="65"/>
      <c r="H705" s="65"/>
      <c r="I705" s="65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</row>
    <row r="706">
      <c r="A706" s="65"/>
      <c r="B706" s="65"/>
      <c r="C706" s="65"/>
      <c r="D706" s="65"/>
      <c r="E706" s="65"/>
      <c r="F706" s="65"/>
      <c r="G706" s="65"/>
      <c r="H706" s="65"/>
      <c r="I706" s="65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</row>
    <row r="707">
      <c r="A707" s="65"/>
      <c r="B707" s="65"/>
      <c r="C707" s="65"/>
      <c r="D707" s="65"/>
      <c r="E707" s="65"/>
      <c r="F707" s="65"/>
      <c r="G707" s="65"/>
      <c r="H707" s="65"/>
      <c r="I707" s="65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</row>
    <row r="708">
      <c r="A708" s="65"/>
      <c r="B708" s="65"/>
      <c r="C708" s="65"/>
      <c r="D708" s="65"/>
      <c r="E708" s="65"/>
      <c r="F708" s="65"/>
      <c r="G708" s="65"/>
      <c r="H708" s="65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</row>
    <row r="709">
      <c r="A709" s="65"/>
      <c r="B709" s="65"/>
      <c r="C709" s="65"/>
      <c r="D709" s="65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</row>
    <row r="710">
      <c r="A710" s="65"/>
      <c r="B710" s="65"/>
      <c r="C710" s="65"/>
      <c r="D710" s="65"/>
      <c r="E710" s="65"/>
      <c r="F710" s="65"/>
      <c r="G710" s="65"/>
      <c r="H710" s="65"/>
      <c r="I710" s="65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</row>
    <row r="711">
      <c r="A711" s="65"/>
      <c r="B711" s="65"/>
      <c r="C711" s="65"/>
      <c r="D711" s="65"/>
      <c r="E711" s="65"/>
      <c r="F711" s="65"/>
      <c r="G711" s="65"/>
      <c r="H711" s="65"/>
      <c r="I711" s="65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</row>
    <row r="712">
      <c r="A712" s="65"/>
      <c r="B712" s="65"/>
      <c r="C712" s="65"/>
      <c r="D712" s="65"/>
      <c r="E712" s="65"/>
      <c r="F712" s="65"/>
      <c r="G712" s="65"/>
      <c r="H712" s="65"/>
      <c r="I712" s="65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</row>
    <row r="713">
      <c r="A713" s="65"/>
      <c r="B713" s="65"/>
      <c r="C713" s="65"/>
      <c r="D713" s="65"/>
      <c r="E713" s="65"/>
      <c r="F713" s="65"/>
      <c r="G713" s="65"/>
      <c r="H713" s="65"/>
      <c r="I713" s="65"/>
      <c r="J713" s="65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</row>
    <row r="714">
      <c r="A714" s="65"/>
      <c r="B714" s="65"/>
      <c r="C714" s="65"/>
      <c r="D714" s="65"/>
      <c r="E714" s="65"/>
      <c r="F714" s="65"/>
      <c r="G714" s="65"/>
      <c r="H714" s="65"/>
      <c r="I714" s="65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</row>
    <row r="715">
      <c r="A715" s="65"/>
      <c r="B715" s="65"/>
      <c r="C715" s="65"/>
      <c r="D715" s="65"/>
      <c r="E715" s="65"/>
      <c r="F715" s="65"/>
      <c r="G715" s="65"/>
      <c r="H715" s="65"/>
      <c r="I715" s="65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</row>
    <row r="716">
      <c r="A716" s="65"/>
      <c r="B716" s="65"/>
      <c r="C716" s="65"/>
      <c r="D716" s="65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</row>
    <row r="717">
      <c r="A717" s="65"/>
      <c r="B717" s="65"/>
      <c r="C717" s="65"/>
      <c r="D717" s="65"/>
      <c r="E717" s="65"/>
      <c r="F717" s="65"/>
      <c r="G717" s="65"/>
      <c r="H717" s="65"/>
      <c r="I717" s="65"/>
      <c r="J717" s="65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</row>
    <row r="718">
      <c r="A718" s="65"/>
      <c r="B718" s="65"/>
      <c r="C718" s="65"/>
      <c r="D718" s="65"/>
      <c r="E718" s="65"/>
      <c r="F718" s="65"/>
      <c r="G718" s="65"/>
      <c r="H718" s="65"/>
      <c r="I718" s="65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</row>
    <row r="719">
      <c r="A719" s="65"/>
      <c r="B719" s="65"/>
      <c r="C719" s="65"/>
      <c r="D719" s="65"/>
      <c r="E719" s="65"/>
      <c r="F719" s="65"/>
      <c r="G719" s="65"/>
      <c r="H719" s="65"/>
      <c r="I719" s="65"/>
      <c r="J719" s="65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</row>
    <row r="720">
      <c r="A720" s="65"/>
      <c r="B720" s="65"/>
      <c r="C720" s="65"/>
      <c r="D720" s="65"/>
      <c r="E720" s="65"/>
      <c r="F720" s="65"/>
      <c r="G720" s="65"/>
      <c r="H720" s="65"/>
      <c r="I720" s="65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</row>
    <row r="721">
      <c r="A721" s="65"/>
      <c r="B721" s="65"/>
      <c r="C721" s="65"/>
      <c r="D721" s="65"/>
      <c r="E721" s="65"/>
      <c r="F721" s="65"/>
      <c r="G721" s="65"/>
      <c r="H721" s="65"/>
      <c r="I721" s="65"/>
      <c r="J721" s="65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</row>
    <row r="722">
      <c r="A722" s="65"/>
      <c r="B722" s="65"/>
      <c r="C722" s="65"/>
      <c r="D722" s="65"/>
      <c r="E722" s="65"/>
      <c r="F722" s="65"/>
      <c r="G722" s="65"/>
      <c r="H722" s="65"/>
      <c r="I722" s="65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</row>
    <row r="723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</row>
    <row r="724">
      <c r="A724" s="65"/>
      <c r="B724" s="65"/>
      <c r="C724" s="65"/>
      <c r="D724" s="65"/>
      <c r="E724" s="65"/>
      <c r="F724" s="65"/>
      <c r="G724" s="65"/>
      <c r="H724" s="65"/>
      <c r="I724" s="65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</row>
    <row r="725">
      <c r="A725" s="65"/>
      <c r="B725" s="65"/>
      <c r="C725" s="65"/>
      <c r="D725" s="65"/>
      <c r="E725" s="65"/>
      <c r="F725" s="65"/>
      <c r="G725" s="65"/>
      <c r="H725" s="65"/>
      <c r="I725" s="65"/>
      <c r="J725" s="65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</row>
    <row r="726">
      <c r="A726" s="65"/>
      <c r="B726" s="65"/>
      <c r="C726" s="65"/>
      <c r="D726" s="65"/>
      <c r="E726" s="65"/>
      <c r="F726" s="65"/>
      <c r="G726" s="65"/>
      <c r="H726" s="65"/>
      <c r="I726" s="65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</row>
    <row r="727">
      <c r="A727" s="65"/>
      <c r="B727" s="65"/>
      <c r="C727" s="65"/>
      <c r="D727" s="65"/>
      <c r="E727" s="65"/>
      <c r="F727" s="65"/>
      <c r="G727" s="65"/>
      <c r="H727" s="65"/>
      <c r="I727" s="65"/>
      <c r="J727" s="65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</row>
    <row r="728">
      <c r="A728" s="65"/>
      <c r="B728" s="65"/>
      <c r="C728" s="65"/>
      <c r="D728" s="65"/>
      <c r="E728" s="65"/>
      <c r="F728" s="65"/>
      <c r="G728" s="65"/>
      <c r="H728" s="65"/>
      <c r="I728" s="65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</row>
    <row r="729">
      <c r="A729" s="65"/>
      <c r="B729" s="65"/>
      <c r="C729" s="65"/>
      <c r="D729" s="65"/>
      <c r="E729" s="65"/>
      <c r="F729" s="65"/>
      <c r="G729" s="65"/>
      <c r="H729" s="65"/>
      <c r="I729" s="65"/>
      <c r="J729" s="65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</row>
    <row r="730">
      <c r="A730" s="65"/>
      <c r="B730" s="65"/>
      <c r="C730" s="65"/>
      <c r="D730" s="65"/>
      <c r="E730" s="65"/>
      <c r="F730" s="65"/>
      <c r="G730" s="65"/>
      <c r="H730" s="65"/>
      <c r="I730" s="65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</row>
    <row r="731">
      <c r="A731" s="65"/>
      <c r="B731" s="65"/>
      <c r="C731" s="65"/>
      <c r="D731" s="65"/>
      <c r="E731" s="65"/>
      <c r="F731" s="65"/>
      <c r="G731" s="65"/>
      <c r="H731" s="65"/>
      <c r="I731" s="65"/>
      <c r="J731" s="65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</row>
    <row r="732">
      <c r="A732" s="65"/>
      <c r="B732" s="65"/>
      <c r="C732" s="65"/>
      <c r="D732" s="65"/>
      <c r="E732" s="65"/>
      <c r="F732" s="65"/>
      <c r="G732" s="65"/>
      <c r="H732" s="65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</row>
    <row r="733">
      <c r="A733" s="65"/>
      <c r="B733" s="65"/>
      <c r="C733" s="65"/>
      <c r="D733" s="65"/>
      <c r="E733" s="65"/>
      <c r="F733" s="65"/>
      <c r="G733" s="65"/>
      <c r="H733" s="65"/>
      <c r="I733" s="65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</row>
    <row r="734">
      <c r="A734" s="65"/>
      <c r="B734" s="65"/>
      <c r="C734" s="65"/>
      <c r="D734" s="65"/>
      <c r="E734" s="65"/>
      <c r="F734" s="65"/>
      <c r="G734" s="65"/>
      <c r="H734" s="65"/>
      <c r="I734" s="65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</row>
    <row r="735">
      <c r="A735" s="65"/>
      <c r="B735" s="65"/>
      <c r="C735" s="65"/>
      <c r="D735" s="65"/>
      <c r="E735" s="65"/>
      <c r="F735" s="65"/>
      <c r="G735" s="65"/>
      <c r="H735" s="65"/>
      <c r="I735" s="65"/>
      <c r="J735" s="65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</row>
    <row r="736">
      <c r="A736" s="65"/>
      <c r="B736" s="65"/>
      <c r="C736" s="65"/>
      <c r="D736" s="65"/>
      <c r="E736" s="65"/>
      <c r="F736" s="65"/>
      <c r="G736" s="65"/>
      <c r="H736" s="65"/>
      <c r="I736" s="65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</row>
    <row r="737">
      <c r="A737" s="65"/>
      <c r="B737" s="65"/>
      <c r="C737" s="65"/>
      <c r="D737" s="65"/>
      <c r="E737" s="65"/>
      <c r="F737" s="65"/>
      <c r="G737" s="65"/>
      <c r="H737" s="65"/>
      <c r="I737" s="65"/>
      <c r="J737" s="65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</row>
    <row r="738">
      <c r="A738" s="65"/>
      <c r="B738" s="65"/>
      <c r="C738" s="65"/>
      <c r="D738" s="65"/>
      <c r="E738" s="65"/>
      <c r="F738" s="65"/>
      <c r="G738" s="65"/>
      <c r="H738" s="65"/>
      <c r="I738" s="65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</row>
    <row r="739">
      <c r="A739" s="65"/>
      <c r="B739" s="65"/>
      <c r="C739" s="65"/>
      <c r="D739" s="65"/>
      <c r="E739" s="65"/>
      <c r="F739" s="65"/>
      <c r="G739" s="65"/>
      <c r="H739" s="65"/>
      <c r="I739" s="65"/>
      <c r="J739" s="65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</row>
    <row r="740">
      <c r="A740" s="65"/>
      <c r="B740" s="65"/>
      <c r="C740" s="65"/>
      <c r="D740" s="65"/>
      <c r="E740" s="65"/>
      <c r="F740" s="65"/>
      <c r="G740" s="65"/>
      <c r="H740" s="65"/>
      <c r="I740" s="65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</row>
    <row r="741">
      <c r="A741" s="65"/>
      <c r="B741" s="65"/>
      <c r="C741" s="65"/>
      <c r="D741" s="65"/>
      <c r="E741" s="65"/>
      <c r="F741" s="65"/>
      <c r="G741" s="65"/>
      <c r="H741" s="65"/>
      <c r="I741" s="65"/>
      <c r="J741" s="65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</row>
    <row r="742">
      <c r="A742" s="65"/>
      <c r="B742" s="65"/>
      <c r="C742" s="65"/>
      <c r="D742" s="65"/>
      <c r="E742" s="65"/>
      <c r="F742" s="65"/>
      <c r="G742" s="65"/>
      <c r="H742" s="65"/>
      <c r="I742" s="65"/>
      <c r="J742" s="65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</row>
    <row r="743">
      <c r="A743" s="65"/>
      <c r="B743" s="65"/>
      <c r="C743" s="65"/>
      <c r="D743" s="65"/>
      <c r="E743" s="65"/>
      <c r="F743" s="65"/>
      <c r="G743" s="65"/>
      <c r="H743" s="65"/>
      <c r="I743" s="65"/>
      <c r="J743" s="65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</row>
    <row r="744">
      <c r="A744" s="65"/>
      <c r="B744" s="65"/>
      <c r="C744" s="65"/>
      <c r="D744" s="65"/>
      <c r="E744" s="65"/>
      <c r="F744" s="65"/>
      <c r="G744" s="65"/>
      <c r="H744" s="65"/>
      <c r="I744" s="65"/>
      <c r="J744" s="65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</row>
    <row r="745">
      <c r="A745" s="65"/>
      <c r="B745" s="65"/>
      <c r="C745" s="65"/>
      <c r="D745" s="65"/>
      <c r="E745" s="65"/>
      <c r="F745" s="65"/>
      <c r="G745" s="65"/>
      <c r="H745" s="65"/>
      <c r="I745" s="65"/>
      <c r="J745" s="65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</row>
    <row r="746">
      <c r="A746" s="65"/>
      <c r="B746" s="65"/>
      <c r="C746" s="65"/>
      <c r="D746" s="65"/>
      <c r="E746" s="65"/>
      <c r="F746" s="65"/>
      <c r="G746" s="65"/>
      <c r="H746" s="65"/>
      <c r="I746" s="65"/>
      <c r="J746" s="65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</row>
    <row r="747">
      <c r="A747" s="65"/>
      <c r="B747" s="65"/>
      <c r="C747" s="65"/>
      <c r="D747" s="65"/>
      <c r="E747" s="65"/>
      <c r="F747" s="65"/>
      <c r="G747" s="65"/>
      <c r="H747" s="65"/>
      <c r="I747" s="65"/>
      <c r="J747" s="65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</row>
    <row r="748">
      <c r="A748" s="65"/>
      <c r="B748" s="65"/>
      <c r="C748" s="65"/>
      <c r="D748" s="65"/>
      <c r="E748" s="65"/>
      <c r="F748" s="65"/>
      <c r="G748" s="65"/>
      <c r="H748" s="65"/>
      <c r="I748" s="65"/>
      <c r="J748" s="65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</row>
    <row r="749">
      <c r="A749" s="65"/>
      <c r="B749" s="65"/>
      <c r="C749" s="65"/>
      <c r="D749" s="65"/>
      <c r="E749" s="65"/>
      <c r="F749" s="65"/>
      <c r="G749" s="65"/>
      <c r="H749" s="65"/>
      <c r="I749" s="65"/>
      <c r="J749" s="65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</row>
    <row r="750">
      <c r="A750" s="65"/>
      <c r="B750" s="65"/>
      <c r="C750" s="65"/>
      <c r="D750" s="65"/>
      <c r="E750" s="65"/>
      <c r="F750" s="65"/>
      <c r="G750" s="65"/>
      <c r="H750" s="65"/>
      <c r="I750" s="65"/>
      <c r="J750" s="65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</row>
    <row r="751">
      <c r="A751" s="65"/>
      <c r="B751" s="65"/>
      <c r="C751" s="65"/>
      <c r="D751" s="65"/>
      <c r="E751" s="65"/>
      <c r="F751" s="65"/>
      <c r="G751" s="65"/>
      <c r="H751" s="65"/>
      <c r="I751" s="65"/>
      <c r="J751" s="65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</row>
    <row r="752">
      <c r="A752" s="65"/>
      <c r="B752" s="65"/>
      <c r="C752" s="65"/>
      <c r="D752" s="65"/>
      <c r="E752" s="65"/>
      <c r="F752" s="65"/>
      <c r="G752" s="65"/>
      <c r="H752" s="65"/>
      <c r="I752" s="65"/>
      <c r="J752" s="65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</row>
    <row r="753">
      <c r="A753" s="65"/>
      <c r="B753" s="65"/>
      <c r="C753" s="65"/>
      <c r="D753" s="65"/>
      <c r="E753" s="65"/>
      <c r="F753" s="65"/>
      <c r="G753" s="65"/>
      <c r="H753" s="65"/>
      <c r="I753" s="65"/>
      <c r="J753" s="65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</row>
    <row r="754">
      <c r="A754" s="65"/>
      <c r="B754" s="65"/>
      <c r="C754" s="65"/>
      <c r="D754" s="65"/>
      <c r="E754" s="65"/>
      <c r="F754" s="65"/>
      <c r="G754" s="65"/>
      <c r="H754" s="65"/>
      <c r="I754" s="65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</row>
    <row r="755">
      <c r="A755" s="65"/>
      <c r="B755" s="65"/>
      <c r="C755" s="65"/>
      <c r="D755" s="65"/>
      <c r="E755" s="65"/>
      <c r="F755" s="65"/>
      <c r="G755" s="65"/>
      <c r="H755" s="65"/>
      <c r="I755" s="65"/>
      <c r="J755" s="65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</row>
    <row r="756">
      <c r="A756" s="65"/>
      <c r="B756" s="65"/>
      <c r="C756" s="65"/>
      <c r="D756" s="65"/>
      <c r="E756" s="65"/>
      <c r="F756" s="65"/>
      <c r="G756" s="65"/>
      <c r="H756" s="65"/>
      <c r="I756" s="65"/>
      <c r="J756" s="65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</row>
    <row r="757">
      <c r="A757" s="65"/>
      <c r="B757" s="65"/>
      <c r="C757" s="65"/>
      <c r="D757" s="65"/>
      <c r="E757" s="65"/>
      <c r="F757" s="65"/>
      <c r="G757" s="65"/>
      <c r="H757" s="65"/>
      <c r="I757" s="65"/>
      <c r="J757" s="65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</row>
    <row r="758">
      <c r="A758" s="65"/>
      <c r="B758" s="65"/>
      <c r="C758" s="65"/>
      <c r="D758" s="65"/>
      <c r="E758" s="65"/>
      <c r="F758" s="65"/>
      <c r="G758" s="65"/>
      <c r="H758" s="65"/>
      <c r="I758" s="65"/>
      <c r="J758" s="65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</row>
    <row r="759">
      <c r="A759" s="65"/>
      <c r="B759" s="65"/>
      <c r="C759" s="65"/>
      <c r="D759" s="65"/>
      <c r="E759" s="65"/>
      <c r="F759" s="65"/>
      <c r="G759" s="65"/>
      <c r="H759" s="65"/>
      <c r="I759" s="65"/>
      <c r="J759" s="65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</row>
    <row r="760">
      <c r="A760" s="65"/>
      <c r="B760" s="65"/>
      <c r="C760" s="65"/>
      <c r="D760" s="65"/>
      <c r="E760" s="65"/>
      <c r="F760" s="65"/>
      <c r="G760" s="65"/>
      <c r="H760" s="65"/>
      <c r="I760" s="65"/>
      <c r="J760" s="65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</row>
    <row r="761">
      <c r="A761" s="65"/>
      <c r="B761" s="65"/>
      <c r="C761" s="65"/>
      <c r="D761" s="65"/>
      <c r="E761" s="65"/>
      <c r="F761" s="65"/>
      <c r="G761" s="65"/>
      <c r="H761" s="65"/>
      <c r="I761" s="65"/>
      <c r="J761" s="65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</row>
    <row r="762">
      <c r="A762" s="65"/>
      <c r="B762" s="65"/>
      <c r="C762" s="65"/>
      <c r="D762" s="65"/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</row>
    <row r="763">
      <c r="A763" s="65"/>
      <c r="B763" s="65"/>
      <c r="C763" s="65"/>
      <c r="D763" s="65"/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</row>
    <row r="764">
      <c r="A764" s="65"/>
      <c r="B764" s="65"/>
      <c r="C764" s="65"/>
      <c r="D764" s="65"/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</row>
    <row r="765">
      <c r="A765" s="65"/>
      <c r="B765" s="65"/>
      <c r="C765" s="65"/>
      <c r="D765" s="65"/>
      <c r="E765" s="65"/>
      <c r="F765" s="65"/>
      <c r="G765" s="65"/>
      <c r="H765" s="65"/>
      <c r="I765" s="65"/>
      <c r="J765" s="65"/>
      <c r="K765" s="65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</row>
    <row r="766">
      <c r="A766" s="65"/>
      <c r="B766" s="65"/>
      <c r="C766" s="65"/>
      <c r="D766" s="65"/>
      <c r="E766" s="65"/>
      <c r="F766" s="65"/>
      <c r="G766" s="65"/>
      <c r="H766" s="65"/>
      <c r="I766" s="65"/>
      <c r="J766" s="65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</row>
    <row r="767">
      <c r="A767" s="65"/>
      <c r="B767" s="65"/>
      <c r="C767" s="65"/>
      <c r="D767" s="65"/>
      <c r="E767" s="65"/>
      <c r="F767" s="65"/>
      <c r="G767" s="65"/>
      <c r="H767" s="65"/>
      <c r="I767" s="65"/>
      <c r="J767" s="65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</row>
    <row r="768">
      <c r="A768" s="65"/>
      <c r="B768" s="65"/>
      <c r="C768" s="65"/>
      <c r="D768" s="65"/>
      <c r="E768" s="65"/>
      <c r="F768" s="65"/>
      <c r="G768" s="65"/>
      <c r="H768" s="65"/>
      <c r="I768" s="65"/>
      <c r="J768" s="65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</row>
    <row r="769">
      <c r="A769" s="65"/>
      <c r="B769" s="65"/>
      <c r="C769" s="65"/>
      <c r="D769" s="65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</row>
    <row r="770">
      <c r="A770" s="65"/>
      <c r="B770" s="65"/>
      <c r="C770" s="65"/>
      <c r="D770" s="65"/>
      <c r="E770" s="65"/>
      <c r="F770" s="65"/>
      <c r="G770" s="65"/>
      <c r="H770" s="65"/>
      <c r="I770" s="65"/>
      <c r="J770" s="65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</row>
    <row r="771">
      <c r="A771" s="65"/>
      <c r="B771" s="65"/>
      <c r="C771" s="65"/>
      <c r="D771" s="65"/>
      <c r="E771" s="65"/>
      <c r="F771" s="65"/>
      <c r="G771" s="65"/>
      <c r="H771" s="65"/>
      <c r="I771" s="65"/>
      <c r="J771" s="65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</row>
    <row r="772">
      <c r="A772" s="65"/>
      <c r="B772" s="65"/>
      <c r="C772" s="65"/>
      <c r="D772" s="65"/>
      <c r="E772" s="65"/>
      <c r="F772" s="65"/>
      <c r="G772" s="65"/>
      <c r="H772" s="65"/>
      <c r="I772" s="65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</row>
    <row r="773">
      <c r="A773" s="65"/>
      <c r="B773" s="65"/>
      <c r="C773" s="65"/>
      <c r="D773" s="65"/>
      <c r="E773" s="65"/>
      <c r="F773" s="65"/>
      <c r="G773" s="65"/>
      <c r="H773" s="65"/>
      <c r="I773" s="65"/>
      <c r="J773" s="65"/>
      <c r="K773" s="65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</row>
    <row r="774">
      <c r="A774" s="65"/>
      <c r="B774" s="65"/>
      <c r="C774" s="65"/>
      <c r="D774" s="65"/>
      <c r="E774" s="65"/>
      <c r="F774" s="65"/>
      <c r="G774" s="65"/>
      <c r="H774" s="65"/>
      <c r="I774" s="65"/>
      <c r="J774" s="65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</row>
    <row r="775">
      <c r="A775" s="65"/>
      <c r="B775" s="65"/>
      <c r="C775" s="65"/>
      <c r="D775" s="65"/>
      <c r="E775" s="65"/>
      <c r="F775" s="65"/>
      <c r="G775" s="65"/>
      <c r="H775" s="65"/>
      <c r="I775" s="65"/>
      <c r="J775" s="65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</row>
    <row r="776">
      <c r="A776" s="65"/>
      <c r="B776" s="65"/>
      <c r="C776" s="65"/>
      <c r="D776" s="65"/>
      <c r="E776" s="65"/>
      <c r="F776" s="65"/>
      <c r="G776" s="65"/>
      <c r="H776" s="65"/>
      <c r="I776" s="65"/>
      <c r="J776" s="65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</row>
    <row r="777">
      <c r="A777" s="65"/>
      <c r="B777" s="65"/>
      <c r="C777" s="65"/>
      <c r="D777" s="65"/>
      <c r="E777" s="65"/>
      <c r="F777" s="65"/>
      <c r="G777" s="65"/>
      <c r="H777" s="65"/>
      <c r="I777" s="65"/>
      <c r="J777" s="65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</row>
    <row r="778">
      <c r="A778" s="65"/>
      <c r="B778" s="65"/>
      <c r="C778" s="65"/>
      <c r="D778" s="65"/>
      <c r="E778" s="65"/>
      <c r="F778" s="65"/>
      <c r="G778" s="65"/>
      <c r="H778" s="65"/>
      <c r="I778" s="65"/>
      <c r="J778" s="65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</row>
    <row r="779">
      <c r="A779" s="65"/>
      <c r="B779" s="65"/>
      <c r="C779" s="65"/>
      <c r="D779" s="65"/>
      <c r="E779" s="65"/>
      <c r="F779" s="65"/>
      <c r="G779" s="65"/>
      <c r="H779" s="65"/>
      <c r="I779" s="65"/>
      <c r="J779" s="65"/>
      <c r="K779" s="65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</row>
    <row r="780">
      <c r="A780" s="65"/>
      <c r="B780" s="65"/>
      <c r="C780" s="65"/>
      <c r="D780" s="65"/>
      <c r="E780" s="65"/>
      <c r="F780" s="65"/>
      <c r="G780" s="65"/>
      <c r="H780" s="65"/>
      <c r="I780" s="65"/>
      <c r="J780" s="65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</row>
    <row r="781">
      <c r="A781" s="65"/>
      <c r="B781" s="65"/>
      <c r="C781" s="65"/>
      <c r="D781" s="65"/>
      <c r="E781" s="65"/>
      <c r="F781" s="65"/>
      <c r="G781" s="65"/>
      <c r="H781" s="65"/>
      <c r="I781" s="65"/>
      <c r="J781" s="65"/>
      <c r="K781" s="65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</row>
    <row r="782">
      <c r="A782" s="65"/>
      <c r="B782" s="65"/>
      <c r="C782" s="65"/>
      <c r="D782" s="65"/>
      <c r="E782" s="65"/>
      <c r="F782" s="65"/>
      <c r="G782" s="65"/>
      <c r="H782" s="65"/>
      <c r="I782" s="65"/>
      <c r="J782" s="65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</row>
    <row r="783">
      <c r="A783" s="65"/>
      <c r="B783" s="65"/>
      <c r="C783" s="65"/>
      <c r="D783" s="65"/>
      <c r="E783" s="65"/>
      <c r="F783" s="65"/>
      <c r="G783" s="65"/>
      <c r="H783" s="65"/>
      <c r="I783" s="65"/>
      <c r="J783" s="65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</row>
    <row r="784">
      <c r="A784" s="65"/>
      <c r="B784" s="65"/>
      <c r="C784" s="65"/>
      <c r="D784" s="65"/>
      <c r="E784" s="65"/>
      <c r="F784" s="65"/>
      <c r="G784" s="65"/>
      <c r="H784" s="65"/>
      <c r="I784" s="65"/>
      <c r="J784" s="65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</row>
    <row r="785">
      <c r="A785" s="65"/>
      <c r="B785" s="65"/>
      <c r="C785" s="65"/>
      <c r="D785" s="65"/>
      <c r="E785" s="65"/>
      <c r="F785" s="65"/>
      <c r="G785" s="65"/>
      <c r="H785" s="65"/>
      <c r="I785" s="65"/>
      <c r="J785" s="65"/>
      <c r="K785" s="65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</row>
    <row r="786">
      <c r="A786" s="65"/>
      <c r="B786" s="65"/>
      <c r="C786" s="65"/>
      <c r="D786" s="65"/>
      <c r="E786" s="65"/>
      <c r="F786" s="65"/>
      <c r="G786" s="65"/>
      <c r="H786" s="65"/>
      <c r="I786" s="65"/>
      <c r="J786" s="65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</row>
    <row r="787">
      <c r="A787" s="65"/>
      <c r="B787" s="65"/>
      <c r="C787" s="65"/>
      <c r="D787" s="65"/>
      <c r="E787" s="65"/>
      <c r="F787" s="65"/>
      <c r="G787" s="65"/>
      <c r="H787" s="65"/>
      <c r="I787" s="65"/>
      <c r="J787" s="65"/>
      <c r="K787" s="65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</row>
    <row r="788">
      <c r="A788" s="65"/>
      <c r="B788" s="65"/>
      <c r="C788" s="65"/>
      <c r="D788" s="65"/>
      <c r="E788" s="65"/>
      <c r="F788" s="65"/>
      <c r="G788" s="65"/>
      <c r="H788" s="65"/>
      <c r="I788" s="65"/>
      <c r="J788" s="65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</row>
    <row r="789">
      <c r="A789" s="65"/>
      <c r="B789" s="65"/>
      <c r="C789" s="65"/>
      <c r="D789" s="65"/>
      <c r="E789" s="65"/>
      <c r="F789" s="65"/>
      <c r="G789" s="65"/>
      <c r="H789" s="65"/>
      <c r="I789" s="65"/>
      <c r="J789" s="65"/>
      <c r="K789" s="65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</row>
    <row r="790">
      <c r="A790" s="65"/>
      <c r="B790" s="65"/>
      <c r="C790" s="65"/>
      <c r="D790" s="65"/>
      <c r="E790" s="65"/>
      <c r="F790" s="65"/>
      <c r="G790" s="65"/>
      <c r="H790" s="65"/>
      <c r="I790" s="65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</row>
    <row r="791">
      <c r="A791" s="65"/>
      <c r="B791" s="65"/>
      <c r="C791" s="65"/>
      <c r="D791" s="65"/>
      <c r="E791" s="65"/>
      <c r="F791" s="65"/>
      <c r="G791" s="65"/>
      <c r="H791" s="65"/>
      <c r="I791" s="65"/>
      <c r="J791" s="65"/>
      <c r="K791" s="65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</row>
    <row r="792">
      <c r="A792" s="65"/>
      <c r="B792" s="65"/>
      <c r="C792" s="65"/>
      <c r="D792" s="65"/>
      <c r="E792" s="65"/>
      <c r="F792" s="65"/>
      <c r="G792" s="65"/>
      <c r="H792" s="65"/>
      <c r="I792" s="65"/>
      <c r="J792" s="65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</row>
    <row r="793">
      <c r="A793" s="65"/>
      <c r="B793" s="65"/>
      <c r="C793" s="65"/>
      <c r="D793" s="65"/>
      <c r="E793" s="65"/>
      <c r="F793" s="65"/>
      <c r="G793" s="65"/>
      <c r="H793" s="65"/>
      <c r="I793" s="65"/>
      <c r="J793" s="65"/>
      <c r="K793" s="65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</row>
    <row r="794">
      <c r="A794" s="65"/>
      <c r="B794" s="65"/>
      <c r="C794" s="65"/>
      <c r="D794" s="65"/>
      <c r="E794" s="65"/>
      <c r="F794" s="65"/>
      <c r="G794" s="65"/>
      <c r="H794" s="65"/>
      <c r="I794" s="65"/>
      <c r="J794" s="65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</row>
    <row r="795">
      <c r="A795" s="65"/>
      <c r="B795" s="65"/>
      <c r="C795" s="65"/>
      <c r="D795" s="65"/>
      <c r="E795" s="65"/>
      <c r="F795" s="65"/>
      <c r="G795" s="65"/>
      <c r="H795" s="65"/>
      <c r="I795" s="65"/>
      <c r="J795" s="65"/>
      <c r="K795" s="65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</row>
    <row r="796">
      <c r="A796" s="65"/>
      <c r="B796" s="65"/>
      <c r="C796" s="65"/>
      <c r="D796" s="65"/>
      <c r="E796" s="65"/>
      <c r="F796" s="65"/>
      <c r="G796" s="65"/>
      <c r="H796" s="65"/>
      <c r="I796" s="65"/>
      <c r="J796" s="65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</row>
    <row r="797">
      <c r="A797" s="65"/>
      <c r="B797" s="65"/>
      <c r="C797" s="65"/>
      <c r="D797" s="65"/>
      <c r="E797" s="65"/>
      <c r="F797" s="65"/>
      <c r="G797" s="65"/>
      <c r="H797" s="65"/>
      <c r="I797" s="65"/>
      <c r="J797" s="65"/>
      <c r="K797" s="65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</row>
    <row r="798">
      <c r="A798" s="65"/>
      <c r="B798" s="65"/>
      <c r="C798" s="65"/>
      <c r="D798" s="65"/>
      <c r="E798" s="65"/>
      <c r="F798" s="65"/>
      <c r="G798" s="65"/>
      <c r="H798" s="65"/>
      <c r="I798" s="65"/>
      <c r="J798" s="65"/>
      <c r="K798" s="65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</row>
    <row r="799">
      <c r="A799" s="65"/>
      <c r="B799" s="65"/>
      <c r="C799" s="65"/>
      <c r="D799" s="65"/>
      <c r="E799" s="65"/>
      <c r="F799" s="65"/>
      <c r="G799" s="65"/>
      <c r="H799" s="65"/>
      <c r="I799" s="65"/>
      <c r="J799" s="65"/>
      <c r="K799" s="65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</row>
    <row r="800">
      <c r="A800" s="65"/>
      <c r="B800" s="65"/>
      <c r="C800" s="65"/>
      <c r="D800" s="65"/>
      <c r="E800" s="65"/>
      <c r="F800" s="65"/>
      <c r="G800" s="65"/>
      <c r="H800" s="65"/>
      <c r="I800" s="65"/>
      <c r="J800" s="65"/>
      <c r="K800" s="65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</row>
    <row r="801">
      <c r="A801" s="65"/>
      <c r="B801" s="65"/>
      <c r="C801" s="65"/>
      <c r="D801" s="65"/>
      <c r="E801" s="65"/>
      <c r="F801" s="65"/>
      <c r="G801" s="65"/>
      <c r="H801" s="65"/>
      <c r="I801" s="65"/>
      <c r="J801" s="65"/>
      <c r="K801" s="65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</row>
    <row r="802">
      <c r="A802" s="65"/>
      <c r="B802" s="65"/>
      <c r="C802" s="65"/>
      <c r="D802" s="65"/>
      <c r="E802" s="65"/>
      <c r="F802" s="65"/>
      <c r="G802" s="65"/>
      <c r="H802" s="65"/>
      <c r="I802" s="65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</row>
    <row r="803">
      <c r="A803" s="65"/>
      <c r="B803" s="65"/>
      <c r="C803" s="65"/>
      <c r="D803" s="65"/>
      <c r="E803" s="65"/>
      <c r="F803" s="65"/>
      <c r="G803" s="65"/>
      <c r="H803" s="65"/>
      <c r="I803" s="65"/>
      <c r="J803" s="65"/>
      <c r="K803" s="65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</row>
    <row r="804">
      <c r="A804" s="65"/>
      <c r="B804" s="65"/>
      <c r="C804" s="65"/>
      <c r="D804" s="65"/>
      <c r="E804" s="65"/>
      <c r="F804" s="65"/>
      <c r="G804" s="65"/>
      <c r="H804" s="65"/>
      <c r="I804" s="65"/>
      <c r="J804" s="65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</row>
    <row r="805">
      <c r="A805" s="65"/>
      <c r="B805" s="65"/>
      <c r="C805" s="65"/>
      <c r="D805" s="65"/>
      <c r="E805" s="65"/>
      <c r="F805" s="65"/>
      <c r="G805" s="65"/>
      <c r="H805" s="65"/>
      <c r="I805" s="65"/>
      <c r="J805" s="65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</row>
    <row r="806">
      <c r="A806" s="65"/>
      <c r="B806" s="65"/>
      <c r="C806" s="65"/>
      <c r="D806" s="65"/>
      <c r="E806" s="65"/>
      <c r="F806" s="65"/>
      <c r="G806" s="65"/>
      <c r="H806" s="65"/>
      <c r="I806" s="65"/>
      <c r="J806" s="65"/>
      <c r="K806" s="65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</row>
    <row r="807">
      <c r="A807" s="65"/>
      <c r="B807" s="65"/>
      <c r="C807" s="65"/>
      <c r="D807" s="65"/>
      <c r="E807" s="65"/>
      <c r="F807" s="65"/>
      <c r="G807" s="65"/>
      <c r="H807" s="65"/>
      <c r="I807" s="65"/>
      <c r="J807" s="65"/>
      <c r="K807" s="65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</row>
    <row r="808">
      <c r="A808" s="65"/>
      <c r="B808" s="65"/>
      <c r="C808" s="65"/>
      <c r="D808" s="65"/>
      <c r="E808" s="65"/>
      <c r="F808" s="65"/>
      <c r="G808" s="65"/>
      <c r="H808" s="65"/>
      <c r="I808" s="65"/>
      <c r="J808" s="65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</row>
    <row r="809">
      <c r="A809" s="65"/>
      <c r="B809" s="65"/>
      <c r="C809" s="65"/>
      <c r="D809" s="65"/>
      <c r="E809" s="65"/>
      <c r="F809" s="65"/>
      <c r="G809" s="65"/>
      <c r="H809" s="65"/>
      <c r="I809" s="65"/>
      <c r="J809" s="65"/>
      <c r="K809" s="65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</row>
    <row r="810">
      <c r="A810" s="65"/>
      <c r="B810" s="65"/>
      <c r="C810" s="65"/>
      <c r="D810" s="65"/>
      <c r="E810" s="65"/>
      <c r="F810" s="65"/>
      <c r="G810" s="65"/>
      <c r="H810" s="65"/>
      <c r="I810" s="65"/>
      <c r="J810" s="65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</row>
    <row r="811">
      <c r="A811" s="65"/>
      <c r="B811" s="65"/>
      <c r="C811" s="65"/>
      <c r="D811" s="65"/>
      <c r="E811" s="65"/>
      <c r="F811" s="65"/>
      <c r="G811" s="65"/>
      <c r="H811" s="65"/>
      <c r="I811" s="65"/>
      <c r="J811" s="65"/>
      <c r="K811" s="65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</row>
    <row r="812">
      <c r="A812" s="65"/>
      <c r="B812" s="65"/>
      <c r="C812" s="65"/>
      <c r="D812" s="65"/>
      <c r="E812" s="65"/>
      <c r="F812" s="65"/>
      <c r="G812" s="65"/>
      <c r="H812" s="65"/>
      <c r="I812" s="65"/>
      <c r="J812" s="65"/>
      <c r="K812" s="65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</row>
    <row r="813">
      <c r="A813" s="65"/>
      <c r="B813" s="65"/>
      <c r="C813" s="65"/>
      <c r="D813" s="65"/>
      <c r="E813" s="65"/>
      <c r="F813" s="65"/>
      <c r="G813" s="65"/>
      <c r="H813" s="65"/>
      <c r="I813" s="65"/>
      <c r="J813" s="65"/>
      <c r="K813" s="65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</row>
    <row r="814">
      <c r="A814" s="65"/>
      <c r="B814" s="65"/>
      <c r="C814" s="65"/>
      <c r="D814" s="65"/>
      <c r="E814" s="65"/>
      <c r="F814" s="65"/>
      <c r="G814" s="65"/>
      <c r="H814" s="65"/>
      <c r="I814" s="65"/>
      <c r="J814" s="65"/>
      <c r="K814" s="65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</row>
    <row r="815">
      <c r="A815" s="65"/>
      <c r="B815" s="65"/>
      <c r="C815" s="65"/>
      <c r="D815" s="65"/>
      <c r="E815" s="65"/>
      <c r="F815" s="65"/>
      <c r="G815" s="65"/>
      <c r="H815" s="65"/>
      <c r="I815" s="65"/>
      <c r="J815" s="65"/>
      <c r="K815" s="65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</row>
    <row r="816">
      <c r="A816" s="65"/>
      <c r="B816" s="65"/>
      <c r="C816" s="65"/>
      <c r="D816" s="65"/>
      <c r="E816" s="65"/>
      <c r="F816" s="65"/>
      <c r="G816" s="65"/>
      <c r="H816" s="65"/>
      <c r="I816" s="65"/>
      <c r="J816" s="65"/>
      <c r="K816" s="65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</row>
    <row r="817">
      <c r="A817" s="65"/>
      <c r="B817" s="65"/>
      <c r="C817" s="65"/>
      <c r="D817" s="65"/>
      <c r="E817" s="65"/>
      <c r="F817" s="65"/>
      <c r="G817" s="65"/>
      <c r="H817" s="65"/>
      <c r="I817" s="65"/>
      <c r="J817" s="65"/>
      <c r="K817" s="65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</row>
    <row r="818">
      <c r="A818" s="65"/>
      <c r="B818" s="65"/>
      <c r="C818" s="65"/>
      <c r="D818" s="65"/>
      <c r="E818" s="65"/>
      <c r="F818" s="65"/>
      <c r="G818" s="65"/>
      <c r="H818" s="65"/>
      <c r="I818" s="65"/>
      <c r="J818" s="65"/>
      <c r="K818" s="65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</row>
    <row r="819">
      <c r="A819" s="65"/>
      <c r="B819" s="65"/>
      <c r="C819" s="65"/>
      <c r="D819" s="65"/>
      <c r="E819" s="65"/>
      <c r="F819" s="65"/>
      <c r="G819" s="65"/>
      <c r="H819" s="65"/>
      <c r="I819" s="65"/>
      <c r="J819" s="65"/>
      <c r="K819" s="65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</row>
    <row r="820">
      <c r="A820" s="65"/>
      <c r="B820" s="65"/>
      <c r="C820" s="65"/>
      <c r="D820" s="65"/>
      <c r="E820" s="65"/>
      <c r="F820" s="65"/>
      <c r="G820" s="65"/>
      <c r="H820" s="65"/>
      <c r="I820" s="65"/>
      <c r="J820" s="65"/>
      <c r="K820" s="65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</row>
    <row r="821">
      <c r="A821" s="65"/>
      <c r="B821" s="65"/>
      <c r="C821" s="65"/>
      <c r="D821" s="65"/>
      <c r="E821" s="65"/>
      <c r="F821" s="65"/>
      <c r="G821" s="65"/>
      <c r="H821" s="65"/>
      <c r="I821" s="65"/>
      <c r="J821" s="65"/>
      <c r="K821" s="65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</row>
    <row r="822">
      <c r="A822" s="65"/>
      <c r="B822" s="65"/>
      <c r="C822" s="65"/>
      <c r="D822" s="65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</row>
    <row r="823">
      <c r="A823" s="65"/>
      <c r="B823" s="65"/>
      <c r="C823" s="65"/>
      <c r="D823" s="65"/>
      <c r="E823" s="65"/>
      <c r="F823" s="65"/>
      <c r="G823" s="65"/>
      <c r="H823" s="65"/>
      <c r="I823" s="65"/>
      <c r="J823" s="65"/>
      <c r="K823" s="65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</row>
    <row r="824">
      <c r="A824" s="65"/>
      <c r="B824" s="65"/>
      <c r="C824" s="65"/>
      <c r="D824" s="65"/>
      <c r="E824" s="65"/>
      <c r="F824" s="65"/>
      <c r="G824" s="65"/>
      <c r="H824" s="65"/>
      <c r="I824" s="65"/>
      <c r="J824" s="65"/>
      <c r="K824" s="65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</row>
    <row r="825">
      <c r="A825" s="65"/>
      <c r="B825" s="65"/>
      <c r="C825" s="65"/>
      <c r="D825" s="65"/>
      <c r="E825" s="65"/>
      <c r="F825" s="65"/>
      <c r="G825" s="65"/>
      <c r="H825" s="65"/>
      <c r="I825" s="65"/>
      <c r="J825" s="65"/>
      <c r="K825" s="65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</row>
    <row r="826">
      <c r="A826" s="65"/>
      <c r="B826" s="65"/>
      <c r="C826" s="65"/>
      <c r="D826" s="65"/>
      <c r="E826" s="65"/>
      <c r="F826" s="65"/>
      <c r="G826" s="65"/>
      <c r="H826" s="65"/>
      <c r="I826" s="65"/>
      <c r="J826" s="65"/>
      <c r="K826" s="65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</row>
    <row r="827">
      <c r="A827" s="65"/>
      <c r="B827" s="65"/>
      <c r="C827" s="65"/>
      <c r="D827" s="65"/>
      <c r="E827" s="65"/>
      <c r="F827" s="65"/>
      <c r="G827" s="65"/>
      <c r="H827" s="65"/>
      <c r="I827" s="65"/>
      <c r="J827" s="65"/>
      <c r="K827" s="65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</row>
    <row r="828">
      <c r="A828" s="65"/>
      <c r="B828" s="65"/>
      <c r="C828" s="65"/>
      <c r="D828" s="65"/>
      <c r="E828" s="65"/>
      <c r="F828" s="65"/>
      <c r="G828" s="65"/>
      <c r="H828" s="65"/>
      <c r="I828" s="65"/>
      <c r="J828" s="65"/>
      <c r="K828" s="65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</row>
    <row r="829">
      <c r="A829" s="65"/>
      <c r="B829" s="65"/>
      <c r="C829" s="65"/>
      <c r="D829" s="65"/>
      <c r="E829" s="65"/>
      <c r="F829" s="65"/>
      <c r="G829" s="65"/>
      <c r="H829" s="65"/>
      <c r="I829" s="65"/>
      <c r="J829" s="65"/>
      <c r="K829" s="65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</row>
    <row r="830">
      <c r="A830" s="65"/>
      <c r="B830" s="65"/>
      <c r="C830" s="65"/>
      <c r="D830" s="65"/>
      <c r="E830" s="65"/>
      <c r="F830" s="65"/>
      <c r="G830" s="65"/>
      <c r="H830" s="65"/>
      <c r="I830" s="65"/>
      <c r="J830" s="65"/>
      <c r="K830" s="65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</row>
    <row r="831">
      <c r="A831" s="65"/>
      <c r="B831" s="65"/>
      <c r="C831" s="65"/>
      <c r="D831" s="65"/>
      <c r="E831" s="65"/>
      <c r="F831" s="65"/>
      <c r="G831" s="65"/>
      <c r="H831" s="65"/>
      <c r="I831" s="65"/>
      <c r="J831" s="65"/>
      <c r="K831" s="65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</row>
    <row r="832">
      <c r="A832" s="65"/>
      <c r="B832" s="65"/>
      <c r="C832" s="65"/>
      <c r="D832" s="65"/>
      <c r="E832" s="65"/>
      <c r="F832" s="65"/>
      <c r="G832" s="65"/>
      <c r="H832" s="65"/>
      <c r="I832" s="65"/>
      <c r="J832" s="65"/>
      <c r="K832" s="65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</row>
    <row r="833">
      <c r="A833" s="65"/>
      <c r="B833" s="65"/>
      <c r="C833" s="65"/>
      <c r="D833" s="65"/>
      <c r="E833" s="65"/>
      <c r="F833" s="65"/>
      <c r="G833" s="65"/>
      <c r="H833" s="65"/>
      <c r="I833" s="65"/>
      <c r="J833" s="65"/>
      <c r="K833" s="65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</row>
    <row r="834">
      <c r="A834" s="65"/>
      <c r="B834" s="65"/>
      <c r="C834" s="65"/>
      <c r="D834" s="65"/>
      <c r="E834" s="65"/>
      <c r="F834" s="65"/>
      <c r="G834" s="65"/>
      <c r="H834" s="65"/>
      <c r="I834" s="65"/>
      <c r="J834" s="65"/>
      <c r="K834" s="65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</row>
    <row r="835">
      <c r="A835" s="65"/>
      <c r="B835" s="65"/>
      <c r="C835" s="65"/>
      <c r="D835" s="65"/>
      <c r="E835" s="65"/>
      <c r="F835" s="65"/>
      <c r="G835" s="65"/>
      <c r="H835" s="65"/>
      <c r="I835" s="65"/>
      <c r="J835" s="65"/>
      <c r="K835" s="65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</row>
    <row r="836">
      <c r="A836" s="65"/>
      <c r="B836" s="65"/>
      <c r="C836" s="65"/>
      <c r="D836" s="65"/>
      <c r="E836" s="65"/>
      <c r="F836" s="65"/>
      <c r="G836" s="65"/>
      <c r="H836" s="65"/>
      <c r="I836" s="65"/>
      <c r="J836" s="65"/>
      <c r="K836" s="65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</row>
    <row r="837">
      <c r="A837" s="65"/>
      <c r="B837" s="65"/>
      <c r="C837" s="65"/>
      <c r="D837" s="65"/>
      <c r="E837" s="65"/>
      <c r="F837" s="65"/>
      <c r="G837" s="65"/>
      <c r="H837" s="65"/>
      <c r="I837" s="65"/>
      <c r="J837" s="65"/>
      <c r="K837" s="65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</row>
    <row r="838">
      <c r="A838" s="65"/>
      <c r="B838" s="65"/>
      <c r="C838" s="65"/>
      <c r="D838" s="65"/>
      <c r="E838" s="65"/>
      <c r="F838" s="65"/>
      <c r="G838" s="65"/>
      <c r="H838" s="65"/>
      <c r="I838" s="65"/>
      <c r="J838" s="65"/>
      <c r="K838" s="65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</row>
    <row r="839">
      <c r="A839" s="65"/>
      <c r="B839" s="65"/>
      <c r="C839" s="65"/>
      <c r="D839" s="65"/>
      <c r="E839" s="65"/>
      <c r="F839" s="65"/>
      <c r="G839" s="65"/>
      <c r="H839" s="65"/>
      <c r="I839" s="65"/>
      <c r="J839" s="65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</row>
    <row r="840">
      <c r="A840" s="65"/>
      <c r="B840" s="65"/>
      <c r="C840" s="65"/>
      <c r="D840" s="65"/>
      <c r="E840" s="65"/>
      <c r="F840" s="65"/>
      <c r="G840" s="65"/>
      <c r="H840" s="65"/>
      <c r="I840" s="65"/>
      <c r="J840" s="65"/>
      <c r="K840" s="65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</row>
    <row r="841">
      <c r="A841" s="65"/>
      <c r="B841" s="65"/>
      <c r="C841" s="65"/>
      <c r="D841" s="65"/>
      <c r="E841" s="65"/>
      <c r="F841" s="65"/>
      <c r="G841" s="65"/>
      <c r="H841" s="65"/>
      <c r="I841" s="65"/>
      <c r="J841" s="65"/>
      <c r="K841" s="65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</row>
    <row r="842">
      <c r="A842" s="65"/>
      <c r="B842" s="65"/>
      <c r="C842" s="65"/>
      <c r="D842" s="65"/>
      <c r="E842" s="65"/>
      <c r="F842" s="65"/>
      <c r="G842" s="65"/>
      <c r="H842" s="65"/>
      <c r="I842" s="65"/>
      <c r="J842" s="65"/>
      <c r="K842" s="65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</row>
    <row r="843">
      <c r="A843" s="65"/>
      <c r="B843" s="65"/>
      <c r="C843" s="65"/>
      <c r="D843" s="65"/>
      <c r="E843" s="65"/>
      <c r="F843" s="65"/>
      <c r="G843" s="65"/>
      <c r="H843" s="65"/>
      <c r="I843" s="65"/>
      <c r="J843" s="65"/>
      <c r="K843" s="65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</row>
    <row r="844">
      <c r="A844" s="65"/>
      <c r="B844" s="65"/>
      <c r="C844" s="65"/>
      <c r="D844" s="65"/>
      <c r="E844" s="65"/>
      <c r="F844" s="65"/>
      <c r="G844" s="65"/>
      <c r="H844" s="65"/>
      <c r="I844" s="65"/>
      <c r="J844" s="65"/>
      <c r="K844" s="65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</row>
    <row r="845">
      <c r="A845" s="65"/>
      <c r="B845" s="65"/>
      <c r="C845" s="65"/>
      <c r="D845" s="65"/>
      <c r="E845" s="65"/>
      <c r="F845" s="65"/>
      <c r="G845" s="65"/>
      <c r="H845" s="65"/>
      <c r="I845" s="65"/>
      <c r="J845" s="65"/>
      <c r="K845" s="65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</row>
    <row r="846">
      <c r="A846" s="65"/>
      <c r="B846" s="65"/>
      <c r="C846" s="65"/>
      <c r="D846" s="65"/>
      <c r="E846" s="65"/>
      <c r="F846" s="65"/>
      <c r="G846" s="65"/>
      <c r="H846" s="65"/>
      <c r="I846" s="65"/>
      <c r="J846" s="65"/>
      <c r="K846" s="65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</row>
    <row r="847">
      <c r="A847" s="65"/>
      <c r="B847" s="65"/>
      <c r="C847" s="65"/>
      <c r="D847" s="65"/>
      <c r="E847" s="65"/>
      <c r="F847" s="65"/>
      <c r="G847" s="65"/>
      <c r="H847" s="65"/>
      <c r="I847" s="65"/>
      <c r="J847" s="65"/>
      <c r="K847" s="65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</row>
    <row r="848">
      <c r="A848" s="65"/>
      <c r="B848" s="65"/>
      <c r="C848" s="65"/>
      <c r="D848" s="65"/>
      <c r="E848" s="65"/>
      <c r="F848" s="65"/>
      <c r="G848" s="65"/>
      <c r="H848" s="65"/>
      <c r="I848" s="65"/>
      <c r="J848" s="65"/>
      <c r="K848" s="65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</row>
    <row r="849">
      <c r="A849" s="65"/>
      <c r="B849" s="65"/>
      <c r="C849" s="65"/>
      <c r="D849" s="65"/>
      <c r="E849" s="65"/>
      <c r="F849" s="65"/>
      <c r="G849" s="65"/>
      <c r="H849" s="65"/>
      <c r="I849" s="65"/>
      <c r="J849" s="65"/>
      <c r="K849" s="65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</row>
    <row r="850">
      <c r="A850" s="65"/>
      <c r="B850" s="65"/>
      <c r="C850" s="65"/>
      <c r="D850" s="65"/>
      <c r="E850" s="65"/>
      <c r="F850" s="65"/>
      <c r="G850" s="65"/>
      <c r="H850" s="65"/>
      <c r="I850" s="65"/>
      <c r="J850" s="65"/>
      <c r="K850" s="65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</row>
    <row r="851">
      <c r="A851" s="65"/>
      <c r="B851" s="65"/>
      <c r="C851" s="65"/>
      <c r="D851" s="65"/>
      <c r="E851" s="65"/>
      <c r="F851" s="65"/>
      <c r="G851" s="65"/>
      <c r="H851" s="65"/>
      <c r="I851" s="65"/>
      <c r="J851" s="65"/>
      <c r="K851" s="65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</row>
    <row r="852">
      <c r="A852" s="65"/>
      <c r="B852" s="65"/>
      <c r="C852" s="65"/>
      <c r="D852" s="65"/>
      <c r="E852" s="65"/>
      <c r="F852" s="65"/>
      <c r="G852" s="65"/>
      <c r="H852" s="65"/>
      <c r="I852" s="65"/>
      <c r="J852" s="65"/>
      <c r="K852" s="65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</row>
    <row r="853">
      <c r="A853" s="65"/>
      <c r="B853" s="65"/>
      <c r="C853" s="65"/>
      <c r="D853" s="65"/>
      <c r="E853" s="65"/>
      <c r="F853" s="65"/>
      <c r="G853" s="65"/>
      <c r="H853" s="65"/>
      <c r="I853" s="65"/>
      <c r="J853" s="65"/>
      <c r="K853" s="65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</row>
    <row r="854">
      <c r="A854" s="65"/>
      <c r="B854" s="65"/>
      <c r="C854" s="65"/>
      <c r="D854" s="65"/>
      <c r="E854" s="65"/>
      <c r="F854" s="65"/>
      <c r="G854" s="65"/>
      <c r="H854" s="65"/>
      <c r="I854" s="65"/>
      <c r="J854" s="65"/>
      <c r="K854" s="65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</row>
    <row r="855">
      <c r="A855" s="65"/>
      <c r="B855" s="65"/>
      <c r="C855" s="65"/>
      <c r="D855" s="65"/>
      <c r="E855" s="65"/>
      <c r="F855" s="65"/>
      <c r="G855" s="65"/>
      <c r="H855" s="65"/>
      <c r="I855" s="65"/>
      <c r="J855" s="65"/>
      <c r="K855" s="65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</row>
    <row r="856">
      <c r="A856" s="65"/>
      <c r="B856" s="65"/>
      <c r="C856" s="65"/>
      <c r="D856" s="65"/>
      <c r="E856" s="65"/>
      <c r="F856" s="65"/>
      <c r="G856" s="65"/>
      <c r="H856" s="65"/>
      <c r="I856" s="65"/>
      <c r="J856" s="65"/>
      <c r="K856" s="65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</row>
    <row r="857">
      <c r="A857" s="65"/>
      <c r="B857" s="65"/>
      <c r="C857" s="65"/>
      <c r="D857" s="65"/>
      <c r="E857" s="65"/>
      <c r="F857" s="65"/>
      <c r="G857" s="65"/>
      <c r="H857" s="65"/>
      <c r="I857" s="65"/>
      <c r="J857" s="65"/>
      <c r="K857" s="65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</row>
    <row r="858">
      <c r="A858" s="65"/>
      <c r="B858" s="65"/>
      <c r="C858" s="65"/>
      <c r="D858" s="65"/>
      <c r="E858" s="65"/>
      <c r="F858" s="65"/>
      <c r="G858" s="65"/>
      <c r="H858" s="65"/>
      <c r="I858" s="65"/>
      <c r="J858" s="65"/>
      <c r="K858" s="65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</row>
    <row r="859">
      <c r="A859" s="65"/>
      <c r="B859" s="65"/>
      <c r="C859" s="65"/>
      <c r="D859" s="65"/>
      <c r="E859" s="65"/>
      <c r="F859" s="65"/>
      <c r="G859" s="65"/>
      <c r="H859" s="65"/>
      <c r="I859" s="65"/>
      <c r="J859" s="65"/>
      <c r="K859" s="65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</row>
    <row r="860">
      <c r="A860" s="65"/>
      <c r="B860" s="65"/>
      <c r="C860" s="65"/>
      <c r="D860" s="65"/>
      <c r="E860" s="65"/>
      <c r="F860" s="65"/>
      <c r="G860" s="65"/>
      <c r="H860" s="65"/>
      <c r="I860" s="65"/>
      <c r="J860" s="65"/>
      <c r="K860" s="65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</row>
    <row r="861">
      <c r="A861" s="65"/>
      <c r="B861" s="65"/>
      <c r="C861" s="65"/>
      <c r="D861" s="65"/>
      <c r="E861" s="65"/>
      <c r="F861" s="65"/>
      <c r="G861" s="65"/>
      <c r="H861" s="65"/>
      <c r="I861" s="65"/>
      <c r="J861" s="65"/>
      <c r="K861" s="65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</row>
    <row r="862">
      <c r="A862" s="65"/>
      <c r="B862" s="65"/>
      <c r="C862" s="65"/>
      <c r="D862" s="65"/>
      <c r="E862" s="65"/>
      <c r="F862" s="65"/>
      <c r="G862" s="65"/>
      <c r="H862" s="65"/>
      <c r="I862" s="65"/>
      <c r="J862" s="65"/>
      <c r="K862" s="65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</row>
    <row r="863">
      <c r="A863" s="65"/>
      <c r="B863" s="65"/>
      <c r="C863" s="65"/>
      <c r="D863" s="65"/>
      <c r="E863" s="65"/>
      <c r="F863" s="65"/>
      <c r="G863" s="65"/>
      <c r="H863" s="65"/>
      <c r="I863" s="65"/>
      <c r="J863" s="65"/>
      <c r="K863" s="65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</row>
    <row r="864">
      <c r="A864" s="65"/>
      <c r="B864" s="65"/>
      <c r="C864" s="65"/>
      <c r="D864" s="65"/>
      <c r="E864" s="65"/>
      <c r="F864" s="65"/>
      <c r="G864" s="65"/>
      <c r="H864" s="65"/>
      <c r="I864" s="65"/>
      <c r="J864" s="65"/>
      <c r="K864" s="65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</row>
    <row r="865">
      <c r="A865" s="65"/>
      <c r="B865" s="65"/>
      <c r="C865" s="65"/>
      <c r="D865" s="65"/>
      <c r="E865" s="65"/>
      <c r="F865" s="65"/>
      <c r="G865" s="65"/>
      <c r="H865" s="65"/>
      <c r="I865" s="65"/>
      <c r="J865" s="65"/>
      <c r="K865" s="65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</row>
    <row r="866">
      <c r="A866" s="65"/>
      <c r="B866" s="65"/>
      <c r="C866" s="65"/>
      <c r="D866" s="65"/>
      <c r="E866" s="65"/>
      <c r="F866" s="65"/>
      <c r="G866" s="65"/>
      <c r="H866" s="65"/>
      <c r="I866" s="65"/>
      <c r="J866" s="65"/>
      <c r="K866" s="65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</row>
    <row r="867">
      <c r="A867" s="65"/>
      <c r="B867" s="65"/>
      <c r="C867" s="65"/>
      <c r="D867" s="65"/>
      <c r="E867" s="65"/>
      <c r="F867" s="65"/>
      <c r="G867" s="65"/>
      <c r="H867" s="65"/>
      <c r="I867" s="65"/>
      <c r="J867" s="65"/>
      <c r="K867" s="65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</row>
    <row r="868">
      <c r="A868" s="65"/>
      <c r="B868" s="65"/>
      <c r="C868" s="65"/>
      <c r="D868" s="65"/>
      <c r="E868" s="65"/>
      <c r="F868" s="65"/>
      <c r="G868" s="65"/>
      <c r="H868" s="65"/>
      <c r="I868" s="65"/>
      <c r="J868" s="65"/>
      <c r="K868" s="65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</row>
    <row r="869">
      <c r="A869" s="65"/>
      <c r="B869" s="65"/>
      <c r="C869" s="65"/>
      <c r="D869" s="65"/>
      <c r="E869" s="65"/>
      <c r="F869" s="65"/>
      <c r="G869" s="65"/>
      <c r="H869" s="65"/>
      <c r="I869" s="65"/>
      <c r="J869" s="65"/>
      <c r="K869" s="65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</row>
    <row r="870">
      <c r="A870" s="65"/>
      <c r="B870" s="65"/>
      <c r="C870" s="65"/>
      <c r="D870" s="65"/>
      <c r="E870" s="65"/>
      <c r="F870" s="65"/>
      <c r="G870" s="65"/>
      <c r="H870" s="65"/>
      <c r="I870" s="65"/>
      <c r="J870" s="65"/>
      <c r="K870" s="65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</row>
    <row r="871">
      <c r="A871" s="65"/>
      <c r="B871" s="65"/>
      <c r="C871" s="65"/>
      <c r="D871" s="65"/>
      <c r="E871" s="65"/>
      <c r="F871" s="65"/>
      <c r="G871" s="65"/>
      <c r="H871" s="65"/>
      <c r="I871" s="65"/>
      <c r="J871" s="65"/>
      <c r="K871" s="65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</row>
    <row r="872">
      <c r="A872" s="65"/>
      <c r="B872" s="65"/>
      <c r="C872" s="65"/>
      <c r="D872" s="65"/>
      <c r="E872" s="65"/>
      <c r="F872" s="65"/>
      <c r="G872" s="65"/>
      <c r="H872" s="65"/>
      <c r="I872" s="65"/>
      <c r="J872" s="65"/>
      <c r="K872" s="65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</row>
    <row r="873">
      <c r="A873" s="65"/>
      <c r="B873" s="65"/>
      <c r="C873" s="65"/>
      <c r="D873" s="65"/>
      <c r="E873" s="65"/>
      <c r="F873" s="65"/>
      <c r="G873" s="65"/>
      <c r="H873" s="65"/>
      <c r="I873" s="65"/>
      <c r="J873" s="65"/>
      <c r="K873" s="65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</row>
    <row r="874">
      <c r="A874" s="65"/>
      <c r="B874" s="65"/>
      <c r="C874" s="65"/>
      <c r="D874" s="65"/>
      <c r="E874" s="65"/>
      <c r="F874" s="65"/>
      <c r="G874" s="65"/>
      <c r="H874" s="65"/>
      <c r="I874" s="65"/>
      <c r="J874" s="65"/>
      <c r="K874" s="65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</row>
    <row r="875">
      <c r="A875" s="65"/>
      <c r="B875" s="65"/>
      <c r="C875" s="65"/>
      <c r="D875" s="65"/>
      <c r="E875" s="65"/>
      <c r="F875" s="65"/>
      <c r="G875" s="65"/>
      <c r="H875" s="65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</row>
    <row r="876">
      <c r="A876" s="65"/>
      <c r="B876" s="65"/>
      <c r="C876" s="65"/>
      <c r="D876" s="65"/>
      <c r="E876" s="65"/>
      <c r="F876" s="65"/>
      <c r="G876" s="65"/>
      <c r="H876" s="65"/>
      <c r="I876" s="65"/>
      <c r="J876" s="65"/>
      <c r="K876" s="65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</row>
    <row r="877">
      <c r="A877" s="65"/>
      <c r="B877" s="65"/>
      <c r="C877" s="65"/>
      <c r="D877" s="65"/>
      <c r="E877" s="65"/>
      <c r="F877" s="65"/>
      <c r="G877" s="65"/>
      <c r="H877" s="65"/>
      <c r="I877" s="65"/>
      <c r="J877" s="65"/>
      <c r="K877" s="65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</row>
    <row r="878">
      <c r="A878" s="65"/>
      <c r="B878" s="65"/>
      <c r="C878" s="65"/>
      <c r="D878" s="65"/>
      <c r="E878" s="65"/>
      <c r="F878" s="65"/>
      <c r="G878" s="65"/>
      <c r="H878" s="65"/>
      <c r="I878" s="65"/>
      <c r="J878" s="65"/>
      <c r="K878" s="65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</row>
    <row r="879">
      <c r="A879" s="65"/>
      <c r="B879" s="65"/>
      <c r="C879" s="65"/>
      <c r="D879" s="65"/>
      <c r="E879" s="65"/>
      <c r="F879" s="65"/>
      <c r="G879" s="65"/>
      <c r="H879" s="65"/>
      <c r="I879" s="65"/>
      <c r="J879" s="65"/>
      <c r="K879" s="65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</row>
    <row r="880">
      <c r="A880" s="65"/>
      <c r="B880" s="65"/>
      <c r="C880" s="65"/>
      <c r="D880" s="65"/>
      <c r="E880" s="65"/>
      <c r="F880" s="65"/>
      <c r="G880" s="65"/>
      <c r="H880" s="65"/>
      <c r="I880" s="65"/>
      <c r="J880" s="65"/>
      <c r="K880" s="65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</row>
    <row r="881">
      <c r="A881" s="65"/>
      <c r="B881" s="65"/>
      <c r="C881" s="65"/>
      <c r="D881" s="65"/>
      <c r="E881" s="65"/>
      <c r="F881" s="65"/>
      <c r="G881" s="65"/>
      <c r="H881" s="65"/>
      <c r="I881" s="65"/>
      <c r="J881" s="65"/>
      <c r="K881" s="65"/>
      <c r="L881" s="65"/>
      <c r="M881" s="65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</row>
    <row r="882">
      <c r="A882" s="65"/>
      <c r="B882" s="65"/>
      <c r="C882" s="65"/>
      <c r="D882" s="65"/>
      <c r="E882" s="65"/>
      <c r="F882" s="65"/>
      <c r="G882" s="65"/>
      <c r="H882" s="65"/>
      <c r="I882" s="65"/>
      <c r="J882" s="65"/>
      <c r="K882" s="65"/>
      <c r="L882" s="65"/>
      <c r="M882" s="65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</row>
    <row r="883">
      <c r="A883" s="65"/>
      <c r="B883" s="65"/>
      <c r="C883" s="65"/>
      <c r="D883" s="65"/>
      <c r="E883" s="65"/>
      <c r="F883" s="65"/>
      <c r="G883" s="65"/>
      <c r="H883" s="65"/>
      <c r="I883" s="65"/>
      <c r="J883" s="65"/>
      <c r="K883" s="65"/>
      <c r="L883" s="65"/>
      <c r="M883" s="65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</row>
    <row r="884">
      <c r="A884" s="65"/>
      <c r="B884" s="65"/>
      <c r="C884" s="65"/>
      <c r="D884" s="65"/>
      <c r="E884" s="65"/>
      <c r="F884" s="65"/>
      <c r="G884" s="65"/>
      <c r="H884" s="65"/>
      <c r="I884" s="65"/>
      <c r="J884" s="65"/>
      <c r="K884" s="65"/>
      <c r="L884" s="65"/>
      <c r="M884" s="65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</row>
    <row r="885">
      <c r="A885" s="65"/>
      <c r="B885" s="65"/>
      <c r="C885" s="65"/>
      <c r="D885" s="65"/>
      <c r="E885" s="65"/>
      <c r="F885" s="65"/>
      <c r="G885" s="65"/>
      <c r="H885" s="65"/>
      <c r="I885" s="65"/>
      <c r="J885" s="65"/>
      <c r="K885" s="65"/>
      <c r="L885" s="65"/>
      <c r="M885" s="65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</row>
    <row r="886">
      <c r="A886" s="65"/>
      <c r="B886" s="65"/>
      <c r="C886" s="65"/>
      <c r="D886" s="65"/>
      <c r="E886" s="65"/>
      <c r="F886" s="65"/>
      <c r="G886" s="65"/>
      <c r="H886" s="65"/>
      <c r="I886" s="65"/>
      <c r="J886" s="65"/>
      <c r="K886" s="65"/>
      <c r="L886" s="65"/>
      <c r="M886" s="65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</row>
    <row r="887">
      <c r="A887" s="65"/>
      <c r="B887" s="65"/>
      <c r="C887" s="65"/>
      <c r="D887" s="65"/>
      <c r="E887" s="65"/>
      <c r="F887" s="65"/>
      <c r="G887" s="65"/>
      <c r="H887" s="65"/>
      <c r="I887" s="65"/>
      <c r="J887" s="65"/>
      <c r="K887" s="65"/>
      <c r="L887" s="65"/>
      <c r="M887" s="65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</row>
    <row r="888">
      <c r="A888" s="65"/>
      <c r="B888" s="65"/>
      <c r="C888" s="65"/>
      <c r="D888" s="65"/>
      <c r="E888" s="65"/>
      <c r="F888" s="65"/>
      <c r="G888" s="65"/>
      <c r="H888" s="65"/>
      <c r="I888" s="65"/>
      <c r="J888" s="65"/>
      <c r="K888" s="65"/>
      <c r="L888" s="65"/>
      <c r="M888" s="65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</row>
    <row r="889">
      <c r="A889" s="65"/>
      <c r="B889" s="65"/>
      <c r="C889" s="65"/>
      <c r="D889" s="65"/>
      <c r="E889" s="65"/>
      <c r="F889" s="65"/>
      <c r="G889" s="65"/>
      <c r="H889" s="65"/>
      <c r="I889" s="65"/>
      <c r="J889" s="65"/>
      <c r="K889" s="65"/>
      <c r="L889" s="65"/>
      <c r="M889" s="65"/>
      <c r="N889" s="65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5"/>
    </row>
    <row r="890">
      <c r="A890" s="65"/>
      <c r="B890" s="65"/>
      <c r="C890" s="65"/>
      <c r="D890" s="65"/>
      <c r="E890" s="65"/>
      <c r="F890" s="65"/>
      <c r="G890" s="65"/>
      <c r="H890" s="65"/>
      <c r="I890" s="65"/>
      <c r="J890" s="65"/>
      <c r="K890" s="65"/>
      <c r="L890" s="65"/>
      <c r="M890" s="65"/>
      <c r="N890" s="65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5"/>
    </row>
    <row r="891">
      <c r="A891" s="65"/>
      <c r="B891" s="65"/>
      <c r="C891" s="65"/>
      <c r="D891" s="65"/>
      <c r="E891" s="65"/>
      <c r="F891" s="65"/>
      <c r="G891" s="65"/>
      <c r="H891" s="65"/>
      <c r="I891" s="65"/>
      <c r="J891" s="65"/>
      <c r="K891" s="65"/>
      <c r="L891" s="65"/>
      <c r="M891" s="65"/>
      <c r="N891" s="65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5"/>
    </row>
    <row r="892">
      <c r="A892" s="65"/>
      <c r="B892" s="65"/>
      <c r="C892" s="65"/>
      <c r="D892" s="65"/>
      <c r="E892" s="65"/>
      <c r="F892" s="65"/>
      <c r="G892" s="65"/>
      <c r="H892" s="65"/>
      <c r="I892" s="65"/>
      <c r="J892" s="65"/>
      <c r="K892" s="65"/>
      <c r="L892" s="65"/>
      <c r="M892" s="65"/>
      <c r="N892" s="65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5"/>
    </row>
    <row r="893">
      <c r="A893" s="65"/>
      <c r="B893" s="65"/>
      <c r="C893" s="65"/>
      <c r="D893" s="65"/>
      <c r="E893" s="65"/>
      <c r="F893" s="65"/>
      <c r="G893" s="65"/>
      <c r="H893" s="65"/>
      <c r="I893" s="65"/>
      <c r="J893" s="65"/>
      <c r="K893" s="65"/>
      <c r="L893" s="65"/>
      <c r="M893" s="65"/>
      <c r="N893" s="65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5"/>
    </row>
    <row r="894">
      <c r="A894" s="65"/>
      <c r="B894" s="65"/>
      <c r="C894" s="65"/>
      <c r="D894" s="65"/>
      <c r="E894" s="65"/>
      <c r="F894" s="65"/>
      <c r="G894" s="65"/>
      <c r="H894" s="65"/>
      <c r="I894" s="65"/>
      <c r="J894" s="65"/>
      <c r="K894" s="65"/>
      <c r="L894" s="65"/>
      <c r="M894" s="65"/>
      <c r="N894" s="65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5"/>
    </row>
    <row r="895">
      <c r="A895" s="65"/>
      <c r="B895" s="65"/>
      <c r="C895" s="65"/>
      <c r="D895" s="65"/>
      <c r="E895" s="65"/>
      <c r="F895" s="65"/>
      <c r="G895" s="65"/>
      <c r="H895" s="65"/>
      <c r="I895" s="65"/>
      <c r="J895" s="65"/>
      <c r="K895" s="65"/>
      <c r="L895" s="65"/>
      <c r="M895" s="65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</row>
    <row r="896">
      <c r="A896" s="65"/>
      <c r="B896" s="65"/>
      <c r="C896" s="65"/>
      <c r="D896" s="65"/>
      <c r="E896" s="65"/>
      <c r="F896" s="65"/>
      <c r="G896" s="65"/>
      <c r="H896" s="65"/>
      <c r="I896" s="65"/>
      <c r="J896" s="65"/>
      <c r="K896" s="65"/>
      <c r="L896" s="65"/>
      <c r="M896" s="65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</row>
    <row r="897">
      <c r="A897" s="65"/>
      <c r="B897" s="65"/>
      <c r="C897" s="65"/>
      <c r="D897" s="65"/>
      <c r="E897" s="65"/>
      <c r="F897" s="65"/>
      <c r="G897" s="65"/>
      <c r="H897" s="65"/>
      <c r="I897" s="65"/>
      <c r="J897" s="65"/>
      <c r="K897" s="65"/>
      <c r="L897" s="65"/>
      <c r="M897" s="65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</row>
    <row r="898">
      <c r="A898" s="65"/>
      <c r="B898" s="65"/>
      <c r="C898" s="65"/>
      <c r="D898" s="65"/>
      <c r="E898" s="65"/>
      <c r="F898" s="65"/>
      <c r="G898" s="65"/>
      <c r="H898" s="65"/>
      <c r="I898" s="65"/>
      <c r="J898" s="65"/>
      <c r="K898" s="65"/>
      <c r="L898" s="65"/>
      <c r="M898" s="65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</row>
    <row r="899">
      <c r="A899" s="65"/>
      <c r="B899" s="65"/>
      <c r="C899" s="65"/>
      <c r="D899" s="65"/>
      <c r="E899" s="65"/>
      <c r="F899" s="65"/>
      <c r="G899" s="65"/>
      <c r="H899" s="65"/>
      <c r="I899" s="65"/>
      <c r="J899" s="65"/>
      <c r="K899" s="65"/>
      <c r="L899" s="65"/>
      <c r="M899" s="65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</row>
    <row r="900">
      <c r="A900" s="65"/>
      <c r="B900" s="65"/>
      <c r="C900" s="65"/>
      <c r="D900" s="65"/>
      <c r="E900" s="65"/>
      <c r="F900" s="65"/>
      <c r="G900" s="65"/>
      <c r="H900" s="65"/>
      <c r="I900" s="65"/>
      <c r="J900" s="65"/>
      <c r="K900" s="65"/>
      <c r="L900" s="65"/>
      <c r="M900" s="65"/>
      <c r="N900" s="65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5"/>
    </row>
    <row r="901">
      <c r="A901" s="65"/>
      <c r="B901" s="65"/>
      <c r="C901" s="65"/>
      <c r="D901" s="65"/>
      <c r="E901" s="65"/>
      <c r="F901" s="65"/>
      <c r="G901" s="65"/>
      <c r="H901" s="65"/>
      <c r="I901" s="65"/>
      <c r="J901" s="65"/>
      <c r="K901" s="65"/>
      <c r="L901" s="65"/>
      <c r="M901" s="65"/>
      <c r="N901" s="65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5"/>
    </row>
    <row r="902">
      <c r="A902" s="65"/>
      <c r="B902" s="65"/>
      <c r="C902" s="65"/>
      <c r="D902" s="65"/>
      <c r="E902" s="65"/>
      <c r="F902" s="65"/>
      <c r="G902" s="65"/>
      <c r="H902" s="65"/>
      <c r="I902" s="65"/>
      <c r="J902" s="65"/>
      <c r="K902" s="65"/>
      <c r="L902" s="65"/>
      <c r="M902" s="65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</row>
    <row r="903">
      <c r="A903" s="65"/>
      <c r="B903" s="65"/>
      <c r="C903" s="65"/>
      <c r="D903" s="65"/>
      <c r="E903" s="65"/>
      <c r="F903" s="65"/>
      <c r="G903" s="65"/>
      <c r="H903" s="65"/>
      <c r="I903" s="65"/>
      <c r="J903" s="65"/>
      <c r="K903" s="65"/>
      <c r="L903" s="65"/>
      <c r="M903" s="65"/>
      <c r="N903" s="65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5"/>
    </row>
    <row r="904">
      <c r="A904" s="65"/>
      <c r="B904" s="65"/>
      <c r="C904" s="65"/>
      <c r="D904" s="65"/>
      <c r="E904" s="65"/>
      <c r="F904" s="65"/>
      <c r="G904" s="65"/>
      <c r="H904" s="65"/>
      <c r="I904" s="65"/>
      <c r="J904" s="65"/>
      <c r="K904" s="65"/>
      <c r="L904" s="65"/>
      <c r="M904" s="65"/>
      <c r="N904" s="65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5"/>
    </row>
    <row r="905">
      <c r="A905" s="65"/>
      <c r="B905" s="65"/>
      <c r="C905" s="65"/>
      <c r="D905" s="65"/>
      <c r="E905" s="65"/>
      <c r="F905" s="65"/>
      <c r="G905" s="65"/>
      <c r="H905" s="65"/>
      <c r="I905" s="65"/>
      <c r="J905" s="65"/>
      <c r="K905" s="65"/>
      <c r="L905" s="65"/>
      <c r="M905" s="65"/>
      <c r="N905" s="65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5"/>
    </row>
    <row r="906">
      <c r="A906" s="65"/>
      <c r="B906" s="65"/>
      <c r="C906" s="65"/>
      <c r="D906" s="65"/>
      <c r="E906" s="65"/>
      <c r="F906" s="65"/>
      <c r="G906" s="65"/>
      <c r="H906" s="65"/>
      <c r="I906" s="65"/>
      <c r="J906" s="65"/>
      <c r="K906" s="65"/>
      <c r="L906" s="65"/>
      <c r="M906" s="65"/>
      <c r="N906" s="65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5"/>
    </row>
    <row r="907">
      <c r="A907" s="65"/>
      <c r="B907" s="65"/>
      <c r="C907" s="65"/>
      <c r="D907" s="65"/>
      <c r="E907" s="65"/>
      <c r="F907" s="65"/>
      <c r="G907" s="65"/>
      <c r="H907" s="65"/>
      <c r="I907" s="65"/>
      <c r="J907" s="65"/>
      <c r="K907" s="65"/>
      <c r="L907" s="65"/>
      <c r="M907" s="65"/>
      <c r="N907" s="65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5"/>
    </row>
    <row r="908">
      <c r="A908" s="65"/>
      <c r="B908" s="65"/>
      <c r="C908" s="65"/>
      <c r="D908" s="65"/>
      <c r="E908" s="65"/>
      <c r="F908" s="65"/>
      <c r="G908" s="65"/>
      <c r="H908" s="65"/>
      <c r="I908" s="65"/>
      <c r="J908" s="65"/>
      <c r="K908" s="65"/>
      <c r="L908" s="65"/>
      <c r="M908" s="65"/>
      <c r="N908" s="65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5"/>
    </row>
    <row r="909">
      <c r="A909" s="65"/>
      <c r="B909" s="65"/>
      <c r="C909" s="65"/>
      <c r="D909" s="65"/>
      <c r="E909" s="65"/>
      <c r="F909" s="65"/>
      <c r="G909" s="65"/>
      <c r="H909" s="65"/>
      <c r="I909" s="65"/>
      <c r="J909" s="65"/>
      <c r="K909" s="65"/>
      <c r="L909" s="65"/>
      <c r="M909" s="65"/>
      <c r="N909" s="65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5"/>
    </row>
    <row r="910">
      <c r="A910" s="65"/>
      <c r="B910" s="65"/>
      <c r="C910" s="65"/>
      <c r="D910" s="65"/>
      <c r="E910" s="65"/>
      <c r="F910" s="65"/>
      <c r="G910" s="65"/>
      <c r="H910" s="65"/>
      <c r="I910" s="65"/>
      <c r="J910" s="65"/>
      <c r="K910" s="65"/>
      <c r="L910" s="65"/>
      <c r="M910" s="65"/>
      <c r="N910" s="65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5"/>
    </row>
    <row r="911">
      <c r="A911" s="65"/>
      <c r="B911" s="65"/>
      <c r="C911" s="65"/>
      <c r="D911" s="65"/>
      <c r="E911" s="65"/>
      <c r="F911" s="65"/>
      <c r="G911" s="65"/>
      <c r="H911" s="65"/>
      <c r="I911" s="65"/>
      <c r="J911" s="65"/>
      <c r="K911" s="65"/>
      <c r="L911" s="65"/>
      <c r="M911" s="65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</row>
    <row r="912">
      <c r="A912" s="65"/>
      <c r="B912" s="65"/>
      <c r="C912" s="65"/>
      <c r="D912" s="65"/>
      <c r="E912" s="65"/>
      <c r="F912" s="65"/>
      <c r="G912" s="65"/>
      <c r="H912" s="65"/>
      <c r="I912" s="65"/>
      <c r="J912" s="65"/>
      <c r="K912" s="65"/>
      <c r="L912" s="65"/>
      <c r="M912" s="65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</row>
    <row r="913">
      <c r="A913" s="65"/>
      <c r="B913" s="65"/>
      <c r="C913" s="65"/>
      <c r="D913" s="65"/>
      <c r="E913" s="65"/>
      <c r="F913" s="65"/>
      <c r="G913" s="65"/>
      <c r="H913" s="65"/>
      <c r="I913" s="65"/>
      <c r="J913" s="65"/>
      <c r="K913" s="65"/>
      <c r="L913" s="65"/>
      <c r="M913" s="65"/>
      <c r="N913" s="65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5"/>
    </row>
    <row r="914">
      <c r="A914" s="65"/>
      <c r="B914" s="65"/>
      <c r="C914" s="65"/>
      <c r="D914" s="65"/>
      <c r="E914" s="65"/>
      <c r="F914" s="65"/>
      <c r="G914" s="65"/>
      <c r="H914" s="65"/>
      <c r="I914" s="65"/>
      <c r="J914" s="65"/>
      <c r="K914" s="65"/>
      <c r="L914" s="65"/>
      <c r="M914" s="65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</row>
    <row r="915">
      <c r="A915" s="65"/>
      <c r="B915" s="65"/>
      <c r="C915" s="65"/>
      <c r="D915" s="65"/>
      <c r="E915" s="65"/>
      <c r="F915" s="65"/>
      <c r="G915" s="65"/>
      <c r="H915" s="65"/>
      <c r="I915" s="65"/>
      <c r="J915" s="65"/>
      <c r="K915" s="65"/>
      <c r="L915" s="65"/>
      <c r="M915" s="65"/>
      <c r="N915" s="65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5"/>
    </row>
    <row r="916">
      <c r="A916" s="65"/>
      <c r="B916" s="65"/>
      <c r="C916" s="65"/>
      <c r="D916" s="65"/>
      <c r="E916" s="65"/>
      <c r="F916" s="65"/>
      <c r="G916" s="65"/>
      <c r="H916" s="65"/>
      <c r="I916" s="65"/>
      <c r="J916" s="65"/>
      <c r="K916" s="65"/>
      <c r="L916" s="65"/>
      <c r="M916" s="65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</row>
    <row r="917">
      <c r="A917" s="65"/>
      <c r="B917" s="65"/>
      <c r="C917" s="65"/>
      <c r="D917" s="65"/>
      <c r="E917" s="65"/>
      <c r="F917" s="65"/>
      <c r="G917" s="65"/>
      <c r="H917" s="65"/>
      <c r="I917" s="65"/>
      <c r="J917" s="65"/>
      <c r="K917" s="65"/>
      <c r="L917" s="65"/>
      <c r="M917" s="65"/>
      <c r="N917" s="65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5"/>
    </row>
    <row r="918">
      <c r="A918" s="65"/>
      <c r="B918" s="65"/>
      <c r="C918" s="65"/>
      <c r="D918" s="65"/>
      <c r="E918" s="65"/>
      <c r="F918" s="65"/>
      <c r="G918" s="65"/>
      <c r="H918" s="65"/>
      <c r="I918" s="65"/>
      <c r="J918" s="65"/>
      <c r="K918" s="65"/>
      <c r="L918" s="65"/>
      <c r="M918" s="65"/>
      <c r="N918" s="65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5"/>
    </row>
    <row r="919">
      <c r="A919" s="65"/>
      <c r="B919" s="65"/>
      <c r="C919" s="65"/>
      <c r="D919" s="65"/>
      <c r="E919" s="65"/>
      <c r="F919" s="65"/>
      <c r="G919" s="65"/>
      <c r="H919" s="65"/>
      <c r="I919" s="65"/>
      <c r="J919" s="65"/>
      <c r="K919" s="65"/>
      <c r="L919" s="65"/>
      <c r="M919" s="65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</row>
    <row r="920">
      <c r="A920" s="65"/>
      <c r="B920" s="65"/>
      <c r="C920" s="65"/>
      <c r="D920" s="65"/>
      <c r="E920" s="65"/>
      <c r="F920" s="65"/>
      <c r="G920" s="65"/>
      <c r="H920" s="65"/>
      <c r="I920" s="65"/>
      <c r="J920" s="65"/>
      <c r="K920" s="65"/>
      <c r="L920" s="65"/>
      <c r="M920" s="65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</row>
    <row r="921">
      <c r="A921" s="65"/>
      <c r="B921" s="65"/>
      <c r="C921" s="65"/>
      <c r="D921" s="65"/>
      <c r="E921" s="65"/>
      <c r="F921" s="65"/>
      <c r="G921" s="65"/>
      <c r="H921" s="65"/>
      <c r="I921" s="65"/>
      <c r="J921" s="65"/>
      <c r="K921" s="65"/>
      <c r="L921" s="65"/>
      <c r="M921" s="65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5"/>
    </row>
    <row r="922">
      <c r="A922" s="65"/>
      <c r="B922" s="65"/>
      <c r="C922" s="65"/>
      <c r="D922" s="65"/>
      <c r="E922" s="65"/>
      <c r="F922" s="65"/>
      <c r="G922" s="65"/>
      <c r="H922" s="65"/>
      <c r="I922" s="65"/>
      <c r="J922" s="65"/>
      <c r="K922" s="65"/>
      <c r="L922" s="65"/>
      <c r="M922" s="65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5"/>
    </row>
    <row r="923">
      <c r="A923" s="65"/>
      <c r="B923" s="65"/>
      <c r="C923" s="65"/>
      <c r="D923" s="65"/>
      <c r="E923" s="65"/>
      <c r="F923" s="65"/>
      <c r="G923" s="65"/>
      <c r="H923" s="65"/>
      <c r="I923" s="65"/>
      <c r="J923" s="65"/>
      <c r="K923" s="65"/>
      <c r="L923" s="65"/>
      <c r="M923" s="65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5"/>
    </row>
    <row r="924">
      <c r="A924" s="65"/>
      <c r="B924" s="65"/>
      <c r="C924" s="65"/>
      <c r="D924" s="65"/>
      <c r="E924" s="65"/>
      <c r="F924" s="65"/>
      <c r="G924" s="65"/>
      <c r="H924" s="65"/>
      <c r="I924" s="65"/>
      <c r="J924" s="65"/>
      <c r="K924" s="65"/>
      <c r="L924" s="65"/>
      <c r="M924" s="65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5"/>
    </row>
    <row r="925">
      <c r="A925" s="65"/>
      <c r="B925" s="65"/>
      <c r="C925" s="65"/>
      <c r="D925" s="65"/>
      <c r="E925" s="65"/>
      <c r="F925" s="65"/>
      <c r="G925" s="65"/>
      <c r="H925" s="65"/>
      <c r="I925" s="65"/>
      <c r="J925" s="65"/>
      <c r="K925" s="65"/>
      <c r="L925" s="65"/>
      <c r="M925" s="65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5"/>
    </row>
    <row r="926">
      <c r="A926" s="65"/>
      <c r="B926" s="65"/>
      <c r="C926" s="65"/>
      <c r="D926" s="65"/>
      <c r="E926" s="65"/>
      <c r="F926" s="65"/>
      <c r="G926" s="65"/>
      <c r="H926" s="65"/>
      <c r="I926" s="65"/>
      <c r="J926" s="65"/>
      <c r="K926" s="65"/>
      <c r="L926" s="65"/>
      <c r="M926" s="65"/>
      <c r="N926" s="65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65"/>
    </row>
    <row r="927">
      <c r="A927" s="65"/>
      <c r="B927" s="65"/>
      <c r="C927" s="65"/>
      <c r="D927" s="65"/>
      <c r="E927" s="65"/>
      <c r="F927" s="65"/>
      <c r="G927" s="65"/>
      <c r="H927" s="65"/>
      <c r="I927" s="65"/>
      <c r="J927" s="65"/>
      <c r="K927" s="65"/>
      <c r="L927" s="65"/>
      <c r="M927" s="65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5"/>
    </row>
    <row r="928">
      <c r="A928" s="65"/>
      <c r="B928" s="65"/>
      <c r="C928" s="65"/>
      <c r="D928" s="65"/>
      <c r="E928" s="65"/>
      <c r="F928" s="65"/>
      <c r="G928" s="65"/>
      <c r="H928" s="65"/>
      <c r="I928" s="65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</row>
    <row r="929">
      <c r="A929" s="65"/>
      <c r="B929" s="65"/>
      <c r="C929" s="65"/>
      <c r="D929" s="65"/>
      <c r="E929" s="65"/>
      <c r="F929" s="65"/>
      <c r="G929" s="65"/>
      <c r="H929" s="65"/>
      <c r="I929" s="65"/>
      <c r="J929" s="65"/>
      <c r="K929" s="65"/>
      <c r="L929" s="65"/>
      <c r="M929" s="65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5"/>
    </row>
    <row r="930">
      <c r="A930" s="65"/>
      <c r="B930" s="65"/>
      <c r="C930" s="65"/>
      <c r="D930" s="65"/>
      <c r="E930" s="65"/>
      <c r="F930" s="65"/>
      <c r="G930" s="65"/>
      <c r="H930" s="65"/>
      <c r="I930" s="65"/>
      <c r="J930" s="65"/>
      <c r="K930" s="65"/>
      <c r="L930" s="65"/>
      <c r="M930" s="65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5"/>
    </row>
    <row r="931">
      <c r="A931" s="65"/>
      <c r="B931" s="65"/>
      <c r="C931" s="65"/>
      <c r="D931" s="65"/>
      <c r="E931" s="65"/>
      <c r="F931" s="65"/>
      <c r="G931" s="65"/>
      <c r="H931" s="65"/>
      <c r="I931" s="65"/>
      <c r="J931" s="65"/>
      <c r="K931" s="65"/>
      <c r="L931" s="65"/>
      <c r="M931" s="65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5"/>
    </row>
    <row r="932">
      <c r="A932" s="65"/>
      <c r="B932" s="65"/>
      <c r="C932" s="65"/>
      <c r="D932" s="65"/>
      <c r="E932" s="65"/>
      <c r="F932" s="65"/>
      <c r="G932" s="65"/>
      <c r="H932" s="65"/>
      <c r="I932" s="65"/>
      <c r="J932" s="65"/>
      <c r="K932" s="65"/>
      <c r="L932" s="65"/>
      <c r="M932" s="65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5"/>
    </row>
    <row r="933">
      <c r="A933" s="65"/>
      <c r="B933" s="65"/>
      <c r="C933" s="65"/>
      <c r="D933" s="65"/>
      <c r="E933" s="65"/>
      <c r="F933" s="65"/>
      <c r="G933" s="65"/>
      <c r="H933" s="65"/>
      <c r="I933" s="65"/>
      <c r="J933" s="65"/>
      <c r="K933" s="65"/>
      <c r="L933" s="65"/>
      <c r="M933" s="65"/>
      <c r="N933" s="65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65"/>
    </row>
    <row r="934">
      <c r="A934" s="65"/>
      <c r="B934" s="65"/>
      <c r="C934" s="65"/>
      <c r="D934" s="65"/>
      <c r="E934" s="65"/>
      <c r="F934" s="65"/>
      <c r="G934" s="65"/>
      <c r="H934" s="65"/>
      <c r="I934" s="65"/>
      <c r="J934" s="65"/>
      <c r="K934" s="65"/>
      <c r="L934" s="65"/>
      <c r="M934" s="65"/>
      <c r="N934" s="65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5"/>
    </row>
    <row r="935">
      <c r="A935" s="65"/>
      <c r="B935" s="65"/>
      <c r="C935" s="65"/>
      <c r="D935" s="65"/>
      <c r="E935" s="65"/>
      <c r="F935" s="65"/>
      <c r="G935" s="65"/>
      <c r="H935" s="65"/>
      <c r="I935" s="65"/>
      <c r="J935" s="65"/>
      <c r="K935" s="65"/>
      <c r="L935" s="65"/>
      <c r="M935" s="65"/>
      <c r="N935" s="65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65"/>
    </row>
    <row r="936">
      <c r="A936" s="65"/>
      <c r="B936" s="65"/>
      <c r="C936" s="65"/>
      <c r="D936" s="65"/>
      <c r="E936" s="65"/>
      <c r="F936" s="65"/>
      <c r="G936" s="65"/>
      <c r="H936" s="65"/>
      <c r="I936" s="65"/>
      <c r="J936" s="65"/>
      <c r="K936" s="65"/>
      <c r="L936" s="65"/>
      <c r="M936" s="65"/>
      <c r="N936" s="65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65"/>
    </row>
    <row r="937">
      <c r="A937" s="65"/>
      <c r="B937" s="65"/>
      <c r="C937" s="65"/>
      <c r="D937" s="65"/>
      <c r="E937" s="65"/>
      <c r="F937" s="65"/>
      <c r="G937" s="65"/>
      <c r="H937" s="65"/>
      <c r="I937" s="65"/>
      <c r="J937" s="65"/>
      <c r="K937" s="65"/>
      <c r="L937" s="65"/>
      <c r="M937" s="65"/>
      <c r="N937" s="65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65"/>
    </row>
    <row r="938">
      <c r="A938" s="65"/>
      <c r="B938" s="65"/>
      <c r="C938" s="65"/>
      <c r="D938" s="65"/>
      <c r="E938" s="65"/>
      <c r="F938" s="65"/>
      <c r="G938" s="65"/>
      <c r="H938" s="65"/>
      <c r="I938" s="65"/>
      <c r="J938" s="65"/>
      <c r="K938" s="65"/>
      <c r="L938" s="65"/>
      <c r="M938" s="65"/>
      <c r="N938" s="65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65"/>
    </row>
    <row r="939">
      <c r="A939" s="65"/>
      <c r="B939" s="65"/>
      <c r="C939" s="65"/>
      <c r="D939" s="65"/>
      <c r="E939" s="65"/>
      <c r="F939" s="65"/>
      <c r="G939" s="65"/>
      <c r="H939" s="65"/>
      <c r="I939" s="65"/>
      <c r="J939" s="65"/>
      <c r="K939" s="65"/>
      <c r="L939" s="65"/>
      <c r="M939" s="65"/>
      <c r="N939" s="65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65"/>
    </row>
    <row r="940">
      <c r="A940" s="65"/>
      <c r="B940" s="65"/>
      <c r="C940" s="65"/>
      <c r="D940" s="65"/>
      <c r="E940" s="65"/>
      <c r="F940" s="65"/>
      <c r="G940" s="65"/>
      <c r="H940" s="65"/>
      <c r="I940" s="65"/>
      <c r="J940" s="65"/>
      <c r="K940" s="65"/>
      <c r="L940" s="65"/>
      <c r="M940" s="65"/>
      <c r="N940" s="65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65"/>
    </row>
    <row r="941">
      <c r="A941" s="65"/>
      <c r="B941" s="65"/>
      <c r="C941" s="65"/>
      <c r="D941" s="65"/>
      <c r="E941" s="65"/>
      <c r="F941" s="65"/>
      <c r="G941" s="65"/>
      <c r="H941" s="65"/>
      <c r="I941" s="65"/>
      <c r="J941" s="65"/>
      <c r="K941" s="65"/>
      <c r="L941" s="65"/>
      <c r="M941" s="65"/>
      <c r="N941" s="65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65"/>
    </row>
    <row r="942">
      <c r="A942" s="65"/>
      <c r="B942" s="65"/>
      <c r="C942" s="65"/>
      <c r="D942" s="65"/>
      <c r="E942" s="65"/>
      <c r="F942" s="65"/>
      <c r="G942" s="65"/>
      <c r="H942" s="65"/>
      <c r="I942" s="65"/>
      <c r="J942" s="65"/>
      <c r="K942" s="65"/>
      <c r="L942" s="65"/>
      <c r="M942" s="65"/>
      <c r="N942" s="65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65"/>
    </row>
    <row r="943">
      <c r="A943" s="65"/>
      <c r="B943" s="65"/>
      <c r="C943" s="65"/>
      <c r="D943" s="65"/>
      <c r="E943" s="65"/>
      <c r="F943" s="65"/>
      <c r="G943" s="65"/>
      <c r="H943" s="65"/>
      <c r="I943" s="65"/>
      <c r="J943" s="65"/>
      <c r="K943" s="65"/>
      <c r="L943" s="65"/>
      <c r="M943" s="65"/>
      <c r="N943" s="65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  <c r="Z943" s="65"/>
    </row>
    <row r="944">
      <c r="A944" s="65"/>
      <c r="B944" s="65"/>
      <c r="C944" s="65"/>
      <c r="D944" s="65"/>
      <c r="E944" s="65"/>
      <c r="F944" s="65"/>
      <c r="G944" s="65"/>
      <c r="H944" s="65"/>
      <c r="I944" s="65"/>
      <c r="J944" s="65"/>
      <c r="K944" s="65"/>
      <c r="L944" s="65"/>
      <c r="M944" s="65"/>
      <c r="N944" s="65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  <c r="Z944" s="65"/>
    </row>
    <row r="945">
      <c r="A945" s="65"/>
      <c r="B945" s="65"/>
      <c r="C945" s="65"/>
      <c r="D945" s="65"/>
      <c r="E945" s="65"/>
      <c r="F945" s="65"/>
      <c r="G945" s="65"/>
      <c r="H945" s="65"/>
      <c r="I945" s="65"/>
      <c r="J945" s="65"/>
      <c r="K945" s="65"/>
      <c r="L945" s="65"/>
      <c r="M945" s="65"/>
      <c r="N945" s="65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  <c r="Z945" s="65"/>
    </row>
    <row r="946">
      <c r="A946" s="65"/>
      <c r="B946" s="65"/>
      <c r="C946" s="65"/>
      <c r="D946" s="65"/>
      <c r="E946" s="65"/>
      <c r="F946" s="65"/>
      <c r="G946" s="65"/>
      <c r="H946" s="65"/>
      <c r="I946" s="65"/>
      <c r="J946" s="65"/>
      <c r="K946" s="65"/>
      <c r="L946" s="65"/>
      <c r="M946" s="65"/>
      <c r="N946" s="65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65"/>
    </row>
    <row r="947">
      <c r="A947" s="65"/>
      <c r="B947" s="65"/>
      <c r="C947" s="65"/>
      <c r="D947" s="65"/>
      <c r="E947" s="65"/>
      <c r="F947" s="65"/>
      <c r="G947" s="65"/>
      <c r="H947" s="65"/>
      <c r="I947" s="65"/>
      <c r="J947" s="65"/>
      <c r="K947" s="65"/>
      <c r="L947" s="65"/>
      <c r="M947" s="65"/>
      <c r="N947" s="65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  <c r="Z947" s="65"/>
    </row>
    <row r="948">
      <c r="A948" s="65"/>
      <c r="B948" s="65"/>
      <c r="C948" s="65"/>
      <c r="D948" s="65"/>
      <c r="E948" s="65"/>
      <c r="F948" s="65"/>
      <c r="G948" s="65"/>
      <c r="H948" s="65"/>
      <c r="I948" s="65"/>
      <c r="J948" s="65"/>
      <c r="K948" s="65"/>
      <c r="L948" s="65"/>
      <c r="M948" s="65"/>
      <c r="N948" s="65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  <c r="Z948" s="65"/>
    </row>
    <row r="949">
      <c r="A949" s="65"/>
      <c r="B949" s="65"/>
      <c r="C949" s="65"/>
      <c r="D949" s="65"/>
      <c r="E949" s="65"/>
      <c r="F949" s="65"/>
      <c r="G949" s="65"/>
      <c r="H949" s="65"/>
      <c r="I949" s="65"/>
      <c r="J949" s="65"/>
      <c r="K949" s="65"/>
      <c r="L949" s="65"/>
      <c r="M949" s="65"/>
      <c r="N949" s="65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  <c r="Z949" s="65"/>
    </row>
    <row r="950">
      <c r="A950" s="65"/>
      <c r="B950" s="65"/>
      <c r="C950" s="65"/>
      <c r="D950" s="65"/>
      <c r="E950" s="65"/>
      <c r="F950" s="65"/>
      <c r="G950" s="65"/>
      <c r="H950" s="65"/>
      <c r="I950" s="65"/>
      <c r="J950" s="65"/>
      <c r="K950" s="65"/>
      <c r="L950" s="65"/>
      <c r="M950" s="65"/>
      <c r="N950" s="65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65"/>
    </row>
    <row r="951">
      <c r="A951" s="65"/>
      <c r="B951" s="65"/>
      <c r="C951" s="65"/>
      <c r="D951" s="65"/>
      <c r="E951" s="65"/>
      <c r="F951" s="65"/>
      <c r="G951" s="65"/>
      <c r="H951" s="65"/>
      <c r="I951" s="65"/>
      <c r="J951" s="65"/>
      <c r="K951" s="65"/>
      <c r="L951" s="65"/>
      <c r="M951" s="65"/>
      <c r="N951" s="65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65"/>
    </row>
    <row r="952">
      <c r="A952" s="65"/>
      <c r="B952" s="65"/>
      <c r="C952" s="65"/>
      <c r="D952" s="65"/>
      <c r="E952" s="65"/>
      <c r="F952" s="65"/>
      <c r="G952" s="65"/>
      <c r="H952" s="65"/>
      <c r="I952" s="65"/>
      <c r="J952" s="65"/>
      <c r="K952" s="65"/>
      <c r="L952" s="65"/>
      <c r="M952" s="65"/>
      <c r="N952" s="65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  <c r="Z952" s="65"/>
    </row>
    <row r="953">
      <c r="A953" s="65"/>
      <c r="B953" s="65"/>
      <c r="C953" s="65"/>
      <c r="D953" s="65"/>
      <c r="E953" s="65"/>
      <c r="F953" s="65"/>
      <c r="G953" s="65"/>
      <c r="H953" s="65"/>
      <c r="I953" s="65"/>
      <c r="J953" s="65"/>
      <c r="K953" s="65"/>
      <c r="L953" s="65"/>
      <c r="M953" s="65"/>
      <c r="N953" s="65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  <c r="Z953" s="65"/>
    </row>
    <row r="954">
      <c r="A954" s="65"/>
      <c r="B954" s="65"/>
      <c r="C954" s="65"/>
      <c r="D954" s="65"/>
      <c r="E954" s="65"/>
      <c r="F954" s="65"/>
      <c r="G954" s="65"/>
      <c r="H954" s="65"/>
      <c r="I954" s="65"/>
      <c r="J954" s="65"/>
      <c r="K954" s="65"/>
      <c r="L954" s="65"/>
      <c r="M954" s="65"/>
      <c r="N954" s="65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  <c r="Z954" s="65"/>
    </row>
    <row r="955">
      <c r="A955" s="65"/>
      <c r="B955" s="65"/>
      <c r="C955" s="65"/>
      <c r="D955" s="65"/>
      <c r="E955" s="65"/>
      <c r="F955" s="65"/>
      <c r="G955" s="65"/>
      <c r="H955" s="65"/>
      <c r="I955" s="65"/>
      <c r="J955" s="65"/>
      <c r="K955" s="65"/>
      <c r="L955" s="65"/>
      <c r="M955" s="65"/>
      <c r="N955" s="65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65"/>
    </row>
    <row r="956">
      <c r="A956" s="65"/>
      <c r="B956" s="65"/>
      <c r="C956" s="65"/>
      <c r="D956" s="65"/>
      <c r="E956" s="65"/>
      <c r="F956" s="65"/>
      <c r="G956" s="65"/>
      <c r="H956" s="65"/>
      <c r="I956" s="65"/>
      <c r="J956" s="65"/>
      <c r="K956" s="65"/>
      <c r="L956" s="65"/>
      <c r="M956" s="65"/>
      <c r="N956" s="65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  <c r="Z956" s="65"/>
    </row>
    <row r="957">
      <c r="A957" s="65"/>
      <c r="B957" s="65"/>
      <c r="C957" s="65"/>
      <c r="D957" s="65"/>
      <c r="E957" s="65"/>
      <c r="F957" s="65"/>
      <c r="G957" s="65"/>
      <c r="H957" s="65"/>
      <c r="I957" s="65"/>
      <c r="J957" s="65"/>
      <c r="K957" s="65"/>
      <c r="L957" s="65"/>
      <c r="M957" s="65"/>
      <c r="N957" s="65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  <c r="Z957" s="65"/>
    </row>
    <row r="958">
      <c r="A958" s="65"/>
      <c r="B958" s="65"/>
      <c r="C958" s="65"/>
      <c r="D958" s="65"/>
      <c r="E958" s="65"/>
      <c r="F958" s="65"/>
      <c r="G958" s="65"/>
      <c r="H958" s="65"/>
      <c r="I958" s="65"/>
      <c r="J958" s="65"/>
      <c r="K958" s="65"/>
      <c r="L958" s="65"/>
      <c r="M958" s="65"/>
      <c r="N958" s="65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  <c r="Z958" s="65"/>
    </row>
    <row r="959">
      <c r="A959" s="65"/>
      <c r="B959" s="65"/>
      <c r="C959" s="65"/>
      <c r="D959" s="65"/>
      <c r="E959" s="65"/>
      <c r="F959" s="65"/>
      <c r="G959" s="65"/>
      <c r="H959" s="65"/>
      <c r="I959" s="65"/>
      <c r="J959" s="65"/>
      <c r="K959" s="65"/>
      <c r="L959" s="65"/>
      <c r="M959" s="65"/>
      <c r="N959" s="65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  <c r="Z959" s="65"/>
    </row>
    <row r="960">
      <c r="A960" s="65"/>
      <c r="B960" s="65"/>
      <c r="C960" s="65"/>
      <c r="D960" s="65"/>
      <c r="E960" s="65"/>
      <c r="F960" s="65"/>
      <c r="G960" s="65"/>
      <c r="H960" s="65"/>
      <c r="I960" s="65"/>
      <c r="J960" s="65"/>
      <c r="K960" s="65"/>
      <c r="L960" s="65"/>
      <c r="M960" s="65"/>
      <c r="N960" s="65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  <c r="Z960" s="65"/>
    </row>
    <row r="961">
      <c r="A961" s="65"/>
      <c r="B961" s="65"/>
      <c r="C961" s="65"/>
      <c r="D961" s="65"/>
      <c r="E961" s="65"/>
      <c r="F961" s="65"/>
      <c r="G961" s="65"/>
      <c r="H961" s="65"/>
      <c r="I961" s="65"/>
      <c r="J961" s="65"/>
      <c r="K961" s="65"/>
      <c r="L961" s="65"/>
      <c r="M961" s="65"/>
      <c r="N961" s="65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  <c r="Z961" s="65"/>
    </row>
    <row r="962">
      <c r="A962" s="65"/>
      <c r="B962" s="65"/>
      <c r="C962" s="65"/>
      <c r="D962" s="65"/>
      <c r="E962" s="65"/>
      <c r="F962" s="65"/>
      <c r="G962" s="65"/>
      <c r="H962" s="65"/>
      <c r="I962" s="65"/>
      <c r="J962" s="65"/>
      <c r="K962" s="65"/>
      <c r="L962" s="65"/>
      <c r="M962" s="65"/>
      <c r="N962" s="65"/>
      <c r="O962" s="65"/>
      <c r="P962" s="65"/>
      <c r="Q962" s="65"/>
      <c r="R962" s="65"/>
      <c r="S962" s="65"/>
      <c r="T962" s="65"/>
      <c r="U962" s="65"/>
      <c r="V962" s="65"/>
      <c r="W962" s="65"/>
      <c r="X962" s="65"/>
      <c r="Y962" s="65"/>
      <c r="Z962" s="65"/>
    </row>
    <row r="963">
      <c r="A963" s="65"/>
      <c r="B963" s="65"/>
      <c r="C963" s="65"/>
      <c r="D963" s="65"/>
      <c r="E963" s="65"/>
      <c r="F963" s="65"/>
      <c r="G963" s="65"/>
      <c r="H963" s="65"/>
      <c r="I963" s="65"/>
      <c r="J963" s="65"/>
      <c r="K963" s="65"/>
      <c r="L963" s="65"/>
      <c r="M963" s="65"/>
      <c r="N963" s="65"/>
      <c r="O963" s="65"/>
      <c r="P963" s="65"/>
      <c r="Q963" s="65"/>
      <c r="R963" s="65"/>
      <c r="S963" s="65"/>
      <c r="T963" s="65"/>
      <c r="U963" s="65"/>
      <c r="V963" s="65"/>
      <c r="W963" s="65"/>
      <c r="X963" s="65"/>
      <c r="Y963" s="65"/>
      <c r="Z963" s="65"/>
    </row>
    <row r="964">
      <c r="A964" s="65"/>
      <c r="B964" s="65"/>
      <c r="C964" s="65"/>
      <c r="D964" s="65"/>
      <c r="E964" s="65"/>
      <c r="F964" s="65"/>
      <c r="G964" s="65"/>
      <c r="H964" s="65"/>
      <c r="I964" s="65"/>
      <c r="J964" s="65"/>
      <c r="K964" s="65"/>
      <c r="L964" s="65"/>
      <c r="M964" s="65"/>
      <c r="N964" s="65"/>
      <c r="O964" s="65"/>
      <c r="P964" s="65"/>
      <c r="Q964" s="65"/>
      <c r="R964" s="65"/>
      <c r="S964" s="65"/>
      <c r="T964" s="65"/>
      <c r="U964" s="65"/>
      <c r="V964" s="65"/>
      <c r="W964" s="65"/>
      <c r="X964" s="65"/>
      <c r="Y964" s="65"/>
      <c r="Z964" s="65"/>
    </row>
    <row r="965">
      <c r="A965" s="65"/>
      <c r="B965" s="65"/>
      <c r="C965" s="65"/>
      <c r="D965" s="65"/>
      <c r="E965" s="65"/>
      <c r="F965" s="65"/>
      <c r="G965" s="65"/>
      <c r="H965" s="65"/>
      <c r="I965" s="65"/>
      <c r="J965" s="65"/>
      <c r="K965" s="65"/>
      <c r="L965" s="65"/>
      <c r="M965" s="65"/>
      <c r="N965" s="65"/>
      <c r="O965" s="65"/>
      <c r="P965" s="65"/>
      <c r="Q965" s="65"/>
      <c r="R965" s="65"/>
      <c r="S965" s="65"/>
      <c r="T965" s="65"/>
      <c r="U965" s="65"/>
      <c r="V965" s="65"/>
      <c r="W965" s="65"/>
      <c r="X965" s="65"/>
      <c r="Y965" s="65"/>
      <c r="Z965" s="65"/>
    </row>
    <row r="966">
      <c r="A966" s="65"/>
      <c r="B966" s="65"/>
      <c r="C966" s="65"/>
      <c r="D966" s="65"/>
      <c r="E966" s="65"/>
      <c r="F966" s="65"/>
      <c r="G966" s="65"/>
      <c r="H966" s="65"/>
      <c r="I966" s="65"/>
      <c r="J966" s="65"/>
      <c r="K966" s="65"/>
      <c r="L966" s="65"/>
      <c r="M966" s="65"/>
      <c r="N966" s="65"/>
      <c r="O966" s="65"/>
      <c r="P966" s="65"/>
      <c r="Q966" s="65"/>
      <c r="R966" s="65"/>
      <c r="S966" s="65"/>
      <c r="T966" s="65"/>
      <c r="U966" s="65"/>
      <c r="V966" s="65"/>
      <c r="W966" s="65"/>
      <c r="X966" s="65"/>
      <c r="Y966" s="65"/>
      <c r="Z966" s="65"/>
    </row>
    <row r="967">
      <c r="A967" s="65"/>
      <c r="B967" s="65"/>
      <c r="C967" s="65"/>
      <c r="D967" s="65"/>
      <c r="E967" s="65"/>
      <c r="F967" s="65"/>
      <c r="G967" s="65"/>
      <c r="H967" s="65"/>
      <c r="I967" s="65"/>
      <c r="J967" s="65"/>
      <c r="K967" s="65"/>
      <c r="L967" s="65"/>
      <c r="M967" s="65"/>
      <c r="N967" s="65"/>
      <c r="O967" s="65"/>
      <c r="P967" s="65"/>
      <c r="Q967" s="65"/>
      <c r="R967" s="65"/>
      <c r="S967" s="65"/>
      <c r="T967" s="65"/>
      <c r="U967" s="65"/>
      <c r="V967" s="65"/>
      <c r="W967" s="65"/>
      <c r="X967" s="65"/>
      <c r="Y967" s="65"/>
      <c r="Z967" s="65"/>
    </row>
    <row r="968">
      <c r="A968" s="65"/>
      <c r="B968" s="65"/>
      <c r="C968" s="65"/>
      <c r="D968" s="65"/>
      <c r="E968" s="65"/>
      <c r="F968" s="65"/>
      <c r="G968" s="65"/>
      <c r="H968" s="65"/>
      <c r="I968" s="65"/>
      <c r="J968" s="65"/>
      <c r="K968" s="65"/>
      <c r="L968" s="65"/>
      <c r="M968" s="65"/>
      <c r="N968" s="65"/>
      <c r="O968" s="65"/>
      <c r="P968" s="65"/>
      <c r="Q968" s="65"/>
      <c r="R968" s="65"/>
      <c r="S968" s="65"/>
      <c r="T968" s="65"/>
      <c r="U968" s="65"/>
      <c r="V968" s="65"/>
      <c r="W968" s="65"/>
      <c r="X968" s="65"/>
      <c r="Y968" s="65"/>
      <c r="Z968" s="65"/>
    </row>
    <row r="969">
      <c r="A969" s="65"/>
      <c r="B969" s="65"/>
      <c r="C969" s="65"/>
      <c r="D969" s="65"/>
      <c r="E969" s="65"/>
      <c r="F969" s="65"/>
      <c r="G969" s="65"/>
      <c r="H969" s="65"/>
      <c r="I969" s="65"/>
      <c r="J969" s="65"/>
      <c r="K969" s="65"/>
      <c r="L969" s="65"/>
      <c r="M969" s="65"/>
      <c r="N969" s="65"/>
      <c r="O969" s="65"/>
      <c r="P969" s="65"/>
      <c r="Q969" s="65"/>
      <c r="R969" s="65"/>
      <c r="S969" s="65"/>
      <c r="T969" s="65"/>
      <c r="U969" s="65"/>
      <c r="V969" s="65"/>
      <c r="W969" s="65"/>
      <c r="X969" s="65"/>
      <c r="Y969" s="65"/>
      <c r="Z969" s="65"/>
    </row>
    <row r="970">
      <c r="A970" s="65"/>
      <c r="B970" s="65"/>
      <c r="C970" s="65"/>
      <c r="D970" s="65"/>
      <c r="E970" s="65"/>
      <c r="F970" s="65"/>
      <c r="G970" s="65"/>
      <c r="H970" s="65"/>
      <c r="I970" s="65"/>
      <c r="J970" s="65"/>
      <c r="K970" s="65"/>
      <c r="L970" s="65"/>
      <c r="M970" s="65"/>
      <c r="N970" s="65"/>
      <c r="O970" s="65"/>
      <c r="P970" s="65"/>
      <c r="Q970" s="65"/>
      <c r="R970" s="65"/>
      <c r="S970" s="65"/>
      <c r="T970" s="65"/>
      <c r="U970" s="65"/>
      <c r="V970" s="65"/>
      <c r="W970" s="65"/>
      <c r="X970" s="65"/>
      <c r="Y970" s="65"/>
      <c r="Z970" s="65"/>
    </row>
    <row r="971">
      <c r="A971" s="65"/>
      <c r="B971" s="65"/>
      <c r="C971" s="65"/>
      <c r="D971" s="65"/>
      <c r="E971" s="65"/>
      <c r="F971" s="65"/>
      <c r="G971" s="65"/>
      <c r="H971" s="65"/>
      <c r="I971" s="65"/>
      <c r="J971" s="65"/>
      <c r="K971" s="65"/>
      <c r="L971" s="65"/>
      <c r="M971" s="65"/>
      <c r="N971" s="65"/>
      <c r="O971" s="65"/>
      <c r="P971" s="65"/>
      <c r="Q971" s="65"/>
      <c r="R971" s="65"/>
      <c r="S971" s="65"/>
      <c r="T971" s="65"/>
      <c r="U971" s="65"/>
      <c r="V971" s="65"/>
      <c r="W971" s="65"/>
      <c r="X971" s="65"/>
      <c r="Y971" s="65"/>
      <c r="Z971" s="65"/>
    </row>
    <row r="972">
      <c r="A972" s="65"/>
      <c r="B972" s="65"/>
      <c r="C972" s="65"/>
      <c r="D972" s="65"/>
      <c r="E972" s="65"/>
      <c r="F972" s="65"/>
      <c r="G972" s="65"/>
      <c r="H972" s="65"/>
      <c r="I972" s="65"/>
      <c r="J972" s="65"/>
      <c r="K972" s="65"/>
      <c r="L972" s="65"/>
      <c r="M972" s="65"/>
      <c r="N972" s="65"/>
      <c r="O972" s="65"/>
      <c r="P972" s="65"/>
      <c r="Q972" s="65"/>
      <c r="R972" s="65"/>
      <c r="S972" s="65"/>
      <c r="T972" s="65"/>
      <c r="U972" s="65"/>
      <c r="V972" s="65"/>
      <c r="W972" s="65"/>
      <c r="X972" s="65"/>
      <c r="Y972" s="65"/>
      <c r="Z972" s="65"/>
    </row>
    <row r="973">
      <c r="A973" s="65"/>
      <c r="B973" s="65"/>
      <c r="C973" s="65"/>
      <c r="D973" s="65"/>
      <c r="E973" s="65"/>
      <c r="F973" s="65"/>
      <c r="G973" s="65"/>
      <c r="H973" s="65"/>
      <c r="I973" s="65"/>
      <c r="J973" s="65"/>
      <c r="K973" s="65"/>
      <c r="L973" s="65"/>
      <c r="M973" s="65"/>
      <c r="N973" s="65"/>
      <c r="O973" s="65"/>
      <c r="P973" s="65"/>
      <c r="Q973" s="65"/>
      <c r="R973" s="65"/>
      <c r="S973" s="65"/>
      <c r="T973" s="65"/>
      <c r="U973" s="65"/>
      <c r="V973" s="65"/>
      <c r="W973" s="65"/>
      <c r="X973" s="65"/>
      <c r="Y973" s="65"/>
      <c r="Z973" s="65"/>
    </row>
    <row r="974">
      <c r="A974" s="65"/>
      <c r="B974" s="65"/>
      <c r="C974" s="65"/>
      <c r="D974" s="65"/>
      <c r="E974" s="65"/>
      <c r="F974" s="65"/>
      <c r="G974" s="65"/>
      <c r="H974" s="65"/>
      <c r="I974" s="65"/>
      <c r="J974" s="65"/>
      <c r="K974" s="65"/>
      <c r="L974" s="65"/>
      <c r="M974" s="65"/>
      <c r="N974" s="65"/>
      <c r="O974" s="65"/>
      <c r="P974" s="65"/>
      <c r="Q974" s="65"/>
      <c r="R974" s="65"/>
      <c r="S974" s="65"/>
      <c r="T974" s="65"/>
      <c r="U974" s="65"/>
      <c r="V974" s="65"/>
      <c r="W974" s="65"/>
      <c r="X974" s="65"/>
      <c r="Y974" s="65"/>
      <c r="Z974" s="65"/>
    </row>
    <row r="975">
      <c r="A975" s="65"/>
      <c r="B975" s="65"/>
      <c r="C975" s="65"/>
      <c r="D975" s="65"/>
      <c r="E975" s="65"/>
      <c r="F975" s="65"/>
      <c r="G975" s="65"/>
      <c r="H975" s="65"/>
      <c r="I975" s="65"/>
      <c r="J975" s="65"/>
      <c r="K975" s="65"/>
      <c r="L975" s="65"/>
      <c r="M975" s="65"/>
      <c r="N975" s="65"/>
      <c r="O975" s="65"/>
      <c r="P975" s="65"/>
      <c r="Q975" s="65"/>
      <c r="R975" s="65"/>
      <c r="S975" s="65"/>
      <c r="T975" s="65"/>
      <c r="U975" s="65"/>
      <c r="V975" s="65"/>
      <c r="W975" s="65"/>
      <c r="X975" s="65"/>
      <c r="Y975" s="65"/>
      <c r="Z975" s="65"/>
    </row>
    <row r="976">
      <c r="A976" s="65"/>
      <c r="B976" s="65"/>
      <c r="C976" s="65"/>
      <c r="D976" s="65"/>
      <c r="E976" s="65"/>
      <c r="F976" s="65"/>
      <c r="G976" s="65"/>
      <c r="H976" s="65"/>
      <c r="I976" s="65"/>
      <c r="J976" s="65"/>
      <c r="K976" s="65"/>
      <c r="L976" s="65"/>
      <c r="M976" s="65"/>
      <c r="N976" s="65"/>
      <c r="O976" s="65"/>
      <c r="P976" s="65"/>
      <c r="Q976" s="65"/>
      <c r="R976" s="65"/>
      <c r="S976" s="65"/>
      <c r="T976" s="65"/>
      <c r="U976" s="65"/>
      <c r="V976" s="65"/>
      <c r="W976" s="65"/>
      <c r="X976" s="65"/>
      <c r="Y976" s="65"/>
      <c r="Z976" s="65"/>
    </row>
    <row r="977">
      <c r="A977" s="65"/>
      <c r="B977" s="65"/>
      <c r="C977" s="65"/>
      <c r="D977" s="65"/>
      <c r="E977" s="65"/>
      <c r="F977" s="65"/>
      <c r="G977" s="65"/>
      <c r="H977" s="65"/>
      <c r="I977" s="65"/>
      <c r="J977" s="65"/>
      <c r="K977" s="65"/>
      <c r="L977" s="65"/>
      <c r="M977" s="65"/>
      <c r="N977" s="65"/>
      <c r="O977" s="65"/>
      <c r="P977" s="65"/>
      <c r="Q977" s="65"/>
      <c r="R977" s="65"/>
      <c r="S977" s="65"/>
      <c r="T977" s="65"/>
      <c r="U977" s="65"/>
      <c r="V977" s="65"/>
      <c r="W977" s="65"/>
      <c r="X977" s="65"/>
      <c r="Y977" s="65"/>
      <c r="Z977" s="65"/>
    </row>
    <row r="978">
      <c r="A978" s="65"/>
      <c r="B978" s="65"/>
      <c r="C978" s="65"/>
      <c r="D978" s="65"/>
      <c r="E978" s="65"/>
      <c r="F978" s="65"/>
      <c r="G978" s="65"/>
      <c r="H978" s="65"/>
      <c r="I978" s="65"/>
      <c r="J978" s="65"/>
      <c r="K978" s="65"/>
      <c r="L978" s="65"/>
      <c r="M978" s="65"/>
      <c r="N978" s="65"/>
      <c r="O978" s="65"/>
      <c r="P978" s="65"/>
      <c r="Q978" s="65"/>
      <c r="R978" s="65"/>
      <c r="S978" s="65"/>
      <c r="T978" s="65"/>
      <c r="U978" s="65"/>
      <c r="V978" s="65"/>
      <c r="W978" s="65"/>
      <c r="X978" s="65"/>
      <c r="Y978" s="65"/>
      <c r="Z978" s="65"/>
    </row>
  </sheetData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25"/>
    <col customWidth="1" min="2" max="2" width="29.5"/>
    <col customWidth="1" min="7" max="7" width="102.25"/>
  </cols>
  <sheetData>
    <row r="1">
      <c r="A1" s="176" t="s">
        <v>387</v>
      </c>
      <c r="B1" s="177"/>
      <c r="D1" s="178"/>
      <c r="F1" s="178"/>
    </row>
    <row r="2">
      <c r="A2" s="179"/>
      <c r="B2" s="180"/>
      <c r="C2" s="181" t="s">
        <v>388</v>
      </c>
      <c r="D2" s="182"/>
      <c r="E2" s="183"/>
      <c r="F2" s="184"/>
      <c r="G2" s="185"/>
      <c r="H2" s="185"/>
      <c r="I2" s="185"/>
    </row>
    <row r="3">
      <c r="A3" s="186"/>
      <c r="B3" s="187"/>
      <c r="C3" s="186"/>
      <c r="D3" s="188"/>
      <c r="E3" s="186"/>
      <c r="F3" s="188"/>
      <c r="G3" s="189" t="s">
        <v>389</v>
      </c>
      <c r="H3" s="185"/>
    </row>
    <row r="4">
      <c r="A4" s="190" t="s">
        <v>390</v>
      </c>
      <c r="B4" s="191"/>
      <c r="C4" s="186"/>
      <c r="D4" s="188"/>
      <c r="E4" s="192"/>
      <c r="F4" s="188"/>
      <c r="G4" s="193" t="s">
        <v>391</v>
      </c>
      <c r="H4" s="185"/>
    </row>
    <row r="5">
      <c r="A5" s="190" t="s">
        <v>392</v>
      </c>
      <c r="B5" s="194"/>
      <c r="C5" s="183"/>
      <c r="D5" s="195"/>
      <c r="E5" s="196"/>
      <c r="F5" s="188"/>
      <c r="G5" s="193" t="s">
        <v>393</v>
      </c>
      <c r="H5" s="185"/>
    </row>
    <row r="6">
      <c r="A6" s="190" t="s">
        <v>394</v>
      </c>
      <c r="B6" s="191" t="s">
        <v>395</v>
      </c>
      <c r="C6" s="186"/>
      <c r="D6" s="197" t="s">
        <v>396</v>
      </c>
      <c r="E6" s="190">
        <v>15.0</v>
      </c>
      <c r="F6" s="188"/>
      <c r="G6" s="193" t="s">
        <v>397</v>
      </c>
      <c r="H6" s="185"/>
    </row>
    <row r="7">
      <c r="A7" s="198" t="s">
        <v>398</v>
      </c>
      <c r="B7" s="191"/>
      <c r="C7" s="199"/>
      <c r="D7" s="200" t="s">
        <v>399</v>
      </c>
      <c r="E7" s="198"/>
      <c r="F7" s="188"/>
      <c r="G7" s="201" t="s">
        <v>400</v>
      </c>
      <c r="H7" s="185"/>
    </row>
    <row r="8">
      <c r="A8" s="185"/>
      <c r="B8" s="185"/>
      <c r="C8" s="185"/>
      <c r="D8" s="185"/>
      <c r="E8" s="185"/>
      <c r="F8" s="185"/>
      <c r="G8" s="201" t="s">
        <v>401</v>
      </c>
      <c r="H8" s="185"/>
    </row>
    <row r="9">
      <c r="A9" s="202"/>
      <c r="B9" s="182"/>
      <c r="C9" s="182"/>
      <c r="D9" s="182"/>
      <c r="E9" s="182"/>
      <c r="F9" s="182"/>
      <c r="G9" s="182"/>
      <c r="H9" s="183"/>
    </row>
    <row r="10">
      <c r="A10" s="203" t="s">
        <v>402</v>
      </c>
      <c r="B10" s="204" t="s">
        <v>1</v>
      </c>
      <c r="C10" s="204" t="s">
        <v>2</v>
      </c>
      <c r="D10" s="134" t="s">
        <v>3</v>
      </c>
      <c r="E10" s="204" t="s">
        <v>403</v>
      </c>
      <c r="F10" s="134" t="s">
        <v>404</v>
      </c>
      <c r="G10" s="204" t="s">
        <v>6</v>
      </c>
      <c r="H10" s="185"/>
    </row>
    <row r="11">
      <c r="A11" s="9" t="s">
        <v>405</v>
      </c>
      <c r="B11" s="205" t="s">
        <v>153</v>
      </c>
      <c r="C11" s="206">
        <v>1.0</v>
      </c>
      <c r="D11" s="207">
        <v>12.0</v>
      </c>
      <c r="E11" s="208">
        <v>25210.0</v>
      </c>
      <c r="F11" s="209">
        <f t="shared" ref="F11:F14" si="1">C11*D11*E11</f>
        <v>302520</v>
      </c>
      <c r="G11" s="37" t="s">
        <v>406</v>
      </c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</row>
    <row r="12">
      <c r="A12" s="9" t="s">
        <v>116</v>
      </c>
      <c r="B12" s="205" t="s">
        <v>153</v>
      </c>
      <c r="C12" s="206">
        <v>2.0</v>
      </c>
      <c r="D12" s="206">
        <v>12.0</v>
      </c>
      <c r="E12" s="208">
        <v>1933.0</v>
      </c>
      <c r="F12" s="209">
        <f t="shared" si="1"/>
        <v>46392</v>
      </c>
      <c r="G12" s="37" t="s">
        <v>407</v>
      </c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</row>
    <row r="13">
      <c r="A13" s="210" t="s">
        <v>98</v>
      </c>
      <c r="B13" s="211"/>
      <c r="C13" s="212">
        <v>2.0</v>
      </c>
      <c r="D13" s="212">
        <v>12.0</v>
      </c>
      <c r="E13" s="208">
        <v>4850.0</v>
      </c>
      <c r="F13" s="209">
        <f t="shared" si="1"/>
        <v>116400</v>
      </c>
      <c r="G13" s="151" t="s">
        <v>408</v>
      </c>
      <c r="H13" s="185"/>
    </row>
    <row r="14">
      <c r="A14" s="210" t="s">
        <v>409</v>
      </c>
      <c r="B14" s="211"/>
      <c r="C14" s="212">
        <v>1.0</v>
      </c>
      <c r="D14" s="212">
        <v>12.0</v>
      </c>
      <c r="E14" s="208">
        <v>120630.0</v>
      </c>
      <c r="F14" s="209">
        <f t="shared" si="1"/>
        <v>1447560</v>
      </c>
      <c r="G14" s="213" t="s">
        <v>410</v>
      </c>
      <c r="H14" s="185"/>
    </row>
    <row r="15">
      <c r="A15" s="214"/>
      <c r="B15" s="215"/>
      <c r="C15" s="216"/>
      <c r="D15" s="216"/>
      <c r="E15" s="214"/>
      <c r="F15" s="217">
        <f>SUM(F11:F14)</f>
        <v>1912872</v>
      </c>
      <c r="G15" s="218"/>
      <c r="H15" s="185"/>
    </row>
    <row r="16">
      <c r="A16" s="203" t="s">
        <v>411</v>
      </c>
      <c r="B16" s="204" t="s">
        <v>1</v>
      </c>
      <c r="C16" s="134" t="s">
        <v>2</v>
      </c>
      <c r="D16" s="134" t="s">
        <v>3</v>
      </c>
      <c r="E16" s="204" t="s">
        <v>403</v>
      </c>
      <c r="F16" s="134" t="s">
        <v>404</v>
      </c>
      <c r="G16" s="204" t="s">
        <v>6</v>
      </c>
      <c r="H16" s="185"/>
    </row>
    <row r="17">
      <c r="A17" s="9" t="s">
        <v>148</v>
      </c>
      <c r="B17" s="205" t="s">
        <v>146</v>
      </c>
      <c r="C17" s="206">
        <v>1.0</v>
      </c>
      <c r="D17" s="207">
        <v>12.0</v>
      </c>
      <c r="E17" s="219">
        <v>0.0</v>
      </c>
      <c r="F17" s="220">
        <f>C17*E17</f>
        <v>0</v>
      </c>
      <c r="G17" s="85" t="s">
        <v>412</v>
      </c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</row>
    <row r="18">
      <c r="A18" s="221" t="s">
        <v>413</v>
      </c>
      <c r="B18" s="222" t="s">
        <v>414</v>
      </c>
      <c r="C18" s="223">
        <v>1.0</v>
      </c>
      <c r="D18" s="223">
        <v>12.0</v>
      </c>
      <c r="E18" s="224"/>
      <c r="F18" s="225">
        <v>1144000.0</v>
      </c>
      <c r="G18" s="213" t="s">
        <v>415</v>
      </c>
      <c r="H18" s="185"/>
    </row>
    <row r="19">
      <c r="A19" s="36" t="s">
        <v>416</v>
      </c>
      <c r="B19" s="205" t="s">
        <v>150</v>
      </c>
      <c r="C19" s="206">
        <v>1.0</v>
      </c>
      <c r="D19" s="207">
        <v>12.0</v>
      </c>
      <c r="E19" s="208">
        <v>25210.0</v>
      </c>
      <c r="F19" s="209">
        <f t="shared" ref="F19:F25" si="2">C19*D19*E19</f>
        <v>302520</v>
      </c>
      <c r="G19" s="84" t="s">
        <v>151</v>
      </c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</row>
    <row r="20">
      <c r="A20" s="9" t="s">
        <v>116</v>
      </c>
      <c r="B20" s="205" t="s">
        <v>150</v>
      </c>
      <c r="C20" s="206">
        <v>2.0</v>
      </c>
      <c r="D20" s="206">
        <v>12.0</v>
      </c>
      <c r="E20" s="219">
        <v>1933.0</v>
      </c>
      <c r="F20" s="209">
        <f t="shared" si="2"/>
        <v>46392</v>
      </c>
      <c r="G20" s="37" t="s">
        <v>407</v>
      </c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</row>
    <row r="21">
      <c r="A21" s="9" t="s">
        <v>12</v>
      </c>
      <c r="B21" s="205" t="s">
        <v>8</v>
      </c>
      <c r="C21" s="206">
        <v>1.0</v>
      </c>
      <c r="D21" s="206">
        <v>1.0</v>
      </c>
      <c r="E21" s="208">
        <f>220000*1.1</f>
        <v>242000</v>
      </c>
      <c r="F21" s="209">
        <f t="shared" si="2"/>
        <v>242000</v>
      </c>
      <c r="G21" s="12" t="s">
        <v>417</v>
      </c>
      <c r="H21" s="226"/>
      <c r="I21" s="145"/>
      <c r="J21" s="145"/>
      <c r="K21" s="145"/>
      <c r="L21" s="145"/>
      <c r="M21" s="145"/>
      <c r="N21" s="145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5"/>
      <c r="Z21" s="145"/>
      <c r="AA21" s="145"/>
      <c r="AB21" s="145"/>
      <c r="AC21" s="146"/>
      <c r="AD21" s="146"/>
    </row>
    <row r="22">
      <c r="A22" s="9" t="s">
        <v>405</v>
      </c>
      <c r="B22" s="205" t="s">
        <v>153</v>
      </c>
      <c r="C22" s="206">
        <v>1.0</v>
      </c>
      <c r="D22" s="207">
        <v>12.0</v>
      </c>
      <c r="E22" s="208">
        <v>25210.0</v>
      </c>
      <c r="F22" s="209">
        <f t="shared" si="2"/>
        <v>302520</v>
      </c>
      <c r="G22" s="37" t="s">
        <v>406</v>
      </c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</row>
    <row r="23">
      <c r="A23" s="9" t="s">
        <v>116</v>
      </c>
      <c r="B23" s="205" t="s">
        <v>153</v>
      </c>
      <c r="C23" s="206">
        <v>2.0</v>
      </c>
      <c r="D23" s="206">
        <v>12.0</v>
      </c>
      <c r="E23" s="219">
        <v>1933.0</v>
      </c>
      <c r="F23" s="209">
        <f t="shared" si="2"/>
        <v>46392</v>
      </c>
      <c r="G23" s="37" t="s">
        <v>407</v>
      </c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</row>
    <row r="24">
      <c r="A24" s="210" t="s">
        <v>409</v>
      </c>
      <c r="B24" s="211"/>
      <c r="C24" s="212">
        <v>1.0</v>
      </c>
      <c r="D24" s="212">
        <v>12.0</v>
      </c>
      <c r="E24" s="224">
        <v>120630.0</v>
      </c>
      <c r="F24" s="209">
        <f t="shared" si="2"/>
        <v>1447560</v>
      </c>
      <c r="G24" s="213" t="s">
        <v>410</v>
      </c>
      <c r="H24" s="185"/>
    </row>
    <row r="25">
      <c r="A25" s="9" t="s">
        <v>111</v>
      </c>
      <c r="B25" s="136"/>
      <c r="C25" s="206">
        <v>1.0</v>
      </c>
      <c r="D25" s="89">
        <v>12.0</v>
      </c>
      <c r="E25" s="29">
        <v>38000.0</v>
      </c>
      <c r="F25" s="209">
        <f t="shared" si="2"/>
        <v>456000</v>
      </c>
      <c r="G25" s="37" t="s">
        <v>103</v>
      </c>
      <c r="H25" s="185"/>
    </row>
    <row r="26">
      <c r="A26" s="9" t="s">
        <v>418</v>
      </c>
      <c r="B26" s="227" t="s">
        <v>77</v>
      </c>
      <c r="C26" s="228"/>
      <c r="D26" s="229"/>
      <c r="E26" s="56">
        <v>500000.0</v>
      </c>
      <c r="F26" s="229">
        <f t="shared" ref="F26:F27" si="3">E26</f>
        <v>500000</v>
      </c>
      <c r="G26" s="230" t="s">
        <v>419</v>
      </c>
      <c r="H26" s="226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  <c r="AA26" s="145"/>
      <c r="AB26" s="145"/>
      <c r="AC26" s="146"/>
      <c r="AD26" s="146"/>
    </row>
    <row r="27">
      <c r="A27" s="231" t="s">
        <v>420</v>
      </c>
      <c r="B27" s="227" t="s">
        <v>77</v>
      </c>
      <c r="C27" s="232"/>
      <c r="D27" s="233"/>
      <c r="E27" s="234">
        <v>750000.0</v>
      </c>
      <c r="F27" s="229">
        <f t="shared" si="3"/>
        <v>750000</v>
      </c>
      <c r="G27" s="227" t="s">
        <v>421</v>
      </c>
      <c r="H27" s="226"/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  <c r="AA27" s="145"/>
      <c r="AB27" s="145"/>
      <c r="AC27" s="146"/>
      <c r="AD27" s="146"/>
    </row>
    <row r="28">
      <c r="A28" s="235"/>
      <c r="B28" s="236"/>
      <c r="C28" s="237"/>
      <c r="D28" s="237"/>
      <c r="E28" s="238"/>
      <c r="F28" s="239">
        <f>SUM(F17:F27)</f>
        <v>5237384</v>
      </c>
      <c r="G28" s="240"/>
      <c r="H28" s="185"/>
    </row>
    <row r="29">
      <c r="A29" s="203" t="s">
        <v>422</v>
      </c>
      <c r="B29" s="204" t="s">
        <v>1</v>
      </c>
      <c r="C29" s="134" t="s">
        <v>2</v>
      </c>
      <c r="D29" s="134" t="s">
        <v>3</v>
      </c>
      <c r="E29" s="241" t="s">
        <v>403</v>
      </c>
      <c r="F29" s="241" t="s">
        <v>404</v>
      </c>
      <c r="G29" s="204" t="s">
        <v>6</v>
      </c>
      <c r="H29" s="185"/>
    </row>
    <row r="30">
      <c r="A30" s="36" t="s">
        <v>145</v>
      </c>
      <c r="B30" s="205" t="s">
        <v>146</v>
      </c>
      <c r="C30" s="206">
        <v>1.0</v>
      </c>
      <c r="D30" s="207">
        <v>12.0</v>
      </c>
      <c r="E30" s="219">
        <v>0.0</v>
      </c>
      <c r="F30" s="220">
        <f>C30*D30*E30</f>
        <v>0</v>
      </c>
      <c r="G30" s="85" t="s">
        <v>412</v>
      </c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</row>
    <row r="31">
      <c r="A31" s="221" t="s">
        <v>423</v>
      </c>
      <c r="B31" s="222" t="s">
        <v>424</v>
      </c>
      <c r="C31" s="223">
        <v>1.0</v>
      </c>
      <c r="D31" s="223">
        <v>1.0</v>
      </c>
      <c r="E31" s="242">
        <v>1525000.0</v>
      </c>
      <c r="F31" s="220">
        <f>E31</f>
        <v>1525000</v>
      </c>
      <c r="G31" s="213" t="s">
        <v>425</v>
      </c>
      <c r="H31" s="185"/>
    </row>
    <row r="32">
      <c r="A32" s="36" t="s">
        <v>416</v>
      </c>
      <c r="B32" s="205" t="s">
        <v>150</v>
      </c>
      <c r="C32" s="206">
        <v>1.0</v>
      </c>
      <c r="D32" s="207">
        <v>12.0</v>
      </c>
      <c r="E32" s="208">
        <v>25210.0</v>
      </c>
      <c r="F32" s="209">
        <f>C32*D32*E32</f>
        <v>302520</v>
      </c>
      <c r="G32" s="84" t="s">
        <v>151</v>
      </c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</row>
    <row r="33">
      <c r="A33" s="243" t="s">
        <v>291</v>
      </c>
      <c r="B33" s="148" t="s">
        <v>287</v>
      </c>
      <c r="C33" s="149"/>
      <c r="D33" s="149">
        <v>0.0</v>
      </c>
      <c r="E33" s="150">
        <v>0.0</v>
      </c>
      <c r="F33" s="149">
        <v>0.0</v>
      </c>
      <c r="G33" s="151" t="s">
        <v>290</v>
      </c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</row>
    <row r="34">
      <c r="A34" s="235"/>
      <c r="B34" s="236"/>
      <c r="C34" s="236"/>
      <c r="D34" s="237"/>
      <c r="E34" s="236"/>
      <c r="F34" s="217">
        <f>SUM(F30:F33)</f>
        <v>1827520</v>
      </c>
      <c r="G34" s="240"/>
      <c r="H34" s="185"/>
    </row>
    <row r="35">
      <c r="A35" s="235"/>
      <c r="B35" s="236"/>
      <c r="C35" s="236"/>
      <c r="D35" s="237"/>
      <c r="E35" s="236"/>
      <c r="F35" s="237"/>
      <c r="G35" s="240"/>
      <c r="H35" s="185"/>
    </row>
    <row r="36">
      <c r="A36" s="244" t="s">
        <v>426</v>
      </c>
      <c r="B36" s="245"/>
      <c r="C36" s="246"/>
      <c r="D36" s="247"/>
      <c r="E36" s="248"/>
      <c r="F36" s="249">
        <f>F15+F28+F34</f>
        <v>8977776</v>
      </c>
      <c r="G36" s="250" t="s">
        <v>427</v>
      </c>
      <c r="H36" s="185"/>
    </row>
    <row r="37">
      <c r="A37" s="251" t="s">
        <v>428</v>
      </c>
      <c r="B37" s="252"/>
      <c r="C37" s="252"/>
      <c r="D37" s="253"/>
      <c r="E37" s="254"/>
      <c r="F37" s="255">
        <f>F36*0.19</f>
        <v>1705777.44</v>
      </c>
      <c r="G37" s="256"/>
      <c r="H37" s="185"/>
    </row>
    <row r="38">
      <c r="A38" s="257" t="s">
        <v>429</v>
      </c>
      <c r="B38" s="258"/>
      <c r="C38" s="258"/>
      <c r="D38" s="259"/>
      <c r="E38" s="260"/>
      <c r="F38" s="261">
        <f>F36+F37</f>
        <v>10683553.44</v>
      </c>
      <c r="G38" s="256"/>
      <c r="H38" s="185"/>
    </row>
    <row r="39">
      <c r="A39" s="202"/>
      <c r="B39" s="182"/>
      <c r="C39" s="182"/>
      <c r="D39" s="182"/>
      <c r="E39" s="182"/>
      <c r="F39" s="182"/>
      <c r="G39" s="182"/>
      <c r="H39" s="183"/>
    </row>
    <row r="40">
      <c r="A40" s="202"/>
      <c r="B40" s="182"/>
      <c r="C40" s="182"/>
      <c r="D40" s="182"/>
      <c r="E40" s="182"/>
      <c r="F40" s="182"/>
      <c r="G40" s="182"/>
      <c r="H40" s="183"/>
    </row>
    <row r="41">
      <c r="A41" s="262" t="s">
        <v>430</v>
      </c>
      <c r="B41" s="236"/>
      <c r="C41" s="263"/>
      <c r="D41" s="264"/>
      <c r="E41" s="263"/>
      <c r="F41" s="264"/>
      <c r="G41" s="263"/>
      <c r="H41" s="185"/>
    </row>
    <row r="42">
      <c r="A42" s="265" t="s">
        <v>431</v>
      </c>
      <c r="B42" s="182"/>
      <c r="C42" s="182"/>
      <c r="D42" s="182"/>
      <c r="E42" s="182"/>
      <c r="F42" s="182"/>
      <c r="G42" s="263"/>
      <c r="H42" s="185"/>
    </row>
    <row r="43">
      <c r="A43" s="265" t="s">
        <v>432</v>
      </c>
      <c r="B43" s="182"/>
      <c r="C43" s="182"/>
      <c r="D43" s="182"/>
      <c r="E43" s="182"/>
      <c r="F43" s="182"/>
      <c r="G43" s="263"/>
      <c r="H43" s="185"/>
    </row>
    <row r="44">
      <c r="A44" s="265" t="s">
        <v>433</v>
      </c>
      <c r="B44" s="182"/>
      <c r="C44" s="182"/>
      <c r="D44" s="182"/>
      <c r="E44" s="182"/>
      <c r="F44" s="182"/>
      <c r="G44" s="263"/>
      <c r="H44" s="185"/>
    </row>
    <row r="45">
      <c r="A45" s="265" t="s">
        <v>434</v>
      </c>
      <c r="B45" s="182"/>
      <c r="C45" s="182"/>
      <c r="D45" s="182"/>
      <c r="E45" s="182"/>
      <c r="F45" s="182"/>
      <c r="G45" s="263"/>
      <c r="H45" s="185"/>
    </row>
    <row r="46">
      <c r="A46" s="265" t="s">
        <v>435</v>
      </c>
      <c r="B46" s="182"/>
      <c r="C46" s="182"/>
      <c r="D46" s="182"/>
      <c r="E46" s="182"/>
      <c r="F46" s="182"/>
      <c r="G46" s="263"/>
      <c r="H46" s="185"/>
    </row>
    <row r="47">
      <c r="A47" s="265" t="s">
        <v>436</v>
      </c>
      <c r="B47" s="182"/>
      <c r="C47" s="182"/>
      <c r="D47" s="182"/>
      <c r="E47" s="182"/>
      <c r="F47" s="182"/>
      <c r="G47" s="263"/>
      <c r="H47" s="185"/>
    </row>
    <row r="48">
      <c r="A48" s="265" t="s">
        <v>437</v>
      </c>
      <c r="B48" s="182"/>
      <c r="C48" s="182"/>
      <c r="D48" s="182"/>
      <c r="E48" s="182"/>
      <c r="F48" s="182"/>
      <c r="G48" s="266"/>
      <c r="H48" s="185"/>
    </row>
    <row r="49">
      <c r="A49" s="265" t="s">
        <v>438</v>
      </c>
      <c r="B49" s="182"/>
      <c r="C49" s="182"/>
      <c r="D49" s="182"/>
      <c r="E49" s="182"/>
      <c r="F49" s="182"/>
      <c r="G49" s="263"/>
      <c r="H49" s="185"/>
    </row>
    <row r="50">
      <c r="A50" s="265" t="s">
        <v>439</v>
      </c>
      <c r="B50" s="182"/>
      <c r="C50" s="182"/>
      <c r="D50" s="182"/>
      <c r="E50" s="182"/>
      <c r="F50" s="182"/>
      <c r="G50" s="266"/>
      <c r="H50" s="185"/>
    </row>
    <row r="51">
      <c r="A51" s="265" t="s">
        <v>440</v>
      </c>
      <c r="B51" s="182"/>
      <c r="C51" s="182"/>
      <c r="D51" s="182"/>
      <c r="E51" s="182"/>
      <c r="F51" s="182"/>
      <c r="G51" s="263"/>
      <c r="H51" s="185"/>
    </row>
    <row r="52">
      <c r="A52" s="265" t="s">
        <v>441</v>
      </c>
      <c r="B52" s="182"/>
      <c r="C52" s="182"/>
      <c r="D52" s="182"/>
      <c r="E52" s="182"/>
      <c r="F52" s="182"/>
      <c r="G52" s="266"/>
      <c r="H52" s="185"/>
    </row>
    <row r="53">
      <c r="A53" s="265" t="s">
        <v>442</v>
      </c>
      <c r="B53" s="182"/>
      <c r="C53" s="182"/>
      <c r="D53" s="182"/>
      <c r="E53" s="182"/>
      <c r="F53" s="182"/>
      <c r="G53" s="266"/>
      <c r="H53" s="185"/>
    </row>
    <row r="54">
      <c r="A54" s="265" t="s">
        <v>443</v>
      </c>
      <c r="B54" s="182"/>
      <c r="C54" s="182"/>
      <c r="D54" s="182"/>
      <c r="E54" s="182"/>
      <c r="F54" s="182"/>
      <c r="G54" s="267"/>
      <c r="H54" s="266"/>
    </row>
    <row r="55">
      <c r="A55" s="265" t="s">
        <v>444</v>
      </c>
      <c r="B55" s="182"/>
      <c r="C55" s="182"/>
      <c r="D55" s="182"/>
      <c r="E55" s="182"/>
      <c r="F55" s="182"/>
      <c r="G55" s="256"/>
      <c r="H55" s="256"/>
    </row>
    <row r="56">
      <c r="A56" s="202"/>
      <c r="B56" s="182"/>
      <c r="C56" s="182"/>
      <c r="D56" s="182"/>
      <c r="E56" s="182"/>
      <c r="F56" s="182"/>
      <c r="G56" s="182"/>
      <c r="H56" s="183"/>
    </row>
    <row r="57">
      <c r="A57" s="268" t="s">
        <v>445</v>
      </c>
      <c r="B57" s="252"/>
      <c r="C57" s="256"/>
      <c r="D57" s="269"/>
      <c r="E57" s="256"/>
      <c r="F57" s="270"/>
      <c r="G57" s="256"/>
      <c r="H57" s="256"/>
    </row>
    <row r="58">
      <c r="A58" s="268" t="s">
        <v>446</v>
      </c>
      <c r="B58" s="252"/>
      <c r="C58" s="256"/>
      <c r="D58" s="269"/>
      <c r="E58" s="256"/>
      <c r="F58" s="270"/>
      <c r="G58" s="256"/>
      <c r="H58" s="256"/>
    </row>
    <row r="59">
      <c r="A59" s="271" t="s">
        <v>447</v>
      </c>
      <c r="B59" s="182"/>
      <c r="C59" s="182"/>
      <c r="D59" s="182"/>
      <c r="E59" s="183"/>
      <c r="F59" s="269"/>
      <c r="G59" s="256"/>
      <c r="H59" s="256"/>
    </row>
    <row r="60">
      <c r="A60" s="271" t="s">
        <v>448</v>
      </c>
      <c r="B60" s="183"/>
      <c r="C60" s="256"/>
      <c r="D60" s="269"/>
      <c r="E60" s="256"/>
      <c r="F60" s="269"/>
      <c r="G60" s="256"/>
      <c r="H60" s="256"/>
    </row>
    <row r="61">
      <c r="A61" s="272" t="s">
        <v>449</v>
      </c>
      <c r="B61" s="273"/>
      <c r="C61" s="256"/>
      <c r="D61" s="269"/>
      <c r="E61" s="256"/>
      <c r="F61" s="269"/>
      <c r="G61" s="256"/>
      <c r="H61" s="256"/>
    </row>
    <row r="62">
      <c r="A62" s="272" t="s">
        <v>450</v>
      </c>
      <c r="B62" s="273"/>
      <c r="C62" s="256"/>
      <c r="D62" s="269"/>
      <c r="E62" s="256"/>
      <c r="F62" s="269"/>
      <c r="G62" s="256"/>
      <c r="H62" s="256"/>
    </row>
    <row r="63">
      <c r="A63" s="202"/>
      <c r="B63" s="182"/>
      <c r="C63" s="182"/>
      <c r="D63" s="182"/>
      <c r="E63" s="182"/>
      <c r="F63" s="182"/>
      <c r="G63" s="182"/>
      <c r="H63" s="183"/>
    </row>
    <row r="64">
      <c r="A64" s="274" t="s">
        <v>451</v>
      </c>
      <c r="B64" s="252"/>
      <c r="C64" s="256"/>
      <c r="D64" s="269"/>
      <c r="E64" s="256"/>
      <c r="F64" s="269"/>
      <c r="G64" s="256"/>
      <c r="H64" s="185"/>
    </row>
    <row r="65">
      <c r="A65" s="275" t="s">
        <v>452</v>
      </c>
      <c r="B65" s="276" t="s">
        <v>453</v>
      </c>
      <c r="C65" s="256"/>
      <c r="D65" s="269"/>
      <c r="E65" s="256"/>
      <c r="F65" s="269"/>
      <c r="G65" s="256"/>
      <c r="H65" s="185"/>
    </row>
    <row r="66">
      <c r="A66" s="275" t="s">
        <v>454</v>
      </c>
      <c r="B66" s="276" t="s">
        <v>455</v>
      </c>
      <c r="C66" s="256"/>
      <c r="D66" s="269"/>
      <c r="E66" s="256"/>
      <c r="F66" s="269"/>
      <c r="G66" s="256"/>
      <c r="H66" s="185"/>
    </row>
    <row r="67">
      <c r="A67" s="275" t="s">
        <v>456</v>
      </c>
      <c r="B67" s="277" t="s">
        <v>457</v>
      </c>
      <c r="C67" s="183"/>
      <c r="D67" s="269"/>
      <c r="E67" s="256"/>
      <c r="F67" s="269"/>
      <c r="G67" s="256"/>
      <c r="H67" s="185"/>
    </row>
    <row r="68">
      <c r="A68" s="278" t="s">
        <v>458</v>
      </c>
      <c r="B68" s="276" t="s">
        <v>459</v>
      </c>
      <c r="C68" s="256"/>
      <c r="D68" s="269"/>
      <c r="E68" s="256"/>
      <c r="F68" s="269"/>
      <c r="G68" s="256"/>
      <c r="H68" s="185"/>
    </row>
    <row r="69">
      <c r="A69" s="278" t="s">
        <v>460</v>
      </c>
      <c r="B69" s="276" t="s">
        <v>461</v>
      </c>
      <c r="C69" s="256"/>
      <c r="D69" s="269"/>
      <c r="E69" s="256"/>
      <c r="F69" s="269"/>
      <c r="G69" s="256"/>
      <c r="H69" s="185"/>
    </row>
    <row r="70">
      <c r="A70" s="278" t="s">
        <v>462</v>
      </c>
      <c r="B70" s="277" t="s">
        <v>463</v>
      </c>
      <c r="C70" s="182"/>
      <c r="D70" s="183"/>
      <c r="E70" s="256"/>
      <c r="F70" s="269"/>
      <c r="G70" s="256"/>
      <c r="H70" s="185"/>
    </row>
    <row r="71">
      <c r="A71" s="278" t="s">
        <v>464</v>
      </c>
      <c r="B71" s="276" t="s">
        <v>465</v>
      </c>
      <c r="C71" s="256"/>
      <c r="D71" s="269"/>
      <c r="E71" s="256"/>
      <c r="F71" s="269"/>
      <c r="G71" s="256"/>
      <c r="H71" s="185"/>
    </row>
    <row r="72">
      <c r="A72" s="279" t="s">
        <v>466</v>
      </c>
      <c r="B72" s="182"/>
      <c r="C72" s="182"/>
      <c r="D72" s="183"/>
      <c r="E72" s="256"/>
      <c r="F72" s="269"/>
      <c r="G72" s="256"/>
      <c r="H72" s="185"/>
    </row>
    <row r="73">
      <c r="A73" s="202"/>
      <c r="B73" s="182"/>
      <c r="C73" s="182"/>
      <c r="D73" s="182"/>
      <c r="E73" s="182"/>
      <c r="F73" s="182"/>
      <c r="G73" s="182"/>
      <c r="H73" s="183"/>
    </row>
    <row r="74">
      <c r="A74" s="280" t="s">
        <v>467</v>
      </c>
      <c r="B74" s="183"/>
      <c r="C74" s="256"/>
      <c r="D74" s="269"/>
      <c r="E74" s="256"/>
      <c r="F74" s="269"/>
      <c r="G74" s="256"/>
      <c r="H74" s="185"/>
    </row>
    <row r="75">
      <c r="A75" s="280" t="s">
        <v>468</v>
      </c>
      <c r="B75" s="182"/>
      <c r="C75" s="182"/>
      <c r="D75" s="182"/>
      <c r="E75" s="182"/>
      <c r="F75" s="182"/>
      <c r="G75" s="183"/>
      <c r="H75" s="185"/>
    </row>
    <row r="76">
      <c r="A76" s="280" t="s">
        <v>469</v>
      </c>
      <c r="B76" s="182"/>
      <c r="C76" s="182"/>
      <c r="D76" s="182"/>
      <c r="E76" s="182"/>
      <c r="F76" s="182"/>
      <c r="G76" s="183"/>
      <c r="H76" s="185"/>
    </row>
    <row r="77">
      <c r="A77" s="280" t="s">
        <v>470</v>
      </c>
      <c r="B77" s="182"/>
      <c r="C77" s="183"/>
      <c r="D77" s="269"/>
      <c r="E77" s="256"/>
      <c r="F77" s="269"/>
      <c r="G77" s="256"/>
      <c r="H77" s="185"/>
    </row>
    <row r="78">
      <c r="A78" s="202"/>
      <c r="B78" s="182"/>
      <c r="C78" s="182"/>
      <c r="D78" s="182"/>
      <c r="E78" s="182"/>
      <c r="F78" s="182"/>
      <c r="G78" s="182"/>
      <c r="H78" s="183"/>
    </row>
    <row r="79">
      <c r="A79" s="274" t="s">
        <v>471</v>
      </c>
      <c r="B79" s="252"/>
      <c r="C79" s="256"/>
      <c r="D79" s="269"/>
      <c r="E79" s="256"/>
      <c r="F79" s="269"/>
      <c r="G79" s="202"/>
      <c r="H79" s="183"/>
    </row>
    <row r="80">
      <c r="A80" s="280" t="s">
        <v>472</v>
      </c>
      <c r="B80" s="183"/>
      <c r="C80" s="256"/>
      <c r="D80" s="269"/>
      <c r="E80" s="256"/>
      <c r="F80" s="269"/>
      <c r="G80" s="202"/>
      <c r="H80" s="183"/>
    </row>
    <row r="81">
      <c r="A81" s="275" t="s">
        <v>473</v>
      </c>
      <c r="B81" s="252"/>
      <c r="C81" s="256"/>
      <c r="D81" s="269"/>
      <c r="E81" s="256"/>
      <c r="F81" s="269"/>
      <c r="G81" s="202"/>
      <c r="H81" s="183"/>
    </row>
    <row r="82">
      <c r="A82" s="280" t="s">
        <v>474</v>
      </c>
      <c r="B82" s="182"/>
      <c r="C82" s="182"/>
      <c r="D82" s="183"/>
      <c r="E82" s="256"/>
      <c r="F82" s="269"/>
      <c r="G82" s="202"/>
      <c r="H82" s="183"/>
    </row>
    <row r="83">
      <c r="A83" s="274" t="s">
        <v>475</v>
      </c>
      <c r="B83" s="252"/>
      <c r="C83" s="256"/>
      <c r="D83" s="269"/>
      <c r="E83" s="256"/>
      <c r="F83" s="269"/>
      <c r="G83" s="202"/>
      <c r="H83" s="183"/>
    </row>
    <row r="84">
      <c r="A84" s="280" t="s">
        <v>476</v>
      </c>
      <c r="B84" s="182"/>
      <c r="C84" s="182"/>
      <c r="D84" s="183"/>
      <c r="E84" s="256"/>
      <c r="F84" s="269"/>
      <c r="G84" s="202"/>
      <c r="H84" s="183"/>
    </row>
    <row r="85">
      <c r="A85" s="280" t="s">
        <v>477</v>
      </c>
      <c r="B85" s="182"/>
      <c r="C85" s="182"/>
      <c r="D85" s="182"/>
      <c r="E85" s="182"/>
      <c r="F85" s="182"/>
      <c r="G85" s="183"/>
      <c r="H85" s="185"/>
    </row>
    <row r="86">
      <c r="A86" s="202"/>
      <c r="B86" s="182"/>
      <c r="C86" s="182"/>
      <c r="D86" s="182"/>
      <c r="E86" s="182"/>
      <c r="F86" s="182"/>
      <c r="G86" s="182"/>
      <c r="H86" s="183"/>
    </row>
    <row r="87">
      <c r="A87" s="274" t="s">
        <v>478</v>
      </c>
      <c r="B87" s="281"/>
      <c r="C87" s="182"/>
      <c r="D87" s="182"/>
      <c r="E87" s="182"/>
      <c r="F87" s="182"/>
      <c r="G87" s="182"/>
      <c r="H87" s="183"/>
    </row>
    <row r="88">
      <c r="A88" s="280" t="s">
        <v>479</v>
      </c>
      <c r="B88" s="182"/>
      <c r="C88" s="182"/>
      <c r="D88" s="182"/>
      <c r="E88" s="182"/>
      <c r="F88" s="183"/>
      <c r="G88" s="202"/>
      <c r="H88" s="183"/>
    </row>
    <row r="89">
      <c r="A89" s="280" t="s">
        <v>480</v>
      </c>
      <c r="B89" s="182"/>
      <c r="C89" s="182"/>
      <c r="D89" s="182"/>
      <c r="E89" s="183"/>
      <c r="F89" s="282"/>
      <c r="G89" s="182"/>
      <c r="H89" s="183"/>
    </row>
    <row r="90">
      <c r="A90" s="280" t="s">
        <v>481</v>
      </c>
      <c r="B90" s="182"/>
      <c r="C90" s="182"/>
      <c r="D90" s="182"/>
      <c r="E90" s="183"/>
      <c r="F90" s="282"/>
      <c r="G90" s="182"/>
      <c r="H90" s="183"/>
    </row>
    <row r="91">
      <c r="A91" s="280" t="s">
        <v>482</v>
      </c>
      <c r="B91" s="182"/>
      <c r="C91" s="182"/>
      <c r="D91" s="182"/>
      <c r="E91" s="182"/>
      <c r="F91" s="183"/>
    </row>
    <row r="92">
      <c r="B92" s="177"/>
      <c r="D92" s="178"/>
      <c r="F92" s="178"/>
    </row>
    <row r="93">
      <c r="B93" s="177"/>
      <c r="D93" s="178"/>
      <c r="F93" s="178"/>
    </row>
    <row r="94">
      <c r="B94" s="177"/>
      <c r="D94" s="178"/>
      <c r="F94" s="178"/>
    </row>
    <row r="95">
      <c r="B95" s="177"/>
      <c r="D95" s="178"/>
      <c r="F95" s="178"/>
    </row>
    <row r="96">
      <c r="B96" s="177"/>
      <c r="D96" s="178"/>
      <c r="F96" s="178"/>
    </row>
    <row r="97">
      <c r="B97" s="177"/>
      <c r="D97" s="178"/>
      <c r="F97" s="178"/>
    </row>
    <row r="98">
      <c r="B98" s="177"/>
      <c r="D98" s="178"/>
      <c r="F98" s="178"/>
    </row>
    <row r="99">
      <c r="B99" s="177"/>
      <c r="D99" s="178"/>
      <c r="F99" s="178"/>
    </row>
    <row r="100">
      <c r="B100" s="177"/>
      <c r="D100" s="178"/>
      <c r="F100" s="178"/>
    </row>
    <row r="101">
      <c r="B101" s="177"/>
      <c r="D101" s="178"/>
      <c r="F101" s="178"/>
    </row>
    <row r="102">
      <c r="B102" s="177"/>
      <c r="D102" s="178"/>
      <c r="F102" s="178"/>
    </row>
    <row r="103">
      <c r="B103" s="177"/>
      <c r="D103" s="178"/>
      <c r="F103" s="178"/>
    </row>
    <row r="104">
      <c r="B104" s="177"/>
      <c r="D104" s="178"/>
      <c r="F104" s="178"/>
    </row>
    <row r="105">
      <c r="B105" s="177"/>
      <c r="D105" s="178"/>
      <c r="F105" s="178"/>
    </row>
    <row r="106">
      <c r="B106" s="177"/>
      <c r="D106" s="178"/>
      <c r="F106" s="178"/>
    </row>
    <row r="107">
      <c r="B107" s="177"/>
      <c r="D107" s="178"/>
      <c r="F107" s="178"/>
    </row>
    <row r="108">
      <c r="B108" s="177"/>
      <c r="D108" s="178"/>
      <c r="F108" s="178"/>
    </row>
    <row r="109">
      <c r="B109" s="177"/>
      <c r="D109" s="178"/>
      <c r="F109" s="178"/>
    </row>
    <row r="110">
      <c r="B110" s="177"/>
      <c r="D110" s="178"/>
      <c r="F110" s="178"/>
    </row>
    <row r="111">
      <c r="B111" s="177"/>
      <c r="D111" s="178"/>
      <c r="F111" s="178"/>
    </row>
    <row r="112">
      <c r="B112" s="177"/>
      <c r="D112" s="178"/>
      <c r="F112" s="178"/>
    </row>
    <row r="113">
      <c r="B113" s="177"/>
      <c r="D113" s="178"/>
      <c r="F113" s="178"/>
    </row>
    <row r="114">
      <c r="B114" s="177"/>
      <c r="D114" s="178"/>
      <c r="F114" s="178"/>
    </row>
    <row r="115">
      <c r="B115" s="177"/>
      <c r="D115" s="178"/>
      <c r="F115" s="178"/>
    </row>
    <row r="116">
      <c r="B116" s="177"/>
      <c r="D116" s="178"/>
      <c r="F116" s="178"/>
    </row>
    <row r="117">
      <c r="B117" s="177"/>
      <c r="D117" s="178"/>
      <c r="F117" s="178"/>
    </row>
    <row r="118">
      <c r="B118" s="177"/>
      <c r="D118" s="178"/>
      <c r="F118" s="178"/>
    </row>
    <row r="119">
      <c r="B119" s="177"/>
      <c r="D119" s="178"/>
      <c r="F119" s="178"/>
    </row>
    <row r="120">
      <c r="B120" s="177"/>
      <c r="D120" s="178"/>
      <c r="F120" s="178"/>
    </row>
    <row r="121">
      <c r="B121" s="177"/>
      <c r="D121" s="178"/>
      <c r="F121" s="178"/>
    </row>
    <row r="122">
      <c r="B122" s="177"/>
      <c r="D122" s="178"/>
      <c r="F122" s="178"/>
    </row>
    <row r="123">
      <c r="B123" s="177"/>
      <c r="D123" s="178"/>
      <c r="F123" s="178"/>
    </row>
    <row r="124">
      <c r="B124" s="177"/>
      <c r="D124" s="178"/>
      <c r="F124" s="178"/>
    </row>
    <row r="125">
      <c r="B125" s="177"/>
      <c r="D125" s="178"/>
      <c r="F125" s="178"/>
    </row>
    <row r="126">
      <c r="B126" s="177"/>
      <c r="D126" s="178"/>
      <c r="F126" s="178"/>
    </row>
    <row r="127">
      <c r="B127" s="177"/>
      <c r="D127" s="178"/>
      <c r="F127" s="178"/>
    </row>
    <row r="128">
      <c r="B128" s="177"/>
      <c r="D128" s="178"/>
      <c r="F128" s="178"/>
    </row>
    <row r="129">
      <c r="B129" s="177"/>
      <c r="D129" s="178"/>
      <c r="F129" s="178"/>
    </row>
    <row r="130">
      <c r="B130" s="177"/>
      <c r="D130" s="178"/>
      <c r="F130" s="178"/>
    </row>
    <row r="131">
      <c r="B131" s="177"/>
      <c r="D131" s="178"/>
      <c r="F131" s="178"/>
    </row>
    <row r="132">
      <c r="B132" s="177"/>
      <c r="D132" s="178"/>
      <c r="F132" s="178"/>
    </row>
    <row r="133">
      <c r="B133" s="177"/>
      <c r="D133" s="178"/>
      <c r="F133" s="178"/>
    </row>
    <row r="134">
      <c r="B134" s="177"/>
      <c r="D134" s="178"/>
      <c r="F134" s="178"/>
    </row>
    <row r="135">
      <c r="B135" s="177"/>
      <c r="D135" s="178"/>
      <c r="F135" s="178"/>
    </row>
    <row r="136">
      <c r="B136" s="177"/>
      <c r="D136" s="178"/>
      <c r="F136" s="178"/>
    </row>
    <row r="137">
      <c r="B137" s="177"/>
      <c r="D137" s="178"/>
      <c r="F137" s="178"/>
    </row>
    <row r="138">
      <c r="B138" s="177"/>
      <c r="D138" s="178"/>
      <c r="F138" s="178"/>
    </row>
    <row r="139">
      <c r="B139" s="177"/>
      <c r="D139" s="178"/>
      <c r="F139" s="178"/>
    </row>
    <row r="140">
      <c r="B140" s="177"/>
      <c r="D140" s="178"/>
      <c r="F140" s="178"/>
    </row>
    <row r="141">
      <c r="B141" s="177"/>
      <c r="D141" s="178"/>
      <c r="F141" s="178"/>
    </row>
    <row r="142">
      <c r="B142" s="177"/>
      <c r="D142" s="178"/>
      <c r="F142" s="178"/>
    </row>
    <row r="143">
      <c r="B143" s="177"/>
      <c r="D143" s="178"/>
      <c r="F143" s="178"/>
    </row>
    <row r="144">
      <c r="B144" s="177"/>
      <c r="D144" s="178"/>
      <c r="F144" s="178"/>
    </row>
    <row r="145">
      <c r="B145" s="177"/>
      <c r="D145" s="178"/>
      <c r="F145" s="178"/>
    </row>
    <row r="146">
      <c r="B146" s="177"/>
      <c r="D146" s="178"/>
      <c r="F146" s="178"/>
    </row>
    <row r="147">
      <c r="B147" s="177"/>
      <c r="D147" s="178"/>
      <c r="F147" s="178"/>
    </row>
    <row r="148">
      <c r="B148" s="177"/>
      <c r="D148" s="178"/>
      <c r="F148" s="178"/>
    </row>
    <row r="149">
      <c r="B149" s="177"/>
      <c r="D149" s="178"/>
      <c r="F149" s="178"/>
    </row>
    <row r="150">
      <c r="B150" s="177"/>
      <c r="D150" s="178"/>
      <c r="F150" s="178"/>
    </row>
    <row r="151">
      <c r="B151" s="177"/>
      <c r="D151" s="178"/>
      <c r="F151" s="178"/>
    </row>
    <row r="152">
      <c r="B152" s="177"/>
      <c r="D152" s="178"/>
      <c r="F152" s="178"/>
    </row>
    <row r="153">
      <c r="B153" s="177"/>
      <c r="D153" s="178"/>
      <c r="F153" s="178"/>
    </row>
    <row r="154">
      <c r="B154" s="177"/>
      <c r="D154" s="178"/>
      <c r="F154" s="178"/>
    </row>
    <row r="155">
      <c r="B155" s="177"/>
      <c r="D155" s="178"/>
      <c r="F155" s="178"/>
    </row>
    <row r="156">
      <c r="B156" s="177"/>
      <c r="D156" s="178"/>
      <c r="F156" s="178"/>
    </row>
    <row r="157">
      <c r="B157" s="177"/>
      <c r="D157" s="178"/>
      <c r="F157" s="178"/>
    </row>
    <row r="158">
      <c r="B158" s="177"/>
      <c r="D158" s="178"/>
      <c r="F158" s="178"/>
    </row>
    <row r="159">
      <c r="B159" s="177"/>
      <c r="D159" s="178"/>
      <c r="F159" s="178"/>
    </row>
    <row r="160">
      <c r="B160" s="177"/>
      <c r="D160" s="178"/>
      <c r="F160" s="178"/>
    </row>
    <row r="161">
      <c r="B161" s="177"/>
      <c r="D161" s="178"/>
      <c r="F161" s="178"/>
    </row>
    <row r="162">
      <c r="B162" s="177"/>
      <c r="D162" s="178"/>
      <c r="F162" s="178"/>
    </row>
    <row r="163">
      <c r="B163" s="177"/>
      <c r="D163" s="178"/>
      <c r="F163" s="178"/>
    </row>
    <row r="164">
      <c r="B164" s="177"/>
      <c r="D164" s="178"/>
      <c r="F164" s="178"/>
    </row>
    <row r="165">
      <c r="B165" s="177"/>
      <c r="D165" s="178"/>
      <c r="F165" s="178"/>
    </row>
    <row r="166">
      <c r="B166" s="177"/>
      <c r="D166" s="178"/>
      <c r="F166" s="178"/>
    </row>
    <row r="167">
      <c r="B167" s="177"/>
      <c r="D167" s="178"/>
      <c r="F167" s="178"/>
    </row>
    <row r="168">
      <c r="B168" s="177"/>
      <c r="D168" s="178"/>
      <c r="F168" s="178"/>
    </row>
    <row r="169">
      <c r="B169" s="177"/>
      <c r="D169" s="178"/>
      <c r="F169" s="178"/>
    </row>
    <row r="170">
      <c r="B170" s="177"/>
      <c r="D170" s="178"/>
      <c r="F170" s="178"/>
    </row>
    <row r="171">
      <c r="B171" s="177"/>
      <c r="D171" s="178"/>
      <c r="F171" s="178"/>
    </row>
    <row r="172">
      <c r="B172" s="177"/>
      <c r="D172" s="178"/>
      <c r="F172" s="178"/>
    </row>
    <row r="173">
      <c r="B173" s="177"/>
      <c r="D173" s="178"/>
      <c r="F173" s="178"/>
    </row>
    <row r="174">
      <c r="B174" s="177"/>
      <c r="D174" s="178"/>
      <c r="F174" s="178"/>
    </row>
    <row r="175">
      <c r="B175" s="177"/>
      <c r="D175" s="178"/>
      <c r="F175" s="178"/>
    </row>
    <row r="176">
      <c r="B176" s="177"/>
      <c r="D176" s="178"/>
      <c r="F176" s="178"/>
    </row>
    <row r="177">
      <c r="B177" s="177"/>
      <c r="D177" s="178"/>
      <c r="F177" s="178"/>
    </row>
    <row r="178">
      <c r="B178" s="177"/>
      <c r="D178" s="178"/>
      <c r="F178" s="178"/>
    </row>
    <row r="179">
      <c r="B179" s="177"/>
      <c r="D179" s="178"/>
      <c r="F179" s="178"/>
    </row>
    <row r="180">
      <c r="B180" s="177"/>
      <c r="D180" s="178"/>
      <c r="F180" s="178"/>
    </row>
    <row r="181">
      <c r="B181" s="177"/>
      <c r="D181" s="178"/>
      <c r="F181" s="178"/>
    </row>
    <row r="182">
      <c r="B182" s="177"/>
      <c r="D182" s="178"/>
      <c r="F182" s="178"/>
    </row>
    <row r="183">
      <c r="B183" s="177"/>
      <c r="D183" s="178"/>
      <c r="F183" s="178"/>
    </row>
    <row r="184">
      <c r="B184" s="177"/>
      <c r="D184" s="178"/>
      <c r="F184" s="178"/>
    </row>
    <row r="185">
      <c r="B185" s="177"/>
      <c r="D185" s="178"/>
      <c r="F185" s="178"/>
    </row>
    <row r="186">
      <c r="B186" s="177"/>
      <c r="D186" s="178"/>
      <c r="F186" s="178"/>
    </row>
    <row r="187">
      <c r="B187" s="177"/>
      <c r="D187" s="178"/>
      <c r="F187" s="178"/>
    </row>
    <row r="188">
      <c r="B188" s="177"/>
      <c r="D188" s="178"/>
      <c r="F188" s="178"/>
    </row>
    <row r="189">
      <c r="B189" s="177"/>
      <c r="D189" s="178"/>
      <c r="F189" s="178"/>
    </row>
    <row r="190">
      <c r="B190" s="177"/>
      <c r="D190" s="178"/>
      <c r="F190" s="178"/>
    </row>
    <row r="191">
      <c r="B191" s="177"/>
      <c r="D191" s="178"/>
      <c r="F191" s="178"/>
    </row>
    <row r="192">
      <c r="B192" s="177"/>
      <c r="D192" s="178"/>
      <c r="F192" s="178"/>
    </row>
    <row r="193">
      <c r="B193" s="177"/>
      <c r="D193" s="178"/>
      <c r="F193" s="178"/>
    </row>
    <row r="194">
      <c r="B194" s="177"/>
      <c r="D194" s="178"/>
      <c r="F194" s="178"/>
    </row>
    <row r="195">
      <c r="B195" s="177"/>
      <c r="D195" s="178"/>
      <c r="F195" s="178"/>
    </row>
    <row r="196">
      <c r="B196" s="177"/>
      <c r="D196" s="178"/>
      <c r="F196" s="178"/>
    </row>
    <row r="197">
      <c r="B197" s="177"/>
      <c r="D197" s="178"/>
      <c r="F197" s="178"/>
    </row>
    <row r="198">
      <c r="B198" s="177"/>
      <c r="D198" s="178"/>
      <c r="F198" s="178"/>
    </row>
    <row r="199">
      <c r="B199" s="177"/>
      <c r="D199" s="178"/>
      <c r="F199" s="178"/>
    </row>
    <row r="200">
      <c r="B200" s="177"/>
      <c r="D200" s="178"/>
      <c r="F200" s="178"/>
    </row>
    <row r="201">
      <c r="B201" s="177"/>
      <c r="D201" s="178"/>
      <c r="F201" s="178"/>
    </row>
    <row r="202">
      <c r="B202" s="177"/>
      <c r="D202" s="178"/>
      <c r="F202" s="178"/>
    </row>
    <row r="203">
      <c r="B203" s="177"/>
      <c r="D203" s="178"/>
      <c r="F203" s="178"/>
    </row>
    <row r="204">
      <c r="B204" s="177"/>
      <c r="D204" s="178"/>
      <c r="F204" s="178"/>
    </row>
    <row r="205">
      <c r="B205" s="177"/>
      <c r="D205" s="178"/>
      <c r="F205" s="178"/>
    </row>
    <row r="206">
      <c r="B206" s="177"/>
      <c r="D206" s="178"/>
      <c r="F206" s="178"/>
    </row>
    <row r="207">
      <c r="B207" s="177"/>
      <c r="D207" s="178"/>
      <c r="F207" s="178"/>
    </row>
    <row r="208">
      <c r="B208" s="177"/>
      <c r="D208" s="178"/>
      <c r="F208" s="178"/>
    </row>
    <row r="209">
      <c r="B209" s="177"/>
      <c r="D209" s="178"/>
      <c r="F209" s="178"/>
    </row>
    <row r="210">
      <c r="B210" s="177"/>
      <c r="D210" s="178"/>
      <c r="F210" s="178"/>
    </row>
    <row r="211">
      <c r="B211" s="177"/>
      <c r="D211" s="178"/>
      <c r="F211" s="178"/>
    </row>
    <row r="212">
      <c r="B212" s="177"/>
      <c r="D212" s="178"/>
      <c r="F212" s="178"/>
    </row>
    <row r="213">
      <c r="B213" s="177"/>
      <c r="D213" s="178"/>
      <c r="F213" s="178"/>
    </row>
    <row r="214">
      <c r="B214" s="177"/>
      <c r="D214" s="178"/>
      <c r="F214" s="178"/>
    </row>
    <row r="215">
      <c r="B215" s="177"/>
      <c r="D215" s="178"/>
      <c r="F215" s="178"/>
    </row>
    <row r="216">
      <c r="B216" s="177"/>
      <c r="D216" s="178"/>
      <c r="F216" s="178"/>
    </row>
    <row r="217">
      <c r="B217" s="177"/>
      <c r="D217" s="178"/>
      <c r="F217" s="178"/>
    </row>
    <row r="218">
      <c r="B218" s="177"/>
      <c r="D218" s="178"/>
      <c r="F218" s="178"/>
    </row>
    <row r="219">
      <c r="B219" s="177"/>
      <c r="D219" s="178"/>
      <c r="F219" s="178"/>
    </row>
    <row r="220">
      <c r="B220" s="177"/>
      <c r="D220" s="178"/>
      <c r="F220" s="178"/>
    </row>
    <row r="221">
      <c r="B221" s="177"/>
      <c r="D221" s="178"/>
      <c r="F221" s="178"/>
    </row>
    <row r="222">
      <c r="B222" s="177"/>
      <c r="D222" s="178"/>
      <c r="F222" s="178"/>
    </row>
    <row r="223">
      <c r="B223" s="177"/>
      <c r="D223" s="178"/>
      <c r="F223" s="178"/>
    </row>
    <row r="224">
      <c r="B224" s="177"/>
      <c r="D224" s="178"/>
      <c r="F224" s="178"/>
    </row>
    <row r="225">
      <c r="B225" s="177"/>
      <c r="D225" s="178"/>
      <c r="F225" s="178"/>
    </row>
    <row r="226">
      <c r="B226" s="177"/>
      <c r="D226" s="178"/>
      <c r="F226" s="178"/>
    </row>
    <row r="227">
      <c r="B227" s="177"/>
      <c r="D227" s="178"/>
      <c r="F227" s="178"/>
    </row>
    <row r="228">
      <c r="B228" s="177"/>
      <c r="D228" s="178"/>
      <c r="F228" s="178"/>
    </row>
    <row r="229">
      <c r="B229" s="177"/>
      <c r="D229" s="178"/>
      <c r="F229" s="178"/>
    </row>
    <row r="230">
      <c r="B230" s="177"/>
      <c r="D230" s="178"/>
      <c r="F230" s="178"/>
    </row>
    <row r="231">
      <c r="B231" s="177"/>
      <c r="D231" s="178"/>
      <c r="F231" s="178"/>
    </row>
    <row r="232">
      <c r="B232" s="177"/>
      <c r="D232" s="178"/>
      <c r="F232" s="178"/>
    </row>
    <row r="233">
      <c r="B233" s="177"/>
      <c r="D233" s="178"/>
      <c r="F233" s="178"/>
    </row>
    <row r="234">
      <c r="B234" s="177"/>
      <c r="D234" s="178"/>
      <c r="F234" s="178"/>
    </row>
    <row r="235">
      <c r="B235" s="177"/>
      <c r="D235" s="178"/>
      <c r="F235" s="178"/>
    </row>
    <row r="236">
      <c r="B236" s="177"/>
      <c r="D236" s="178"/>
      <c r="F236" s="178"/>
    </row>
    <row r="237">
      <c r="B237" s="177"/>
      <c r="D237" s="178"/>
      <c r="F237" s="178"/>
    </row>
    <row r="238">
      <c r="B238" s="177"/>
      <c r="D238" s="178"/>
      <c r="F238" s="178"/>
    </row>
    <row r="239">
      <c r="B239" s="177"/>
      <c r="D239" s="178"/>
      <c r="F239" s="178"/>
    </row>
    <row r="240">
      <c r="B240" s="177"/>
      <c r="D240" s="178"/>
      <c r="F240" s="178"/>
    </row>
    <row r="241">
      <c r="B241" s="177"/>
      <c r="D241" s="178"/>
      <c r="F241" s="178"/>
    </row>
    <row r="242">
      <c r="B242" s="177"/>
      <c r="D242" s="178"/>
      <c r="F242" s="178"/>
    </row>
    <row r="243">
      <c r="B243" s="177"/>
      <c r="D243" s="178"/>
      <c r="F243" s="178"/>
    </row>
    <row r="244">
      <c r="B244" s="177"/>
      <c r="D244" s="178"/>
      <c r="F244" s="178"/>
    </row>
    <row r="245">
      <c r="B245" s="177"/>
      <c r="D245" s="178"/>
      <c r="F245" s="178"/>
    </row>
    <row r="246">
      <c r="B246" s="177"/>
      <c r="D246" s="178"/>
      <c r="F246" s="178"/>
    </row>
    <row r="247">
      <c r="B247" s="177"/>
      <c r="D247" s="178"/>
      <c r="F247" s="178"/>
    </row>
    <row r="248">
      <c r="B248" s="177"/>
      <c r="D248" s="178"/>
      <c r="F248" s="178"/>
    </row>
    <row r="249">
      <c r="B249" s="177"/>
      <c r="D249" s="178"/>
      <c r="F249" s="178"/>
    </row>
    <row r="250">
      <c r="B250" s="177"/>
      <c r="D250" s="178"/>
      <c r="F250" s="178"/>
    </row>
    <row r="251">
      <c r="B251" s="177"/>
      <c r="D251" s="178"/>
      <c r="F251" s="178"/>
    </row>
    <row r="252">
      <c r="B252" s="177"/>
      <c r="D252" s="178"/>
      <c r="F252" s="178"/>
    </row>
    <row r="253">
      <c r="B253" s="177"/>
      <c r="D253" s="178"/>
      <c r="F253" s="178"/>
    </row>
    <row r="254">
      <c r="B254" s="177"/>
      <c r="D254" s="178"/>
      <c r="F254" s="178"/>
    </row>
    <row r="255">
      <c r="B255" s="177"/>
      <c r="D255" s="178"/>
      <c r="F255" s="178"/>
    </row>
    <row r="256">
      <c r="B256" s="177"/>
      <c r="D256" s="178"/>
      <c r="F256" s="178"/>
    </row>
    <row r="257">
      <c r="B257" s="177"/>
      <c r="D257" s="178"/>
      <c r="F257" s="178"/>
    </row>
    <row r="258">
      <c r="B258" s="177"/>
      <c r="D258" s="178"/>
      <c r="F258" s="178"/>
    </row>
    <row r="259">
      <c r="B259" s="177"/>
      <c r="D259" s="178"/>
      <c r="F259" s="178"/>
    </row>
    <row r="260">
      <c r="B260" s="177"/>
      <c r="D260" s="178"/>
      <c r="F260" s="178"/>
    </row>
    <row r="261">
      <c r="B261" s="177"/>
      <c r="D261" s="178"/>
      <c r="F261" s="178"/>
    </row>
    <row r="262">
      <c r="B262" s="177"/>
      <c r="D262" s="178"/>
      <c r="F262" s="178"/>
    </row>
    <row r="263">
      <c r="B263" s="177"/>
      <c r="D263" s="178"/>
      <c r="F263" s="178"/>
    </row>
    <row r="264">
      <c r="B264" s="177"/>
      <c r="D264" s="178"/>
      <c r="F264" s="178"/>
    </row>
    <row r="265">
      <c r="B265" s="177"/>
      <c r="D265" s="178"/>
      <c r="F265" s="178"/>
    </row>
    <row r="266">
      <c r="B266" s="177"/>
      <c r="D266" s="178"/>
      <c r="F266" s="178"/>
    </row>
    <row r="267">
      <c r="B267" s="177"/>
      <c r="D267" s="178"/>
      <c r="F267" s="178"/>
    </row>
    <row r="268">
      <c r="B268" s="177"/>
      <c r="D268" s="178"/>
      <c r="F268" s="178"/>
    </row>
    <row r="269">
      <c r="B269" s="177"/>
      <c r="D269" s="178"/>
      <c r="F269" s="178"/>
    </row>
    <row r="270">
      <c r="B270" s="177"/>
      <c r="D270" s="178"/>
      <c r="F270" s="178"/>
    </row>
    <row r="271">
      <c r="B271" s="177"/>
      <c r="D271" s="178"/>
      <c r="F271" s="178"/>
    </row>
    <row r="272">
      <c r="B272" s="177"/>
      <c r="D272" s="178"/>
      <c r="F272" s="178"/>
    </row>
    <row r="273">
      <c r="B273" s="177"/>
      <c r="D273" s="178"/>
      <c r="F273" s="178"/>
    </row>
    <row r="274">
      <c r="B274" s="177"/>
      <c r="D274" s="178"/>
      <c r="F274" s="178"/>
    </row>
    <row r="275">
      <c r="B275" s="177"/>
      <c r="D275" s="178"/>
      <c r="F275" s="178"/>
    </row>
    <row r="276">
      <c r="B276" s="177"/>
      <c r="D276" s="178"/>
      <c r="F276" s="178"/>
    </row>
    <row r="277">
      <c r="B277" s="177"/>
      <c r="D277" s="178"/>
      <c r="F277" s="178"/>
    </row>
    <row r="278">
      <c r="B278" s="177"/>
      <c r="D278" s="178"/>
      <c r="F278" s="178"/>
    </row>
    <row r="279">
      <c r="B279" s="177"/>
      <c r="D279" s="178"/>
      <c r="F279" s="178"/>
    </row>
    <row r="280">
      <c r="B280" s="177"/>
      <c r="D280" s="178"/>
      <c r="F280" s="178"/>
    </row>
    <row r="281">
      <c r="B281" s="177"/>
      <c r="D281" s="178"/>
      <c r="F281" s="178"/>
    </row>
    <row r="282">
      <c r="B282" s="177"/>
      <c r="D282" s="178"/>
      <c r="F282" s="178"/>
    </row>
    <row r="283">
      <c r="B283" s="177"/>
      <c r="D283" s="178"/>
      <c r="F283" s="178"/>
    </row>
    <row r="284">
      <c r="B284" s="177"/>
      <c r="D284" s="178"/>
      <c r="F284" s="178"/>
    </row>
    <row r="285">
      <c r="B285" s="177"/>
      <c r="D285" s="178"/>
      <c r="F285" s="178"/>
    </row>
    <row r="286">
      <c r="B286" s="177"/>
      <c r="D286" s="178"/>
      <c r="F286" s="178"/>
    </row>
    <row r="287">
      <c r="B287" s="177"/>
      <c r="D287" s="178"/>
      <c r="F287" s="178"/>
    </row>
    <row r="288">
      <c r="B288" s="177"/>
      <c r="D288" s="178"/>
      <c r="F288" s="178"/>
    </row>
    <row r="289">
      <c r="B289" s="177"/>
      <c r="D289" s="178"/>
      <c r="F289" s="178"/>
    </row>
    <row r="290">
      <c r="B290" s="177"/>
      <c r="D290" s="178"/>
      <c r="F290" s="178"/>
    </row>
    <row r="291">
      <c r="B291" s="177"/>
      <c r="D291" s="178"/>
      <c r="F291" s="178"/>
    </row>
    <row r="292">
      <c r="B292" s="177"/>
      <c r="D292" s="178"/>
      <c r="F292" s="178"/>
    </row>
    <row r="293">
      <c r="B293" s="177"/>
      <c r="D293" s="178"/>
      <c r="F293" s="178"/>
    </row>
    <row r="294">
      <c r="B294" s="177"/>
      <c r="D294" s="178"/>
      <c r="F294" s="178"/>
    </row>
    <row r="295">
      <c r="B295" s="177"/>
      <c r="D295" s="178"/>
      <c r="F295" s="178"/>
    </row>
    <row r="296">
      <c r="B296" s="177"/>
      <c r="D296" s="178"/>
      <c r="F296" s="178"/>
    </row>
    <row r="297">
      <c r="B297" s="177"/>
      <c r="D297" s="178"/>
      <c r="F297" s="178"/>
    </row>
    <row r="298">
      <c r="B298" s="177"/>
      <c r="D298" s="178"/>
      <c r="F298" s="178"/>
    </row>
    <row r="299">
      <c r="B299" s="177"/>
      <c r="D299" s="178"/>
      <c r="F299" s="178"/>
    </row>
    <row r="300">
      <c r="B300" s="177"/>
      <c r="D300" s="178"/>
      <c r="F300" s="178"/>
    </row>
    <row r="301">
      <c r="B301" s="177"/>
      <c r="D301" s="178"/>
      <c r="F301" s="178"/>
    </row>
    <row r="302">
      <c r="B302" s="177"/>
      <c r="D302" s="178"/>
      <c r="F302" s="178"/>
    </row>
    <row r="303">
      <c r="B303" s="177"/>
      <c r="D303" s="178"/>
      <c r="F303" s="178"/>
    </row>
    <row r="304">
      <c r="B304" s="177"/>
      <c r="D304" s="178"/>
      <c r="F304" s="178"/>
    </row>
    <row r="305">
      <c r="B305" s="177"/>
      <c r="D305" s="178"/>
      <c r="F305" s="178"/>
    </row>
    <row r="306">
      <c r="B306" s="177"/>
      <c r="D306" s="178"/>
      <c r="F306" s="178"/>
    </row>
    <row r="307">
      <c r="B307" s="177"/>
      <c r="D307" s="178"/>
      <c r="F307" s="178"/>
    </row>
    <row r="308">
      <c r="B308" s="177"/>
      <c r="D308" s="178"/>
      <c r="F308" s="178"/>
    </row>
    <row r="309">
      <c r="B309" s="177"/>
      <c r="D309" s="178"/>
      <c r="F309" s="178"/>
    </row>
    <row r="310">
      <c r="B310" s="177"/>
      <c r="D310" s="178"/>
      <c r="F310" s="178"/>
    </row>
    <row r="311">
      <c r="B311" s="177"/>
      <c r="D311" s="178"/>
      <c r="F311" s="178"/>
    </row>
    <row r="312">
      <c r="B312" s="177"/>
      <c r="D312" s="178"/>
      <c r="F312" s="178"/>
    </row>
    <row r="313">
      <c r="B313" s="177"/>
      <c r="D313" s="178"/>
      <c r="F313" s="178"/>
    </row>
    <row r="314">
      <c r="B314" s="177"/>
      <c r="D314" s="178"/>
      <c r="F314" s="178"/>
    </row>
    <row r="315">
      <c r="B315" s="177"/>
      <c r="D315" s="178"/>
      <c r="F315" s="178"/>
    </row>
    <row r="316">
      <c r="B316" s="177"/>
      <c r="D316" s="178"/>
      <c r="F316" s="178"/>
    </row>
    <row r="317">
      <c r="B317" s="177"/>
      <c r="D317" s="178"/>
      <c r="F317" s="178"/>
    </row>
    <row r="318">
      <c r="B318" s="177"/>
      <c r="D318" s="178"/>
      <c r="F318" s="178"/>
    </row>
    <row r="319">
      <c r="B319" s="177"/>
      <c r="D319" s="178"/>
      <c r="F319" s="178"/>
    </row>
    <row r="320">
      <c r="B320" s="177"/>
      <c r="D320" s="178"/>
      <c r="F320" s="178"/>
    </row>
    <row r="321">
      <c r="B321" s="177"/>
      <c r="D321" s="178"/>
      <c r="F321" s="178"/>
    </row>
    <row r="322">
      <c r="B322" s="177"/>
      <c r="D322" s="178"/>
      <c r="F322" s="178"/>
    </row>
    <row r="323">
      <c r="B323" s="177"/>
      <c r="D323" s="178"/>
      <c r="F323" s="178"/>
    </row>
    <row r="324">
      <c r="B324" s="177"/>
      <c r="D324" s="178"/>
      <c r="F324" s="178"/>
    </row>
    <row r="325">
      <c r="B325" s="177"/>
      <c r="D325" s="178"/>
      <c r="F325" s="178"/>
    </row>
    <row r="326">
      <c r="B326" s="177"/>
      <c r="D326" s="178"/>
      <c r="F326" s="178"/>
    </row>
    <row r="327">
      <c r="B327" s="177"/>
      <c r="D327" s="178"/>
      <c r="F327" s="178"/>
    </row>
    <row r="328">
      <c r="B328" s="177"/>
      <c r="D328" s="178"/>
      <c r="F328" s="178"/>
    </row>
    <row r="329">
      <c r="B329" s="177"/>
      <c r="D329" s="178"/>
      <c r="F329" s="178"/>
    </row>
    <row r="330">
      <c r="B330" s="177"/>
      <c r="D330" s="178"/>
      <c r="F330" s="178"/>
    </row>
    <row r="331">
      <c r="B331" s="177"/>
      <c r="D331" s="178"/>
      <c r="F331" s="178"/>
    </row>
    <row r="332">
      <c r="B332" s="177"/>
      <c r="D332" s="178"/>
      <c r="F332" s="178"/>
    </row>
    <row r="333">
      <c r="B333" s="177"/>
      <c r="D333" s="178"/>
      <c r="F333" s="178"/>
    </row>
    <row r="334">
      <c r="B334" s="177"/>
      <c r="D334" s="178"/>
      <c r="F334" s="178"/>
    </row>
    <row r="335">
      <c r="B335" s="177"/>
      <c r="D335" s="178"/>
      <c r="F335" s="178"/>
    </row>
    <row r="336">
      <c r="B336" s="177"/>
      <c r="D336" s="178"/>
      <c r="F336" s="178"/>
    </row>
    <row r="337">
      <c r="B337" s="177"/>
      <c r="D337" s="178"/>
      <c r="F337" s="178"/>
    </row>
    <row r="338">
      <c r="B338" s="177"/>
      <c r="D338" s="178"/>
      <c r="F338" s="178"/>
    </row>
    <row r="339">
      <c r="B339" s="177"/>
      <c r="D339" s="178"/>
      <c r="F339" s="178"/>
    </row>
    <row r="340">
      <c r="B340" s="177"/>
      <c r="D340" s="178"/>
      <c r="F340" s="178"/>
    </row>
    <row r="341">
      <c r="B341" s="177"/>
      <c r="D341" s="178"/>
      <c r="F341" s="178"/>
    </row>
    <row r="342">
      <c r="B342" s="177"/>
      <c r="D342" s="178"/>
      <c r="F342" s="178"/>
    </row>
    <row r="343">
      <c r="B343" s="177"/>
      <c r="D343" s="178"/>
      <c r="F343" s="178"/>
    </row>
    <row r="344">
      <c r="B344" s="177"/>
      <c r="D344" s="178"/>
      <c r="F344" s="178"/>
    </row>
    <row r="345">
      <c r="B345" s="177"/>
      <c r="D345" s="178"/>
      <c r="F345" s="178"/>
    </row>
    <row r="346">
      <c r="B346" s="177"/>
      <c r="D346" s="178"/>
      <c r="F346" s="178"/>
    </row>
    <row r="347">
      <c r="B347" s="177"/>
      <c r="D347" s="178"/>
      <c r="F347" s="178"/>
    </row>
    <row r="348">
      <c r="B348" s="177"/>
      <c r="D348" s="178"/>
      <c r="F348" s="178"/>
    </row>
    <row r="349">
      <c r="B349" s="177"/>
      <c r="D349" s="178"/>
      <c r="F349" s="178"/>
    </row>
    <row r="350">
      <c r="B350" s="177"/>
      <c r="D350" s="178"/>
      <c r="F350" s="178"/>
    </row>
    <row r="351">
      <c r="B351" s="177"/>
      <c r="D351" s="178"/>
      <c r="F351" s="178"/>
    </row>
    <row r="352">
      <c r="B352" s="177"/>
      <c r="D352" s="178"/>
      <c r="F352" s="178"/>
    </row>
    <row r="353">
      <c r="B353" s="177"/>
      <c r="D353" s="178"/>
      <c r="F353" s="178"/>
    </row>
    <row r="354">
      <c r="B354" s="177"/>
      <c r="D354" s="178"/>
      <c r="F354" s="178"/>
    </row>
    <row r="355">
      <c r="B355" s="177"/>
      <c r="D355" s="178"/>
      <c r="F355" s="178"/>
    </row>
    <row r="356">
      <c r="B356" s="177"/>
      <c r="D356" s="178"/>
      <c r="F356" s="178"/>
    </row>
    <row r="357">
      <c r="B357" s="177"/>
      <c r="D357" s="178"/>
      <c r="F357" s="178"/>
    </row>
    <row r="358">
      <c r="B358" s="177"/>
      <c r="D358" s="178"/>
      <c r="F358" s="178"/>
    </row>
    <row r="359">
      <c r="B359" s="177"/>
      <c r="D359" s="178"/>
      <c r="F359" s="178"/>
    </row>
    <row r="360">
      <c r="B360" s="177"/>
      <c r="D360" s="178"/>
      <c r="F360" s="178"/>
    </row>
    <row r="361">
      <c r="B361" s="177"/>
      <c r="D361" s="178"/>
      <c r="F361" s="178"/>
    </row>
    <row r="362">
      <c r="B362" s="177"/>
      <c r="D362" s="178"/>
      <c r="F362" s="178"/>
    </row>
    <row r="363">
      <c r="B363" s="177"/>
      <c r="D363" s="178"/>
      <c r="F363" s="178"/>
    </row>
    <row r="364">
      <c r="B364" s="177"/>
      <c r="D364" s="178"/>
      <c r="F364" s="178"/>
    </row>
    <row r="365">
      <c r="B365" s="177"/>
      <c r="D365" s="178"/>
      <c r="F365" s="178"/>
    </row>
    <row r="366">
      <c r="B366" s="177"/>
      <c r="D366" s="178"/>
      <c r="F366" s="178"/>
    </row>
    <row r="367">
      <c r="B367" s="177"/>
      <c r="D367" s="178"/>
      <c r="F367" s="178"/>
    </row>
    <row r="368">
      <c r="B368" s="177"/>
      <c r="D368" s="178"/>
      <c r="F368" s="178"/>
    </row>
    <row r="369">
      <c r="B369" s="177"/>
      <c r="D369" s="178"/>
      <c r="F369" s="178"/>
    </row>
    <row r="370">
      <c r="B370" s="177"/>
      <c r="D370" s="178"/>
      <c r="F370" s="178"/>
    </row>
    <row r="371">
      <c r="B371" s="177"/>
      <c r="D371" s="178"/>
      <c r="F371" s="178"/>
    </row>
    <row r="372">
      <c r="B372" s="177"/>
      <c r="D372" s="178"/>
      <c r="F372" s="178"/>
    </row>
    <row r="373">
      <c r="B373" s="177"/>
      <c r="D373" s="178"/>
      <c r="F373" s="178"/>
    </row>
    <row r="374">
      <c r="B374" s="177"/>
      <c r="D374" s="178"/>
      <c r="F374" s="178"/>
    </row>
    <row r="375">
      <c r="B375" s="177"/>
      <c r="D375" s="178"/>
      <c r="F375" s="178"/>
    </row>
    <row r="376">
      <c r="B376" s="177"/>
      <c r="D376" s="178"/>
      <c r="F376" s="178"/>
    </row>
    <row r="377">
      <c r="B377" s="177"/>
      <c r="D377" s="178"/>
      <c r="F377" s="178"/>
    </row>
    <row r="378">
      <c r="B378" s="177"/>
      <c r="D378" s="178"/>
      <c r="F378" s="178"/>
    </row>
    <row r="379">
      <c r="B379" s="177"/>
      <c r="D379" s="178"/>
      <c r="F379" s="178"/>
    </row>
    <row r="380">
      <c r="B380" s="177"/>
      <c r="D380" s="178"/>
      <c r="F380" s="178"/>
    </row>
    <row r="381">
      <c r="B381" s="177"/>
      <c r="D381" s="178"/>
      <c r="F381" s="178"/>
    </row>
    <row r="382">
      <c r="B382" s="177"/>
      <c r="D382" s="178"/>
      <c r="F382" s="178"/>
    </row>
    <row r="383">
      <c r="B383" s="177"/>
      <c r="D383" s="178"/>
      <c r="F383" s="178"/>
    </row>
    <row r="384">
      <c r="B384" s="177"/>
      <c r="D384" s="178"/>
      <c r="F384" s="178"/>
    </row>
    <row r="385">
      <c r="B385" s="177"/>
      <c r="D385" s="178"/>
      <c r="F385" s="178"/>
    </row>
    <row r="386">
      <c r="B386" s="177"/>
      <c r="D386" s="178"/>
      <c r="F386" s="178"/>
    </row>
    <row r="387">
      <c r="B387" s="177"/>
      <c r="D387" s="178"/>
      <c r="F387" s="178"/>
    </row>
    <row r="388">
      <c r="B388" s="177"/>
      <c r="D388" s="178"/>
      <c r="F388" s="178"/>
    </row>
    <row r="389">
      <c r="B389" s="177"/>
      <c r="D389" s="178"/>
      <c r="F389" s="178"/>
    </row>
    <row r="390">
      <c r="B390" s="177"/>
      <c r="D390" s="178"/>
      <c r="F390" s="178"/>
    </row>
    <row r="391">
      <c r="B391" s="177"/>
      <c r="D391" s="178"/>
      <c r="F391" s="178"/>
    </row>
    <row r="392">
      <c r="B392" s="177"/>
      <c r="D392" s="178"/>
      <c r="F392" s="178"/>
    </row>
    <row r="393">
      <c r="B393" s="177"/>
      <c r="D393" s="178"/>
      <c r="F393" s="178"/>
    </row>
    <row r="394">
      <c r="B394" s="177"/>
      <c r="D394" s="178"/>
      <c r="F394" s="178"/>
    </row>
    <row r="395">
      <c r="B395" s="177"/>
      <c r="D395" s="178"/>
      <c r="F395" s="178"/>
    </row>
    <row r="396">
      <c r="B396" s="177"/>
      <c r="D396" s="178"/>
      <c r="F396" s="178"/>
    </row>
    <row r="397">
      <c r="B397" s="177"/>
      <c r="D397" s="178"/>
      <c r="F397" s="178"/>
    </row>
    <row r="398">
      <c r="B398" s="177"/>
      <c r="D398" s="178"/>
      <c r="F398" s="178"/>
    </row>
    <row r="399">
      <c r="B399" s="177"/>
      <c r="D399" s="178"/>
      <c r="F399" s="178"/>
    </row>
    <row r="400">
      <c r="B400" s="177"/>
      <c r="D400" s="178"/>
      <c r="F400" s="178"/>
    </row>
    <row r="401">
      <c r="B401" s="177"/>
      <c r="D401" s="178"/>
      <c r="F401" s="178"/>
    </row>
    <row r="402">
      <c r="B402" s="177"/>
      <c r="D402" s="178"/>
      <c r="F402" s="178"/>
    </row>
    <row r="403">
      <c r="B403" s="177"/>
      <c r="D403" s="178"/>
      <c r="F403" s="178"/>
    </row>
    <row r="404">
      <c r="B404" s="177"/>
      <c r="D404" s="178"/>
      <c r="F404" s="178"/>
    </row>
    <row r="405">
      <c r="B405" s="177"/>
      <c r="D405" s="178"/>
      <c r="F405" s="178"/>
    </row>
    <row r="406">
      <c r="B406" s="177"/>
      <c r="D406" s="178"/>
      <c r="F406" s="178"/>
    </row>
    <row r="407">
      <c r="B407" s="177"/>
      <c r="D407" s="178"/>
      <c r="F407" s="178"/>
    </row>
    <row r="408">
      <c r="B408" s="177"/>
      <c r="D408" s="178"/>
      <c r="F408" s="178"/>
    </row>
    <row r="409">
      <c r="B409" s="177"/>
      <c r="D409" s="178"/>
      <c r="F409" s="178"/>
    </row>
    <row r="410">
      <c r="B410" s="177"/>
      <c r="D410" s="178"/>
      <c r="F410" s="178"/>
    </row>
    <row r="411">
      <c r="B411" s="177"/>
      <c r="D411" s="178"/>
      <c r="F411" s="178"/>
    </row>
    <row r="412">
      <c r="B412" s="177"/>
      <c r="D412" s="178"/>
      <c r="F412" s="178"/>
    </row>
    <row r="413">
      <c r="B413" s="177"/>
      <c r="D413" s="178"/>
      <c r="F413" s="178"/>
    </row>
    <row r="414">
      <c r="B414" s="177"/>
      <c r="D414" s="178"/>
      <c r="F414" s="178"/>
    </row>
    <row r="415">
      <c r="B415" s="177"/>
      <c r="D415" s="178"/>
      <c r="F415" s="178"/>
    </row>
    <row r="416">
      <c r="B416" s="177"/>
      <c r="D416" s="178"/>
      <c r="F416" s="178"/>
    </row>
    <row r="417">
      <c r="B417" s="177"/>
      <c r="D417" s="178"/>
      <c r="F417" s="178"/>
    </row>
    <row r="418">
      <c r="B418" s="177"/>
      <c r="D418" s="178"/>
      <c r="F418" s="178"/>
    </row>
    <row r="419">
      <c r="B419" s="177"/>
      <c r="D419" s="178"/>
      <c r="F419" s="178"/>
    </row>
    <row r="420">
      <c r="B420" s="177"/>
      <c r="D420" s="178"/>
      <c r="F420" s="178"/>
    </row>
    <row r="421">
      <c r="B421" s="177"/>
      <c r="D421" s="178"/>
      <c r="F421" s="178"/>
    </row>
    <row r="422">
      <c r="B422" s="177"/>
      <c r="D422" s="178"/>
      <c r="F422" s="178"/>
    </row>
    <row r="423">
      <c r="B423" s="177"/>
      <c r="D423" s="178"/>
      <c r="F423" s="178"/>
    </row>
    <row r="424">
      <c r="B424" s="177"/>
      <c r="D424" s="178"/>
      <c r="F424" s="178"/>
    </row>
    <row r="425">
      <c r="B425" s="177"/>
      <c r="D425" s="178"/>
      <c r="F425" s="178"/>
    </row>
    <row r="426">
      <c r="B426" s="177"/>
      <c r="D426" s="178"/>
      <c r="F426" s="178"/>
    </row>
    <row r="427">
      <c r="B427" s="177"/>
      <c r="D427" s="178"/>
      <c r="F427" s="178"/>
    </row>
    <row r="428">
      <c r="B428" s="177"/>
      <c r="D428" s="178"/>
      <c r="F428" s="178"/>
    </row>
    <row r="429">
      <c r="B429" s="177"/>
      <c r="D429" s="178"/>
      <c r="F429" s="178"/>
    </row>
    <row r="430">
      <c r="B430" s="177"/>
      <c r="D430" s="178"/>
      <c r="F430" s="178"/>
    </row>
    <row r="431">
      <c r="B431" s="177"/>
      <c r="D431" s="178"/>
      <c r="F431" s="178"/>
    </row>
    <row r="432">
      <c r="B432" s="177"/>
      <c r="D432" s="178"/>
      <c r="F432" s="178"/>
    </row>
    <row r="433">
      <c r="B433" s="177"/>
      <c r="D433" s="178"/>
      <c r="F433" s="178"/>
    </row>
    <row r="434">
      <c r="B434" s="177"/>
      <c r="D434" s="178"/>
      <c r="F434" s="178"/>
    </row>
    <row r="435">
      <c r="B435" s="177"/>
      <c r="D435" s="178"/>
      <c r="F435" s="178"/>
    </row>
    <row r="436">
      <c r="B436" s="177"/>
      <c r="D436" s="178"/>
      <c r="F436" s="178"/>
    </row>
    <row r="437">
      <c r="B437" s="177"/>
      <c r="D437" s="178"/>
      <c r="F437" s="178"/>
    </row>
    <row r="438">
      <c r="B438" s="177"/>
      <c r="D438" s="178"/>
      <c r="F438" s="178"/>
    </row>
    <row r="439">
      <c r="B439" s="177"/>
      <c r="D439" s="178"/>
      <c r="F439" s="178"/>
    </row>
    <row r="440">
      <c r="B440" s="177"/>
      <c r="D440" s="178"/>
      <c r="F440" s="178"/>
    </row>
    <row r="441">
      <c r="B441" s="177"/>
      <c r="D441" s="178"/>
      <c r="F441" s="178"/>
    </row>
    <row r="442">
      <c r="B442" s="177"/>
      <c r="D442" s="178"/>
      <c r="F442" s="178"/>
    </row>
    <row r="443">
      <c r="B443" s="177"/>
      <c r="D443" s="178"/>
      <c r="F443" s="178"/>
    </row>
    <row r="444">
      <c r="B444" s="177"/>
      <c r="D444" s="178"/>
      <c r="F444" s="178"/>
    </row>
    <row r="445">
      <c r="B445" s="177"/>
      <c r="D445" s="178"/>
      <c r="F445" s="178"/>
    </row>
    <row r="446">
      <c r="B446" s="177"/>
      <c r="D446" s="178"/>
      <c r="F446" s="178"/>
    </row>
    <row r="447">
      <c r="B447" s="177"/>
      <c r="D447" s="178"/>
      <c r="F447" s="178"/>
    </row>
    <row r="448">
      <c r="B448" s="177"/>
      <c r="D448" s="178"/>
      <c r="F448" s="178"/>
    </row>
    <row r="449">
      <c r="B449" s="177"/>
      <c r="D449" s="178"/>
      <c r="F449" s="178"/>
    </row>
    <row r="450">
      <c r="B450" s="177"/>
      <c r="D450" s="178"/>
      <c r="F450" s="178"/>
    </row>
    <row r="451">
      <c r="B451" s="177"/>
      <c r="D451" s="178"/>
      <c r="F451" s="178"/>
    </row>
    <row r="452">
      <c r="B452" s="177"/>
      <c r="D452" s="178"/>
      <c r="F452" s="178"/>
    </row>
    <row r="453">
      <c r="B453" s="177"/>
      <c r="D453" s="178"/>
      <c r="F453" s="178"/>
    </row>
    <row r="454">
      <c r="B454" s="177"/>
      <c r="D454" s="178"/>
      <c r="F454" s="178"/>
    </row>
    <row r="455">
      <c r="B455" s="177"/>
      <c r="D455" s="178"/>
      <c r="F455" s="178"/>
    </row>
    <row r="456">
      <c r="B456" s="177"/>
      <c r="D456" s="178"/>
      <c r="F456" s="178"/>
    </row>
    <row r="457">
      <c r="B457" s="177"/>
      <c r="D457" s="178"/>
      <c r="F457" s="178"/>
    </row>
    <row r="458">
      <c r="B458" s="177"/>
      <c r="D458" s="178"/>
      <c r="F458" s="178"/>
    </row>
    <row r="459">
      <c r="B459" s="177"/>
      <c r="D459" s="178"/>
      <c r="F459" s="178"/>
    </row>
    <row r="460">
      <c r="B460" s="177"/>
      <c r="D460" s="178"/>
      <c r="F460" s="178"/>
    </row>
    <row r="461">
      <c r="B461" s="177"/>
      <c r="D461" s="178"/>
      <c r="F461" s="178"/>
    </row>
    <row r="462">
      <c r="B462" s="177"/>
      <c r="D462" s="178"/>
      <c r="F462" s="178"/>
    </row>
    <row r="463">
      <c r="B463" s="177"/>
      <c r="D463" s="178"/>
      <c r="F463" s="178"/>
    </row>
    <row r="464">
      <c r="B464" s="177"/>
      <c r="D464" s="178"/>
      <c r="F464" s="178"/>
    </row>
    <row r="465">
      <c r="B465" s="177"/>
      <c r="D465" s="178"/>
      <c r="F465" s="178"/>
    </row>
    <row r="466">
      <c r="B466" s="177"/>
      <c r="D466" s="178"/>
      <c r="F466" s="178"/>
    </row>
    <row r="467">
      <c r="B467" s="177"/>
      <c r="D467" s="178"/>
      <c r="F467" s="178"/>
    </row>
    <row r="468">
      <c r="B468" s="177"/>
      <c r="D468" s="178"/>
      <c r="F468" s="178"/>
    </row>
    <row r="469">
      <c r="B469" s="177"/>
      <c r="D469" s="178"/>
      <c r="F469" s="178"/>
    </row>
    <row r="470">
      <c r="B470" s="177"/>
      <c r="D470" s="178"/>
      <c r="F470" s="178"/>
    </row>
    <row r="471">
      <c r="B471" s="177"/>
      <c r="D471" s="178"/>
      <c r="F471" s="178"/>
    </row>
    <row r="472">
      <c r="B472" s="177"/>
      <c r="D472" s="178"/>
      <c r="F472" s="178"/>
    </row>
    <row r="473">
      <c r="B473" s="177"/>
      <c r="D473" s="178"/>
      <c r="F473" s="178"/>
    </row>
    <row r="474">
      <c r="B474" s="177"/>
      <c r="D474" s="178"/>
      <c r="F474" s="178"/>
    </row>
    <row r="475">
      <c r="B475" s="177"/>
      <c r="D475" s="178"/>
      <c r="F475" s="178"/>
    </row>
    <row r="476">
      <c r="B476" s="177"/>
      <c r="D476" s="178"/>
      <c r="F476" s="178"/>
    </row>
    <row r="477">
      <c r="B477" s="177"/>
      <c r="D477" s="178"/>
      <c r="F477" s="178"/>
    </row>
    <row r="478">
      <c r="B478" s="177"/>
      <c r="D478" s="178"/>
      <c r="F478" s="178"/>
    </row>
    <row r="479">
      <c r="B479" s="177"/>
      <c r="D479" s="178"/>
      <c r="F479" s="178"/>
    </row>
    <row r="480">
      <c r="B480" s="177"/>
      <c r="D480" s="178"/>
      <c r="F480" s="178"/>
    </row>
    <row r="481">
      <c r="B481" s="177"/>
      <c r="D481" s="178"/>
      <c r="F481" s="178"/>
    </row>
    <row r="482">
      <c r="B482" s="177"/>
      <c r="D482" s="178"/>
      <c r="F482" s="178"/>
    </row>
    <row r="483">
      <c r="B483" s="177"/>
      <c r="D483" s="178"/>
      <c r="F483" s="178"/>
    </row>
    <row r="484">
      <c r="B484" s="177"/>
      <c r="D484" s="178"/>
      <c r="F484" s="178"/>
    </row>
    <row r="485">
      <c r="B485" s="177"/>
      <c r="D485" s="178"/>
      <c r="F485" s="178"/>
    </row>
    <row r="486">
      <c r="B486" s="177"/>
      <c r="D486" s="178"/>
      <c r="F486" s="178"/>
    </row>
    <row r="487">
      <c r="B487" s="177"/>
      <c r="D487" s="178"/>
      <c r="F487" s="178"/>
    </row>
    <row r="488">
      <c r="B488" s="177"/>
      <c r="D488" s="178"/>
      <c r="F488" s="178"/>
    </row>
    <row r="489">
      <c r="B489" s="177"/>
      <c r="D489" s="178"/>
      <c r="F489" s="178"/>
    </row>
    <row r="490">
      <c r="B490" s="177"/>
      <c r="D490" s="178"/>
      <c r="F490" s="178"/>
    </row>
    <row r="491">
      <c r="B491" s="177"/>
      <c r="D491" s="178"/>
      <c r="F491" s="178"/>
    </row>
    <row r="492">
      <c r="B492" s="177"/>
      <c r="D492" s="178"/>
      <c r="F492" s="178"/>
    </row>
    <row r="493">
      <c r="B493" s="177"/>
      <c r="D493" s="178"/>
      <c r="F493" s="178"/>
    </row>
    <row r="494">
      <c r="B494" s="177"/>
      <c r="D494" s="178"/>
      <c r="F494" s="178"/>
    </row>
    <row r="495">
      <c r="B495" s="177"/>
      <c r="D495" s="178"/>
      <c r="F495" s="178"/>
    </row>
    <row r="496">
      <c r="B496" s="177"/>
      <c r="D496" s="178"/>
      <c r="F496" s="178"/>
    </row>
    <row r="497">
      <c r="B497" s="177"/>
      <c r="D497" s="178"/>
      <c r="F497" s="178"/>
    </row>
    <row r="498">
      <c r="B498" s="177"/>
      <c r="D498" s="178"/>
      <c r="F498" s="178"/>
    </row>
    <row r="499">
      <c r="B499" s="177"/>
      <c r="D499" s="178"/>
      <c r="F499" s="178"/>
    </row>
    <row r="500">
      <c r="B500" s="177"/>
      <c r="D500" s="178"/>
      <c r="F500" s="178"/>
    </row>
    <row r="501">
      <c r="B501" s="177"/>
      <c r="D501" s="178"/>
      <c r="F501" s="178"/>
    </row>
    <row r="502">
      <c r="B502" s="177"/>
      <c r="D502" s="178"/>
      <c r="F502" s="178"/>
    </row>
    <row r="503">
      <c r="B503" s="177"/>
      <c r="D503" s="178"/>
      <c r="F503" s="178"/>
    </row>
    <row r="504">
      <c r="B504" s="177"/>
      <c r="D504" s="178"/>
      <c r="F504" s="178"/>
    </row>
    <row r="505">
      <c r="B505" s="177"/>
      <c r="D505" s="178"/>
      <c r="F505" s="178"/>
    </row>
    <row r="506">
      <c r="B506" s="177"/>
      <c r="D506" s="178"/>
      <c r="F506" s="178"/>
    </row>
    <row r="507">
      <c r="B507" s="177"/>
      <c r="D507" s="178"/>
      <c r="F507" s="178"/>
    </row>
    <row r="508">
      <c r="B508" s="177"/>
      <c r="D508" s="178"/>
      <c r="F508" s="178"/>
    </row>
    <row r="509">
      <c r="B509" s="177"/>
      <c r="D509" s="178"/>
      <c r="F509" s="178"/>
    </row>
    <row r="510">
      <c r="B510" s="177"/>
      <c r="D510" s="178"/>
      <c r="F510" s="178"/>
    </row>
    <row r="511">
      <c r="B511" s="177"/>
      <c r="D511" s="178"/>
      <c r="F511" s="178"/>
    </row>
    <row r="512">
      <c r="B512" s="177"/>
      <c r="D512" s="178"/>
      <c r="F512" s="178"/>
    </row>
    <row r="513">
      <c r="B513" s="177"/>
      <c r="D513" s="178"/>
      <c r="F513" s="178"/>
    </row>
    <row r="514">
      <c r="B514" s="177"/>
      <c r="D514" s="178"/>
      <c r="F514" s="178"/>
    </row>
    <row r="515">
      <c r="B515" s="177"/>
      <c r="D515" s="178"/>
      <c r="F515" s="178"/>
    </row>
    <row r="516">
      <c r="B516" s="177"/>
      <c r="D516" s="178"/>
      <c r="F516" s="178"/>
    </row>
    <row r="517">
      <c r="B517" s="177"/>
      <c r="D517" s="178"/>
      <c r="F517" s="178"/>
    </row>
    <row r="518">
      <c r="B518" s="177"/>
      <c r="D518" s="178"/>
      <c r="F518" s="178"/>
    </row>
    <row r="519">
      <c r="B519" s="177"/>
      <c r="D519" s="178"/>
      <c r="F519" s="178"/>
    </row>
    <row r="520">
      <c r="B520" s="177"/>
      <c r="D520" s="178"/>
      <c r="F520" s="178"/>
    </row>
    <row r="521">
      <c r="B521" s="177"/>
      <c r="D521" s="178"/>
      <c r="F521" s="178"/>
    </row>
    <row r="522">
      <c r="B522" s="177"/>
      <c r="D522" s="178"/>
      <c r="F522" s="178"/>
    </row>
    <row r="523">
      <c r="B523" s="177"/>
      <c r="D523" s="178"/>
      <c r="F523" s="178"/>
    </row>
    <row r="524">
      <c r="B524" s="177"/>
      <c r="D524" s="178"/>
      <c r="F524" s="178"/>
    </row>
    <row r="525">
      <c r="B525" s="177"/>
      <c r="D525" s="178"/>
      <c r="F525" s="178"/>
    </row>
    <row r="526">
      <c r="B526" s="177"/>
      <c r="D526" s="178"/>
      <c r="F526" s="178"/>
    </row>
    <row r="527">
      <c r="B527" s="177"/>
      <c r="D527" s="178"/>
      <c r="F527" s="178"/>
    </row>
    <row r="528">
      <c r="B528" s="177"/>
      <c r="D528" s="178"/>
      <c r="F528" s="178"/>
    </row>
    <row r="529">
      <c r="B529" s="177"/>
      <c r="D529" s="178"/>
      <c r="F529" s="178"/>
    </row>
    <row r="530">
      <c r="B530" s="177"/>
      <c r="D530" s="178"/>
      <c r="F530" s="178"/>
    </row>
    <row r="531">
      <c r="B531" s="177"/>
      <c r="D531" s="178"/>
      <c r="F531" s="178"/>
    </row>
    <row r="532">
      <c r="B532" s="177"/>
      <c r="D532" s="178"/>
      <c r="F532" s="178"/>
    </row>
    <row r="533">
      <c r="B533" s="177"/>
      <c r="D533" s="178"/>
      <c r="F533" s="178"/>
    </row>
    <row r="534">
      <c r="B534" s="177"/>
      <c r="D534" s="178"/>
      <c r="F534" s="178"/>
    </row>
    <row r="535">
      <c r="B535" s="177"/>
      <c r="D535" s="178"/>
      <c r="F535" s="178"/>
    </row>
    <row r="536">
      <c r="B536" s="177"/>
      <c r="D536" s="178"/>
      <c r="F536" s="178"/>
    </row>
    <row r="537">
      <c r="B537" s="177"/>
      <c r="D537" s="178"/>
      <c r="F537" s="178"/>
    </row>
    <row r="538">
      <c r="B538" s="177"/>
      <c r="D538" s="178"/>
      <c r="F538" s="178"/>
    </row>
    <row r="539">
      <c r="B539" s="177"/>
      <c r="D539" s="178"/>
      <c r="F539" s="178"/>
    </row>
    <row r="540">
      <c r="B540" s="177"/>
      <c r="D540" s="178"/>
      <c r="F540" s="178"/>
    </row>
    <row r="541">
      <c r="B541" s="177"/>
      <c r="D541" s="178"/>
      <c r="F541" s="178"/>
    </row>
    <row r="542">
      <c r="B542" s="177"/>
      <c r="D542" s="178"/>
      <c r="F542" s="178"/>
    </row>
    <row r="543">
      <c r="B543" s="177"/>
      <c r="D543" s="178"/>
      <c r="F543" s="178"/>
    </row>
    <row r="544">
      <c r="B544" s="177"/>
      <c r="D544" s="178"/>
      <c r="F544" s="178"/>
    </row>
    <row r="545">
      <c r="B545" s="177"/>
      <c r="D545" s="178"/>
      <c r="F545" s="178"/>
    </row>
    <row r="546">
      <c r="B546" s="177"/>
      <c r="D546" s="178"/>
      <c r="F546" s="178"/>
    </row>
    <row r="547">
      <c r="B547" s="177"/>
      <c r="D547" s="178"/>
      <c r="F547" s="178"/>
    </row>
    <row r="548">
      <c r="B548" s="177"/>
      <c r="D548" s="178"/>
      <c r="F548" s="178"/>
    </row>
    <row r="549">
      <c r="B549" s="177"/>
      <c r="D549" s="178"/>
      <c r="F549" s="178"/>
    </row>
    <row r="550">
      <c r="B550" s="177"/>
      <c r="D550" s="178"/>
      <c r="F550" s="178"/>
    </row>
    <row r="551">
      <c r="B551" s="177"/>
      <c r="D551" s="178"/>
      <c r="F551" s="178"/>
    </row>
    <row r="552">
      <c r="B552" s="177"/>
      <c r="D552" s="178"/>
      <c r="F552" s="178"/>
    </row>
    <row r="553">
      <c r="B553" s="177"/>
      <c r="D553" s="178"/>
      <c r="F553" s="178"/>
    </row>
    <row r="554">
      <c r="B554" s="177"/>
      <c r="D554" s="178"/>
      <c r="F554" s="178"/>
    </row>
    <row r="555">
      <c r="B555" s="177"/>
      <c r="D555" s="178"/>
      <c r="F555" s="178"/>
    </row>
    <row r="556">
      <c r="B556" s="177"/>
      <c r="D556" s="178"/>
      <c r="F556" s="178"/>
    </row>
    <row r="557">
      <c r="B557" s="177"/>
      <c r="D557" s="178"/>
      <c r="F557" s="178"/>
    </row>
    <row r="558">
      <c r="B558" s="177"/>
      <c r="D558" s="178"/>
      <c r="F558" s="178"/>
    </row>
    <row r="559">
      <c r="B559" s="177"/>
      <c r="D559" s="178"/>
      <c r="F559" s="178"/>
    </row>
    <row r="560">
      <c r="B560" s="177"/>
      <c r="D560" s="178"/>
      <c r="F560" s="178"/>
    </row>
    <row r="561">
      <c r="B561" s="177"/>
      <c r="D561" s="178"/>
      <c r="F561" s="178"/>
    </row>
    <row r="562">
      <c r="B562" s="177"/>
      <c r="D562" s="178"/>
      <c r="F562" s="178"/>
    </row>
    <row r="563">
      <c r="B563" s="177"/>
      <c r="D563" s="178"/>
      <c r="F563" s="178"/>
    </row>
    <row r="564">
      <c r="B564" s="177"/>
      <c r="D564" s="178"/>
      <c r="F564" s="178"/>
    </row>
    <row r="565">
      <c r="B565" s="177"/>
      <c r="D565" s="178"/>
      <c r="F565" s="178"/>
    </row>
    <row r="566">
      <c r="B566" s="177"/>
      <c r="D566" s="178"/>
      <c r="F566" s="178"/>
    </row>
    <row r="567">
      <c r="B567" s="177"/>
      <c r="D567" s="178"/>
      <c r="F567" s="178"/>
    </row>
    <row r="568">
      <c r="B568" s="177"/>
      <c r="D568" s="178"/>
      <c r="F568" s="178"/>
    </row>
    <row r="569">
      <c r="B569" s="177"/>
      <c r="D569" s="178"/>
      <c r="F569" s="178"/>
    </row>
    <row r="570">
      <c r="B570" s="177"/>
      <c r="D570" s="178"/>
      <c r="F570" s="178"/>
    </row>
    <row r="571">
      <c r="B571" s="177"/>
      <c r="D571" s="178"/>
      <c r="F571" s="178"/>
    </row>
    <row r="572">
      <c r="B572" s="177"/>
      <c r="D572" s="178"/>
      <c r="F572" s="178"/>
    </row>
    <row r="573">
      <c r="B573" s="177"/>
      <c r="D573" s="178"/>
      <c r="F573" s="178"/>
    </row>
    <row r="574">
      <c r="B574" s="177"/>
      <c r="D574" s="178"/>
      <c r="F574" s="178"/>
    </row>
    <row r="575">
      <c r="B575" s="177"/>
      <c r="D575" s="178"/>
      <c r="F575" s="178"/>
    </row>
    <row r="576">
      <c r="B576" s="177"/>
      <c r="D576" s="178"/>
      <c r="F576" s="178"/>
    </row>
    <row r="577">
      <c r="B577" s="177"/>
      <c r="D577" s="178"/>
      <c r="F577" s="178"/>
    </row>
    <row r="578">
      <c r="B578" s="177"/>
      <c r="D578" s="178"/>
      <c r="F578" s="178"/>
    </row>
    <row r="579">
      <c r="B579" s="177"/>
      <c r="D579" s="178"/>
      <c r="F579" s="178"/>
    </row>
    <row r="580">
      <c r="B580" s="177"/>
      <c r="D580" s="178"/>
      <c r="F580" s="178"/>
    </row>
    <row r="581">
      <c r="B581" s="177"/>
      <c r="D581" s="178"/>
      <c r="F581" s="178"/>
    </row>
    <row r="582">
      <c r="B582" s="177"/>
      <c r="D582" s="178"/>
      <c r="F582" s="178"/>
    </row>
    <row r="583">
      <c r="B583" s="177"/>
      <c r="D583" s="178"/>
      <c r="F583" s="178"/>
    </row>
    <row r="584">
      <c r="B584" s="177"/>
      <c r="D584" s="178"/>
      <c r="F584" s="178"/>
    </row>
    <row r="585">
      <c r="B585" s="177"/>
      <c r="D585" s="178"/>
      <c r="F585" s="178"/>
    </row>
    <row r="586">
      <c r="B586" s="177"/>
      <c r="D586" s="178"/>
      <c r="F586" s="178"/>
    </row>
    <row r="587">
      <c r="B587" s="177"/>
      <c r="D587" s="178"/>
      <c r="F587" s="178"/>
    </row>
    <row r="588">
      <c r="B588" s="177"/>
      <c r="D588" s="178"/>
      <c r="F588" s="178"/>
    </row>
    <row r="589">
      <c r="B589" s="177"/>
      <c r="D589" s="178"/>
      <c r="F589" s="178"/>
    </row>
    <row r="590">
      <c r="B590" s="177"/>
      <c r="D590" s="178"/>
      <c r="F590" s="178"/>
    </row>
    <row r="591">
      <c r="B591" s="177"/>
      <c r="D591" s="178"/>
      <c r="F591" s="178"/>
    </row>
    <row r="592">
      <c r="B592" s="177"/>
      <c r="D592" s="178"/>
      <c r="F592" s="178"/>
    </row>
    <row r="593">
      <c r="B593" s="177"/>
      <c r="D593" s="178"/>
      <c r="F593" s="178"/>
    </row>
    <row r="594">
      <c r="B594" s="177"/>
      <c r="D594" s="178"/>
      <c r="F594" s="178"/>
    </row>
    <row r="595">
      <c r="B595" s="177"/>
      <c r="D595" s="178"/>
      <c r="F595" s="178"/>
    </row>
    <row r="596">
      <c r="B596" s="177"/>
      <c r="D596" s="178"/>
      <c r="F596" s="178"/>
    </row>
    <row r="597">
      <c r="B597" s="177"/>
      <c r="D597" s="178"/>
      <c r="F597" s="178"/>
    </row>
    <row r="598">
      <c r="B598" s="177"/>
      <c r="D598" s="178"/>
      <c r="F598" s="178"/>
    </row>
    <row r="599">
      <c r="B599" s="177"/>
      <c r="D599" s="178"/>
      <c r="F599" s="178"/>
    </row>
    <row r="600">
      <c r="B600" s="177"/>
      <c r="D600" s="178"/>
      <c r="F600" s="178"/>
    </row>
    <row r="601">
      <c r="B601" s="177"/>
      <c r="D601" s="178"/>
      <c r="F601" s="178"/>
    </row>
    <row r="602">
      <c r="B602" s="177"/>
      <c r="D602" s="178"/>
      <c r="F602" s="178"/>
    </row>
    <row r="603">
      <c r="B603" s="177"/>
      <c r="D603" s="178"/>
      <c r="F603" s="178"/>
    </row>
    <row r="604">
      <c r="B604" s="177"/>
      <c r="D604" s="178"/>
      <c r="F604" s="178"/>
    </row>
    <row r="605">
      <c r="B605" s="177"/>
      <c r="D605" s="178"/>
      <c r="F605" s="178"/>
    </row>
    <row r="606">
      <c r="B606" s="177"/>
      <c r="D606" s="178"/>
      <c r="F606" s="178"/>
    </row>
    <row r="607">
      <c r="B607" s="177"/>
      <c r="D607" s="178"/>
      <c r="F607" s="178"/>
    </row>
    <row r="608">
      <c r="B608" s="177"/>
      <c r="D608" s="178"/>
      <c r="F608" s="178"/>
    </row>
    <row r="609">
      <c r="B609" s="177"/>
      <c r="D609" s="178"/>
      <c r="F609" s="178"/>
    </row>
    <row r="610">
      <c r="B610" s="177"/>
      <c r="D610" s="178"/>
      <c r="F610" s="178"/>
    </row>
    <row r="611">
      <c r="B611" s="177"/>
      <c r="D611" s="178"/>
      <c r="F611" s="178"/>
    </row>
    <row r="612">
      <c r="B612" s="177"/>
      <c r="D612" s="178"/>
      <c r="F612" s="178"/>
    </row>
    <row r="613">
      <c r="B613" s="177"/>
      <c r="D613" s="178"/>
      <c r="F613" s="178"/>
    </row>
    <row r="614">
      <c r="B614" s="177"/>
      <c r="D614" s="178"/>
      <c r="F614" s="178"/>
    </row>
    <row r="615">
      <c r="B615" s="177"/>
      <c r="D615" s="178"/>
      <c r="F615" s="178"/>
    </row>
    <row r="616">
      <c r="B616" s="177"/>
      <c r="D616" s="178"/>
      <c r="F616" s="178"/>
    </row>
    <row r="617">
      <c r="B617" s="177"/>
      <c r="D617" s="178"/>
      <c r="F617" s="178"/>
    </row>
    <row r="618">
      <c r="B618" s="177"/>
      <c r="D618" s="178"/>
      <c r="F618" s="178"/>
    </row>
    <row r="619">
      <c r="B619" s="177"/>
      <c r="D619" s="178"/>
      <c r="F619" s="178"/>
    </row>
    <row r="620">
      <c r="B620" s="177"/>
      <c r="D620" s="178"/>
      <c r="F620" s="178"/>
    </row>
    <row r="621">
      <c r="B621" s="177"/>
      <c r="D621" s="178"/>
      <c r="F621" s="178"/>
    </row>
    <row r="622">
      <c r="B622" s="177"/>
      <c r="D622" s="178"/>
      <c r="F622" s="178"/>
    </row>
    <row r="623">
      <c r="B623" s="177"/>
      <c r="D623" s="178"/>
      <c r="F623" s="178"/>
    </row>
    <row r="624">
      <c r="B624" s="177"/>
      <c r="D624" s="178"/>
      <c r="F624" s="178"/>
    </row>
    <row r="625">
      <c r="B625" s="177"/>
      <c r="D625" s="178"/>
      <c r="F625" s="178"/>
    </row>
    <row r="626">
      <c r="B626" s="177"/>
      <c r="D626" s="178"/>
      <c r="F626" s="178"/>
    </row>
    <row r="627">
      <c r="B627" s="177"/>
      <c r="D627" s="178"/>
      <c r="F627" s="178"/>
    </row>
    <row r="628">
      <c r="B628" s="177"/>
      <c r="D628" s="178"/>
      <c r="F628" s="178"/>
    </row>
    <row r="629">
      <c r="B629" s="177"/>
      <c r="D629" s="178"/>
      <c r="F629" s="178"/>
    </row>
    <row r="630">
      <c r="B630" s="177"/>
      <c r="D630" s="178"/>
      <c r="F630" s="178"/>
    </row>
    <row r="631">
      <c r="B631" s="177"/>
      <c r="D631" s="178"/>
      <c r="F631" s="178"/>
    </row>
    <row r="632">
      <c r="B632" s="177"/>
      <c r="D632" s="178"/>
      <c r="F632" s="178"/>
    </row>
    <row r="633">
      <c r="B633" s="177"/>
      <c r="D633" s="178"/>
      <c r="F633" s="178"/>
    </row>
    <row r="634">
      <c r="B634" s="177"/>
      <c r="D634" s="178"/>
      <c r="F634" s="178"/>
    </row>
    <row r="635">
      <c r="B635" s="177"/>
      <c r="D635" s="178"/>
      <c r="F635" s="178"/>
    </row>
    <row r="636">
      <c r="B636" s="177"/>
      <c r="D636" s="178"/>
      <c r="F636" s="178"/>
    </row>
    <row r="637">
      <c r="B637" s="177"/>
      <c r="D637" s="178"/>
      <c r="F637" s="178"/>
    </row>
    <row r="638">
      <c r="B638" s="177"/>
      <c r="D638" s="178"/>
      <c r="F638" s="178"/>
    </row>
    <row r="639">
      <c r="B639" s="177"/>
      <c r="D639" s="178"/>
      <c r="F639" s="178"/>
    </row>
    <row r="640">
      <c r="B640" s="177"/>
      <c r="D640" s="178"/>
      <c r="F640" s="178"/>
    </row>
    <row r="641">
      <c r="B641" s="177"/>
      <c r="D641" s="178"/>
      <c r="F641" s="178"/>
    </row>
    <row r="642">
      <c r="B642" s="177"/>
      <c r="D642" s="178"/>
      <c r="F642" s="178"/>
    </row>
    <row r="643">
      <c r="B643" s="177"/>
      <c r="D643" s="178"/>
      <c r="F643" s="178"/>
    </row>
    <row r="644">
      <c r="B644" s="177"/>
      <c r="D644" s="178"/>
      <c r="F644" s="178"/>
    </row>
    <row r="645">
      <c r="B645" s="177"/>
      <c r="D645" s="178"/>
      <c r="F645" s="178"/>
    </row>
    <row r="646">
      <c r="B646" s="177"/>
      <c r="D646" s="178"/>
      <c r="F646" s="178"/>
    </row>
    <row r="647">
      <c r="B647" s="177"/>
      <c r="D647" s="178"/>
      <c r="F647" s="178"/>
    </row>
    <row r="648">
      <c r="B648" s="177"/>
      <c r="D648" s="178"/>
      <c r="F648" s="178"/>
    </row>
    <row r="649">
      <c r="B649" s="177"/>
      <c r="D649" s="178"/>
      <c r="F649" s="178"/>
    </row>
    <row r="650">
      <c r="B650" s="177"/>
      <c r="D650" s="178"/>
      <c r="F650" s="178"/>
    </row>
    <row r="651">
      <c r="B651" s="177"/>
      <c r="D651" s="178"/>
      <c r="F651" s="178"/>
    </row>
    <row r="652">
      <c r="B652" s="177"/>
      <c r="D652" s="178"/>
      <c r="F652" s="178"/>
    </row>
    <row r="653">
      <c r="B653" s="177"/>
      <c r="D653" s="178"/>
      <c r="F653" s="178"/>
    </row>
    <row r="654">
      <c r="B654" s="177"/>
      <c r="D654" s="178"/>
      <c r="F654" s="178"/>
    </row>
    <row r="655">
      <c r="B655" s="177"/>
      <c r="D655" s="178"/>
      <c r="F655" s="178"/>
    </row>
    <row r="656">
      <c r="B656" s="177"/>
      <c r="D656" s="178"/>
      <c r="F656" s="178"/>
    </row>
    <row r="657">
      <c r="B657" s="177"/>
      <c r="D657" s="178"/>
      <c r="F657" s="178"/>
    </row>
    <row r="658">
      <c r="B658" s="177"/>
      <c r="D658" s="178"/>
      <c r="F658" s="178"/>
    </row>
    <row r="659">
      <c r="B659" s="177"/>
      <c r="D659" s="178"/>
      <c r="F659" s="178"/>
    </row>
    <row r="660">
      <c r="B660" s="177"/>
      <c r="D660" s="178"/>
      <c r="F660" s="178"/>
    </row>
    <row r="661">
      <c r="B661" s="177"/>
      <c r="D661" s="178"/>
      <c r="F661" s="178"/>
    </row>
    <row r="662">
      <c r="B662" s="177"/>
      <c r="D662" s="178"/>
      <c r="F662" s="178"/>
    </row>
    <row r="663">
      <c r="B663" s="177"/>
      <c r="D663" s="178"/>
      <c r="F663" s="178"/>
    </row>
    <row r="664">
      <c r="B664" s="177"/>
      <c r="D664" s="178"/>
      <c r="F664" s="178"/>
    </row>
    <row r="665">
      <c r="B665" s="177"/>
      <c r="D665" s="178"/>
      <c r="F665" s="178"/>
    </row>
    <row r="666">
      <c r="B666" s="177"/>
      <c r="D666" s="178"/>
      <c r="F666" s="178"/>
    </row>
    <row r="667">
      <c r="B667" s="177"/>
      <c r="D667" s="178"/>
      <c r="F667" s="178"/>
    </row>
    <row r="668">
      <c r="B668" s="177"/>
      <c r="D668" s="178"/>
      <c r="F668" s="178"/>
    </row>
    <row r="669">
      <c r="B669" s="177"/>
      <c r="D669" s="178"/>
      <c r="F669" s="178"/>
    </row>
    <row r="670">
      <c r="B670" s="177"/>
      <c r="D670" s="178"/>
      <c r="F670" s="178"/>
    </row>
    <row r="671">
      <c r="B671" s="177"/>
      <c r="D671" s="178"/>
      <c r="F671" s="178"/>
    </row>
    <row r="672">
      <c r="B672" s="177"/>
      <c r="D672" s="178"/>
      <c r="F672" s="178"/>
    </row>
    <row r="673">
      <c r="B673" s="177"/>
      <c r="D673" s="178"/>
      <c r="F673" s="178"/>
    </row>
    <row r="674">
      <c r="B674" s="177"/>
      <c r="D674" s="178"/>
      <c r="F674" s="178"/>
    </row>
    <row r="675">
      <c r="B675" s="177"/>
      <c r="D675" s="178"/>
      <c r="F675" s="178"/>
    </row>
    <row r="676">
      <c r="B676" s="177"/>
      <c r="D676" s="178"/>
      <c r="F676" s="178"/>
    </row>
    <row r="677">
      <c r="B677" s="177"/>
      <c r="D677" s="178"/>
      <c r="F677" s="178"/>
    </row>
    <row r="678">
      <c r="B678" s="177"/>
      <c r="D678" s="178"/>
      <c r="F678" s="178"/>
    </row>
    <row r="679">
      <c r="B679" s="177"/>
      <c r="D679" s="178"/>
      <c r="F679" s="178"/>
    </row>
    <row r="680">
      <c r="B680" s="177"/>
      <c r="D680" s="178"/>
      <c r="F680" s="178"/>
    </row>
    <row r="681">
      <c r="B681" s="177"/>
      <c r="D681" s="178"/>
      <c r="F681" s="178"/>
    </row>
    <row r="682">
      <c r="B682" s="177"/>
      <c r="D682" s="178"/>
      <c r="F682" s="178"/>
    </row>
    <row r="683">
      <c r="B683" s="177"/>
      <c r="D683" s="178"/>
      <c r="F683" s="178"/>
    </row>
    <row r="684">
      <c r="B684" s="177"/>
      <c r="D684" s="178"/>
      <c r="F684" s="178"/>
    </row>
    <row r="685">
      <c r="B685" s="177"/>
      <c r="D685" s="178"/>
      <c r="F685" s="178"/>
    </row>
    <row r="686">
      <c r="B686" s="177"/>
      <c r="D686" s="178"/>
      <c r="F686" s="178"/>
    </row>
    <row r="687">
      <c r="B687" s="177"/>
      <c r="D687" s="178"/>
      <c r="F687" s="178"/>
    </row>
    <row r="688">
      <c r="B688" s="177"/>
      <c r="D688" s="178"/>
      <c r="F688" s="178"/>
    </row>
    <row r="689">
      <c r="B689" s="177"/>
      <c r="D689" s="178"/>
      <c r="F689" s="178"/>
    </row>
    <row r="690">
      <c r="B690" s="177"/>
      <c r="D690" s="178"/>
      <c r="F690" s="178"/>
    </row>
    <row r="691">
      <c r="B691" s="177"/>
      <c r="D691" s="178"/>
      <c r="F691" s="178"/>
    </row>
    <row r="692">
      <c r="B692" s="177"/>
      <c r="D692" s="178"/>
      <c r="F692" s="178"/>
    </row>
    <row r="693">
      <c r="B693" s="177"/>
      <c r="D693" s="178"/>
      <c r="F693" s="178"/>
    </row>
    <row r="694">
      <c r="B694" s="177"/>
      <c r="D694" s="178"/>
      <c r="F694" s="178"/>
    </row>
    <row r="695">
      <c r="B695" s="177"/>
      <c r="D695" s="178"/>
      <c r="F695" s="178"/>
    </row>
    <row r="696">
      <c r="B696" s="177"/>
      <c r="D696" s="178"/>
      <c r="F696" s="178"/>
    </row>
    <row r="697">
      <c r="B697" s="177"/>
      <c r="D697" s="178"/>
      <c r="F697" s="178"/>
    </row>
    <row r="698">
      <c r="B698" s="177"/>
      <c r="D698" s="178"/>
      <c r="F698" s="178"/>
    </row>
    <row r="699">
      <c r="B699" s="177"/>
      <c r="D699" s="178"/>
      <c r="F699" s="178"/>
    </row>
    <row r="700">
      <c r="B700" s="177"/>
      <c r="D700" s="178"/>
      <c r="F700" s="178"/>
    </row>
    <row r="701">
      <c r="B701" s="177"/>
      <c r="D701" s="178"/>
      <c r="F701" s="178"/>
    </row>
    <row r="702">
      <c r="B702" s="177"/>
      <c r="D702" s="178"/>
      <c r="F702" s="178"/>
    </row>
    <row r="703">
      <c r="B703" s="177"/>
      <c r="D703" s="178"/>
      <c r="F703" s="178"/>
    </row>
    <row r="704">
      <c r="B704" s="177"/>
      <c r="D704" s="178"/>
      <c r="F704" s="178"/>
    </row>
    <row r="705">
      <c r="B705" s="177"/>
      <c r="D705" s="178"/>
      <c r="F705" s="178"/>
    </row>
    <row r="706">
      <c r="B706" s="177"/>
      <c r="D706" s="178"/>
      <c r="F706" s="178"/>
    </row>
    <row r="707">
      <c r="B707" s="177"/>
      <c r="D707" s="178"/>
      <c r="F707" s="178"/>
    </row>
    <row r="708">
      <c r="B708" s="177"/>
      <c r="D708" s="178"/>
      <c r="F708" s="178"/>
    </row>
    <row r="709">
      <c r="B709" s="177"/>
      <c r="D709" s="178"/>
      <c r="F709" s="178"/>
    </row>
    <row r="710">
      <c r="B710" s="177"/>
      <c r="D710" s="178"/>
      <c r="F710" s="178"/>
    </row>
    <row r="711">
      <c r="B711" s="177"/>
      <c r="D711" s="178"/>
      <c r="F711" s="178"/>
    </row>
    <row r="712">
      <c r="B712" s="177"/>
      <c r="D712" s="178"/>
      <c r="F712" s="178"/>
    </row>
    <row r="713">
      <c r="B713" s="177"/>
      <c r="D713" s="178"/>
      <c r="F713" s="178"/>
    </row>
    <row r="714">
      <c r="B714" s="177"/>
      <c r="D714" s="178"/>
      <c r="F714" s="178"/>
    </row>
    <row r="715">
      <c r="B715" s="177"/>
      <c r="D715" s="178"/>
      <c r="F715" s="178"/>
    </row>
    <row r="716">
      <c r="B716" s="177"/>
      <c r="D716" s="178"/>
      <c r="F716" s="178"/>
    </row>
    <row r="717">
      <c r="B717" s="177"/>
      <c r="D717" s="178"/>
      <c r="F717" s="178"/>
    </row>
    <row r="718">
      <c r="B718" s="177"/>
      <c r="D718" s="178"/>
      <c r="F718" s="178"/>
    </row>
    <row r="719">
      <c r="B719" s="177"/>
      <c r="D719" s="178"/>
      <c r="F719" s="178"/>
    </row>
    <row r="720">
      <c r="B720" s="177"/>
      <c r="D720" s="178"/>
      <c r="F720" s="178"/>
    </row>
    <row r="721">
      <c r="B721" s="177"/>
      <c r="D721" s="178"/>
      <c r="F721" s="178"/>
    </row>
    <row r="722">
      <c r="B722" s="177"/>
      <c r="D722" s="178"/>
      <c r="F722" s="178"/>
    </row>
    <row r="723">
      <c r="B723" s="177"/>
      <c r="D723" s="178"/>
      <c r="F723" s="178"/>
    </row>
    <row r="724">
      <c r="B724" s="177"/>
      <c r="D724" s="178"/>
      <c r="F724" s="178"/>
    </row>
    <row r="725">
      <c r="B725" s="177"/>
      <c r="D725" s="178"/>
      <c r="F725" s="178"/>
    </row>
    <row r="726">
      <c r="B726" s="177"/>
      <c r="D726" s="178"/>
      <c r="F726" s="178"/>
    </row>
    <row r="727">
      <c r="B727" s="177"/>
      <c r="D727" s="178"/>
      <c r="F727" s="178"/>
    </row>
    <row r="728">
      <c r="B728" s="177"/>
      <c r="D728" s="178"/>
      <c r="F728" s="178"/>
    </row>
    <row r="729">
      <c r="B729" s="177"/>
      <c r="D729" s="178"/>
      <c r="F729" s="178"/>
    </row>
    <row r="730">
      <c r="B730" s="177"/>
      <c r="D730" s="178"/>
      <c r="F730" s="178"/>
    </row>
    <row r="731">
      <c r="B731" s="177"/>
      <c r="D731" s="178"/>
      <c r="F731" s="178"/>
    </row>
    <row r="732">
      <c r="B732" s="177"/>
      <c r="D732" s="178"/>
      <c r="F732" s="178"/>
    </row>
    <row r="733">
      <c r="B733" s="177"/>
      <c r="D733" s="178"/>
      <c r="F733" s="178"/>
    </row>
    <row r="734">
      <c r="B734" s="177"/>
      <c r="D734" s="178"/>
      <c r="F734" s="178"/>
    </row>
    <row r="735">
      <c r="B735" s="177"/>
      <c r="D735" s="178"/>
      <c r="F735" s="178"/>
    </row>
    <row r="736">
      <c r="B736" s="177"/>
      <c r="D736" s="178"/>
      <c r="F736" s="178"/>
    </row>
    <row r="737">
      <c r="B737" s="177"/>
      <c r="D737" s="178"/>
      <c r="F737" s="178"/>
    </row>
    <row r="738">
      <c r="B738" s="177"/>
      <c r="D738" s="178"/>
      <c r="F738" s="178"/>
    </row>
    <row r="739">
      <c r="B739" s="177"/>
      <c r="D739" s="178"/>
      <c r="F739" s="178"/>
    </row>
    <row r="740">
      <c r="B740" s="177"/>
      <c r="D740" s="178"/>
      <c r="F740" s="178"/>
    </row>
    <row r="741">
      <c r="B741" s="177"/>
      <c r="D741" s="178"/>
      <c r="F741" s="178"/>
    </row>
    <row r="742">
      <c r="B742" s="177"/>
      <c r="D742" s="178"/>
      <c r="F742" s="178"/>
    </row>
    <row r="743">
      <c r="B743" s="177"/>
      <c r="D743" s="178"/>
      <c r="F743" s="178"/>
    </row>
    <row r="744">
      <c r="B744" s="177"/>
      <c r="D744" s="178"/>
      <c r="F744" s="178"/>
    </row>
    <row r="745">
      <c r="B745" s="177"/>
      <c r="D745" s="178"/>
      <c r="F745" s="178"/>
    </row>
    <row r="746">
      <c r="B746" s="177"/>
      <c r="D746" s="178"/>
      <c r="F746" s="178"/>
    </row>
    <row r="747">
      <c r="B747" s="177"/>
      <c r="D747" s="178"/>
      <c r="F747" s="178"/>
    </row>
    <row r="748">
      <c r="B748" s="177"/>
      <c r="D748" s="178"/>
      <c r="F748" s="178"/>
    </row>
    <row r="749">
      <c r="B749" s="177"/>
      <c r="D749" s="178"/>
      <c r="F749" s="178"/>
    </row>
    <row r="750">
      <c r="B750" s="177"/>
      <c r="D750" s="178"/>
      <c r="F750" s="178"/>
    </row>
    <row r="751">
      <c r="B751" s="177"/>
      <c r="D751" s="178"/>
      <c r="F751" s="178"/>
    </row>
    <row r="752">
      <c r="B752" s="177"/>
      <c r="D752" s="178"/>
      <c r="F752" s="178"/>
    </row>
    <row r="753">
      <c r="B753" s="177"/>
      <c r="D753" s="178"/>
      <c r="F753" s="178"/>
    </row>
    <row r="754">
      <c r="B754" s="177"/>
      <c r="D754" s="178"/>
      <c r="F754" s="178"/>
    </row>
    <row r="755">
      <c r="B755" s="177"/>
      <c r="D755" s="178"/>
      <c r="F755" s="178"/>
    </row>
    <row r="756">
      <c r="B756" s="177"/>
      <c r="D756" s="178"/>
      <c r="F756" s="178"/>
    </row>
    <row r="757">
      <c r="B757" s="177"/>
      <c r="D757" s="178"/>
      <c r="F757" s="178"/>
    </row>
    <row r="758">
      <c r="B758" s="177"/>
      <c r="D758" s="178"/>
      <c r="F758" s="178"/>
    </row>
    <row r="759">
      <c r="B759" s="177"/>
      <c r="D759" s="178"/>
      <c r="F759" s="178"/>
    </row>
    <row r="760">
      <c r="B760" s="177"/>
      <c r="D760" s="178"/>
      <c r="F760" s="178"/>
    </row>
    <row r="761">
      <c r="B761" s="177"/>
      <c r="D761" s="178"/>
      <c r="F761" s="178"/>
    </row>
    <row r="762">
      <c r="B762" s="177"/>
      <c r="D762" s="178"/>
      <c r="F762" s="178"/>
    </row>
    <row r="763">
      <c r="B763" s="177"/>
      <c r="D763" s="178"/>
      <c r="F763" s="178"/>
    </row>
    <row r="764">
      <c r="B764" s="177"/>
      <c r="D764" s="178"/>
      <c r="F764" s="178"/>
    </row>
    <row r="765">
      <c r="B765" s="177"/>
      <c r="D765" s="178"/>
      <c r="F765" s="178"/>
    </row>
    <row r="766">
      <c r="B766" s="177"/>
      <c r="D766" s="178"/>
      <c r="F766" s="178"/>
    </row>
    <row r="767">
      <c r="B767" s="177"/>
      <c r="D767" s="178"/>
      <c r="F767" s="178"/>
    </row>
    <row r="768">
      <c r="B768" s="177"/>
      <c r="D768" s="178"/>
      <c r="F768" s="178"/>
    </row>
    <row r="769">
      <c r="B769" s="177"/>
      <c r="D769" s="178"/>
      <c r="F769" s="178"/>
    </row>
    <row r="770">
      <c r="B770" s="177"/>
      <c r="D770" s="178"/>
      <c r="F770" s="178"/>
    </row>
    <row r="771">
      <c r="B771" s="177"/>
      <c r="D771" s="178"/>
      <c r="F771" s="178"/>
    </row>
    <row r="772">
      <c r="B772" s="177"/>
      <c r="D772" s="178"/>
      <c r="F772" s="178"/>
    </row>
    <row r="773">
      <c r="B773" s="177"/>
      <c r="D773" s="178"/>
      <c r="F773" s="178"/>
    </row>
    <row r="774">
      <c r="B774" s="177"/>
      <c r="D774" s="178"/>
      <c r="F774" s="178"/>
    </row>
    <row r="775">
      <c r="B775" s="177"/>
      <c r="D775" s="178"/>
      <c r="F775" s="178"/>
    </row>
    <row r="776">
      <c r="B776" s="177"/>
      <c r="D776" s="178"/>
      <c r="F776" s="178"/>
    </row>
    <row r="777">
      <c r="B777" s="177"/>
      <c r="D777" s="178"/>
      <c r="F777" s="178"/>
    </row>
    <row r="778">
      <c r="B778" s="177"/>
      <c r="D778" s="178"/>
      <c r="F778" s="178"/>
    </row>
    <row r="779">
      <c r="B779" s="177"/>
      <c r="D779" s="178"/>
      <c r="F779" s="178"/>
    </row>
    <row r="780">
      <c r="B780" s="177"/>
      <c r="D780" s="178"/>
      <c r="F780" s="178"/>
    </row>
    <row r="781">
      <c r="B781" s="177"/>
      <c r="D781" s="178"/>
      <c r="F781" s="178"/>
    </row>
    <row r="782">
      <c r="B782" s="177"/>
      <c r="D782" s="178"/>
      <c r="F782" s="178"/>
    </row>
    <row r="783">
      <c r="B783" s="177"/>
      <c r="D783" s="178"/>
      <c r="F783" s="178"/>
    </row>
    <row r="784">
      <c r="B784" s="177"/>
      <c r="D784" s="178"/>
      <c r="F784" s="178"/>
    </row>
    <row r="785">
      <c r="B785" s="177"/>
      <c r="D785" s="178"/>
      <c r="F785" s="178"/>
    </row>
    <row r="786">
      <c r="B786" s="177"/>
      <c r="D786" s="178"/>
      <c r="F786" s="178"/>
    </row>
    <row r="787">
      <c r="B787" s="177"/>
      <c r="D787" s="178"/>
      <c r="F787" s="178"/>
    </row>
    <row r="788">
      <c r="B788" s="177"/>
      <c r="D788" s="178"/>
      <c r="F788" s="178"/>
    </row>
    <row r="789">
      <c r="B789" s="177"/>
      <c r="D789" s="178"/>
      <c r="F789" s="178"/>
    </row>
    <row r="790">
      <c r="B790" s="177"/>
      <c r="D790" s="178"/>
      <c r="F790" s="178"/>
    </row>
    <row r="791">
      <c r="B791" s="177"/>
      <c r="D791" s="178"/>
      <c r="F791" s="178"/>
    </row>
    <row r="792">
      <c r="B792" s="177"/>
      <c r="D792" s="178"/>
      <c r="F792" s="178"/>
    </row>
    <row r="793">
      <c r="B793" s="177"/>
      <c r="D793" s="178"/>
      <c r="F793" s="178"/>
    </row>
    <row r="794">
      <c r="B794" s="177"/>
      <c r="D794" s="178"/>
      <c r="F794" s="178"/>
    </row>
    <row r="795">
      <c r="B795" s="177"/>
      <c r="D795" s="178"/>
      <c r="F795" s="178"/>
    </row>
    <row r="796">
      <c r="B796" s="177"/>
      <c r="D796" s="178"/>
      <c r="F796" s="178"/>
    </row>
    <row r="797">
      <c r="B797" s="177"/>
      <c r="D797" s="178"/>
      <c r="F797" s="178"/>
    </row>
    <row r="798">
      <c r="B798" s="177"/>
      <c r="D798" s="178"/>
      <c r="F798" s="178"/>
    </row>
    <row r="799">
      <c r="B799" s="177"/>
      <c r="D799" s="178"/>
      <c r="F799" s="178"/>
    </row>
    <row r="800">
      <c r="B800" s="177"/>
      <c r="D800" s="178"/>
      <c r="F800" s="178"/>
    </row>
    <row r="801">
      <c r="B801" s="177"/>
      <c r="D801" s="178"/>
      <c r="F801" s="178"/>
    </row>
    <row r="802">
      <c r="B802" s="177"/>
      <c r="D802" s="178"/>
      <c r="F802" s="178"/>
    </row>
    <row r="803">
      <c r="B803" s="177"/>
      <c r="D803" s="178"/>
      <c r="F803" s="178"/>
    </row>
    <row r="804">
      <c r="B804" s="177"/>
      <c r="D804" s="178"/>
      <c r="F804" s="178"/>
    </row>
    <row r="805">
      <c r="B805" s="177"/>
      <c r="D805" s="178"/>
      <c r="F805" s="178"/>
    </row>
    <row r="806">
      <c r="B806" s="177"/>
      <c r="D806" s="178"/>
      <c r="F806" s="178"/>
    </row>
    <row r="807">
      <c r="B807" s="177"/>
      <c r="D807" s="178"/>
      <c r="F807" s="178"/>
    </row>
    <row r="808">
      <c r="B808" s="177"/>
      <c r="D808" s="178"/>
      <c r="F808" s="178"/>
    </row>
    <row r="809">
      <c r="B809" s="177"/>
      <c r="D809" s="178"/>
      <c r="F809" s="178"/>
    </row>
    <row r="810">
      <c r="B810" s="177"/>
      <c r="D810" s="178"/>
      <c r="F810" s="178"/>
    </row>
    <row r="811">
      <c r="B811" s="177"/>
      <c r="D811" s="178"/>
      <c r="F811" s="178"/>
    </row>
    <row r="812">
      <c r="B812" s="177"/>
      <c r="D812" s="178"/>
      <c r="F812" s="178"/>
    </row>
    <row r="813">
      <c r="B813" s="177"/>
      <c r="D813" s="178"/>
      <c r="F813" s="178"/>
    </row>
    <row r="814">
      <c r="B814" s="177"/>
      <c r="D814" s="178"/>
      <c r="F814" s="178"/>
    </row>
    <row r="815">
      <c r="B815" s="177"/>
      <c r="D815" s="178"/>
      <c r="F815" s="178"/>
    </row>
    <row r="816">
      <c r="B816" s="177"/>
      <c r="D816" s="178"/>
      <c r="F816" s="178"/>
    </row>
    <row r="817">
      <c r="B817" s="177"/>
      <c r="D817" s="178"/>
      <c r="F817" s="178"/>
    </row>
    <row r="818">
      <c r="B818" s="177"/>
      <c r="D818" s="178"/>
      <c r="F818" s="178"/>
    </row>
    <row r="819">
      <c r="B819" s="177"/>
      <c r="D819" s="178"/>
      <c r="F819" s="178"/>
    </row>
    <row r="820">
      <c r="B820" s="177"/>
      <c r="D820" s="178"/>
      <c r="F820" s="178"/>
    </row>
    <row r="821">
      <c r="B821" s="177"/>
      <c r="D821" s="178"/>
      <c r="F821" s="178"/>
    </row>
    <row r="822">
      <c r="B822" s="177"/>
      <c r="D822" s="178"/>
      <c r="F822" s="178"/>
    </row>
    <row r="823">
      <c r="B823" s="177"/>
      <c r="D823" s="178"/>
      <c r="F823" s="178"/>
    </row>
    <row r="824">
      <c r="B824" s="177"/>
      <c r="D824" s="178"/>
      <c r="F824" s="178"/>
    </row>
    <row r="825">
      <c r="B825" s="177"/>
      <c r="D825" s="178"/>
      <c r="F825" s="178"/>
    </row>
    <row r="826">
      <c r="B826" s="177"/>
      <c r="D826" s="178"/>
      <c r="F826" s="178"/>
    </row>
    <row r="827">
      <c r="B827" s="177"/>
      <c r="D827" s="178"/>
      <c r="F827" s="178"/>
    </row>
    <row r="828">
      <c r="B828" s="177"/>
      <c r="D828" s="178"/>
      <c r="F828" s="178"/>
    </row>
    <row r="829">
      <c r="B829" s="177"/>
      <c r="D829" s="178"/>
      <c r="F829" s="178"/>
    </row>
    <row r="830">
      <c r="B830" s="177"/>
      <c r="D830" s="178"/>
      <c r="F830" s="178"/>
    </row>
    <row r="831">
      <c r="B831" s="177"/>
      <c r="D831" s="178"/>
      <c r="F831" s="178"/>
    </row>
    <row r="832">
      <c r="B832" s="177"/>
      <c r="D832" s="178"/>
      <c r="F832" s="178"/>
    </row>
    <row r="833">
      <c r="B833" s="177"/>
      <c r="D833" s="178"/>
      <c r="F833" s="178"/>
    </row>
    <row r="834">
      <c r="B834" s="177"/>
      <c r="D834" s="178"/>
      <c r="F834" s="178"/>
    </row>
    <row r="835">
      <c r="B835" s="177"/>
      <c r="D835" s="178"/>
      <c r="F835" s="178"/>
    </row>
    <row r="836">
      <c r="B836" s="177"/>
      <c r="D836" s="178"/>
      <c r="F836" s="178"/>
    </row>
    <row r="837">
      <c r="B837" s="177"/>
      <c r="D837" s="178"/>
      <c r="F837" s="178"/>
    </row>
    <row r="838">
      <c r="B838" s="177"/>
      <c r="D838" s="178"/>
      <c r="F838" s="178"/>
    </row>
    <row r="839">
      <c r="B839" s="177"/>
      <c r="D839" s="178"/>
      <c r="F839" s="178"/>
    </row>
    <row r="840">
      <c r="B840" s="177"/>
      <c r="D840" s="178"/>
      <c r="F840" s="178"/>
    </row>
    <row r="841">
      <c r="B841" s="177"/>
      <c r="D841" s="178"/>
      <c r="F841" s="178"/>
    </row>
    <row r="842">
      <c r="B842" s="177"/>
      <c r="D842" s="178"/>
      <c r="F842" s="178"/>
    </row>
    <row r="843">
      <c r="B843" s="177"/>
      <c r="D843" s="178"/>
      <c r="F843" s="178"/>
    </row>
    <row r="844">
      <c r="B844" s="177"/>
      <c r="D844" s="178"/>
      <c r="F844" s="178"/>
    </row>
    <row r="845">
      <c r="B845" s="177"/>
      <c r="D845" s="178"/>
      <c r="F845" s="178"/>
    </row>
    <row r="846">
      <c r="B846" s="177"/>
      <c r="D846" s="178"/>
      <c r="F846" s="178"/>
    </row>
    <row r="847">
      <c r="B847" s="177"/>
      <c r="D847" s="178"/>
      <c r="F847" s="178"/>
    </row>
    <row r="848">
      <c r="B848" s="177"/>
      <c r="D848" s="178"/>
      <c r="F848" s="178"/>
    </row>
    <row r="849">
      <c r="B849" s="177"/>
      <c r="D849" s="178"/>
      <c r="F849" s="178"/>
    </row>
    <row r="850">
      <c r="B850" s="177"/>
      <c r="D850" s="178"/>
      <c r="F850" s="178"/>
    </row>
    <row r="851">
      <c r="B851" s="177"/>
      <c r="D851" s="178"/>
      <c r="F851" s="178"/>
    </row>
    <row r="852">
      <c r="B852" s="177"/>
      <c r="D852" s="178"/>
      <c r="F852" s="178"/>
    </row>
    <row r="853">
      <c r="B853" s="177"/>
      <c r="D853" s="178"/>
      <c r="F853" s="178"/>
    </row>
    <row r="854">
      <c r="B854" s="177"/>
      <c r="D854" s="178"/>
      <c r="F854" s="178"/>
    </row>
    <row r="855">
      <c r="B855" s="177"/>
      <c r="D855" s="178"/>
      <c r="F855" s="178"/>
    </row>
    <row r="856">
      <c r="B856" s="177"/>
      <c r="D856" s="178"/>
      <c r="F856" s="178"/>
    </row>
    <row r="857">
      <c r="B857" s="177"/>
      <c r="D857" s="178"/>
      <c r="F857" s="178"/>
    </row>
    <row r="858">
      <c r="B858" s="177"/>
      <c r="D858" s="178"/>
      <c r="F858" s="178"/>
    </row>
    <row r="859">
      <c r="B859" s="177"/>
      <c r="D859" s="178"/>
      <c r="F859" s="178"/>
    </row>
    <row r="860">
      <c r="B860" s="177"/>
      <c r="D860" s="178"/>
      <c r="F860" s="178"/>
    </row>
    <row r="861">
      <c r="B861" s="177"/>
      <c r="D861" s="178"/>
      <c r="F861" s="178"/>
    </row>
    <row r="862">
      <c r="B862" s="177"/>
      <c r="D862" s="178"/>
      <c r="F862" s="178"/>
    </row>
    <row r="863">
      <c r="B863" s="177"/>
      <c r="D863" s="178"/>
      <c r="F863" s="178"/>
    </row>
    <row r="864">
      <c r="B864" s="177"/>
      <c r="D864" s="178"/>
      <c r="F864" s="178"/>
    </row>
    <row r="865">
      <c r="B865" s="177"/>
      <c r="D865" s="178"/>
      <c r="F865" s="178"/>
    </row>
    <row r="866">
      <c r="B866" s="177"/>
      <c r="D866" s="178"/>
      <c r="F866" s="178"/>
    </row>
    <row r="867">
      <c r="B867" s="177"/>
      <c r="D867" s="178"/>
      <c r="F867" s="178"/>
    </row>
    <row r="868">
      <c r="B868" s="177"/>
      <c r="D868" s="178"/>
      <c r="F868" s="178"/>
    </row>
    <row r="869">
      <c r="B869" s="177"/>
      <c r="D869" s="178"/>
      <c r="F869" s="178"/>
    </row>
    <row r="870">
      <c r="B870" s="177"/>
      <c r="D870" s="178"/>
      <c r="F870" s="178"/>
    </row>
    <row r="871">
      <c r="B871" s="177"/>
      <c r="D871" s="178"/>
      <c r="F871" s="178"/>
    </row>
    <row r="872">
      <c r="B872" s="177"/>
      <c r="D872" s="178"/>
      <c r="F872" s="178"/>
    </row>
    <row r="873">
      <c r="B873" s="177"/>
      <c r="D873" s="178"/>
      <c r="F873" s="178"/>
    </row>
    <row r="874">
      <c r="B874" s="177"/>
      <c r="D874" s="178"/>
      <c r="F874" s="178"/>
    </row>
    <row r="875">
      <c r="B875" s="177"/>
      <c r="D875" s="178"/>
      <c r="F875" s="178"/>
    </row>
    <row r="876">
      <c r="B876" s="177"/>
      <c r="D876" s="178"/>
      <c r="F876" s="178"/>
    </row>
    <row r="877">
      <c r="B877" s="177"/>
      <c r="D877" s="178"/>
      <c r="F877" s="178"/>
    </row>
    <row r="878">
      <c r="B878" s="177"/>
      <c r="D878" s="178"/>
      <c r="F878" s="178"/>
    </row>
    <row r="879">
      <c r="B879" s="177"/>
      <c r="D879" s="178"/>
      <c r="F879" s="178"/>
    </row>
    <row r="880">
      <c r="B880" s="177"/>
      <c r="D880" s="178"/>
      <c r="F880" s="178"/>
    </row>
    <row r="881">
      <c r="B881" s="177"/>
      <c r="D881" s="178"/>
      <c r="F881" s="178"/>
    </row>
    <row r="882">
      <c r="B882" s="177"/>
      <c r="D882" s="178"/>
      <c r="F882" s="178"/>
    </row>
    <row r="883">
      <c r="B883" s="177"/>
      <c r="D883" s="178"/>
      <c r="F883" s="178"/>
    </row>
    <row r="884">
      <c r="B884" s="177"/>
      <c r="D884" s="178"/>
      <c r="F884" s="178"/>
    </row>
    <row r="885">
      <c r="B885" s="177"/>
      <c r="D885" s="178"/>
      <c r="F885" s="178"/>
    </row>
    <row r="886">
      <c r="B886" s="177"/>
      <c r="D886" s="178"/>
      <c r="F886" s="178"/>
    </row>
    <row r="887">
      <c r="B887" s="177"/>
      <c r="D887" s="178"/>
      <c r="F887" s="178"/>
    </row>
    <row r="888">
      <c r="B888" s="177"/>
      <c r="D888" s="178"/>
      <c r="F888" s="178"/>
    </row>
    <row r="889">
      <c r="B889" s="177"/>
      <c r="D889" s="178"/>
      <c r="F889" s="178"/>
    </row>
    <row r="890">
      <c r="B890" s="177"/>
      <c r="D890" s="178"/>
      <c r="F890" s="178"/>
    </row>
    <row r="891">
      <c r="B891" s="177"/>
      <c r="D891" s="178"/>
      <c r="F891" s="178"/>
    </row>
    <row r="892">
      <c r="B892" s="177"/>
      <c r="D892" s="178"/>
      <c r="F892" s="178"/>
    </row>
    <row r="893">
      <c r="B893" s="177"/>
      <c r="D893" s="178"/>
      <c r="F893" s="178"/>
    </row>
    <row r="894">
      <c r="B894" s="177"/>
      <c r="D894" s="178"/>
      <c r="F894" s="178"/>
    </row>
    <row r="895">
      <c r="B895" s="177"/>
      <c r="D895" s="178"/>
      <c r="F895" s="178"/>
    </row>
    <row r="896">
      <c r="B896" s="177"/>
      <c r="D896" s="178"/>
      <c r="F896" s="178"/>
    </row>
    <row r="897">
      <c r="B897" s="177"/>
      <c r="D897" s="178"/>
      <c r="F897" s="178"/>
    </row>
    <row r="898">
      <c r="B898" s="177"/>
      <c r="D898" s="178"/>
      <c r="F898" s="178"/>
    </row>
    <row r="899">
      <c r="B899" s="177"/>
      <c r="D899" s="178"/>
      <c r="F899" s="178"/>
    </row>
    <row r="900">
      <c r="B900" s="177"/>
      <c r="D900" s="178"/>
      <c r="F900" s="178"/>
    </row>
    <row r="901">
      <c r="B901" s="177"/>
      <c r="D901" s="178"/>
      <c r="F901" s="178"/>
    </row>
    <row r="902">
      <c r="B902" s="177"/>
      <c r="D902" s="178"/>
      <c r="F902" s="178"/>
    </row>
    <row r="903">
      <c r="B903" s="177"/>
      <c r="D903" s="178"/>
      <c r="F903" s="178"/>
    </row>
    <row r="904">
      <c r="B904" s="177"/>
      <c r="D904" s="178"/>
      <c r="F904" s="178"/>
    </row>
    <row r="905">
      <c r="B905" s="177"/>
      <c r="D905" s="178"/>
      <c r="F905" s="178"/>
    </row>
    <row r="906">
      <c r="B906" s="177"/>
      <c r="D906" s="178"/>
      <c r="F906" s="178"/>
    </row>
    <row r="907">
      <c r="B907" s="177"/>
      <c r="D907" s="178"/>
      <c r="F907" s="178"/>
    </row>
    <row r="908">
      <c r="B908" s="177"/>
      <c r="D908" s="178"/>
      <c r="F908" s="178"/>
    </row>
    <row r="909">
      <c r="B909" s="177"/>
      <c r="D909" s="178"/>
      <c r="F909" s="178"/>
    </row>
    <row r="910">
      <c r="B910" s="177"/>
      <c r="D910" s="178"/>
      <c r="F910" s="178"/>
    </row>
    <row r="911">
      <c r="B911" s="177"/>
      <c r="D911" s="178"/>
      <c r="F911" s="178"/>
    </row>
    <row r="912">
      <c r="B912" s="177"/>
      <c r="D912" s="178"/>
      <c r="F912" s="178"/>
    </row>
    <row r="913">
      <c r="B913" s="177"/>
      <c r="D913" s="178"/>
      <c r="F913" s="178"/>
    </row>
    <row r="914">
      <c r="B914" s="177"/>
      <c r="D914" s="178"/>
      <c r="F914" s="178"/>
    </row>
    <row r="915">
      <c r="B915" s="177"/>
      <c r="D915" s="178"/>
      <c r="F915" s="178"/>
    </row>
    <row r="916">
      <c r="B916" s="177"/>
      <c r="D916" s="178"/>
      <c r="F916" s="178"/>
    </row>
    <row r="917">
      <c r="B917" s="177"/>
      <c r="D917" s="178"/>
      <c r="F917" s="178"/>
    </row>
    <row r="918">
      <c r="B918" s="177"/>
      <c r="D918" s="178"/>
      <c r="F918" s="178"/>
    </row>
    <row r="919">
      <c r="B919" s="177"/>
      <c r="D919" s="178"/>
      <c r="F919" s="178"/>
    </row>
    <row r="920">
      <c r="B920" s="177"/>
      <c r="D920" s="178"/>
      <c r="F920" s="178"/>
    </row>
    <row r="921">
      <c r="B921" s="177"/>
      <c r="D921" s="178"/>
      <c r="F921" s="178"/>
    </row>
    <row r="922">
      <c r="B922" s="177"/>
      <c r="D922" s="178"/>
      <c r="F922" s="178"/>
    </row>
    <row r="923">
      <c r="B923" s="177"/>
      <c r="D923" s="178"/>
      <c r="F923" s="178"/>
    </row>
    <row r="924">
      <c r="B924" s="177"/>
      <c r="D924" s="178"/>
      <c r="F924" s="178"/>
    </row>
    <row r="925">
      <c r="B925" s="177"/>
      <c r="D925" s="178"/>
      <c r="F925" s="178"/>
    </row>
    <row r="926">
      <c r="B926" s="177"/>
      <c r="D926" s="178"/>
      <c r="F926" s="178"/>
    </row>
    <row r="927">
      <c r="B927" s="177"/>
      <c r="D927" s="178"/>
      <c r="F927" s="178"/>
    </row>
    <row r="928">
      <c r="B928" s="177"/>
      <c r="D928" s="178"/>
      <c r="F928" s="178"/>
    </row>
    <row r="929">
      <c r="B929" s="177"/>
      <c r="D929" s="178"/>
      <c r="F929" s="178"/>
    </row>
    <row r="930">
      <c r="B930" s="177"/>
      <c r="D930" s="178"/>
      <c r="F930" s="178"/>
    </row>
    <row r="931">
      <c r="B931" s="177"/>
      <c r="D931" s="178"/>
      <c r="F931" s="178"/>
    </row>
    <row r="932">
      <c r="B932" s="177"/>
      <c r="D932" s="178"/>
      <c r="F932" s="178"/>
    </row>
    <row r="933">
      <c r="B933" s="177"/>
      <c r="D933" s="178"/>
      <c r="F933" s="178"/>
    </row>
    <row r="934">
      <c r="B934" s="177"/>
      <c r="D934" s="178"/>
      <c r="F934" s="178"/>
    </row>
    <row r="935">
      <c r="B935" s="177"/>
      <c r="D935" s="178"/>
      <c r="F935" s="178"/>
    </row>
    <row r="936">
      <c r="B936" s="177"/>
      <c r="D936" s="178"/>
      <c r="F936" s="178"/>
    </row>
    <row r="937">
      <c r="B937" s="177"/>
      <c r="D937" s="178"/>
      <c r="F937" s="178"/>
    </row>
    <row r="938">
      <c r="B938" s="177"/>
      <c r="D938" s="178"/>
      <c r="F938" s="178"/>
    </row>
    <row r="939">
      <c r="B939" s="177"/>
      <c r="D939" s="178"/>
      <c r="F939" s="178"/>
    </row>
    <row r="940">
      <c r="B940" s="177"/>
      <c r="D940" s="178"/>
      <c r="F940" s="178"/>
    </row>
    <row r="941">
      <c r="B941" s="177"/>
      <c r="D941" s="178"/>
      <c r="F941" s="178"/>
    </row>
    <row r="942">
      <c r="B942" s="177"/>
      <c r="D942" s="178"/>
      <c r="F942" s="178"/>
    </row>
    <row r="943">
      <c r="B943" s="177"/>
      <c r="D943" s="178"/>
      <c r="F943" s="178"/>
    </row>
    <row r="944">
      <c r="B944" s="177"/>
      <c r="D944" s="178"/>
      <c r="F944" s="178"/>
    </row>
    <row r="945">
      <c r="B945" s="177"/>
      <c r="D945" s="178"/>
      <c r="F945" s="178"/>
    </row>
    <row r="946">
      <c r="B946" s="177"/>
      <c r="D946" s="178"/>
      <c r="F946" s="178"/>
    </row>
    <row r="947">
      <c r="B947" s="177"/>
      <c r="D947" s="178"/>
      <c r="F947" s="178"/>
    </row>
    <row r="948">
      <c r="B948" s="177"/>
      <c r="D948" s="178"/>
      <c r="F948" s="178"/>
    </row>
    <row r="949">
      <c r="B949" s="177"/>
      <c r="D949" s="178"/>
      <c r="F949" s="178"/>
    </row>
    <row r="950">
      <c r="B950" s="177"/>
      <c r="D950" s="178"/>
      <c r="F950" s="178"/>
    </row>
    <row r="951">
      <c r="B951" s="177"/>
      <c r="D951" s="178"/>
      <c r="F951" s="178"/>
    </row>
    <row r="952">
      <c r="B952" s="177"/>
      <c r="D952" s="178"/>
      <c r="F952" s="178"/>
    </row>
    <row r="953">
      <c r="B953" s="177"/>
      <c r="D953" s="178"/>
      <c r="F953" s="178"/>
    </row>
    <row r="954">
      <c r="B954" s="177"/>
      <c r="D954" s="178"/>
      <c r="F954" s="178"/>
    </row>
    <row r="955">
      <c r="B955" s="177"/>
      <c r="D955" s="178"/>
      <c r="F955" s="178"/>
    </row>
    <row r="956">
      <c r="B956" s="177"/>
      <c r="D956" s="178"/>
      <c r="F956" s="178"/>
    </row>
    <row r="957">
      <c r="B957" s="177"/>
      <c r="D957" s="178"/>
      <c r="F957" s="178"/>
    </row>
    <row r="958">
      <c r="B958" s="177"/>
      <c r="D958" s="178"/>
      <c r="F958" s="178"/>
    </row>
    <row r="959">
      <c r="B959" s="177"/>
      <c r="D959" s="178"/>
      <c r="F959" s="178"/>
    </row>
    <row r="960">
      <c r="B960" s="177"/>
      <c r="D960" s="178"/>
      <c r="F960" s="178"/>
    </row>
    <row r="961">
      <c r="B961" s="177"/>
      <c r="D961" s="178"/>
      <c r="F961" s="178"/>
    </row>
    <row r="962">
      <c r="B962" s="177"/>
      <c r="D962" s="178"/>
      <c r="F962" s="178"/>
    </row>
    <row r="963">
      <c r="B963" s="177"/>
      <c r="D963" s="178"/>
      <c r="F963" s="178"/>
    </row>
    <row r="964">
      <c r="B964" s="177"/>
      <c r="D964" s="178"/>
      <c r="F964" s="178"/>
    </row>
    <row r="965">
      <c r="B965" s="177"/>
      <c r="D965" s="178"/>
      <c r="F965" s="178"/>
    </row>
    <row r="966">
      <c r="B966" s="177"/>
      <c r="D966" s="178"/>
      <c r="F966" s="178"/>
    </row>
    <row r="967">
      <c r="B967" s="177"/>
      <c r="D967" s="178"/>
      <c r="F967" s="178"/>
    </row>
    <row r="968">
      <c r="B968" s="177"/>
      <c r="D968" s="178"/>
      <c r="F968" s="178"/>
    </row>
    <row r="969">
      <c r="B969" s="177"/>
      <c r="D969" s="178"/>
      <c r="F969" s="178"/>
    </row>
    <row r="970">
      <c r="B970" s="177"/>
      <c r="D970" s="178"/>
      <c r="F970" s="178"/>
    </row>
    <row r="971">
      <c r="B971" s="177"/>
      <c r="D971" s="178"/>
      <c r="F971" s="178"/>
    </row>
    <row r="972">
      <c r="B972" s="177"/>
      <c r="D972" s="178"/>
      <c r="F972" s="178"/>
    </row>
    <row r="973">
      <c r="B973" s="177"/>
      <c r="D973" s="178"/>
      <c r="F973" s="178"/>
    </row>
    <row r="974">
      <c r="B974" s="177"/>
      <c r="D974" s="178"/>
      <c r="F974" s="178"/>
    </row>
    <row r="975">
      <c r="B975" s="177"/>
      <c r="D975" s="178"/>
      <c r="F975" s="178"/>
    </row>
    <row r="976">
      <c r="B976" s="177"/>
      <c r="D976" s="178"/>
      <c r="F976" s="178"/>
    </row>
    <row r="977">
      <c r="B977" s="177"/>
      <c r="D977" s="178"/>
      <c r="F977" s="178"/>
    </row>
    <row r="978">
      <c r="B978" s="177"/>
      <c r="D978" s="178"/>
      <c r="F978" s="178"/>
    </row>
    <row r="979">
      <c r="B979" s="177"/>
      <c r="D979" s="178"/>
      <c r="F979" s="178"/>
    </row>
    <row r="980">
      <c r="B980" s="177"/>
      <c r="D980" s="178"/>
      <c r="F980" s="178"/>
    </row>
    <row r="981">
      <c r="B981" s="177"/>
      <c r="D981" s="178"/>
      <c r="F981" s="178"/>
    </row>
    <row r="982">
      <c r="B982" s="177"/>
      <c r="D982" s="178"/>
      <c r="F982" s="178"/>
    </row>
    <row r="983">
      <c r="B983" s="177"/>
      <c r="D983" s="178"/>
      <c r="F983" s="178"/>
    </row>
    <row r="984">
      <c r="B984" s="177"/>
      <c r="D984" s="178"/>
      <c r="F984" s="178"/>
    </row>
    <row r="985">
      <c r="B985" s="177"/>
      <c r="D985" s="178"/>
      <c r="F985" s="178"/>
    </row>
    <row r="986">
      <c r="B986" s="177"/>
      <c r="D986" s="178"/>
      <c r="F986" s="178"/>
    </row>
    <row r="987">
      <c r="B987" s="177"/>
      <c r="D987" s="178"/>
      <c r="F987" s="178"/>
    </row>
    <row r="988">
      <c r="B988" s="177"/>
      <c r="D988" s="178"/>
      <c r="F988" s="178"/>
    </row>
    <row r="989">
      <c r="B989" s="177"/>
      <c r="D989" s="178"/>
      <c r="F989" s="178"/>
    </row>
    <row r="990">
      <c r="B990" s="177"/>
      <c r="D990" s="178"/>
      <c r="F990" s="178"/>
    </row>
    <row r="991">
      <c r="B991" s="177"/>
      <c r="D991" s="178"/>
      <c r="F991" s="178"/>
    </row>
    <row r="992">
      <c r="B992" s="177"/>
      <c r="D992" s="178"/>
      <c r="F992" s="178"/>
    </row>
    <row r="993">
      <c r="B993" s="177"/>
      <c r="D993" s="178"/>
      <c r="F993" s="178"/>
    </row>
    <row r="994">
      <c r="B994" s="177"/>
      <c r="D994" s="178"/>
      <c r="F994" s="178"/>
    </row>
    <row r="995">
      <c r="B995" s="177"/>
      <c r="D995" s="178"/>
      <c r="F995" s="178"/>
    </row>
    <row r="996">
      <c r="B996" s="177"/>
      <c r="D996" s="178"/>
      <c r="F996" s="178"/>
    </row>
    <row r="997">
      <c r="B997" s="177"/>
      <c r="D997" s="178"/>
      <c r="F997" s="178"/>
    </row>
    <row r="998">
      <c r="B998" s="177"/>
      <c r="D998" s="178"/>
      <c r="F998" s="178"/>
    </row>
    <row r="999">
      <c r="B999" s="177"/>
      <c r="D999" s="178"/>
      <c r="F999" s="178"/>
    </row>
    <row r="1000">
      <c r="B1000" s="177"/>
      <c r="D1000" s="178"/>
      <c r="F1000" s="178"/>
    </row>
    <row r="1001">
      <c r="B1001" s="177"/>
      <c r="D1001" s="178"/>
      <c r="F1001" s="178"/>
    </row>
    <row r="1002">
      <c r="B1002" s="177"/>
      <c r="D1002" s="178"/>
      <c r="F1002" s="178"/>
    </row>
    <row r="1003">
      <c r="B1003" s="177"/>
      <c r="D1003" s="178"/>
      <c r="F1003" s="178"/>
    </row>
    <row r="1004">
      <c r="B1004" s="177"/>
      <c r="D1004" s="178"/>
      <c r="F1004" s="178"/>
    </row>
    <row r="1005">
      <c r="B1005" s="177"/>
      <c r="D1005" s="178"/>
      <c r="F1005" s="178"/>
    </row>
    <row r="1006">
      <c r="B1006" s="177"/>
      <c r="D1006" s="178"/>
      <c r="F1006" s="178"/>
    </row>
  </sheetData>
  <mergeCells count="51">
    <mergeCell ref="C2:E2"/>
    <mergeCell ref="B5:C5"/>
    <mergeCell ref="A9:H9"/>
    <mergeCell ref="A39:H39"/>
    <mergeCell ref="A40:H40"/>
    <mergeCell ref="A42:F42"/>
    <mergeCell ref="A43:F43"/>
    <mergeCell ref="A44:F44"/>
    <mergeCell ref="A45:F45"/>
    <mergeCell ref="A46:F46"/>
    <mergeCell ref="A47:F47"/>
    <mergeCell ref="A48:F48"/>
    <mergeCell ref="A49:F49"/>
    <mergeCell ref="A50:F50"/>
    <mergeCell ref="A51:F51"/>
    <mergeCell ref="A52:F52"/>
    <mergeCell ref="A53:F53"/>
    <mergeCell ref="A54:F54"/>
    <mergeCell ref="A55:F55"/>
    <mergeCell ref="A56:H56"/>
    <mergeCell ref="A59:E59"/>
    <mergeCell ref="A60:B60"/>
    <mergeCell ref="A63:H63"/>
    <mergeCell ref="B67:C67"/>
    <mergeCell ref="B70:D70"/>
    <mergeCell ref="A72:D72"/>
    <mergeCell ref="A73:H73"/>
    <mergeCell ref="A74:B74"/>
    <mergeCell ref="G82:H82"/>
    <mergeCell ref="G83:H83"/>
    <mergeCell ref="G84:H84"/>
    <mergeCell ref="A75:G75"/>
    <mergeCell ref="A76:G76"/>
    <mergeCell ref="A77:C77"/>
    <mergeCell ref="A78:H78"/>
    <mergeCell ref="G79:H79"/>
    <mergeCell ref="G80:H80"/>
    <mergeCell ref="G81:H81"/>
    <mergeCell ref="A88:F88"/>
    <mergeCell ref="A89:E89"/>
    <mergeCell ref="F89:H89"/>
    <mergeCell ref="A90:E90"/>
    <mergeCell ref="F90:H90"/>
    <mergeCell ref="A91:F91"/>
    <mergeCell ref="A80:B80"/>
    <mergeCell ref="A82:D82"/>
    <mergeCell ref="A84:D84"/>
    <mergeCell ref="A85:G85"/>
    <mergeCell ref="A86:H86"/>
    <mergeCell ref="B87:H87"/>
    <mergeCell ref="G88:H88"/>
  </mergeCells>
  <hyperlinks>
    <hyperlink r:id="rId4" ref="A1"/>
    <hyperlink r:id="rId5" ref="A72"/>
  </hyperlinks>
  <drawing r:id="rId6"/>
  <legacyDrawing r:id="rId7"/>
</worksheet>
</file>