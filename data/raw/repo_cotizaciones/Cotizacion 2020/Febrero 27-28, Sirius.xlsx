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 2020/"/>
    </mc:Choice>
  </mc:AlternateContent>
  <xr:revisionPtr revIDLastSave="0" documentId="8_{C9DF6457-DFCA-9E47-8C8F-92A0A140CFFE}" xr6:coauthVersionLast="36" xr6:coauthVersionMax="36" xr10:uidLastSave="{00000000-0000-0000-0000-000000000000}"/>
  <bookViews>
    <workbookView xWindow="1740" yWindow="460" windowWidth="25600" windowHeight="1316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3" i="1" l="1"/>
  <c r="F18" i="1"/>
  <c r="F19" i="1"/>
  <c r="F26" i="1"/>
  <c r="F41" i="1" l="1"/>
  <c r="F40" i="1"/>
  <c r="F39" i="1"/>
  <c r="F38" i="1"/>
  <c r="F17" i="1" l="1"/>
  <c r="E9" i="1" l="1"/>
  <c r="E16" i="1" l="1"/>
  <c r="E25" i="1"/>
  <c r="F25" i="1" s="1"/>
  <c r="E13" i="1"/>
  <c r="F13" i="1" s="1"/>
  <c r="F22" i="1"/>
  <c r="F24" i="1"/>
  <c r="F23" i="1"/>
  <c r="F10" i="1"/>
  <c r="F11" i="1"/>
  <c r="F12" i="1"/>
  <c r="F14" i="1"/>
  <c r="F15" i="1"/>
  <c r="F16" i="1"/>
  <c r="F9" i="1"/>
  <c r="F30" i="1"/>
  <c r="F31" i="1"/>
  <c r="F32" i="1"/>
  <c r="F29" i="1"/>
  <c r="F30" i="5"/>
  <c r="E30" i="5"/>
  <c r="D30" i="5"/>
  <c r="C30" i="5"/>
  <c r="B30" i="5"/>
  <c r="P29" i="5"/>
  <c r="O29" i="5"/>
  <c r="N29" i="5"/>
  <c r="K29" i="5"/>
  <c r="J29" i="5"/>
  <c r="I29" i="5"/>
  <c r="Z23" i="5"/>
  <c r="F27" i="1" l="1"/>
  <c r="F34" i="1" l="1"/>
  <c r="F35" i="1" s="1"/>
</calcChain>
</file>

<file path=xl/sharedStrings.xml><?xml version="1.0" encoding="utf-8"?>
<sst xmlns="http://schemas.openxmlformats.org/spreadsheetml/2006/main" count="416" uniqueCount="228">
  <si>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</si>
  <si>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</si>
  <si>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</si>
  <si>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</si>
  <si>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</si>
  <si>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</si>
  <si>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</si>
  <si>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</si>
  <si>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</si>
  <si>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</si>
  <si>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</si>
  <si>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</si>
  <si>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</si>
  <si>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</si>
  <si>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</si>
  <si>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</si>
  <si>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</si>
  <si>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</si>
  <si>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</si>
  <si>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</si>
  <si>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</si>
  <si>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</si>
  <si>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</si>
  <si>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</si>
  <si>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</si>
  <si>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</si>
  <si>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</si>
  <si>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</si>
  <si>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</si>
  <si>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</si>
  <si>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</si>
  <si>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</si>
  <si>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</si>
  <si>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</si>
  <si>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</si>
  <si>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</si>
  <si>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</si>
  <si>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</si>
  <si>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</si>
  <si>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</si>
  <si>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</si>
  <si>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</si>
  <si>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</si>
  <si>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</si>
  <si>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</si>
  <si>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</si>
  <si>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</si>
  <si>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</si>
  <si>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</si>
  <si>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</si>
  <si>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</si>
  <si>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</si>
  <si>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</si>
  <si>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</si>
  <si>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</si>
  <si>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</si>
  <si>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</si>
  <si>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</si>
  <si>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</si>
  <si>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</si>
  <si>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</si>
  <si>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</si>
  <si>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</si>
  <si>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</si>
  <si>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</si>
  <si>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</si>
  <si>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</si>
  <si>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</si>
  <si>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</si>
  <si>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</si>
  <si>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</si>
  <si>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</si>
  <si>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</si>
  <si>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</si>
  <si>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</si>
  <si>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</si>
  <si>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</si>
  <si>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</si>
  <si>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</si>
  <si>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</si>
  <si>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</si>
  <si>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</si>
  <si>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</si>
  <si>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</si>
  <si>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</si>
  <si>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</si>
  <si>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</si>
  <si>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</si>
  <si>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</si>
  <si>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</si>
  <si>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</si>
  <si>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</si>
  <si>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</si>
  <si>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</si>
  <si>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</si>
  <si>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</si>
  <si>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</si>
  <si>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</si>
  <si>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</si>
  <si>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</si>
  <si>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</si>
  <si>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</si>
  <si>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</si>
  <si>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</si>
  <si>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Almuerzos Buffet Parrilla</t>
  </si>
  <si>
    <t xml:space="preserve">Cena  Buffet 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</si>
  <si>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</si>
  <si>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</si>
  <si>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</si>
  <si>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</si>
  <si>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</si>
  <si>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</si>
  <si>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</si>
  <si>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</si>
  <si>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</si>
  <si>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</si>
  <si>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</si>
  <si>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</si>
  <si>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</si>
  <si>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</si>
  <si>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</si>
  <si>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</si>
  <si>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</si>
  <si>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</si>
  <si>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</si>
  <si>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</si>
  <si>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</si>
  <si>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doble hotel</t>
  </si>
  <si>
    <t>Café, té, agua, jugo de pulpa, 2 facturitas ó 1 muffins y 2 tapaditos.</t>
  </si>
  <si>
    <t>Café, té, agua, jugo de pulpa, 1 muffins, 2 facturitas, 1 fruta y 1  tapadito.</t>
  </si>
  <si>
    <t>Hora</t>
  </si>
  <si>
    <t>Salón Arcoiris 1 hasta 80 pasajeros.</t>
  </si>
  <si>
    <t>13:00-15:00</t>
  </si>
  <si>
    <t>20:00- 21:00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</si>
  <si>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</si>
  <si>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</si>
  <si>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</si>
  <si>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</si>
  <si>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</si>
  <si>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</si>
  <si>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</si>
  <si>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</si>
  <si>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</si>
  <si>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</si>
  <si>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</si>
  <si>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</si>
  <si>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</si>
  <si>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</si>
  <si>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</si>
  <si>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</si>
  <si>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</si>
  <si>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</si>
  <si>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</si>
  <si>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</si>
  <si>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</si>
  <si>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</si>
  <si>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</si>
  <si>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</si>
  <si>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</si>
  <si>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</si>
  <si>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</si>
  <si>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</si>
  <si>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</si>
  <si>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</si>
  <si>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</si>
  <si>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</si>
  <si>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</si>
  <si>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</si>
  <si>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</si>
  <si>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</si>
  <si>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</si>
  <si>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 gaseosa  ó cerveza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</si>
  <si>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</si>
  <si>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</si>
  <si>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</si>
  <si>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</si>
  <si>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</si>
  <si>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</si>
  <si>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</si>
  <si>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</si>
  <si>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</si>
  <si>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</si>
  <si>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</si>
  <si>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</si>
  <si>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Crédito:</t>
  </si>
  <si>
    <r>
      <t>Para órdenes de Compra y pagos</t>
    </r>
    <r>
      <rPr>
        <sz val="11"/>
        <color rgb="FF000000"/>
        <rFont val="Calibri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</si>
  <si>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</si>
  <si>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</si>
  <si>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 xml:space="preserve">Bebida gaseosa </t>
  </si>
  <si>
    <t>Gaseosa ó mineral ó  jugo de botella ó cerveza Cristal o Escudo en lata.</t>
  </si>
  <si>
    <t>Otros no incluidos</t>
  </si>
  <si>
    <t>Piscola, roncola, mojito, Ice, Aperol, copa de vino, espumante, vino tinto, blanco</t>
  </si>
  <si>
    <t>Tragos Con pisco, ron cocteles, cerveza vino.</t>
  </si>
  <si>
    <t>Team building Busqueda de Tesoro</t>
  </si>
  <si>
    <t>Cada grupo tendra que buscar tesoros con los que debera formar las partes de un todo que servira para el trabajo final.</t>
  </si>
  <si>
    <t>Total Otros</t>
  </si>
  <si>
    <t xml:space="preserve">Carmen Rodriguez </t>
  </si>
  <si>
    <t>9 74961403</t>
  </si>
  <si>
    <t>Quincho 4 horas en la noche</t>
  </si>
  <si>
    <r>
      <t xml:space="preserve">Pantalla led. </t>
    </r>
    <r>
      <rPr>
        <sz val="12"/>
        <color rgb="FFFF0000"/>
        <rFont val="Calibri (Cuerpo)_x0000_"/>
      </rPr>
      <t>(opcional no incluido)</t>
    </r>
  </si>
  <si>
    <r>
      <t xml:space="preserve">Amplificacion y luces </t>
    </r>
    <r>
      <rPr>
        <sz val="12"/>
        <color rgb="FFFF0000"/>
        <rFont val="Calibri (Cuerpo)_x0000_"/>
      </rPr>
      <t xml:space="preserve"> (opcional no incluido)</t>
    </r>
  </si>
  <si>
    <r>
      <t xml:space="preserve">DJ con animador  </t>
    </r>
    <r>
      <rPr>
        <sz val="12"/>
        <color rgb="FFFF0000"/>
        <rFont val="Calibri (Cuerpo)_x0000_"/>
      </rPr>
      <t>(opcional no incluido)</t>
    </r>
    <r>
      <rPr>
        <sz val="12"/>
        <color rgb="FF000000"/>
        <rFont val="Calibri"/>
        <family val="2"/>
        <scheme val="minor"/>
      </rPr>
      <t>.</t>
    </r>
  </si>
  <si>
    <t>te subencione el alojamiento.</t>
  </si>
  <si>
    <r>
      <t xml:space="preserve">Tragos con ticket </t>
    </r>
    <r>
      <rPr>
        <sz val="12"/>
        <color rgb="FFFF0000"/>
        <rFont val="Calibri (Cuerpo)_x0000_"/>
      </rPr>
      <t>(opcional no incluido)</t>
    </r>
  </si>
  <si>
    <r>
      <t>Bar abierto 4 horas</t>
    </r>
    <r>
      <rPr>
        <sz val="12"/>
        <color rgb="FFFF0000"/>
        <rFont val="Calibri (Cuerpo)_x0000_"/>
      </rPr>
      <t xml:space="preserve"> (opcional no incluido)</t>
    </r>
  </si>
  <si>
    <r>
      <t>Descorche, valor por persona</t>
    </r>
    <r>
      <rPr>
        <sz val="12"/>
        <color rgb="FFFF0000"/>
        <rFont val="Calibri (Cuerpo)_x0000_"/>
      </rPr>
      <t>(opcional no incluido)</t>
    </r>
  </si>
  <si>
    <t>Armando de bar, hielo, barman, cooler, servido de tragos, vasos, copas.</t>
  </si>
  <si>
    <t>Coctail basico, minimo 15 pasajeros.</t>
  </si>
  <si>
    <t xml:space="preserve"> Tragos(1 p/p entre) Pisco sour o espumante, vino,  bebida, cerveza, 1 empanaditas, 1 bruzquetas, quesos, frutos secos, galletas.</t>
  </si>
  <si>
    <t>Coctail Intermedio, Minimo 15 pasajeros.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</si>
  <si>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</si>
  <si>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</si>
  <si>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</si>
  <si>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</si>
  <si>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</si>
  <si>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</si>
  <si>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</si>
  <si>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</si>
  <si>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</si>
  <si>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</si>
  <si>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</si>
  <si>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Aventuras Andinas limitada.</t>
  </si>
  <si>
    <t>Copiar abonos o transferencias a sf@sflodge.cl y correo de la vendedora.</t>
  </si>
  <si>
    <t>Cristian Chamorro</t>
  </si>
  <si>
    <t>Sirius</t>
  </si>
  <si>
    <t>cristian@siriusproducciones.cl</t>
  </si>
  <si>
    <t>27-28 febrero</t>
  </si>
  <si>
    <t xml:space="preserve">Salón Arcoiris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</si>
</sst>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164" formatCode="&quot;$&quot;#,##0;[Red]&quot;$&quot;\-#,##0"/>
    <numFmt numFmtId="165" formatCode="&quot;$&quot;#,##0"/>
    <numFmt numFmtId="166" formatCode="h:mm:ss;@"/>
  </numFmts>
  <fonts count="2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rgb="FF00000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21" fillId="0" borderId="0" applyFont="0" applyFill="0" applyBorder="0" applyAlignment="0" applyProtection="0"/>
  </cellStyleXfs>
  <cellXfs count="187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164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Border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right"/>
    </xf>
    <xf numFmtId="164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164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right"/>
    </xf>
    <xf numFmtId="0" fontId="6" fillId="9" borderId="0" xfId="0" applyFont="1" applyFill="1" applyBorder="1"/>
    <xf numFmtId="166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164" fontId="6" fillId="9" borderId="0" xfId="0" applyNumberFormat="1" applyFont="1" applyFill="1" applyBorder="1"/>
    <xf numFmtId="164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6" fontId="0" fillId="0" borderId="1" xfId="0" applyNumberFormat="1" applyFill="1" applyBorder="1"/>
    <xf numFmtId="164" fontId="6" fillId="0" borderId="1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Fill="1" applyAlignment="1">
      <alignment horizontal="left"/>
    </xf>
    <xf numFmtId="164" fontId="6" fillId="9" borderId="1" xfId="0" applyNumberFormat="1" applyFont="1" applyFill="1" applyBorder="1"/>
    <xf numFmtId="164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" fillId="11" borderId="1" xfId="0" applyFont="1" applyFill="1" applyBorder="1" applyAlignment="1">
      <alignment horizontal="left"/>
    </xf>
    <xf numFmtId="166" fontId="2" fillId="11" borderId="15" xfId="0" applyNumberFormat="1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0" fontId="6" fillId="0" borderId="21" xfId="0" applyFont="1" applyBorder="1" applyAlignment="1">
      <alignment horizontal="left"/>
    </xf>
    <xf numFmtId="166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/>
    <xf numFmtId="0" fontId="6" fillId="0" borderId="15" xfId="0" applyFont="1" applyBorder="1"/>
    <xf numFmtId="0" fontId="6" fillId="4" borderId="21" xfId="0" applyFont="1" applyFill="1" applyBorder="1" applyAlignment="1">
      <alignment vertical="center"/>
    </xf>
    <xf numFmtId="166" fontId="6" fillId="4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/>
    </xf>
    <xf numFmtId="0" fontId="6" fillId="4" borderId="2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right"/>
    </xf>
    <xf numFmtId="166" fontId="6" fillId="11" borderId="0" xfId="0" applyNumberFormat="1" applyFont="1" applyFill="1" applyAlignment="1">
      <alignment horizontal="right"/>
    </xf>
    <xf numFmtId="0" fontId="6" fillId="11" borderId="0" xfId="0" applyFont="1" applyFill="1" applyAlignment="1">
      <alignment horizontal="center"/>
    </xf>
    <xf numFmtId="164" fontId="6" fillId="11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0" fontId="6" fillId="9" borderId="15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6" fillId="9" borderId="1" xfId="175" applyNumberFormat="1" applyFont="1" applyFill="1" applyBorder="1" applyAlignment="1">
      <alignment vertical="center"/>
    </xf>
    <xf numFmtId="165" fontId="6" fillId="9" borderId="1" xfId="175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wrapText="1"/>
    </xf>
    <xf numFmtId="0" fontId="0" fillId="3" borderId="3" xfId="0" applyFill="1" applyBorder="1" applyAlignment="1">
      <alignment horizontal="center" wrapText="1"/>
    </xf>
    <xf numFmtId="0" fontId="17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0" fontId="17" fillId="0" borderId="0" xfId="0" applyFont="1" applyAlignment="1">
      <alignment horizontal="left" vertic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166" fontId="22" fillId="0" borderId="0" xfId="116" applyNumberFormat="1" applyFont="1"/>
  </cellXfs>
  <cellStyles count="17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ristian@siriusproducciones.cl" TargetMode="External"/><Relationship Id="rId1" Type="http://schemas.openxmlformats.org/officeDocument/2006/relationships/hyperlink" Target="mailto:sf@sflodge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83"/>
  <sheetViews>
    <sheetView tabSelected="1" topLeftCell="B1" zoomScale="109" zoomScaleNormal="109" zoomScalePageLayoutView="109" workbookViewId="0">
      <selection activeCell="F34" sqref="F34"/>
    </sheetView>
  </sheetViews>
  <sheetFormatPr baseColWidth="10" defaultRowHeight="16"/>
  <cols>
    <col min="1" max="1" width="33" customWidth="1"/>
    <col min="2" max="2" width="10.83203125" style="77" customWidth="1"/>
    <col min="3" max="3" width="12" customWidth="1"/>
    <col min="4" max="4" width="10.1640625" customWidth="1"/>
    <col min="5" max="5" width="12.33203125" customWidth="1"/>
    <col min="6" max="6" width="11.33203125" customWidth="1"/>
    <col min="7" max="7" width="88.5" customWidth="1"/>
    <col min="8" max="8" width="11.33203125" bestFit="1" customWidth="1"/>
    <col min="9" max="9" width="99.83203125" customWidth="1"/>
  </cols>
  <sheetData>
    <row r="1" spans="1:7" ht="47" customHeight="1">
      <c r="A1" s="1" t="s">
        <v>2</v>
      </c>
      <c r="B1" s="76"/>
      <c r="C1" s="73" t="s">
        <v>179</v>
      </c>
    </row>
    <row r="2" spans="1:7">
      <c r="G2" s="150" t="s">
        <v>146</v>
      </c>
    </row>
    <row r="3" spans="1:7">
      <c r="A3" s="70" t="s">
        <v>120</v>
      </c>
      <c r="B3" s="125" t="s">
        <v>223</v>
      </c>
      <c r="D3" t="s">
        <v>3</v>
      </c>
      <c r="E3" s="34" t="s">
        <v>224</v>
      </c>
      <c r="G3" s="86" t="s">
        <v>147</v>
      </c>
    </row>
    <row r="4" spans="1:7">
      <c r="A4" t="s">
        <v>121</v>
      </c>
      <c r="B4" s="186" t="s">
        <v>225</v>
      </c>
      <c r="C4" s="74"/>
      <c r="D4" t="s">
        <v>5</v>
      </c>
      <c r="E4">
        <v>991925107</v>
      </c>
      <c r="G4" s="87" t="s">
        <v>148</v>
      </c>
    </row>
    <row r="5" spans="1:7">
      <c r="A5" t="s">
        <v>122</v>
      </c>
      <c r="B5" s="125" t="s">
        <v>226</v>
      </c>
      <c r="D5" t="s">
        <v>4</v>
      </c>
      <c r="E5" s="34">
        <v>35</v>
      </c>
      <c r="G5" s="87" t="s">
        <v>149</v>
      </c>
    </row>
    <row r="6" spans="1:7">
      <c r="A6" s="72" t="s">
        <v>124</v>
      </c>
      <c r="B6" s="126" t="s">
        <v>196</v>
      </c>
      <c r="C6" s="71"/>
      <c r="D6" s="71" t="s">
        <v>123</v>
      </c>
      <c r="E6" s="71" t="s">
        <v>197</v>
      </c>
      <c r="G6" s="87" t="s">
        <v>150</v>
      </c>
    </row>
    <row r="7" spans="1:7" ht="17" thickBot="1">
      <c r="A7" s="71"/>
      <c r="B7" s="126"/>
      <c r="C7" s="71"/>
      <c r="D7" s="71"/>
      <c r="E7" s="71"/>
      <c r="F7" s="71"/>
      <c r="G7" s="87"/>
    </row>
    <row r="8" spans="1:7" ht="15.75" customHeight="1">
      <c r="A8" s="108" t="s">
        <v>107</v>
      </c>
      <c r="B8" s="109" t="s">
        <v>130</v>
      </c>
      <c r="C8" s="110" t="s">
        <v>106</v>
      </c>
      <c r="D8" s="110" t="s">
        <v>6</v>
      </c>
      <c r="E8" s="110" t="s">
        <v>0</v>
      </c>
      <c r="F8" s="110" t="s">
        <v>1</v>
      </c>
      <c r="G8" s="111" t="s">
        <v>7</v>
      </c>
    </row>
    <row r="9" spans="1:7" ht="15.75" customHeight="1">
      <c r="A9" s="106" t="s">
        <v>8</v>
      </c>
      <c r="B9" s="107"/>
      <c r="C9" s="95">
        <v>1</v>
      </c>
      <c r="D9" s="95">
        <v>35</v>
      </c>
      <c r="E9" s="127">
        <f>12500/1.19</f>
        <v>10504.20168067227</v>
      </c>
      <c r="F9" s="94">
        <f>D9*E9</f>
        <v>367647.05882352946</v>
      </c>
      <c r="G9" s="93" t="s">
        <v>169</v>
      </c>
    </row>
    <row r="10" spans="1:7">
      <c r="A10" s="101" t="s">
        <v>227</v>
      </c>
      <c r="B10" s="102"/>
      <c r="C10" s="95">
        <v>1</v>
      </c>
      <c r="D10" s="95">
        <v>1</v>
      </c>
      <c r="E10" s="103">
        <v>180000</v>
      </c>
      <c r="F10" s="94">
        <f>C10*E10</f>
        <v>180000</v>
      </c>
      <c r="G10" s="93" t="s">
        <v>174</v>
      </c>
    </row>
    <row r="11" spans="1:7">
      <c r="A11" s="104" t="s">
        <v>172</v>
      </c>
      <c r="B11" s="105"/>
      <c r="C11" s="95">
        <v>1</v>
      </c>
      <c r="D11" s="95">
        <v>35</v>
      </c>
      <c r="E11" s="103">
        <v>3850</v>
      </c>
      <c r="F11" s="94">
        <f t="shared" ref="F11:F16" si="0">D11*E11</f>
        <v>134750</v>
      </c>
      <c r="G11" s="101" t="s">
        <v>128</v>
      </c>
    </row>
    <row r="12" spans="1:7" ht="16.5" customHeight="1">
      <c r="A12" s="101" t="s">
        <v>104</v>
      </c>
      <c r="B12" s="102" t="s">
        <v>132</v>
      </c>
      <c r="C12" s="95">
        <v>1</v>
      </c>
      <c r="D12" s="95">
        <v>35</v>
      </c>
      <c r="E12" s="94">
        <v>15000</v>
      </c>
      <c r="F12" s="94">
        <f t="shared" si="0"/>
        <v>525000</v>
      </c>
      <c r="G12" s="93" t="s">
        <v>101</v>
      </c>
    </row>
    <row r="13" spans="1:7">
      <c r="A13" s="101" t="s">
        <v>188</v>
      </c>
      <c r="B13" s="102"/>
      <c r="C13" s="95">
        <v>1</v>
      </c>
      <c r="D13" s="95">
        <v>35</v>
      </c>
      <c r="E13" s="94">
        <f>1800/1.19</f>
        <v>1512.6050420168067</v>
      </c>
      <c r="F13" s="94">
        <f t="shared" si="0"/>
        <v>52941.176470588238</v>
      </c>
      <c r="G13" s="93" t="s">
        <v>189</v>
      </c>
    </row>
    <row r="14" spans="1:7">
      <c r="A14" s="104" t="s">
        <v>172</v>
      </c>
      <c r="B14" s="105"/>
      <c r="C14" s="95">
        <v>1</v>
      </c>
      <c r="D14" s="95">
        <v>35</v>
      </c>
      <c r="E14" s="103">
        <v>3850</v>
      </c>
      <c r="F14" s="94">
        <f t="shared" si="0"/>
        <v>134750</v>
      </c>
      <c r="G14" s="101" t="s">
        <v>128</v>
      </c>
    </row>
    <row r="15" spans="1:7">
      <c r="A15" s="101" t="s">
        <v>105</v>
      </c>
      <c r="B15" s="102" t="s">
        <v>133</v>
      </c>
      <c r="C15" s="95">
        <v>1</v>
      </c>
      <c r="D15" s="95">
        <v>35</v>
      </c>
      <c r="E15" s="103">
        <v>15000</v>
      </c>
      <c r="F15" s="94">
        <f t="shared" si="0"/>
        <v>525000</v>
      </c>
      <c r="G15" s="93" t="s">
        <v>170</v>
      </c>
    </row>
    <row r="16" spans="1:7">
      <c r="A16" s="101" t="s">
        <v>171</v>
      </c>
      <c r="B16" s="102"/>
      <c r="C16" s="95">
        <v>1</v>
      </c>
      <c r="D16" s="95">
        <v>35</v>
      </c>
      <c r="E16" s="94">
        <f>1800/1.19</f>
        <v>1512.6050420168067</v>
      </c>
      <c r="F16" s="94">
        <f t="shared" si="0"/>
        <v>52941.176470588238</v>
      </c>
      <c r="G16" s="93" t="s">
        <v>189</v>
      </c>
    </row>
    <row r="17" spans="1:7" ht="16.5" customHeight="1">
      <c r="A17" s="122" t="s">
        <v>176</v>
      </c>
      <c r="B17" s="123"/>
      <c r="C17" s="95">
        <v>1</v>
      </c>
      <c r="D17" s="95">
        <v>1</v>
      </c>
      <c r="E17" s="124">
        <v>99000</v>
      </c>
      <c r="F17" s="94">
        <f>C17*E17</f>
        <v>99000</v>
      </c>
      <c r="G17" s="122" t="s">
        <v>177</v>
      </c>
    </row>
    <row r="18" spans="1:7" ht="16.5" customHeight="1">
      <c r="A18" s="122" t="s">
        <v>127</v>
      </c>
      <c r="B18" s="123"/>
      <c r="C18" s="95">
        <v>17</v>
      </c>
      <c r="D18" s="95">
        <v>35</v>
      </c>
      <c r="E18" s="124">
        <v>118000</v>
      </c>
      <c r="F18" s="94">
        <f>C18*E18</f>
        <v>2006000</v>
      </c>
      <c r="G18" s="122" t="s">
        <v>178</v>
      </c>
    </row>
    <row r="19" spans="1:7" ht="16.5" customHeight="1" thickBot="1">
      <c r="A19" s="2" t="s">
        <v>86</v>
      </c>
      <c r="B19" s="78"/>
      <c r="C19" s="33"/>
      <c r="D19" s="23"/>
      <c r="E19" s="7"/>
      <c r="F19" s="5">
        <f>SUM(F9:F18)</f>
        <v>4078029.4117647056</v>
      </c>
      <c r="G19" s="32" t="s">
        <v>2</v>
      </c>
    </row>
    <row r="20" spans="1:7" ht="16.5" customHeight="1">
      <c r="A20" s="108" t="s">
        <v>108</v>
      </c>
      <c r="B20" s="109"/>
      <c r="C20" s="110" t="s">
        <v>106</v>
      </c>
      <c r="D20" s="110" t="s">
        <v>6</v>
      </c>
      <c r="E20" s="110" t="s">
        <v>0</v>
      </c>
      <c r="F20" s="110" t="s">
        <v>1</v>
      </c>
      <c r="G20" s="111" t="s">
        <v>7</v>
      </c>
    </row>
    <row r="21" spans="1:7">
      <c r="A21" s="106" t="s">
        <v>8</v>
      </c>
      <c r="B21" s="107"/>
      <c r="C21" s="95">
        <v>1</v>
      </c>
      <c r="D21" s="95">
        <v>35</v>
      </c>
      <c r="E21" s="127">
        <v>10504</v>
      </c>
      <c r="F21" s="94" t="s">
        <v>109</v>
      </c>
      <c r="G21" s="93" t="s">
        <v>169</v>
      </c>
    </row>
    <row r="22" spans="1:7">
      <c r="A22" s="101" t="s">
        <v>131</v>
      </c>
      <c r="B22" s="102"/>
      <c r="C22" s="95">
        <v>1</v>
      </c>
      <c r="D22" s="95">
        <v>35</v>
      </c>
      <c r="E22" s="103">
        <v>180000</v>
      </c>
      <c r="F22" s="94">
        <f>C22*E22</f>
        <v>180000</v>
      </c>
      <c r="G22" s="93" t="s">
        <v>174</v>
      </c>
    </row>
    <row r="23" spans="1:7">
      <c r="A23" s="104" t="s">
        <v>172</v>
      </c>
      <c r="B23" s="105"/>
      <c r="C23" s="95">
        <v>1</v>
      </c>
      <c r="D23" s="95">
        <v>35</v>
      </c>
      <c r="E23" s="103">
        <v>3850</v>
      </c>
      <c r="F23" s="128">
        <f>D23*E23</f>
        <v>134750</v>
      </c>
      <c r="G23" s="101" t="s">
        <v>128</v>
      </c>
    </row>
    <row r="24" spans="1:7" s="16" customFormat="1" ht="16.5" customHeight="1">
      <c r="A24" s="101" t="s">
        <v>104</v>
      </c>
      <c r="B24" s="102" t="s">
        <v>132</v>
      </c>
      <c r="C24" s="95">
        <v>1</v>
      </c>
      <c r="D24" s="95">
        <v>35</v>
      </c>
      <c r="E24" s="94">
        <v>15000</v>
      </c>
      <c r="F24" s="128">
        <f t="shared" ref="F24" si="1">D24*E24</f>
        <v>525000</v>
      </c>
      <c r="G24" s="93" t="s">
        <v>101</v>
      </c>
    </row>
    <row r="25" spans="1:7">
      <c r="A25" s="101" t="s">
        <v>171</v>
      </c>
      <c r="B25" s="102"/>
      <c r="C25" s="95">
        <v>1</v>
      </c>
      <c r="D25" s="95">
        <v>35</v>
      </c>
      <c r="E25" s="94">
        <f>1513</f>
        <v>1513</v>
      </c>
      <c r="F25" s="128">
        <f>D25*E25</f>
        <v>52955</v>
      </c>
      <c r="G25" s="93" t="s">
        <v>168</v>
      </c>
    </row>
    <row r="26" spans="1:7">
      <c r="A26" s="104" t="s">
        <v>172</v>
      </c>
      <c r="B26" s="105"/>
      <c r="C26" s="95">
        <v>1</v>
      </c>
      <c r="D26" s="95">
        <v>35</v>
      </c>
      <c r="E26" s="103">
        <v>3850</v>
      </c>
      <c r="F26" s="128">
        <f>D26*E26</f>
        <v>134750</v>
      </c>
      <c r="G26" s="101" t="s">
        <v>128</v>
      </c>
    </row>
    <row r="27" spans="1:7">
      <c r="A27" s="116"/>
      <c r="B27" s="117"/>
      <c r="C27" s="118"/>
      <c r="D27" s="118"/>
      <c r="E27" s="119" t="s">
        <v>2</v>
      </c>
      <c r="F27" s="120">
        <f>SUM(F22:F25)</f>
        <v>892705</v>
      </c>
      <c r="G27" s="121"/>
    </row>
    <row r="28" spans="1:7">
      <c r="A28" s="112" t="s">
        <v>165</v>
      </c>
      <c r="B28" s="113" t="s">
        <v>180</v>
      </c>
      <c r="C28" s="114"/>
      <c r="D28" s="114"/>
      <c r="E28" s="115"/>
      <c r="F28" s="115" t="s">
        <v>2</v>
      </c>
      <c r="G28" s="112" t="s">
        <v>166</v>
      </c>
    </row>
    <row r="29" spans="1:7">
      <c r="A29" s="96" t="s">
        <v>161</v>
      </c>
      <c r="B29" s="97" t="s">
        <v>2</v>
      </c>
      <c r="C29" s="98">
        <v>0</v>
      </c>
      <c r="D29" s="98">
        <v>0</v>
      </c>
      <c r="E29" s="99">
        <v>0</v>
      </c>
      <c r="F29" s="99">
        <f t="shared" ref="F29:F32" si="2">C29*D29*E29</f>
        <v>0</v>
      </c>
      <c r="G29" s="100" t="s">
        <v>163</v>
      </c>
    </row>
    <row r="30" spans="1:7">
      <c r="A30" s="96" t="s">
        <v>157</v>
      </c>
      <c r="B30" s="97" t="s">
        <v>2</v>
      </c>
      <c r="C30" s="98">
        <v>0</v>
      </c>
      <c r="D30" s="98">
        <v>0</v>
      </c>
      <c r="E30" s="99">
        <v>0</v>
      </c>
      <c r="F30" s="99">
        <f t="shared" si="2"/>
        <v>0</v>
      </c>
      <c r="G30" s="100" t="s">
        <v>164</v>
      </c>
    </row>
    <row r="31" spans="1:7" ht="16.5" customHeight="1">
      <c r="A31" s="96" t="s">
        <v>158</v>
      </c>
      <c r="B31" s="97" t="s">
        <v>2</v>
      </c>
      <c r="C31" s="98">
        <v>0</v>
      </c>
      <c r="D31" s="98">
        <v>0</v>
      </c>
      <c r="E31" s="99">
        <v>0</v>
      </c>
      <c r="F31" s="99">
        <f t="shared" si="2"/>
        <v>0</v>
      </c>
      <c r="G31" s="100" t="s">
        <v>162</v>
      </c>
    </row>
    <row r="32" spans="1:7" ht="17" thickBot="1">
      <c r="A32" s="96" t="s">
        <v>159</v>
      </c>
      <c r="B32" s="97" t="s">
        <v>2</v>
      </c>
      <c r="C32" s="98">
        <v>0</v>
      </c>
      <c r="D32" s="98">
        <v>0</v>
      </c>
      <c r="E32" s="99">
        <v>0</v>
      </c>
      <c r="F32" s="99">
        <f t="shared" si="2"/>
        <v>0</v>
      </c>
      <c r="G32" s="96" t="s">
        <v>160</v>
      </c>
    </row>
    <row r="33" spans="1:7" ht="17" thickBot="1">
      <c r="A33" s="36" t="s">
        <v>167</v>
      </c>
      <c r="B33" s="80"/>
      <c r="C33" s="37"/>
      <c r="D33" s="37"/>
      <c r="E33" s="38"/>
      <c r="F33" s="39">
        <f>F19+F27</f>
        <v>4970734.4117647056</v>
      </c>
      <c r="G33" s="6" t="s">
        <v>125</v>
      </c>
    </row>
    <row r="34" spans="1:7">
      <c r="A34" s="3" t="s">
        <v>126</v>
      </c>
      <c r="B34" s="79"/>
      <c r="C34" s="31"/>
      <c r="D34" s="23"/>
      <c r="E34" s="7"/>
      <c r="F34" s="5">
        <f>F33*1.19-F33</f>
        <v>944439.5382352937</v>
      </c>
      <c r="G34" s="6"/>
    </row>
    <row r="35" spans="1:7">
      <c r="A35" s="81" t="s">
        <v>175</v>
      </c>
      <c r="B35" s="82"/>
      <c r="C35" s="83"/>
      <c r="D35" s="83"/>
      <c r="E35" s="84"/>
      <c r="F35" s="85">
        <f>F33+F34</f>
        <v>5915173.9499999993</v>
      </c>
      <c r="G35" s="6"/>
    </row>
    <row r="36" spans="1:7">
      <c r="A36" s="3"/>
      <c r="B36" s="79"/>
      <c r="C36" s="31"/>
      <c r="D36" s="23"/>
      <c r="E36" s="7"/>
      <c r="F36" s="4"/>
      <c r="G36" s="6"/>
    </row>
    <row r="37" spans="1:7">
      <c r="A37" s="132" t="s">
        <v>190</v>
      </c>
      <c r="B37" s="133" t="s">
        <v>130</v>
      </c>
      <c r="C37" s="134" t="s">
        <v>106</v>
      </c>
      <c r="D37" s="134" t="s">
        <v>6</v>
      </c>
      <c r="E37" s="134" t="s">
        <v>0</v>
      </c>
      <c r="F37" s="134" t="s">
        <v>1</v>
      </c>
      <c r="G37" s="134" t="s">
        <v>7</v>
      </c>
    </row>
    <row r="38" spans="1:7">
      <c r="A38" s="101" t="s">
        <v>198</v>
      </c>
      <c r="B38" s="102"/>
      <c r="C38" s="95">
        <v>0</v>
      </c>
      <c r="D38" s="95">
        <v>0</v>
      </c>
      <c r="E38" s="94">
        <v>300000</v>
      </c>
      <c r="F38" s="94">
        <f>D38*E38</f>
        <v>0</v>
      </c>
      <c r="G38" s="93"/>
    </row>
    <row r="39" spans="1:7">
      <c r="A39" s="101" t="s">
        <v>199</v>
      </c>
      <c r="B39" s="102"/>
      <c r="C39" s="95">
        <v>0</v>
      </c>
      <c r="D39" s="95">
        <v>0</v>
      </c>
      <c r="E39" s="94">
        <v>570000</v>
      </c>
      <c r="F39" s="94">
        <f t="shared" ref="F39:F41" si="3">C39*E39</f>
        <v>0</v>
      </c>
      <c r="G39" s="151"/>
    </row>
    <row r="40" spans="1:7">
      <c r="A40" s="101" t="s">
        <v>200</v>
      </c>
      <c r="B40" s="102"/>
      <c r="C40" s="95">
        <v>1</v>
      </c>
      <c r="D40" s="95">
        <v>0</v>
      </c>
      <c r="E40" s="94">
        <v>350000</v>
      </c>
      <c r="F40" s="94">
        <f t="shared" si="3"/>
        <v>350000</v>
      </c>
      <c r="G40" s="151"/>
    </row>
    <row r="41" spans="1:7">
      <c r="A41" s="101" t="s">
        <v>201</v>
      </c>
      <c r="B41" s="102"/>
      <c r="C41" s="95">
        <v>1</v>
      </c>
      <c r="D41" s="95">
        <v>0</v>
      </c>
      <c r="E41" s="94">
        <v>450000</v>
      </c>
      <c r="F41" s="94">
        <f t="shared" si="3"/>
        <v>450000</v>
      </c>
      <c r="G41" s="151" t="s">
        <v>202</v>
      </c>
    </row>
    <row r="42" spans="1:7">
      <c r="A42" s="135" t="s">
        <v>203</v>
      </c>
      <c r="B42" s="136"/>
      <c r="C42" s="43">
        <v>0</v>
      </c>
      <c r="D42" s="43">
        <v>0</v>
      </c>
      <c r="E42" s="137">
        <v>3850</v>
      </c>
      <c r="F42" s="137">
        <v>0</v>
      </c>
      <c r="G42" s="139" t="s">
        <v>191</v>
      </c>
    </row>
    <row r="43" spans="1:7">
      <c r="A43" s="135" t="s">
        <v>204</v>
      </c>
      <c r="B43" s="136"/>
      <c r="C43" s="43">
        <v>0</v>
      </c>
      <c r="D43" s="43">
        <v>0</v>
      </c>
      <c r="E43" s="137">
        <v>24000</v>
      </c>
      <c r="F43" s="137">
        <v>0</v>
      </c>
      <c r="G43" s="27" t="s">
        <v>192</v>
      </c>
    </row>
    <row r="44" spans="1:7">
      <c r="A44" s="101" t="s">
        <v>205</v>
      </c>
      <c r="B44" s="102"/>
      <c r="C44" s="43">
        <v>0</v>
      </c>
      <c r="D44" s="43">
        <v>0</v>
      </c>
      <c r="E44" s="94">
        <v>7000</v>
      </c>
      <c r="F44" s="137">
        <v>0</v>
      </c>
      <c r="G44" s="93" t="s">
        <v>206</v>
      </c>
    </row>
    <row r="45" spans="1:7">
      <c r="A45" s="135" t="s">
        <v>193</v>
      </c>
      <c r="B45" s="136"/>
      <c r="C45" s="43">
        <v>0</v>
      </c>
      <c r="D45" s="43">
        <v>0</v>
      </c>
      <c r="E45" s="137" t="s">
        <v>2</v>
      </c>
      <c r="F45" s="138">
        <v>0</v>
      </c>
      <c r="G45" s="27" t="s">
        <v>194</v>
      </c>
    </row>
    <row r="46" spans="1:7">
      <c r="A46" s="140" t="s">
        <v>172</v>
      </c>
      <c r="B46" s="141"/>
      <c r="C46" s="142">
        <v>0</v>
      </c>
      <c r="D46" s="142">
        <v>0</v>
      </c>
      <c r="E46" s="143">
        <v>3850</v>
      </c>
      <c r="F46" s="144">
        <v>0</v>
      </c>
      <c r="G46" s="145" t="s">
        <v>128</v>
      </c>
    </row>
    <row r="47" spans="1:7">
      <c r="A47" s="140" t="s">
        <v>102</v>
      </c>
      <c r="B47" s="141"/>
      <c r="C47" s="142">
        <v>0</v>
      </c>
      <c r="D47" s="142">
        <v>0</v>
      </c>
      <c r="E47" s="143">
        <v>4800</v>
      </c>
      <c r="F47" s="144">
        <v>0</v>
      </c>
      <c r="G47" s="145" t="s">
        <v>173</v>
      </c>
    </row>
    <row r="48" spans="1:7">
      <c r="A48" s="140" t="s">
        <v>103</v>
      </c>
      <c r="B48" s="141"/>
      <c r="C48" s="142">
        <v>0</v>
      </c>
      <c r="D48" s="142">
        <v>0</v>
      </c>
      <c r="E48" s="143">
        <v>5500</v>
      </c>
      <c r="F48" s="144">
        <v>0</v>
      </c>
      <c r="G48" s="145" t="s">
        <v>129</v>
      </c>
    </row>
    <row r="49" spans="1:7" ht="17">
      <c r="A49" s="101" t="s">
        <v>207</v>
      </c>
      <c r="B49" s="152"/>
      <c r="C49" s="153">
        <v>1</v>
      </c>
      <c r="D49" s="152"/>
      <c r="E49" s="154">
        <v>8500</v>
      </c>
      <c r="F49" s="155"/>
      <c r="G49" s="156" t="s">
        <v>208</v>
      </c>
    </row>
    <row r="50" spans="1:7" ht="34">
      <c r="A50" s="101" t="s">
        <v>209</v>
      </c>
      <c r="B50" s="152"/>
      <c r="C50" s="153">
        <v>1</v>
      </c>
      <c r="D50" s="152"/>
      <c r="E50" s="154">
        <v>13500</v>
      </c>
      <c r="F50" s="155"/>
      <c r="G50" s="157" t="s">
        <v>210</v>
      </c>
    </row>
    <row r="51" spans="1:7">
      <c r="A51" s="146" t="s">
        <v>195</v>
      </c>
      <c r="B51" s="147"/>
      <c r="C51" s="148"/>
      <c r="D51" s="148"/>
      <c r="E51" s="149"/>
      <c r="F51" s="149">
        <v>0</v>
      </c>
      <c r="G51" s="6"/>
    </row>
    <row r="52" spans="1:7">
      <c r="A52" s="3"/>
      <c r="B52" s="79"/>
      <c r="C52" s="31"/>
      <c r="D52" s="23"/>
      <c r="E52" s="7"/>
      <c r="F52" s="4"/>
      <c r="G52" s="6"/>
    </row>
    <row r="53" spans="1:7" ht="17">
      <c r="A53" s="129" t="s">
        <v>134</v>
      </c>
      <c r="B53"/>
      <c r="E53" s="75"/>
      <c r="F53" s="75"/>
      <c r="G53" s="75"/>
    </row>
    <row r="54" spans="1:7">
      <c r="A54" s="131" t="s">
        <v>186</v>
      </c>
      <c r="B54"/>
    </row>
    <row r="55" spans="1:7">
      <c r="A55" s="131" t="s">
        <v>187</v>
      </c>
      <c r="B55"/>
    </row>
    <row r="57" spans="1:7">
      <c r="A57" s="129" t="s">
        <v>211</v>
      </c>
      <c r="B57"/>
    </row>
    <row r="58" spans="1:7">
      <c r="A58" s="130" t="s">
        <v>212</v>
      </c>
      <c r="B58"/>
    </row>
    <row r="59" spans="1:7">
      <c r="A59" s="131" t="s">
        <v>182</v>
      </c>
      <c r="B59"/>
    </row>
    <row r="60" spans="1:7">
      <c r="A60" s="131" t="s">
        <v>183</v>
      </c>
      <c r="B60"/>
    </row>
    <row r="61" spans="1:7">
      <c r="A61" s="129" t="s">
        <v>181</v>
      </c>
      <c r="B61"/>
    </row>
    <row r="62" spans="1:7">
      <c r="A62" s="131" t="s">
        <v>213</v>
      </c>
      <c r="B62"/>
    </row>
    <row r="63" spans="1:7">
      <c r="A63" s="129" t="s">
        <v>184</v>
      </c>
      <c r="B63"/>
    </row>
    <row r="64" spans="1:7">
      <c r="A64" s="131" t="s">
        <v>214</v>
      </c>
      <c r="B64"/>
    </row>
    <row r="65" spans="1:6">
      <c r="A65" s="131" t="s">
        <v>215</v>
      </c>
      <c r="B65"/>
    </row>
    <row r="66" spans="1:6">
      <c r="A66" s="131" t="s">
        <v>216</v>
      </c>
      <c r="B66"/>
    </row>
    <row r="67" spans="1:6">
      <c r="A67" s="131" t="s">
        <v>217</v>
      </c>
      <c r="B67"/>
    </row>
    <row r="68" spans="1:6">
      <c r="A68" s="130"/>
      <c r="B68"/>
    </row>
    <row r="69" spans="1:6">
      <c r="A69" s="130" t="s">
        <v>218</v>
      </c>
      <c r="B69" s="130"/>
      <c r="C69" s="130"/>
      <c r="D69" s="130"/>
      <c r="E69" s="130"/>
      <c r="F69" s="130"/>
    </row>
    <row r="70" spans="1:6">
      <c r="A70" s="158"/>
      <c r="B70"/>
    </row>
    <row r="71" spans="1:6">
      <c r="A71" s="159" t="s">
        <v>219</v>
      </c>
      <c r="B71"/>
    </row>
    <row r="72" spans="1:6" ht="16" customHeight="1">
      <c r="A72" s="161" t="s">
        <v>220</v>
      </c>
      <c r="B72" s="161"/>
      <c r="C72" s="161"/>
      <c r="D72" s="161"/>
      <c r="E72" s="161"/>
      <c r="F72" s="161"/>
    </row>
    <row r="73" spans="1:6">
      <c r="A73" s="130"/>
      <c r="B73"/>
    </row>
    <row r="74" spans="1:6">
      <c r="A74" s="129" t="s">
        <v>185</v>
      </c>
      <c r="B74"/>
    </row>
    <row r="75" spans="1:6">
      <c r="A75" s="130"/>
      <c r="B75"/>
    </row>
    <row r="76" spans="1:6">
      <c r="A76" s="130" t="s">
        <v>135</v>
      </c>
      <c r="B76" s="130" t="s">
        <v>136</v>
      </c>
    </row>
    <row r="77" spans="1:6">
      <c r="A77" s="130" t="s">
        <v>137</v>
      </c>
      <c r="B77"/>
      <c r="D77" s="130" t="s">
        <v>138</v>
      </c>
    </row>
    <row r="78" spans="1:6">
      <c r="A78" s="130" t="s">
        <v>139</v>
      </c>
      <c r="B78" s="130" t="s">
        <v>221</v>
      </c>
    </row>
    <row r="79" spans="1:6">
      <c r="A79" s="130" t="s">
        <v>140</v>
      </c>
      <c r="B79"/>
      <c r="D79" s="130" t="s">
        <v>141</v>
      </c>
    </row>
    <row r="80" spans="1:6">
      <c r="A80" s="130" t="s">
        <v>142</v>
      </c>
      <c r="B80"/>
      <c r="D80" s="130" t="s">
        <v>143</v>
      </c>
    </row>
    <row r="81" spans="1:4">
      <c r="A81" s="130" t="s">
        <v>144</v>
      </c>
      <c r="B81"/>
      <c r="C81" s="130" t="s">
        <v>145</v>
      </c>
    </row>
    <row r="82" spans="1:4">
      <c r="A82" s="130" t="s">
        <v>5</v>
      </c>
      <c r="B82"/>
      <c r="D82" s="130">
        <v>29539311</v>
      </c>
    </row>
    <row r="83" spans="1:4">
      <c r="A83" s="160" t="s">
        <v>222</v>
      </c>
      <c r="B83"/>
    </row>
  </sheetData>
  <mergeCells count="1">
    <mergeCell ref="A72:F72"/>
  </mergeCells>
  <phoneticPr fontId="7" type="noConversion"/>
  <hyperlinks>
    <hyperlink ref="A83" r:id="rId1" display="mailto:sf@sflodge.cl" xr:uid="{F2E06317-FA26-FE40-932C-91E8DCBE551E}"/>
    <hyperlink ref="B4" r:id="rId2" xr:uid="{63D3C833-D644-FA49-8B20-405C6C59CD54}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F10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/>
  <cols>
    <col min="1" max="2" width="11" style="70"/>
    <col min="6" max="8" width="11" style="70"/>
    <col min="9" max="9" width="31" customWidth="1"/>
  </cols>
  <sheetData>
    <row r="1" spans="1:14">
      <c r="A1" s="180"/>
      <c r="B1" s="180"/>
      <c r="C1" s="180"/>
      <c r="D1" s="24"/>
      <c r="E1" s="24" t="s">
        <v>87</v>
      </c>
      <c r="F1" s="40"/>
      <c r="G1" s="40"/>
      <c r="H1" s="40"/>
      <c r="I1" s="24"/>
      <c r="J1" s="22"/>
      <c r="K1" s="22"/>
      <c r="L1" s="22"/>
      <c r="M1" s="22"/>
      <c r="N1" s="22"/>
    </row>
    <row r="2" spans="1:14">
      <c r="A2" s="180"/>
      <c r="B2" s="180"/>
      <c r="C2" s="180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>
      <c r="A3" s="180"/>
      <c r="B3" s="180"/>
      <c r="C3" s="180"/>
      <c r="D3" s="24"/>
      <c r="E3" s="24" t="s">
        <v>118</v>
      </c>
      <c r="F3" s="40"/>
      <c r="G3" s="40"/>
      <c r="H3" s="40"/>
      <c r="I3" s="24"/>
      <c r="J3" s="22"/>
      <c r="K3" s="22"/>
      <c r="L3" s="22"/>
      <c r="M3" s="22"/>
      <c r="N3" s="22"/>
    </row>
    <row r="4" spans="1:14">
      <c r="A4" s="180"/>
      <c r="B4" s="180"/>
      <c r="C4" s="180"/>
      <c r="D4" s="41"/>
      <c r="E4" s="41" t="s">
        <v>119</v>
      </c>
      <c r="F4" s="42"/>
      <c r="G4" s="42"/>
      <c r="H4" s="42"/>
      <c r="I4" s="41"/>
      <c r="J4" s="22"/>
      <c r="K4" s="22"/>
      <c r="L4" s="22"/>
      <c r="M4" s="22"/>
      <c r="N4" s="22"/>
    </row>
    <row r="5" spans="1:14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>
      <c r="A6" s="28" t="s">
        <v>88</v>
      </c>
      <c r="B6" s="29" t="s">
        <v>89</v>
      </c>
      <c r="C6" s="181" t="s">
        <v>112</v>
      </c>
      <c r="D6" s="175"/>
      <c r="E6" s="176"/>
      <c r="F6" s="29" t="s">
        <v>90</v>
      </c>
      <c r="G6" s="29" t="s">
        <v>91</v>
      </c>
      <c r="H6" s="29" t="s">
        <v>92</v>
      </c>
      <c r="I6" s="29" t="s">
        <v>93</v>
      </c>
      <c r="J6" s="22"/>
      <c r="K6" s="22"/>
      <c r="L6" s="22"/>
      <c r="M6" s="22"/>
      <c r="N6" s="22"/>
    </row>
    <row r="7" spans="1:14">
      <c r="A7" s="50">
        <v>0.375</v>
      </c>
      <c r="B7" s="51">
        <v>0.45833333333333331</v>
      </c>
      <c r="C7" s="162" t="s">
        <v>113</v>
      </c>
      <c r="D7" s="163"/>
      <c r="E7" s="164"/>
      <c r="F7" s="52"/>
      <c r="G7" s="52"/>
      <c r="H7" s="52"/>
      <c r="I7" s="53" t="s">
        <v>114</v>
      </c>
      <c r="J7" s="22"/>
      <c r="K7" s="22"/>
      <c r="L7" s="22"/>
      <c r="M7" s="22"/>
      <c r="N7" s="22"/>
    </row>
    <row r="8" spans="1:14">
      <c r="A8" s="50">
        <v>0.46875</v>
      </c>
      <c r="B8" s="51">
        <v>0.5625</v>
      </c>
      <c r="C8" s="162" t="s">
        <v>113</v>
      </c>
      <c r="D8" s="163"/>
      <c r="E8" s="164"/>
      <c r="F8" s="52"/>
      <c r="G8" s="52"/>
      <c r="H8" s="52"/>
      <c r="I8" s="53" t="s">
        <v>114</v>
      </c>
      <c r="J8" s="22"/>
      <c r="K8" s="22"/>
      <c r="L8" s="22"/>
      <c r="M8" s="22"/>
      <c r="N8" s="22"/>
    </row>
    <row r="9" spans="1:14" ht="17">
      <c r="A9" s="45">
        <v>0.5625</v>
      </c>
      <c r="B9" s="46">
        <v>0.60416666666666663</v>
      </c>
      <c r="C9" s="165" t="s">
        <v>96</v>
      </c>
      <c r="D9" s="166"/>
      <c r="E9" s="167"/>
      <c r="F9" s="47"/>
      <c r="G9" s="47">
        <v>60</v>
      </c>
      <c r="H9" s="48" t="s">
        <v>95</v>
      </c>
      <c r="I9" s="49"/>
      <c r="J9" s="22"/>
      <c r="K9" s="22"/>
      <c r="L9" s="22"/>
      <c r="M9" s="22"/>
      <c r="N9" s="22"/>
    </row>
    <row r="10" spans="1:14">
      <c r="A10" s="50">
        <v>0.625</v>
      </c>
      <c r="B10" s="51">
        <v>0.70833333333333337</v>
      </c>
      <c r="C10" s="162" t="s">
        <v>113</v>
      </c>
      <c r="D10" s="163"/>
      <c r="E10" s="164"/>
      <c r="F10" s="52"/>
      <c r="G10" s="52"/>
      <c r="H10" s="52"/>
      <c r="I10" s="53" t="s">
        <v>114</v>
      </c>
      <c r="J10" s="22"/>
      <c r="K10" s="22"/>
      <c r="L10" s="22"/>
      <c r="M10" s="22"/>
      <c r="N10" s="22"/>
    </row>
    <row r="11" spans="1:14">
      <c r="A11" s="50">
        <v>0.71875</v>
      </c>
      <c r="B11" s="51">
        <v>0.75</v>
      </c>
      <c r="C11" s="162" t="s">
        <v>113</v>
      </c>
      <c r="D11" s="163"/>
      <c r="E11" s="164"/>
      <c r="F11" s="52"/>
      <c r="G11" s="52"/>
      <c r="H11" s="52"/>
      <c r="I11" s="53" t="s">
        <v>114</v>
      </c>
      <c r="J11" s="22"/>
      <c r="K11" s="22"/>
      <c r="L11" s="22"/>
      <c r="M11" s="22"/>
      <c r="N11" s="22"/>
    </row>
    <row r="12" spans="1:14">
      <c r="A12" s="25">
        <v>0.75</v>
      </c>
      <c r="B12" s="26">
        <v>0.79166666666666663</v>
      </c>
      <c r="C12" s="168" t="s">
        <v>97</v>
      </c>
      <c r="D12" s="169"/>
      <c r="E12" s="170"/>
      <c r="F12" s="44"/>
      <c r="G12" s="44"/>
      <c r="H12" s="43"/>
      <c r="I12" s="27" t="s">
        <v>110</v>
      </c>
      <c r="J12" s="22"/>
      <c r="K12" s="22"/>
      <c r="L12" s="22"/>
      <c r="M12" s="22"/>
      <c r="N12" s="22"/>
    </row>
    <row r="13" spans="1:14" ht="15" customHeight="1">
      <c r="A13" s="56">
        <v>0.83333333333333337</v>
      </c>
      <c r="B13" s="57">
        <v>0.875</v>
      </c>
      <c r="C13" s="171" t="s">
        <v>111</v>
      </c>
      <c r="D13" s="172"/>
      <c r="E13" s="173"/>
      <c r="F13" s="58"/>
      <c r="G13" s="58">
        <v>60</v>
      </c>
      <c r="H13" s="48" t="s">
        <v>95</v>
      </c>
      <c r="I13" s="59"/>
      <c r="J13" s="22"/>
      <c r="K13" s="22"/>
      <c r="L13" s="22"/>
      <c r="M13" s="22"/>
      <c r="N13" s="22"/>
    </row>
    <row r="14" spans="1:14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>
      <c r="A15" s="28" t="s">
        <v>88</v>
      </c>
      <c r="B15" s="29" t="s">
        <v>89</v>
      </c>
      <c r="C15" s="174" t="s">
        <v>115</v>
      </c>
      <c r="D15" s="175"/>
      <c r="E15" s="176"/>
      <c r="F15" s="29" t="s">
        <v>90</v>
      </c>
      <c r="G15" s="29" t="s">
        <v>91</v>
      </c>
      <c r="H15" s="29" t="s">
        <v>92</v>
      </c>
      <c r="I15" s="29" t="s">
        <v>93</v>
      </c>
      <c r="J15" s="22"/>
      <c r="K15" s="22"/>
      <c r="L15" s="22"/>
      <c r="M15" s="22"/>
      <c r="N15" s="22"/>
    </row>
    <row r="16" spans="1:14">
      <c r="A16" s="45">
        <v>0.33333333333333331</v>
      </c>
      <c r="B16" s="46">
        <v>0.375</v>
      </c>
      <c r="C16" s="177" t="s">
        <v>94</v>
      </c>
      <c r="D16" s="178"/>
      <c r="E16" s="179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>
      <c r="A17" s="50">
        <v>0.375</v>
      </c>
      <c r="B17" s="51">
        <v>0.45833333333333331</v>
      </c>
      <c r="C17" s="162" t="s">
        <v>113</v>
      </c>
      <c r="D17" s="163"/>
      <c r="E17" s="164"/>
      <c r="F17" s="52"/>
      <c r="G17" s="52"/>
      <c r="H17" s="52"/>
      <c r="I17" s="53" t="s">
        <v>114</v>
      </c>
      <c r="J17" s="22"/>
      <c r="K17" s="22"/>
      <c r="L17" s="22"/>
      <c r="M17" s="22"/>
      <c r="N17" s="22"/>
    </row>
    <row r="18" spans="1:14">
      <c r="A18" s="50">
        <v>0.46875</v>
      </c>
      <c r="B18" s="51">
        <v>0.5625</v>
      </c>
      <c r="C18" s="162" t="s">
        <v>113</v>
      </c>
      <c r="D18" s="163"/>
      <c r="E18" s="164"/>
      <c r="F18" s="52"/>
      <c r="G18" s="52"/>
      <c r="H18" s="52"/>
      <c r="I18" s="53" t="s">
        <v>114</v>
      </c>
      <c r="J18" s="22"/>
      <c r="K18" s="22"/>
      <c r="L18" s="22"/>
      <c r="M18" s="22"/>
      <c r="N18" s="22"/>
    </row>
    <row r="19" spans="1:14" ht="17">
      <c r="A19" s="45">
        <v>0.5625</v>
      </c>
      <c r="B19" s="46">
        <v>0.60416666666666663</v>
      </c>
      <c r="C19" s="165" t="s">
        <v>96</v>
      </c>
      <c r="D19" s="166"/>
      <c r="E19" s="167"/>
      <c r="F19" s="47"/>
      <c r="G19" s="47">
        <v>60</v>
      </c>
      <c r="H19" s="48" t="s">
        <v>95</v>
      </c>
      <c r="I19" s="49"/>
      <c r="J19" s="22"/>
      <c r="K19" s="22"/>
      <c r="L19" s="22"/>
      <c r="M19" s="22"/>
      <c r="N19" s="22"/>
    </row>
    <row r="20" spans="1:14">
      <c r="A20" s="50">
        <v>0.625</v>
      </c>
      <c r="B20" s="51">
        <v>0.70833333333333337</v>
      </c>
      <c r="C20" s="162" t="s">
        <v>113</v>
      </c>
      <c r="D20" s="163"/>
      <c r="E20" s="164"/>
      <c r="F20" s="52"/>
      <c r="G20" s="52"/>
      <c r="H20" s="52"/>
      <c r="I20" s="53" t="s">
        <v>114</v>
      </c>
      <c r="J20" s="22"/>
      <c r="K20" s="22"/>
      <c r="L20" s="22"/>
      <c r="M20" s="22"/>
      <c r="N20" s="22"/>
    </row>
    <row r="21" spans="1:14">
      <c r="A21" s="50">
        <v>0.71875</v>
      </c>
      <c r="B21" s="51">
        <v>0.75</v>
      </c>
      <c r="C21" s="162" t="s">
        <v>113</v>
      </c>
      <c r="D21" s="163"/>
      <c r="E21" s="164"/>
      <c r="F21" s="52"/>
      <c r="G21" s="52"/>
      <c r="H21" s="52"/>
      <c r="I21" s="53" t="s">
        <v>114</v>
      </c>
      <c r="J21" s="22"/>
      <c r="K21" s="22"/>
      <c r="L21" s="22"/>
      <c r="M21" s="22"/>
      <c r="N21" s="22"/>
    </row>
    <row r="22" spans="1:14">
      <c r="A22" s="25">
        <v>0.75</v>
      </c>
      <c r="B22" s="26">
        <v>0.79166666666666663</v>
      </c>
      <c r="C22" s="168" t="s">
        <v>97</v>
      </c>
      <c r="D22" s="169"/>
      <c r="E22" s="170"/>
      <c r="F22" s="44"/>
      <c r="G22" s="44"/>
      <c r="H22" s="43"/>
      <c r="I22" s="27" t="s">
        <v>110</v>
      </c>
      <c r="J22" s="22"/>
      <c r="K22" s="22"/>
      <c r="L22" s="22"/>
      <c r="M22" s="22"/>
      <c r="N22" s="22"/>
    </row>
    <row r="23" spans="1:14" ht="15" customHeight="1">
      <c r="A23" s="56">
        <v>0.83333333333333337</v>
      </c>
      <c r="B23" s="57">
        <v>0.875</v>
      </c>
      <c r="C23" s="171" t="s">
        <v>111</v>
      </c>
      <c r="D23" s="172"/>
      <c r="E23" s="173"/>
      <c r="F23" s="58"/>
      <c r="G23" s="58">
        <v>60</v>
      </c>
      <c r="H23" s="48" t="s">
        <v>95</v>
      </c>
      <c r="I23" s="59"/>
      <c r="J23" s="22"/>
      <c r="K23" s="22"/>
      <c r="L23" s="22"/>
      <c r="M23" s="22"/>
      <c r="N23" s="22"/>
    </row>
    <row r="24" spans="1:14" s="55" customFormat="1" ht="15" customHeight="1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>
      <c r="A25" s="28" t="s">
        <v>88</v>
      </c>
      <c r="B25" s="29" t="s">
        <v>89</v>
      </c>
      <c r="C25" s="174" t="s">
        <v>116</v>
      </c>
      <c r="D25" s="175"/>
      <c r="E25" s="176"/>
      <c r="F25" s="29" t="s">
        <v>90</v>
      </c>
      <c r="G25" s="29" t="s">
        <v>91</v>
      </c>
      <c r="H25" s="29" t="s">
        <v>92</v>
      </c>
      <c r="I25" s="29" t="s">
        <v>93</v>
      </c>
      <c r="J25" s="22"/>
      <c r="K25" s="22"/>
      <c r="L25" s="22"/>
      <c r="M25" s="22"/>
      <c r="N25" s="22"/>
    </row>
    <row r="26" spans="1:14">
      <c r="A26" s="45">
        <v>0.33333333333333331</v>
      </c>
      <c r="B26" s="46">
        <v>0.375</v>
      </c>
      <c r="C26" s="177" t="s">
        <v>94</v>
      </c>
      <c r="D26" s="178"/>
      <c r="E26" s="179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>
      <c r="A27" s="50">
        <v>0.375</v>
      </c>
      <c r="B27" s="51">
        <v>0.45833333333333331</v>
      </c>
      <c r="C27" s="162" t="s">
        <v>113</v>
      </c>
      <c r="D27" s="163"/>
      <c r="E27" s="164"/>
      <c r="F27" s="52"/>
      <c r="G27" s="52"/>
      <c r="H27" s="52"/>
      <c r="I27" s="53" t="s">
        <v>114</v>
      </c>
      <c r="J27" s="22"/>
      <c r="K27" s="22"/>
      <c r="L27" s="22"/>
      <c r="M27" s="22"/>
      <c r="N27" s="22"/>
    </row>
    <row r="28" spans="1:14">
      <c r="A28" s="50">
        <v>0.46875</v>
      </c>
      <c r="B28" s="51">
        <v>0.5625</v>
      </c>
      <c r="C28" s="162" t="s">
        <v>113</v>
      </c>
      <c r="D28" s="163"/>
      <c r="E28" s="164"/>
      <c r="F28" s="52"/>
      <c r="G28" s="52"/>
      <c r="H28" s="52"/>
      <c r="I28" s="53" t="s">
        <v>114</v>
      </c>
      <c r="J28" s="22"/>
      <c r="K28" s="22"/>
      <c r="L28" s="22"/>
      <c r="M28" s="22"/>
      <c r="N28" s="22"/>
    </row>
    <row r="29" spans="1:14" ht="17">
      <c r="A29" s="45">
        <v>0.5625</v>
      </c>
      <c r="B29" s="46">
        <v>0.60416666666666663</v>
      </c>
      <c r="C29" s="165" t="s">
        <v>96</v>
      </c>
      <c r="D29" s="166"/>
      <c r="E29" s="167"/>
      <c r="F29" s="47"/>
      <c r="G29" s="47">
        <v>60</v>
      </c>
      <c r="H29" s="48" t="s">
        <v>95</v>
      </c>
      <c r="I29" s="49"/>
      <c r="J29" s="22"/>
      <c r="K29" s="22"/>
      <c r="L29" s="22"/>
      <c r="M29" s="22"/>
      <c r="N29" s="22"/>
    </row>
    <row r="30" spans="1:14">
      <c r="A30" s="50">
        <v>0.625</v>
      </c>
      <c r="B30" s="51">
        <v>0.70833333333333337</v>
      </c>
      <c r="C30" s="162" t="s">
        <v>113</v>
      </c>
      <c r="D30" s="163"/>
      <c r="E30" s="164"/>
      <c r="F30" s="52"/>
      <c r="G30" s="52"/>
      <c r="H30" s="52"/>
      <c r="I30" s="53" t="s">
        <v>114</v>
      </c>
      <c r="J30" s="22"/>
      <c r="K30" s="22"/>
      <c r="L30" s="22"/>
      <c r="M30" s="22"/>
      <c r="N30" s="22"/>
    </row>
    <row r="31" spans="1:14">
      <c r="A31" s="50">
        <v>0.71875</v>
      </c>
      <c r="B31" s="51">
        <v>0.75</v>
      </c>
      <c r="C31" s="162" t="s">
        <v>113</v>
      </c>
      <c r="D31" s="163"/>
      <c r="E31" s="164"/>
      <c r="F31" s="52"/>
      <c r="G31" s="52"/>
      <c r="H31" s="52"/>
      <c r="I31" s="53" t="s">
        <v>114</v>
      </c>
      <c r="J31" s="22"/>
      <c r="K31" s="22"/>
      <c r="L31" s="22"/>
      <c r="M31" s="22"/>
      <c r="N31" s="22"/>
    </row>
    <row r="32" spans="1:14" s="55" customFormat="1" ht="15" customHeight="1">
      <c r="A32" s="183"/>
      <c r="B32" s="183"/>
      <c r="C32" s="183"/>
      <c r="D32" s="183"/>
      <c r="E32" s="183"/>
      <c r="F32" s="183"/>
      <c r="G32" s="183"/>
      <c r="H32" s="183"/>
      <c r="I32" s="183"/>
      <c r="J32" s="54"/>
      <c r="K32" s="54"/>
      <c r="L32" s="54"/>
      <c r="M32" s="54"/>
      <c r="N32" s="54"/>
    </row>
    <row r="33" spans="1:14" s="55" customFormat="1" ht="15" customHeight="1">
      <c r="A33" s="184" t="s">
        <v>117</v>
      </c>
      <c r="B33" s="184"/>
      <c r="C33" s="184"/>
      <c r="D33" s="184"/>
      <c r="E33" s="184"/>
      <c r="F33" s="184"/>
      <c r="G33" s="184"/>
      <c r="H33" s="184"/>
      <c r="I33" s="184"/>
      <c r="J33" s="54"/>
      <c r="K33" s="54"/>
      <c r="L33" s="54"/>
      <c r="M33" s="54"/>
      <c r="N33" s="54"/>
    </row>
    <row r="34" spans="1:14" s="55" customFormat="1" ht="15" customHeight="1">
      <c r="A34" s="183"/>
      <c r="B34" s="183"/>
      <c r="C34" s="183"/>
      <c r="D34" s="183"/>
      <c r="E34" s="183"/>
      <c r="F34" s="183"/>
      <c r="G34" s="183"/>
      <c r="H34" s="183"/>
      <c r="I34" s="183"/>
      <c r="J34" s="54"/>
      <c r="K34" s="54"/>
      <c r="L34" s="54"/>
      <c r="M34" s="54"/>
      <c r="N34" s="54"/>
    </row>
    <row r="35" spans="1:14" s="55" customFormat="1" ht="15" customHeight="1">
      <c r="A35" s="183"/>
      <c r="B35" s="183"/>
      <c r="C35" s="183"/>
      <c r="D35" s="183"/>
      <c r="E35" s="183"/>
      <c r="F35" s="183"/>
      <c r="G35" s="183"/>
      <c r="H35" s="183"/>
      <c r="I35" s="183"/>
      <c r="J35" s="54"/>
      <c r="K35" s="54"/>
      <c r="L35" s="54"/>
      <c r="M35" s="54"/>
      <c r="N35" s="54"/>
    </row>
    <row r="36" spans="1:14" s="55" customFormat="1" ht="15" customHeight="1">
      <c r="A36" s="183"/>
      <c r="B36" s="183"/>
      <c r="C36" s="183"/>
      <c r="D36" s="183"/>
      <c r="E36" s="183"/>
      <c r="F36" s="183"/>
      <c r="G36" s="183"/>
      <c r="H36" s="183"/>
      <c r="I36" s="183"/>
      <c r="J36" s="54"/>
      <c r="K36" s="54"/>
      <c r="L36" s="54"/>
      <c r="M36" s="54"/>
      <c r="N36" s="54"/>
    </row>
    <row r="37" spans="1:14" s="55" customFormat="1" ht="15" customHeight="1">
      <c r="A37" s="183"/>
      <c r="B37" s="183"/>
      <c r="C37" s="183"/>
      <c r="D37" s="183"/>
      <c r="E37" s="183"/>
      <c r="F37" s="183"/>
      <c r="G37" s="183"/>
      <c r="H37" s="183"/>
      <c r="I37" s="183"/>
      <c r="J37" s="54"/>
      <c r="K37" s="54"/>
      <c r="L37" s="54"/>
      <c r="M37" s="54"/>
      <c r="N37" s="54"/>
    </row>
    <row r="38" spans="1:14" s="55" customFormat="1" ht="15" customHeight="1">
      <c r="A38" s="183"/>
      <c r="B38" s="183"/>
      <c r="C38" s="183"/>
      <c r="D38" s="183"/>
      <c r="E38" s="183"/>
      <c r="F38" s="183"/>
      <c r="G38" s="183"/>
      <c r="H38" s="183"/>
      <c r="I38" s="183"/>
      <c r="J38" s="54"/>
      <c r="K38" s="54"/>
      <c r="L38" s="54"/>
      <c r="M38" s="54"/>
      <c r="N38" s="54"/>
    </row>
    <row r="39" spans="1:14" s="55" customFormat="1" ht="15" customHeight="1">
      <c r="A39" s="183"/>
      <c r="B39" s="183"/>
      <c r="C39" s="183"/>
      <c r="D39" s="183"/>
      <c r="E39" s="183"/>
      <c r="F39" s="183"/>
      <c r="G39" s="183"/>
      <c r="H39" s="183"/>
      <c r="I39" s="183"/>
      <c r="J39" s="54"/>
      <c r="K39" s="54"/>
      <c r="L39" s="54"/>
      <c r="M39" s="54"/>
      <c r="N39" s="54"/>
    </row>
    <row r="40" spans="1:14" s="55" customFormat="1" ht="15" customHeight="1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>
      <c r="A44" s="185" t="s">
        <v>98</v>
      </c>
      <c r="B44" s="185"/>
      <c r="C44" s="185"/>
      <c r="D44" s="185"/>
      <c r="E44" s="185"/>
      <c r="F44" s="185"/>
      <c r="G44" s="185"/>
      <c r="H44" s="35"/>
      <c r="I44" s="30" t="s">
        <v>99</v>
      </c>
      <c r="J44" s="22"/>
      <c r="K44" s="22"/>
      <c r="L44" s="22"/>
      <c r="M44" s="22"/>
      <c r="N44" s="22"/>
    </row>
    <row r="45" spans="1:14">
      <c r="A45" s="180"/>
      <c r="B45" s="180"/>
      <c r="C45" s="180"/>
      <c r="D45" s="180"/>
      <c r="E45" s="180"/>
      <c r="F45" s="180"/>
      <c r="G45" s="180"/>
      <c r="H45" s="35"/>
      <c r="I45" s="22"/>
      <c r="J45" s="22"/>
      <c r="K45" s="22"/>
      <c r="L45" s="22"/>
      <c r="M45" s="22"/>
      <c r="N45" s="22"/>
    </row>
    <row r="46" spans="1:14">
      <c r="A46" s="182" t="s">
        <v>100</v>
      </c>
      <c r="B46" s="182"/>
      <c r="C46" s="182"/>
      <c r="D46" s="182"/>
      <c r="E46" s="182"/>
      <c r="F46" s="182"/>
      <c r="G46" s="182"/>
      <c r="H46" s="35"/>
      <c r="I46" s="22"/>
      <c r="J46" s="22"/>
      <c r="K46" s="22"/>
      <c r="L46" s="22"/>
      <c r="M46" s="22"/>
      <c r="N46" s="22"/>
    </row>
    <row r="47" spans="1:14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/>
  <sheetData>
    <row r="1" spans="1:26" ht="115" customHeight="1">
      <c r="E1" s="8" t="s">
        <v>9</v>
      </c>
      <c r="L1" s="19" t="s">
        <v>2</v>
      </c>
    </row>
    <row r="2" spans="1:26">
      <c r="A2" t="s">
        <v>10</v>
      </c>
      <c r="J2" t="s">
        <v>11</v>
      </c>
      <c r="P2" t="s">
        <v>2</v>
      </c>
      <c r="U2" t="s">
        <v>12</v>
      </c>
    </row>
    <row r="3" spans="1:26" ht="58">
      <c r="A3" s="9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H3" s="11" t="s">
        <v>19</v>
      </c>
      <c r="I3" s="10" t="s">
        <v>14</v>
      </c>
      <c r="J3" s="10" t="s">
        <v>15</v>
      </c>
      <c r="K3" s="10" t="s">
        <v>85</v>
      </c>
      <c r="L3" s="12"/>
      <c r="M3" s="11" t="s">
        <v>20</v>
      </c>
      <c r="N3" s="10" t="s">
        <v>14</v>
      </c>
      <c r="O3" s="10" t="s">
        <v>15</v>
      </c>
      <c r="P3" s="10" t="s">
        <v>16</v>
      </c>
      <c r="R3" s="13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5" t="s">
        <v>1</v>
      </c>
    </row>
    <row r="4" spans="1:26">
      <c r="A4" s="9" t="s">
        <v>29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30</v>
      </c>
      <c r="I4" s="9">
        <v>1</v>
      </c>
      <c r="J4" s="9">
        <v>2</v>
      </c>
      <c r="K4" s="20">
        <v>4</v>
      </c>
      <c r="L4" s="16"/>
      <c r="M4" s="9" t="s">
        <v>30</v>
      </c>
      <c r="N4" s="9">
        <v>1</v>
      </c>
      <c r="O4" s="9">
        <v>2</v>
      </c>
      <c r="P4" s="20">
        <v>3</v>
      </c>
      <c r="R4" s="9">
        <v>41</v>
      </c>
      <c r="S4" s="9" t="s">
        <v>31</v>
      </c>
      <c r="T4" s="9" t="s">
        <v>31</v>
      </c>
      <c r="U4" s="9" t="s">
        <v>32</v>
      </c>
      <c r="V4" s="9" t="s">
        <v>32</v>
      </c>
      <c r="W4" s="9">
        <v>2</v>
      </c>
      <c r="X4" s="9">
        <v>1</v>
      </c>
      <c r="Y4" s="9">
        <v>1</v>
      </c>
      <c r="Z4" s="20">
        <v>12</v>
      </c>
    </row>
    <row r="5" spans="1:26">
      <c r="A5" s="9" t="s">
        <v>33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34</v>
      </c>
      <c r="I5" s="9">
        <v>1</v>
      </c>
      <c r="J5" s="9">
        <v>2</v>
      </c>
      <c r="K5" s="20">
        <v>4</v>
      </c>
      <c r="L5" s="16"/>
      <c r="M5" s="9" t="s">
        <v>34</v>
      </c>
      <c r="N5" s="9">
        <v>1</v>
      </c>
      <c r="O5" s="9">
        <v>2</v>
      </c>
      <c r="P5" s="20">
        <v>3</v>
      </c>
      <c r="R5" s="9">
        <v>42</v>
      </c>
      <c r="S5" s="9" t="s">
        <v>31</v>
      </c>
      <c r="T5" s="9" t="s">
        <v>31</v>
      </c>
      <c r="U5" s="9" t="s">
        <v>32</v>
      </c>
      <c r="V5" s="9" t="s">
        <v>32</v>
      </c>
      <c r="W5" s="9">
        <v>2</v>
      </c>
      <c r="X5" s="9">
        <v>1</v>
      </c>
      <c r="Y5" s="9">
        <v>1</v>
      </c>
      <c r="Z5" s="20">
        <v>12</v>
      </c>
    </row>
    <row r="6" spans="1:26">
      <c r="A6" s="9" t="s">
        <v>35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36</v>
      </c>
      <c r="I6" s="9">
        <v>1</v>
      </c>
      <c r="J6" s="9">
        <v>2</v>
      </c>
      <c r="K6" s="20">
        <v>4</v>
      </c>
      <c r="L6" s="16"/>
      <c r="M6" s="9" t="s">
        <v>36</v>
      </c>
      <c r="N6" s="9">
        <v>1</v>
      </c>
      <c r="O6" s="9">
        <v>2</v>
      </c>
      <c r="P6" s="20">
        <v>3</v>
      </c>
      <c r="R6" s="9">
        <v>43</v>
      </c>
      <c r="S6" s="9" t="s">
        <v>31</v>
      </c>
      <c r="T6" s="9" t="s">
        <v>31</v>
      </c>
      <c r="U6" s="9" t="s">
        <v>32</v>
      </c>
      <c r="V6" s="9" t="s">
        <v>32</v>
      </c>
      <c r="W6" s="9">
        <v>2</v>
      </c>
      <c r="X6" s="9">
        <v>1</v>
      </c>
      <c r="Y6" s="9">
        <v>1</v>
      </c>
      <c r="Z6" s="20">
        <v>12</v>
      </c>
    </row>
    <row r="7" spans="1:26">
      <c r="A7" s="9" t="s">
        <v>37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38</v>
      </c>
      <c r="I7" s="9">
        <v>1</v>
      </c>
      <c r="J7" s="9">
        <v>2</v>
      </c>
      <c r="K7" s="20">
        <v>4</v>
      </c>
      <c r="L7" s="16"/>
      <c r="M7" s="9" t="s">
        <v>38</v>
      </c>
      <c r="N7" s="9">
        <v>1</v>
      </c>
      <c r="O7" s="9">
        <v>2</v>
      </c>
      <c r="P7" s="20">
        <v>3</v>
      </c>
      <c r="R7" s="9">
        <v>44</v>
      </c>
      <c r="S7" s="9" t="s">
        <v>31</v>
      </c>
      <c r="T7" s="9" t="s">
        <v>31</v>
      </c>
      <c r="U7" s="9" t="s">
        <v>32</v>
      </c>
      <c r="V7" s="9" t="s">
        <v>39</v>
      </c>
      <c r="W7" s="9">
        <v>2</v>
      </c>
      <c r="X7" s="9">
        <v>1</v>
      </c>
      <c r="Y7" s="9">
        <v>1</v>
      </c>
      <c r="Z7" s="20">
        <v>12</v>
      </c>
    </row>
    <row r="8" spans="1:26">
      <c r="A8" s="9" t="s">
        <v>40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41</v>
      </c>
      <c r="I8" s="9">
        <v>1</v>
      </c>
      <c r="J8" s="9">
        <v>2</v>
      </c>
      <c r="K8" s="20" t="s">
        <v>2</v>
      </c>
      <c r="L8" s="16"/>
      <c r="M8" s="9" t="s">
        <v>41</v>
      </c>
      <c r="N8" s="9">
        <v>1</v>
      </c>
      <c r="O8" s="9">
        <v>2</v>
      </c>
      <c r="P8" s="20">
        <v>3</v>
      </c>
    </row>
    <row r="9" spans="1:26">
      <c r="A9" s="9" t="s">
        <v>42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43</v>
      </c>
      <c r="I9" s="9">
        <v>1</v>
      </c>
      <c r="J9" s="9">
        <v>2</v>
      </c>
      <c r="K9" s="20" t="s">
        <v>2</v>
      </c>
      <c r="L9" s="16"/>
      <c r="M9" s="9" t="s">
        <v>43</v>
      </c>
      <c r="N9" s="9">
        <v>1</v>
      </c>
      <c r="O9" s="9">
        <v>2</v>
      </c>
      <c r="P9" s="20">
        <v>3</v>
      </c>
      <c r="R9" s="9">
        <v>31</v>
      </c>
      <c r="S9" s="9" t="s">
        <v>31</v>
      </c>
      <c r="T9" s="9" t="s">
        <v>44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>
      <c r="A10" s="9" t="s">
        <v>45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46</v>
      </c>
      <c r="I10" s="9">
        <v>1</v>
      </c>
      <c r="J10" s="9">
        <v>2</v>
      </c>
      <c r="K10" s="20" t="s">
        <v>2</v>
      </c>
      <c r="L10" s="16"/>
      <c r="M10" s="9" t="s">
        <v>46</v>
      </c>
      <c r="N10" s="9">
        <v>1</v>
      </c>
      <c r="O10" s="9">
        <v>2</v>
      </c>
      <c r="P10" s="20">
        <v>3</v>
      </c>
      <c r="R10" s="9">
        <v>32</v>
      </c>
      <c r="S10" s="9" t="s">
        <v>31</v>
      </c>
      <c r="T10" s="9" t="s">
        <v>31</v>
      </c>
      <c r="U10" s="9" t="s">
        <v>32</v>
      </c>
      <c r="V10" s="9" t="s">
        <v>39</v>
      </c>
      <c r="W10" s="9">
        <v>1</v>
      </c>
      <c r="X10" s="9">
        <v>1</v>
      </c>
      <c r="Y10" s="9">
        <v>1</v>
      </c>
      <c r="Z10" s="20">
        <v>8</v>
      </c>
    </row>
    <row r="11" spans="1:26">
      <c r="A11" s="9" t="s">
        <v>47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48</v>
      </c>
      <c r="I11" s="9">
        <v>1</v>
      </c>
      <c r="J11" s="9">
        <v>2</v>
      </c>
      <c r="K11" s="20" t="s">
        <v>2</v>
      </c>
      <c r="L11" s="16"/>
      <c r="M11" s="9" t="s">
        <v>48</v>
      </c>
      <c r="N11" s="9">
        <v>1</v>
      </c>
      <c r="O11" s="9">
        <v>2</v>
      </c>
      <c r="P11" s="20">
        <v>3</v>
      </c>
      <c r="R11" s="9">
        <v>33</v>
      </c>
      <c r="S11" s="9" t="s">
        <v>31</v>
      </c>
      <c r="T11" s="9" t="s">
        <v>31</v>
      </c>
      <c r="U11" s="9" t="s">
        <v>32</v>
      </c>
      <c r="V11" s="9" t="s">
        <v>39</v>
      </c>
      <c r="W11" s="9">
        <v>1</v>
      </c>
      <c r="X11" s="9">
        <v>1</v>
      </c>
      <c r="Y11" s="9">
        <v>1</v>
      </c>
      <c r="Z11" s="20">
        <v>8</v>
      </c>
    </row>
    <row r="12" spans="1:26">
      <c r="A12" t="s">
        <v>49</v>
      </c>
      <c r="B12">
        <v>0</v>
      </c>
      <c r="C12">
        <v>2</v>
      </c>
      <c r="D12" t="s">
        <v>2</v>
      </c>
      <c r="H12" s="9" t="s">
        <v>50</v>
      </c>
      <c r="I12" s="9">
        <v>1</v>
      </c>
      <c r="J12" s="9">
        <v>2</v>
      </c>
      <c r="K12" s="20" t="s">
        <v>2</v>
      </c>
      <c r="L12" s="16"/>
      <c r="M12" s="9" t="s">
        <v>50</v>
      </c>
      <c r="N12" s="9">
        <v>1</v>
      </c>
      <c r="O12" s="9">
        <v>2</v>
      </c>
      <c r="P12" s="20">
        <v>3</v>
      </c>
      <c r="R12" s="9">
        <v>34</v>
      </c>
      <c r="S12" s="9" t="s">
        <v>31</v>
      </c>
      <c r="T12" s="9" t="s">
        <v>31</v>
      </c>
      <c r="U12" s="9" t="s">
        <v>32</v>
      </c>
      <c r="V12" s="9" t="s">
        <v>39</v>
      </c>
      <c r="W12" s="9">
        <v>1</v>
      </c>
      <c r="X12" s="9">
        <v>1</v>
      </c>
      <c r="Y12" s="9">
        <v>1</v>
      </c>
      <c r="Z12" s="20">
        <v>8</v>
      </c>
    </row>
    <row r="13" spans="1:26">
      <c r="A13" s="9" t="s">
        <v>51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52</v>
      </c>
      <c r="I13" s="9">
        <v>1</v>
      </c>
      <c r="J13" s="9">
        <v>2</v>
      </c>
      <c r="K13" s="20">
        <v>3</v>
      </c>
      <c r="L13" s="16"/>
      <c r="M13" s="9" t="s">
        <v>52</v>
      </c>
      <c r="N13" s="9">
        <v>1</v>
      </c>
      <c r="O13" s="9">
        <v>2</v>
      </c>
      <c r="P13" s="20">
        <v>3</v>
      </c>
    </row>
    <row r="14" spans="1:26">
      <c r="A14" s="9" t="s">
        <v>53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54</v>
      </c>
      <c r="I14" s="9">
        <v>1</v>
      </c>
      <c r="J14" s="9">
        <v>2</v>
      </c>
      <c r="K14" s="20">
        <v>3</v>
      </c>
      <c r="L14" s="16"/>
      <c r="M14" s="9" t="s">
        <v>54</v>
      </c>
      <c r="N14" s="9">
        <v>1</v>
      </c>
      <c r="O14" s="9">
        <v>2</v>
      </c>
      <c r="P14" s="20">
        <v>3</v>
      </c>
      <c r="R14" s="9">
        <v>21</v>
      </c>
      <c r="S14" s="9" t="s">
        <v>31</v>
      </c>
      <c r="T14" s="9" t="s">
        <v>44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>
      <c r="A15" s="9" t="s">
        <v>55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56</v>
      </c>
      <c r="I15" s="9">
        <v>1</v>
      </c>
      <c r="J15" s="9">
        <v>2</v>
      </c>
      <c r="K15" s="20" t="s">
        <v>2</v>
      </c>
      <c r="L15" s="16"/>
      <c r="M15" s="9" t="s">
        <v>56</v>
      </c>
      <c r="N15" s="9">
        <v>1</v>
      </c>
      <c r="O15" s="9">
        <v>2</v>
      </c>
      <c r="P15" s="20">
        <v>3</v>
      </c>
      <c r="R15" s="9">
        <v>22</v>
      </c>
      <c r="S15" s="9" t="s">
        <v>31</v>
      </c>
      <c r="T15" s="9" t="s">
        <v>31</v>
      </c>
      <c r="U15" s="9" t="s">
        <v>32</v>
      </c>
      <c r="V15" s="9" t="s">
        <v>39</v>
      </c>
      <c r="W15" s="9">
        <v>1</v>
      </c>
      <c r="X15" s="9">
        <v>1</v>
      </c>
      <c r="Y15" s="9">
        <v>1</v>
      </c>
      <c r="Z15" s="20">
        <v>8</v>
      </c>
    </row>
    <row r="16" spans="1:26">
      <c r="A16" s="9" t="s">
        <v>57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58</v>
      </c>
      <c r="I16" s="18" t="s">
        <v>2</v>
      </c>
      <c r="J16" t="s">
        <v>2</v>
      </c>
      <c r="K16" t="s">
        <v>2</v>
      </c>
      <c r="M16" t="s">
        <v>59</v>
      </c>
      <c r="N16" s="18"/>
      <c r="P16" t="s">
        <v>2</v>
      </c>
      <c r="R16" s="9">
        <v>23</v>
      </c>
      <c r="S16" s="9" t="s">
        <v>31</v>
      </c>
      <c r="T16" s="9" t="s">
        <v>31</v>
      </c>
      <c r="U16" s="9" t="s">
        <v>32</v>
      </c>
      <c r="V16" s="9" t="s">
        <v>39</v>
      </c>
      <c r="W16" s="9">
        <v>1</v>
      </c>
      <c r="X16" s="9">
        <v>1</v>
      </c>
      <c r="Y16" s="9">
        <v>1</v>
      </c>
      <c r="Z16" s="20">
        <v>8</v>
      </c>
    </row>
    <row r="17" spans="1:26">
      <c r="A17" s="9" t="s">
        <v>60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61</v>
      </c>
      <c r="I17" s="9">
        <v>1</v>
      </c>
      <c r="J17" s="9">
        <v>2</v>
      </c>
      <c r="K17" s="20">
        <v>4</v>
      </c>
      <c r="L17" s="16"/>
      <c r="M17" s="9" t="s">
        <v>61</v>
      </c>
      <c r="N17" s="9">
        <v>1</v>
      </c>
      <c r="O17" s="9">
        <v>2</v>
      </c>
      <c r="P17" s="20">
        <v>3</v>
      </c>
      <c r="R17" s="9">
        <v>24</v>
      </c>
      <c r="S17" s="9" t="s">
        <v>31</v>
      </c>
      <c r="T17" s="9" t="s">
        <v>31</v>
      </c>
      <c r="U17" s="9" t="s">
        <v>32</v>
      </c>
      <c r="V17" s="9" t="s">
        <v>39</v>
      </c>
      <c r="W17" s="9">
        <v>1</v>
      </c>
      <c r="X17" s="9">
        <v>1</v>
      </c>
      <c r="Y17" s="9">
        <v>1</v>
      </c>
      <c r="Z17" s="20">
        <v>8</v>
      </c>
    </row>
    <row r="18" spans="1:26">
      <c r="A18" s="9" t="s">
        <v>62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63</v>
      </c>
      <c r="I18" s="9">
        <v>1</v>
      </c>
      <c r="J18" s="9">
        <v>2</v>
      </c>
      <c r="K18" s="20">
        <v>4</v>
      </c>
      <c r="L18" s="16"/>
      <c r="M18" s="9" t="s">
        <v>63</v>
      </c>
      <c r="N18" s="9">
        <v>1</v>
      </c>
      <c r="O18" s="9">
        <v>2</v>
      </c>
      <c r="P18" s="20">
        <v>3</v>
      </c>
    </row>
    <row r="19" spans="1:26">
      <c r="A19" s="9" t="s">
        <v>64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65</v>
      </c>
      <c r="I19" s="9">
        <v>1</v>
      </c>
      <c r="J19" s="9">
        <v>2</v>
      </c>
      <c r="K19" s="20">
        <v>4</v>
      </c>
      <c r="L19" s="16"/>
      <c r="M19" s="9" t="s">
        <v>65</v>
      </c>
      <c r="N19" s="9">
        <v>1</v>
      </c>
      <c r="O19" s="9">
        <v>2</v>
      </c>
      <c r="P19" s="20">
        <v>3</v>
      </c>
      <c r="R19" s="9">
        <v>11</v>
      </c>
      <c r="S19" s="9" t="s">
        <v>31</v>
      </c>
      <c r="T19" s="9" t="s">
        <v>44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>
      <c r="A20" s="9" t="s">
        <v>66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67</v>
      </c>
      <c r="I20" s="9">
        <v>1</v>
      </c>
      <c r="J20" s="9">
        <v>2</v>
      </c>
      <c r="K20" s="20">
        <v>4</v>
      </c>
      <c r="L20" s="16"/>
      <c r="M20" s="9" t="s">
        <v>67</v>
      </c>
      <c r="N20" s="9">
        <v>1</v>
      </c>
      <c r="O20" s="9">
        <v>2</v>
      </c>
      <c r="P20" s="20">
        <v>3</v>
      </c>
      <c r="R20" s="9">
        <v>12</v>
      </c>
      <c r="S20" s="9" t="s">
        <v>31</v>
      </c>
      <c r="T20" s="9" t="s">
        <v>31</v>
      </c>
      <c r="U20" s="9" t="s">
        <v>32</v>
      </c>
      <c r="V20" s="9" t="s">
        <v>39</v>
      </c>
      <c r="W20" s="9">
        <v>1</v>
      </c>
      <c r="X20" s="9">
        <v>1</v>
      </c>
      <c r="Y20" s="9">
        <v>1</v>
      </c>
      <c r="Z20" s="20">
        <v>8</v>
      </c>
    </row>
    <row r="21" spans="1:26">
      <c r="A21" t="s">
        <v>68</v>
      </c>
      <c r="B21" t="s">
        <v>2</v>
      </c>
      <c r="C21" t="s">
        <v>2</v>
      </c>
      <c r="D21" t="s">
        <v>2</v>
      </c>
      <c r="H21" s="9" t="s">
        <v>69</v>
      </c>
      <c r="I21" s="9">
        <v>1</v>
      </c>
      <c r="J21" s="9">
        <v>2</v>
      </c>
      <c r="K21" s="20" t="s">
        <v>2</v>
      </c>
      <c r="L21" s="16"/>
      <c r="M21" s="9" t="s">
        <v>69</v>
      </c>
      <c r="N21" s="9">
        <v>1</v>
      </c>
      <c r="O21" s="9">
        <v>2</v>
      </c>
      <c r="P21" s="20">
        <v>3</v>
      </c>
      <c r="R21" s="9">
        <v>13</v>
      </c>
      <c r="S21" s="9" t="s">
        <v>31</v>
      </c>
      <c r="T21" s="9" t="s">
        <v>31</v>
      </c>
      <c r="U21" s="9" t="s">
        <v>32</v>
      </c>
      <c r="V21" s="9" t="s">
        <v>39</v>
      </c>
      <c r="W21" s="9">
        <v>1</v>
      </c>
      <c r="X21" s="9">
        <v>1</v>
      </c>
      <c r="Y21" s="9">
        <v>1</v>
      </c>
      <c r="Z21" s="20">
        <v>8</v>
      </c>
    </row>
    <row r="22" spans="1:26">
      <c r="A22" s="9" t="s">
        <v>70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71</v>
      </c>
      <c r="I22" s="9">
        <v>1</v>
      </c>
      <c r="J22" s="9">
        <v>2</v>
      </c>
      <c r="K22" s="20" t="s">
        <v>2</v>
      </c>
      <c r="L22" s="16"/>
      <c r="M22" s="9" t="s">
        <v>71</v>
      </c>
      <c r="N22" s="9">
        <v>1</v>
      </c>
      <c r="O22" s="9">
        <v>2</v>
      </c>
      <c r="P22" s="20">
        <v>3</v>
      </c>
      <c r="R22" s="9">
        <v>14</v>
      </c>
      <c r="S22" s="9" t="s">
        <v>31</v>
      </c>
      <c r="T22" s="9" t="s">
        <v>31</v>
      </c>
      <c r="U22" s="9" t="s">
        <v>32</v>
      </c>
      <c r="V22" s="9" t="s">
        <v>39</v>
      </c>
      <c r="W22" s="9">
        <v>1</v>
      </c>
      <c r="X22" s="9">
        <v>1</v>
      </c>
      <c r="Y22" s="9">
        <v>1</v>
      </c>
      <c r="Z22" s="20">
        <v>8</v>
      </c>
    </row>
    <row r="23" spans="1:26">
      <c r="A23" s="9" t="s">
        <v>72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73</v>
      </c>
      <c r="I23" s="9">
        <v>1</v>
      </c>
      <c r="J23" s="9">
        <v>2</v>
      </c>
      <c r="K23" s="20" t="s">
        <v>2</v>
      </c>
      <c r="L23" s="16"/>
      <c r="M23" s="9" t="s">
        <v>73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>
      <c r="A24" s="9" t="s">
        <v>74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75</v>
      </c>
      <c r="I24" s="9">
        <v>1</v>
      </c>
      <c r="J24" s="9">
        <v>2</v>
      </c>
      <c r="K24" s="20" t="s">
        <v>2</v>
      </c>
      <c r="L24" s="16"/>
      <c r="M24" s="9" t="s">
        <v>75</v>
      </c>
      <c r="N24" s="9">
        <v>1</v>
      </c>
      <c r="O24" s="9">
        <v>2</v>
      </c>
      <c r="P24" s="20">
        <v>3</v>
      </c>
    </row>
    <row r="25" spans="1:26">
      <c r="A25" s="9" t="s">
        <v>76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77</v>
      </c>
      <c r="I25" s="9">
        <v>1</v>
      </c>
      <c r="J25" s="9">
        <v>2</v>
      </c>
      <c r="K25" s="20" t="s">
        <v>2</v>
      </c>
      <c r="L25" s="16"/>
      <c r="M25" s="9" t="s">
        <v>77</v>
      </c>
      <c r="N25" s="9">
        <v>1</v>
      </c>
      <c r="O25" s="9">
        <v>2</v>
      </c>
      <c r="P25" s="20">
        <v>3</v>
      </c>
      <c r="T25" t="s">
        <v>2</v>
      </c>
    </row>
    <row r="26" spans="1:26">
      <c r="A26" s="9" t="s">
        <v>78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79</v>
      </c>
      <c r="I26" s="9">
        <v>1</v>
      </c>
      <c r="J26" s="9">
        <v>2</v>
      </c>
      <c r="K26" s="20">
        <v>3</v>
      </c>
      <c r="L26" s="16"/>
      <c r="M26" s="9" t="s">
        <v>79</v>
      </c>
      <c r="N26" s="9">
        <v>1</v>
      </c>
      <c r="O26" s="9">
        <v>2</v>
      </c>
      <c r="P26" s="20">
        <v>3</v>
      </c>
    </row>
    <row r="27" spans="1:26">
      <c r="A27" s="9" t="s">
        <v>80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81</v>
      </c>
      <c r="I27" s="9">
        <v>1</v>
      </c>
      <c r="J27" s="9">
        <v>2</v>
      </c>
      <c r="K27" s="20">
        <v>3</v>
      </c>
      <c r="L27" s="16"/>
      <c r="M27" s="9" t="s">
        <v>81</v>
      </c>
      <c r="N27" s="9">
        <v>1</v>
      </c>
      <c r="O27" s="9">
        <v>2</v>
      </c>
      <c r="P27" s="20">
        <v>3</v>
      </c>
    </row>
    <row r="28" spans="1:26">
      <c r="A28" s="9" t="s">
        <v>82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83</v>
      </c>
      <c r="I28" s="9">
        <v>1</v>
      </c>
      <c r="J28" s="9">
        <v>2</v>
      </c>
      <c r="K28" s="20" t="s">
        <v>2</v>
      </c>
      <c r="L28" s="16"/>
      <c r="M28" s="9" t="s">
        <v>83</v>
      </c>
      <c r="N28" s="9">
        <v>1</v>
      </c>
      <c r="O28" s="9">
        <v>2</v>
      </c>
      <c r="P28" s="20">
        <v>3</v>
      </c>
    </row>
    <row r="29" spans="1:26">
      <c r="A29" s="9" t="s">
        <v>84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6"/>
  <cols>
    <col min="1" max="1" width="121.1640625" customWidth="1"/>
  </cols>
  <sheetData>
    <row r="1" spans="1:1" ht="17" thickBot="1"/>
    <row r="2" spans="1:1" ht="18">
      <c r="A2" s="88" t="s">
        <v>151</v>
      </c>
    </row>
    <row r="3" spans="1:1" ht="28" customHeight="1" thickBot="1">
      <c r="A3" s="89" t="s">
        <v>152</v>
      </c>
    </row>
    <row r="4" spans="1:1" ht="18">
      <c r="A4" s="90" t="s">
        <v>153</v>
      </c>
    </row>
    <row r="5" spans="1:1" ht="41" customHeight="1">
      <c r="A5" s="91" t="s">
        <v>154</v>
      </c>
    </row>
    <row r="6" spans="1:1" ht="33" customHeight="1" thickBot="1">
      <c r="A6" s="89" t="s">
        <v>156</v>
      </c>
    </row>
    <row r="7" spans="1:1" ht="29" customHeight="1" thickBot="1">
      <c r="A7" s="92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carmen@sf.cl</cp:lastModifiedBy>
  <dcterms:created xsi:type="dcterms:W3CDTF">2014-07-29T17:30:41Z</dcterms:created>
  <dcterms:modified xsi:type="dcterms:W3CDTF">2020-01-13T00:43:04Z</dcterms:modified>
</cp:coreProperties>
</file>