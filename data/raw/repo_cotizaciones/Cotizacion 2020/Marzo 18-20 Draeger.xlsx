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vendidos/2020/Marzo 2020/"/>
    </mc:Choice>
  </mc:AlternateContent>
  <xr:revisionPtr revIDLastSave="0" documentId="8_{D4C1D959-EEDD-1648-9C80-E3BE9666BE2C}" xr6:coauthVersionLast="36" xr6:coauthVersionMax="36" xr10:uidLastSave="{00000000-0000-0000-0000-000000000000}"/>
  <bookViews>
    <workbookView xWindow="1660" yWindow="460" windowWidth="25600" windowHeight="11200" tabRatio="500" xr2:uid="{00000000-000D-0000-FFFF-FFFF00000000}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41" i="1" l="1"/>
  <c r="F32" i="1"/>
  <c r="F29" i="1"/>
  <c r="F28" i="1"/>
  <c r="F15" i="1"/>
  <c r="F11" i="1"/>
  <c r="F12" i="1"/>
  <c r="F13" i="1"/>
  <c r="F14" i="1"/>
  <c r="F16" i="1"/>
  <c r="F19" i="1"/>
  <c r="F24" i="1" s="1"/>
  <c r="F20" i="1"/>
  <c r="F21" i="1"/>
  <c r="F22" i="1"/>
  <c r="F23" i="1"/>
  <c r="F10" i="1"/>
  <c r="F31" i="1"/>
  <c r="F26" i="1"/>
  <c r="F40" i="1" l="1"/>
  <c r="F38" i="1"/>
  <c r="F39" i="1"/>
  <c r="E28" i="1" l="1"/>
  <c r="E18" i="1"/>
  <c r="F18" i="1" s="1"/>
  <c r="F36" i="1" l="1"/>
  <c r="F27" i="1" l="1"/>
  <c r="E9" i="1" l="1"/>
  <c r="E17" i="1" l="1"/>
  <c r="F17" i="1" s="1"/>
  <c r="F44" i="1"/>
  <c r="F45" i="1"/>
  <c r="F46" i="1"/>
  <c r="F43" i="1"/>
  <c r="F30" i="5"/>
  <c r="E30" i="5"/>
  <c r="D30" i="5"/>
  <c r="C30" i="5"/>
  <c r="B30" i="5"/>
  <c r="P29" i="5"/>
  <c r="O29" i="5"/>
  <c r="N29" i="5"/>
  <c r="K29" i="5"/>
  <c r="J29" i="5"/>
  <c r="I29" i="5"/>
  <c r="Z23" i="5"/>
  <c r="F47" i="1" l="1"/>
  <c r="F48" i="1" s="1"/>
  <c r="F49" i="1" s="1"/>
</calcChain>
</file>

<file path=xl/sharedStrings.xml><?xml version="1.0" encoding="utf-8"?>
<sst xmlns="http://schemas.openxmlformats.org/spreadsheetml/2006/main" count="423" uniqueCount="227">
  <si>
    <t xml:space="preserve">Valor </t>
  </si>
  <si>
    <t>Total</t>
  </si>
  <si>
    <t xml:space="preserve"> </t>
  </si>
  <si>
    <t>Empresa:</t>
  </si>
  <si>
    <t>Fono:</t>
  </si>
  <si>
    <t>Nº Pax</t>
  </si>
  <si>
    <t>Detalle de servicios.</t>
  </si>
  <si>
    <t>Desayuno Buffet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</si>
  <si>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</si>
  <si>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</si>
  <si>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</si>
  <si>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</si>
  <si>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</si>
  <si>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</si>
  <si>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</si>
  <si>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</si>
  <si>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</si>
  <si>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</si>
  <si>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</si>
  <si>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</si>
  <si>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</si>
  <si>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</si>
  <si>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</si>
  <si>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</si>
  <si>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</si>
  <si>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</si>
  <si>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</si>
  <si>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</si>
  <si>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</si>
  <si>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</si>
  <si>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</si>
  <si>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</si>
  <si>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</si>
  <si>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</si>
  <si>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</si>
  <si>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</si>
  <si>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</si>
  <si>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</si>
  <si>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</si>
  <si>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</si>
  <si>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</si>
  <si>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</si>
  <si>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</si>
  <si>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</si>
  <si>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</si>
  <si>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</si>
  <si>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</si>
  <si>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</si>
  <si>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</si>
  <si>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</si>
  <si>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</si>
  <si>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</si>
  <si>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</si>
  <si>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</si>
  <si>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</si>
  <si>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</si>
  <si>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</si>
  <si>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</si>
  <si>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</si>
  <si>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</si>
  <si>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</si>
  <si>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</si>
  <si>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</si>
  <si>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</si>
  <si>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</si>
  <si>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</si>
  <si>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</si>
  <si>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</si>
  <si>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</si>
  <si>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</si>
  <si>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</si>
  <si>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</si>
  <si>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</si>
  <si>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</si>
  <si>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</si>
  <si>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</si>
  <si>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</si>
  <si>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</si>
  <si>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</si>
  <si>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</si>
  <si>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</si>
  <si>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</si>
  <si>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</si>
  <si>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</si>
  <si>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</si>
  <si>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Total paquete.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</si>
  <si>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</si>
  <si>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</si>
  <si>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</si>
  <si>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</si>
  <si>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</si>
  <si>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</si>
  <si>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</si>
  <si>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</si>
  <si>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</si>
  <si>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</si>
  <si>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</si>
  <si>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</si>
  <si>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</si>
  <si>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</si>
  <si>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Coffee Light</t>
  </si>
  <si>
    <t>Coffee Intermedio</t>
  </si>
  <si>
    <t>Uds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</si>
  <si>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</si>
  <si>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</si>
  <si>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</si>
  <si>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</si>
  <si>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</si>
  <si>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</si>
  <si>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</si>
  <si>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</si>
  <si>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</si>
  <si>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</si>
  <si>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</si>
  <si>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</si>
  <si>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</si>
  <si>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Atiende:</t>
  </si>
  <si>
    <t>Valor no incluye propinas.</t>
  </si>
  <si>
    <t>IVA</t>
  </si>
  <si>
    <t>Habitación doble hotel</t>
  </si>
  <si>
    <t>Café, té, agua, jugo de pulpa, 2 facturitas ó 1 muffins y 2 tapaditos.</t>
  </si>
  <si>
    <t>Café, té, agua, jugo de pulpa, 1 muffins, 2 facturitas, 1 fruta y 1  tapadito.</t>
  </si>
  <si>
    <t>Hora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</si>
  <si>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</si>
  <si>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</si>
  <si>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</si>
  <si>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</si>
  <si>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</si>
  <si>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</si>
  <si>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</si>
  <si>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</si>
  <si>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</si>
  <si>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</si>
  <si>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</si>
  <si>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</si>
  <si>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</si>
  <si>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</si>
  <si>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</si>
  <si>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</si>
  <si>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</si>
  <si>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</si>
  <si>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</si>
  <si>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</si>
  <si>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</si>
  <si>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</si>
  <si>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</si>
  <si>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</si>
  <si>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</si>
  <si>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</si>
  <si>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</si>
  <si>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</si>
  <si>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</si>
  <si>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</si>
  <si>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</si>
  <si>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</si>
  <si>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</si>
  <si>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Café, té, leche, yogurt, jamón, queso, huevos, mermeladas, mantequilla, panes, minipastelitos y cereales</t>
  </si>
  <si>
    <t>Bebida gaseosa  ó cerveza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</si>
  <si>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</si>
  <si>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</si>
  <si>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</si>
  <si>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</si>
  <si>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</si>
  <si>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</si>
  <si>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</si>
  <si>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</si>
  <si>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</si>
  <si>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Sugerencias del chef, 2 opciones de entrada, fondo y postre.</t>
  </si>
  <si>
    <t>Almuerzo( bajo 30 pasajeros)</t>
  </si>
  <si>
    <t>Cena( bajo 30 pasajeros)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</si>
  <si>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</si>
  <si>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</si>
  <si>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</si>
  <si>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t>Crédito:</t>
  </si>
  <si>
    <r>
      <t>Para órdenes de Compra y pagos</t>
    </r>
    <r>
      <rPr>
        <sz val="11"/>
        <color rgb="FF000000"/>
        <rFont val="Calibri"/>
        <family val="2"/>
      </rPr>
      <t>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</si>
  <si>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</si>
  <si>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</si>
  <si>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Gaseosa ó mineral ó  jugo de botella ó cerveza Cristal o Escudo en lata.</t>
  </si>
  <si>
    <t>Piscola, roncola, mojito, Ice, Aperol, copa de vino, espumante, vino tinto, blanco</t>
  </si>
  <si>
    <t>Tragos Con pisco, ron cocteles, cerveza vino.</t>
  </si>
  <si>
    <t xml:space="preserve">Carmen Rodriguez </t>
  </si>
  <si>
    <t>9 74961403</t>
  </si>
  <si>
    <t>Armando de bar, hielo, barman, cooler, servido de tragos, vasos, copas.</t>
  </si>
  <si>
    <t>Coctail basico, minimo 15 pasajeros.</t>
  </si>
  <si>
    <t xml:space="preserve"> Tragos(1 p/p entre) Pisco sour o espumante, vino,  bebida, cerveza, 1 empanaditas, 1 bruzquetas, quesos, frutos secos, galletas.</t>
  </si>
  <si>
    <t>Coctail Intermedio, Minimo 15 pasajeros.</t>
  </si>
  <si>
    <t>Tragos(2 p/p entre)Vino tinto, Blanco, espumante, pisco sour, bebidas,  cerveza, 1 empanaditas de Pino, 1 queso, queso crema con aceitunas y nueces, 2  bruzquetas jamón serrano, bruzquetas de Salmón, brocheta mediterranea,  frutos secos o quesos.</t>
  </si>
  <si>
    <t>Formalización y forma de pago.</t>
  </si>
  <si>
    <t>Para formalizar reserva se requiere lo siguiente.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</si>
  <si>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</si>
  <si>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Solicitud de Crédito.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</si>
  <si>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Balance último año contable.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</si>
  <si>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3 últimos IVA.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</si>
  <si>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Escritura de constitución de la sociedad, donde se indique nombre y rut y dirección de los socios y representantes legales.</t>
    </r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</si>
  <si>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</si>
  <si>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</si>
  <si>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</si>
  <si>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Aventuras Andinas limitada.</t>
  </si>
  <si>
    <t>Copiar abonos o transferencias a sf@sflodge.cl y correo de la vendedora.</t>
  </si>
  <si>
    <t>Alimentos y bebidas</t>
  </si>
  <si>
    <t>Botella de vino reserva</t>
  </si>
  <si>
    <t>Habitación triple hotel con 2 desayunos</t>
  </si>
  <si>
    <t>Habitación triple hotel</t>
  </si>
  <si>
    <t xml:space="preserve">Salones </t>
  </si>
  <si>
    <t>Tragos con ticket</t>
  </si>
  <si>
    <r>
      <t>Bar abierto 4 horas</t>
    </r>
    <r>
      <rPr>
        <sz val="12"/>
        <color rgb="FFFF0000"/>
        <rFont val="Calibri (Cuerpo)_x0000_"/>
      </rPr>
      <t xml:space="preserve"> </t>
    </r>
  </si>
  <si>
    <t>Descorche, valor por persona</t>
  </si>
  <si>
    <t>Implementos técnologicos</t>
  </si>
  <si>
    <t xml:space="preserve">Amplificacion </t>
  </si>
  <si>
    <t xml:space="preserve">Luces </t>
  </si>
  <si>
    <t>Pantalla led.</t>
  </si>
  <si>
    <t xml:space="preserve">DJ </t>
  </si>
  <si>
    <t>Karaoke</t>
  </si>
  <si>
    <t>DJ y Karaoke</t>
  </si>
  <si>
    <t>Animador</t>
  </si>
  <si>
    <t>Draeger</t>
  </si>
  <si>
    <t>Nº Pasajeros:</t>
  </si>
  <si>
    <t>Telefono:</t>
  </si>
  <si>
    <t>Jenny Idler</t>
  </si>
  <si>
    <t>jenny.idler@draeger.com</t>
  </si>
  <si>
    <t>18-20 de marzo</t>
  </si>
  <si>
    <t>alojamiento</t>
  </si>
  <si>
    <t>noches</t>
  </si>
  <si>
    <t>Salón Arcoiris</t>
  </si>
  <si>
    <t>dias</t>
  </si>
  <si>
    <t>no incluido</t>
  </si>
  <si>
    <t>1.- Llegan 18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</si>
</sst>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* #,##0_-;\-&quot;$&quot;* #,##0_-;_-&quot;$&quot;* &quot;-&quot;_-;_-@_-"/>
    <numFmt numFmtId="164" formatCode="&quot;$&quot;#,##0;[Red]&quot;$&quot;\-#,##0"/>
    <numFmt numFmtId="165" formatCode="&quot;$&quot;#,##0"/>
    <numFmt numFmtId="166" formatCode="h:mm:ss;@"/>
  </numFmts>
  <fonts count="2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rgb="FFFF0000"/>
      <name val="Calibri (Cuerpo)_x0000_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7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21" fillId="0" borderId="0" applyFont="0" applyFill="0" applyBorder="0" applyAlignment="0" applyProtection="0"/>
  </cellStyleXfs>
  <cellXfs count="181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right"/>
    </xf>
    <xf numFmtId="164" fontId="6" fillId="0" borderId="6" xfId="0" applyNumberFormat="1" applyFont="1" applyBorder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164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6" fontId="3" fillId="0" borderId="0" xfId="0" applyNumberFormat="1" applyFont="1" applyAlignment="1">
      <alignment horizontal="right"/>
    </xf>
    <xf numFmtId="166" fontId="0" fillId="0" borderId="0" xfId="0" applyNumberFormat="1"/>
    <xf numFmtId="166" fontId="6" fillId="0" borderId="8" xfId="0" applyNumberFormat="1" applyFont="1" applyBorder="1" applyAlignment="1">
      <alignment horizontal="right"/>
    </xf>
    <xf numFmtId="166" fontId="6" fillId="0" borderId="0" xfId="0" applyNumberFormat="1" applyFont="1" applyBorder="1" applyAlignment="1">
      <alignment horizontal="right"/>
    </xf>
    <xf numFmtId="166" fontId="6" fillId="0" borderId="1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166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164" fontId="6" fillId="0" borderId="4" xfId="0" applyNumberFormat="1" applyFont="1" applyBorder="1" applyAlignment="1">
      <alignment horizontal="right"/>
    </xf>
    <xf numFmtId="164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6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164" fontId="14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6" fillId="9" borderId="1" xfId="0" applyFont="1" applyFill="1" applyBorder="1" applyAlignment="1">
      <alignment horizontal="left" vertical="center"/>
    </xf>
    <xf numFmtId="166" fontId="6" fillId="9" borderId="1" xfId="0" applyNumberFormat="1" applyFont="1" applyFill="1" applyBorder="1" applyAlignment="1">
      <alignment horizontal="left" vertical="center"/>
    </xf>
    <xf numFmtId="164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6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/>
    <xf numFmtId="166" fontId="6" fillId="9" borderId="1" xfId="0" applyNumberFormat="1" applyFont="1" applyFill="1" applyBorder="1"/>
    <xf numFmtId="0" fontId="2" fillId="10" borderId="5" xfId="0" applyFont="1" applyFill="1" applyBorder="1" applyAlignment="1">
      <alignment horizontal="center"/>
    </xf>
    <xf numFmtId="166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6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164" fontId="1" fillId="10" borderId="1" xfId="0" applyNumberFormat="1" applyFont="1" applyFill="1" applyBorder="1" applyAlignment="1">
      <alignment horizontal="right"/>
    </xf>
    <xf numFmtId="0" fontId="6" fillId="9" borderId="0" xfId="0" applyFont="1" applyFill="1" applyBorder="1"/>
    <xf numFmtId="166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164" fontId="6" fillId="9" borderId="0" xfId="0" applyNumberFormat="1" applyFont="1" applyFill="1" applyBorder="1"/>
    <xf numFmtId="164" fontId="6" fillId="9" borderId="0" xfId="0" applyNumberFormat="1" applyFont="1" applyFill="1" applyBorder="1" applyAlignment="1">
      <alignment horizontal="right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6" fontId="0" fillId="0" borderId="1" xfId="0" applyNumberFormat="1" applyFill="1" applyBorder="1"/>
    <xf numFmtId="164" fontId="6" fillId="0" borderId="1" xfId="0" applyNumberFormat="1" applyFont="1" applyFill="1" applyBorder="1" applyAlignment="1">
      <alignment horizontal="right"/>
    </xf>
    <xf numFmtId="166" fontId="0" fillId="0" borderId="0" xfId="0" applyNumberFormat="1" applyAlignment="1">
      <alignment horizontal="left"/>
    </xf>
    <xf numFmtId="166" fontId="1" fillId="0" borderId="0" xfId="0" applyNumberFormat="1" applyFont="1" applyFill="1" applyAlignment="1">
      <alignment horizontal="left"/>
    </xf>
    <xf numFmtId="0" fontId="6" fillId="11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horizontal="center" vertical="center" wrapText="1"/>
    </xf>
    <xf numFmtId="164" fontId="6" fillId="11" borderId="1" xfId="0" applyNumberFormat="1" applyFont="1" applyFill="1" applyBorder="1" applyAlignment="1">
      <alignment horizontal="right" wrapText="1"/>
    </xf>
    <xf numFmtId="0" fontId="6" fillId="11" borderId="1" xfId="0" applyFont="1" applyFill="1" applyBorder="1" applyAlignment="1">
      <alignment wrapText="1"/>
    </xf>
    <xf numFmtId="164" fontId="6" fillId="9" borderId="1" xfId="0" applyNumberFormat="1" applyFont="1" applyFill="1" applyBorder="1"/>
    <xf numFmtId="164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6" fillId="0" borderId="21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/>
    </xf>
    <xf numFmtId="0" fontId="6" fillId="0" borderId="15" xfId="0" applyFont="1" applyBorder="1"/>
    <xf numFmtId="0" fontId="6" fillId="4" borderId="21" xfId="0" applyFont="1" applyFill="1" applyBorder="1" applyAlignment="1">
      <alignment vertical="center"/>
    </xf>
    <xf numFmtId="166" fontId="6" fillId="4" borderId="2" xfId="0" applyNumberFormat="1" applyFont="1" applyFill="1" applyBorder="1" applyAlignment="1">
      <alignment vertical="center"/>
    </xf>
    <xf numFmtId="0" fontId="6" fillId="4" borderId="2" xfId="0" applyFont="1" applyFill="1" applyBorder="1" applyAlignment="1">
      <alignment horizontal="center"/>
    </xf>
    <xf numFmtId="164" fontId="6" fillId="4" borderId="2" xfId="0" applyNumberFormat="1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6" fillId="9" borderId="15" xfId="0" applyFon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165" fontId="6" fillId="9" borderId="1" xfId="175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0" fillId="3" borderId="3" xfId="0" applyFill="1" applyBorder="1" applyAlignment="1">
      <alignment horizontal="center" wrapText="1"/>
    </xf>
    <xf numFmtId="0" fontId="17" fillId="0" borderId="0" xfId="0" applyFont="1" applyAlignment="1">
      <alignment horizontal="justify" vertical="center"/>
    </xf>
    <xf numFmtId="0" fontId="16" fillId="0" borderId="0" xfId="0" applyFont="1" applyAlignment="1">
      <alignment horizontal="justify" vertical="center"/>
    </xf>
    <xf numFmtId="0" fontId="4" fillId="0" borderId="0" xfId="116" applyAlignment="1">
      <alignment vertical="center"/>
    </xf>
    <xf numFmtId="166" fontId="0" fillId="0" borderId="1" xfId="0" applyNumberFormat="1" applyBorder="1"/>
    <xf numFmtId="0" fontId="17" fillId="0" borderId="0" xfId="0" applyFont="1" applyAlignment="1">
      <alignment horizontal="left" vertic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166" fontId="4" fillId="0" borderId="0" xfId="116" applyNumberFormat="1" applyAlignment="1">
      <alignment horizontal="left"/>
    </xf>
    <xf numFmtId="164" fontId="0" fillId="0" borderId="0" xfId="0" applyNumberFormat="1"/>
  </cellXfs>
  <cellStyles count="176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75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enny.idler@draeger.com" TargetMode="External"/><Relationship Id="rId1" Type="http://schemas.openxmlformats.org/officeDocument/2006/relationships/hyperlink" Target="mailto:sf@sflodge.c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G82"/>
  <sheetViews>
    <sheetView tabSelected="1" topLeftCell="B1" zoomScale="109" zoomScaleNormal="109" zoomScalePageLayoutView="109" workbookViewId="0">
      <selection activeCell="G4" sqref="G4"/>
    </sheetView>
  </sheetViews>
  <sheetFormatPr baseColWidth="10" defaultRowHeight="16"/>
  <cols>
    <col min="1" max="1" width="33.83203125" customWidth="1"/>
    <col min="2" max="2" width="10.83203125" style="77" customWidth="1"/>
    <col min="3" max="3" width="12" customWidth="1"/>
    <col min="4" max="4" width="13" customWidth="1"/>
    <col min="5" max="5" width="12.33203125" customWidth="1"/>
    <col min="6" max="6" width="11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>
      <c r="A1" s="1" t="s">
        <v>2</v>
      </c>
      <c r="B1" s="76"/>
      <c r="C1" s="73" t="s">
        <v>165</v>
      </c>
    </row>
    <row r="2" spans="1:7">
      <c r="G2" s="144" t="s">
        <v>135</v>
      </c>
    </row>
    <row r="3" spans="1:7">
      <c r="A3" s="70" t="s">
        <v>113</v>
      </c>
      <c r="B3" s="125" t="s">
        <v>218</v>
      </c>
      <c r="D3" t="s">
        <v>3</v>
      </c>
      <c r="E3" s="34" t="s">
        <v>215</v>
      </c>
      <c r="G3" s="86" t="s">
        <v>226</v>
      </c>
    </row>
    <row r="4" spans="1:7">
      <c r="A4" t="s">
        <v>114</v>
      </c>
      <c r="B4" s="179" t="s">
        <v>219</v>
      </c>
      <c r="C4" s="74"/>
      <c r="D4" t="s">
        <v>4</v>
      </c>
      <c r="E4">
        <v>958109357</v>
      </c>
      <c r="G4" s="87" t="s">
        <v>136</v>
      </c>
    </row>
    <row r="5" spans="1:7">
      <c r="A5" t="s">
        <v>115</v>
      </c>
      <c r="B5" s="125" t="s">
        <v>220</v>
      </c>
      <c r="D5" t="s">
        <v>216</v>
      </c>
      <c r="E5" s="34">
        <v>10</v>
      </c>
      <c r="G5" s="87" t="s">
        <v>137</v>
      </c>
    </row>
    <row r="6" spans="1:7">
      <c r="A6" s="72" t="s">
        <v>116</v>
      </c>
      <c r="B6" s="126" t="s">
        <v>180</v>
      </c>
      <c r="C6" s="71"/>
      <c r="D6" s="71" t="s">
        <v>217</v>
      </c>
      <c r="E6" s="71" t="s">
        <v>181</v>
      </c>
      <c r="G6" s="87" t="s">
        <v>138</v>
      </c>
    </row>
    <row r="7" spans="1:7" ht="17" thickBot="1">
      <c r="A7" s="71"/>
      <c r="B7" s="126"/>
      <c r="C7" s="71"/>
      <c r="D7" s="71"/>
      <c r="E7" s="71"/>
      <c r="F7" s="71"/>
      <c r="G7" s="87"/>
    </row>
    <row r="8" spans="1:7" ht="15.75" customHeight="1">
      <c r="A8" s="108" t="s">
        <v>199</v>
      </c>
      <c r="B8" s="109" t="s">
        <v>122</v>
      </c>
      <c r="C8" s="110" t="s">
        <v>102</v>
      </c>
      <c r="D8" s="110" t="s">
        <v>5</v>
      </c>
      <c r="E8" s="110" t="s">
        <v>0</v>
      </c>
      <c r="F8" s="110" t="s">
        <v>1</v>
      </c>
      <c r="G8" s="111" t="s">
        <v>6</v>
      </c>
    </row>
    <row r="9" spans="1:7" ht="15.75" customHeight="1">
      <c r="A9" s="106" t="s">
        <v>7</v>
      </c>
      <c r="B9" s="107"/>
      <c r="C9" s="95">
        <v>2</v>
      </c>
      <c r="D9" s="95">
        <v>20</v>
      </c>
      <c r="E9" s="131">
        <f>12500/1.19</f>
        <v>10504.20168067227</v>
      </c>
      <c r="F9" s="94">
        <v>0</v>
      </c>
      <c r="G9" s="93" t="s">
        <v>156</v>
      </c>
    </row>
    <row r="10" spans="1:7">
      <c r="A10" s="104" t="s">
        <v>158</v>
      </c>
      <c r="B10" s="105"/>
      <c r="C10" s="95">
        <v>2</v>
      </c>
      <c r="D10" s="95">
        <v>12</v>
      </c>
      <c r="E10" s="103">
        <v>3850</v>
      </c>
      <c r="F10" s="94">
        <f>C10*D10*E10</f>
        <v>92400</v>
      </c>
      <c r="G10" s="101" t="s">
        <v>120</v>
      </c>
    </row>
    <row r="11" spans="1:7">
      <c r="A11" s="104" t="s">
        <v>158</v>
      </c>
      <c r="B11" s="105"/>
      <c r="C11" s="95">
        <v>1</v>
      </c>
      <c r="D11" s="95">
        <v>10</v>
      </c>
      <c r="E11" s="103">
        <v>3850</v>
      </c>
      <c r="F11" s="94">
        <f t="shared" ref="F11:F23" si="0">C11*D11*E11</f>
        <v>38500</v>
      </c>
      <c r="G11" s="101" t="s">
        <v>120</v>
      </c>
    </row>
    <row r="12" spans="1:7">
      <c r="A12" s="139" t="s">
        <v>100</v>
      </c>
      <c r="B12" s="140"/>
      <c r="C12" s="141">
        <v>0</v>
      </c>
      <c r="D12" s="141">
        <v>0</v>
      </c>
      <c r="E12" s="142">
        <v>4800</v>
      </c>
      <c r="F12" s="94">
        <f t="shared" si="0"/>
        <v>0</v>
      </c>
      <c r="G12" s="143" t="s">
        <v>159</v>
      </c>
    </row>
    <row r="13" spans="1:7">
      <c r="A13" s="139" t="s">
        <v>101</v>
      </c>
      <c r="B13" s="140"/>
      <c r="C13" s="141">
        <v>0</v>
      </c>
      <c r="D13" s="141">
        <v>0</v>
      </c>
      <c r="E13" s="142">
        <v>5500</v>
      </c>
      <c r="F13" s="94">
        <f t="shared" si="0"/>
        <v>0</v>
      </c>
      <c r="G13" s="143" t="s">
        <v>121</v>
      </c>
    </row>
    <row r="14" spans="1:7" ht="16.5" customHeight="1">
      <c r="A14" s="127" t="s">
        <v>168</v>
      </c>
      <c r="B14" s="128" t="s">
        <v>2</v>
      </c>
      <c r="C14" s="95">
        <v>1</v>
      </c>
      <c r="D14" s="95">
        <v>12</v>
      </c>
      <c r="E14" s="129">
        <v>15000</v>
      </c>
      <c r="F14" s="94">
        <f t="shared" si="0"/>
        <v>180000</v>
      </c>
      <c r="G14" s="130" t="s">
        <v>167</v>
      </c>
    </row>
    <row r="15" spans="1:7" ht="16.5" customHeight="1">
      <c r="A15" s="127" t="s">
        <v>168</v>
      </c>
      <c r="B15" s="128" t="s">
        <v>2</v>
      </c>
      <c r="C15" s="95">
        <v>1</v>
      </c>
      <c r="D15" s="95">
        <v>10</v>
      </c>
      <c r="E15" s="129">
        <v>15000</v>
      </c>
      <c r="F15" s="94">
        <f t="shared" ref="F15" si="1">C15*D15*E15</f>
        <v>150000</v>
      </c>
      <c r="G15" s="130" t="s">
        <v>167</v>
      </c>
    </row>
    <row r="16" spans="1:7" ht="17">
      <c r="A16" s="127" t="s">
        <v>169</v>
      </c>
      <c r="B16" s="128" t="s">
        <v>2</v>
      </c>
      <c r="C16" s="95">
        <v>2</v>
      </c>
      <c r="D16" s="95">
        <v>10</v>
      </c>
      <c r="E16" s="129">
        <v>15000</v>
      </c>
      <c r="F16" s="94">
        <f t="shared" si="0"/>
        <v>300000</v>
      </c>
      <c r="G16" s="130" t="s">
        <v>167</v>
      </c>
    </row>
    <row r="17" spans="1:7">
      <c r="A17" s="101" t="s">
        <v>157</v>
      </c>
      <c r="B17" s="102"/>
      <c r="C17" s="95">
        <v>4</v>
      </c>
      <c r="D17" s="95">
        <v>10</v>
      </c>
      <c r="E17" s="94">
        <f>1800/1.19</f>
        <v>1512.6050420168067</v>
      </c>
      <c r="F17" s="94">
        <f t="shared" si="0"/>
        <v>60504.201680672268</v>
      </c>
      <c r="G17" s="93" t="s">
        <v>177</v>
      </c>
    </row>
    <row r="18" spans="1:7">
      <c r="A18" s="101" t="s">
        <v>200</v>
      </c>
      <c r="B18" s="102" t="s">
        <v>225</v>
      </c>
      <c r="C18" s="95">
        <v>0</v>
      </c>
      <c r="D18" s="95">
        <v>0</v>
      </c>
      <c r="E18" s="94">
        <f>12500/1.19</f>
        <v>10504.20168067227</v>
      </c>
      <c r="F18" s="94">
        <f t="shared" si="0"/>
        <v>0</v>
      </c>
      <c r="G18" s="93" t="s">
        <v>177</v>
      </c>
    </row>
    <row r="19" spans="1:7" ht="17">
      <c r="A19" s="101" t="s">
        <v>183</v>
      </c>
      <c r="B19" s="102" t="s">
        <v>225</v>
      </c>
      <c r="C19" s="146">
        <v>1</v>
      </c>
      <c r="D19" s="95">
        <v>0</v>
      </c>
      <c r="E19" s="147">
        <v>8500</v>
      </c>
      <c r="F19" s="94">
        <f t="shared" si="0"/>
        <v>0</v>
      </c>
      <c r="G19" s="148" t="s">
        <v>184</v>
      </c>
    </row>
    <row r="20" spans="1:7" ht="34">
      <c r="A20" s="101" t="s">
        <v>185</v>
      </c>
      <c r="B20" s="102" t="s">
        <v>225</v>
      </c>
      <c r="C20" s="146">
        <v>1</v>
      </c>
      <c r="D20" s="95">
        <v>0</v>
      </c>
      <c r="E20" s="147">
        <v>13500</v>
      </c>
      <c r="F20" s="94">
        <f t="shared" si="0"/>
        <v>0</v>
      </c>
      <c r="G20" s="149" t="s">
        <v>186</v>
      </c>
    </row>
    <row r="21" spans="1:7">
      <c r="A21" s="136" t="s">
        <v>204</v>
      </c>
      <c r="B21" s="102" t="s">
        <v>225</v>
      </c>
      <c r="C21" s="43">
        <v>0</v>
      </c>
      <c r="D21" s="43">
        <v>0</v>
      </c>
      <c r="E21" s="137">
        <v>3850</v>
      </c>
      <c r="F21" s="94">
        <f t="shared" si="0"/>
        <v>0</v>
      </c>
      <c r="G21" s="138" t="s">
        <v>178</v>
      </c>
    </row>
    <row r="22" spans="1:7">
      <c r="A22" s="136" t="s">
        <v>205</v>
      </c>
      <c r="B22" s="102" t="s">
        <v>225</v>
      </c>
      <c r="C22" s="43">
        <v>0</v>
      </c>
      <c r="D22" s="43">
        <v>0</v>
      </c>
      <c r="E22" s="137">
        <v>24000</v>
      </c>
      <c r="F22" s="94">
        <f t="shared" si="0"/>
        <v>0</v>
      </c>
      <c r="G22" s="27" t="s">
        <v>179</v>
      </c>
    </row>
    <row r="23" spans="1:7">
      <c r="A23" s="101" t="s">
        <v>206</v>
      </c>
      <c r="B23" s="102" t="s">
        <v>225</v>
      </c>
      <c r="C23" s="43">
        <v>0</v>
      </c>
      <c r="D23" s="43">
        <v>0</v>
      </c>
      <c r="E23" s="94">
        <v>7000</v>
      </c>
      <c r="F23" s="94">
        <f t="shared" si="0"/>
        <v>0</v>
      </c>
      <c r="G23" s="93" t="s">
        <v>182</v>
      </c>
    </row>
    <row r="24" spans="1:7" ht="17" thickBot="1">
      <c r="F24" s="180">
        <f>SUM(F9:F23)</f>
        <v>821404.20168067224</v>
      </c>
    </row>
    <row r="25" spans="1:7" ht="15.75" customHeight="1">
      <c r="A25" s="108" t="s">
        <v>221</v>
      </c>
      <c r="B25" s="109" t="s">
        <v>122</v>
      </c>
      <c r="C25" s="110" t="s">
        <v>102</v>
      </c>
      <c r="D25" s="110" t="s">
        <v>222</v>
      </c>
      <c r="E25" s="110" t="s">
        <v>0</v>
      </c>
      <c r="F25" s="110" t="s">
        <v>1</v>
      </c>
      <c r="G25" s="111" t="s">
        <v>6</v>
      </c>
    </row>
    <row r="26" spans="1:7" ht="16.5" customHeight="1">
      <c r="A26" s="122" t="s">
        <v>162</v>
      </c>
      <c r="B26" s="123"/>
      <c r="C26" s="95">
        <v>10</v>
      </c>
      <c r="D26" s="95">
        <v>2</v>
      </c>
      <c r="E26" s="124">
        <v>99000</v>
      </c>
      <c r="F26" s="94">
        <f>C26*D26*E26</f>
        <v>1980000</v>
      </c>
      <c r="G26" s="122" t="s">
        <v>163</v>
      </c>
    </row>
    <row r="27" spans="1:7" ht="16.5" customHeight="1">
      <c r="A27" s="122" t="s">
        <v>119</v>
      </c>
      <c r="B27" s="123"/>
      <c r="C27" s="95">
        <v>0</v>
      </c>
      <c r="D27" s="95">
        <v>0</v>
      </c>
      <c r="E27" s="124">
        <v>118000</v>
      </c>
      <c r="F27" s="94">
        <f>C27*E27</f>
        <v>0</v>
      </c>
      <c r="G27" s="122" t="s">
        <v>164</v>
      </c>
    </row>
    <row r="28" spans="1:7" ht="16.5" customHeight="1">
      <c r="A28" s="122" t="s">
        <v>202</v>
      </c>
      <c r="B28" s="123"/>
      <c r="C28" s="95">
        <v>0</v>
      </c>
      <c r="D28" s="95">
        <v>0</v>
      </c>
      <c r="E28" s="124">
        <f>118000+39500</f>
        <v>157500</v>
      </c>
      <c r="F28" s="94">
        <f>C28*E28</f>
        <v>0</v>
      </c>
      <c r="G28" s="122" t="s">
        <v>201</v>
      </c>
    </row>
    <row r="29" spans="1:7" ht="16.5" customHeight="1" thickBot="1">
      <c r="A29" s="2" t="s">
        <v>85</v>
      </c>
      <c r="B29" s="78"/>
      <c r="C29" s="33"/>
      <c r="D29" s="23"/>
      <c r="E29" s="7"/>
      <c r="F29" s="5">
        <f>SUM(F26:F28)</f>
        <v>1980000</v>
      </c>
      <c r="G29" s="32" t="s">
        <v>2</v>
      </c>
    </row>
    <row r="30" spans="1:7" ht="16.5" customHeight="1">
      <c r="A30" s="108" t="s">
        <v>203</v>
      </c>
      <c r="B30" s="109"/>
      <c r="C30" s="110" t="s">
        <v>102</v>
      </c>
      <c r="D30" s="110" t="s">
        <v>224</v>
      </c>
      <c r="E30" s="110" t="s">
        <v>0</v>
      </c>
      <c r="F30" s="110" t="s">
        <v>1</v>
      </c>
      <c r="G30" s="111" t="s">
        <v>6</v>
      </c>
    </row>
    <row r="31" spans="1:7">
      <c r="A31" s="101" t="s">
        <v>223</v>
      </c>
      <c r="B31" s="102"/>
      <c r="C31" s="95">
        <v>1</v>
      </c>
      <c r="D31" s="95">
        <v>2</v>
      </c>
      <c r="E31" s="103">
        <v>180000</v>
      </c>
      <c r="F31" s="94">
        <f>C31*D31*E31</f>
        <v>360000</v>
      </c>
      <c r="G31" s="93" t="s">
        <v>160</v>
      </c>
    </row>
    <row r="32" spans="1:7" ht="17" thickBot="1">
      <c r="A32" s="116"/>
      <c r="B32" s="117"/>
      <c r="C32" s="118"/>
      <c r="D32" s="118"/>
      <c r="E32" s="119" t="s">
        <v>2</v>
      </c>
      <c r="F32" s="120">
        <f>SUM(F31:F31)</f>
        <v>360000</v>
      </c>
      <c r="G32" s="121"/>
    </row>
    <row r="33" spans="1:7">
      <c r="A33" s="108" t="s">
        <v>207</v>
      </c>
      <c r="B33" s="109"/>
      <c r="C33" s="110" t="s">
        <v>102</v>
      </c>
      <c r="D33" s="110" t="s">
        <v>5</v>
      </c>
      <c r="E33" s="110" t="s">
        <v>0</v>
      </c>
      <c r="F33" s="110" t="s">
        <v>1</v>
      </c>
      <c r="G33" s="111" t="s">
        <v>6</v>
      </c>
    </row>
    <row r="34" spans="1:7">
      <c r="A34" s="101" t="s">
        <v>208</v>
      </c>
      <c r="B34" s="102"/>
      <c r="C34" s="95">
        <v>1</v>
      </c>
      <c r="D34" s="95">
        <v>1</v>
      </c>
      <c r="E34" s="94">
        <v>200000</v>
      </c>
      <c r="F34" s="94">
        <v>0</v>
      </c>
      <c r="G34" s="145"/>
    </row>
    <row r="35" spans="1:7">
      <c r="A35" s="101" t="s">
        <v>209</v>
      </c>
      <c r="B35" s="153"/>
      <c r="C35" s="9"/>
      <c r="D35" s="9"/>
      <c r="E35" s="94">
        <v>150000</v>
      </c>
      <c r="F35" s="94">
        <v>0</v>
      </c>
      <c r="G35" s="93" t="s">
        <v>2</v>
      </c>
    </row>
    <row r="36" spans="1:7">
      <c r="A36" s="101" t="s">
        <v>210</v>
      </c>
      <c r="B36" s="102"/>
      <c r="C36" s="95">
        <v>0</v>
      </c>
      <c r="D36" s="95">
        <v>0</v>
      </c>
      <c r="E36" s="94">
        <v>650000</v>
      </c>
      <c r="F36" s="94">
        <f>C36*E36</f>
        <v>0</v>
      </c>
      <c r="G36" s="145"/>
    </row>
    <row r="37" spans="1:7">
      <c r="A37" s="101" t="s">
        <v>211</v>
      </c>
      <c r="B37" s="102"/>
      <c r="C37" s="95">
        <v>1</v>
      </c>
      <c r="D37" s="95">
        <v>0</v>
      </c>
      <c r="E37" s="94">
        <v>450000</v>
      </c>
      <c r="F37" s="94">
        <v>0</v>
      </c>
      <c r="G37" s="145" t="s">
        <v>2</v>
      </c>
    </row>
    <row r="38" spans="1:7">
      <c r="A38" s="101" t="s">
        <v>212</v>
      </c>
      <c r="B38" s="102"/>
      <c r="C38" s="95">
        <v>0</v>
      </c>
      <c r="D38" s="95">
        <v>0</v>
      </c>
      <c r="E38" s="94">
        <v>450000</v>
      </c>
      <c r="F38" s="94">
        <f>D38*E38</f>
        <v>0</v>
      </c>
      <c r="G38" s="93" t="s">
        <v>2</v>
      </c>
    </row>
    <row r="39" spans="1:7" ht="17">
      <c r="A39" s="127" t="s">
        <v>213</v>
      </c>
      <c r="B39" s="128" t="s">
        <v>2</v>
      </c>
      <c r="C39" s="95">
        <v>0</v>
      </c>
      <c r="D39" s="95">
        <v>0</v>
      </c>
      <c r="E39" s="94">
        <v>580000</v>
      </c>
      <c r="F39" s="132">
        <f t="shared" ref="F39" si="2">D39*E39</f>
        <v>0</v>
      </c>
      <c r="G39" s="93" t="s">
        <v>2</v>
      </c>
    </row>
    <row r="40" spans="1:7" ht="17">
      <c r="A40" s="127" t="s">
        <v>214</v>
      </c>
      <c r="B40" s="128" t="s">
        <v>2</v>
      </c>
      <c r="C40" s="95">
        <v>0</v>
      </c>
      <c r="D40" s="95">
        <v>0</v>
      </c>
      <c r="E40" s="94">
        <v>150000</v>
      </c>
      <c r="F40" s="132">
        <f t="shared" ref="F40" si="3">D40*E40</f>
        <v>0</v>
      </c>
      <c r="G40" s="93" t="s">
        <v>2</v>
      </c>
    </row>
    <row r="41" spans="1:7">
      <c r="A41" s="116"/>
      <c r="B41" s="117"/>
      <c r="C41" s="118"/>
      <c r="D41" s="118"/>
      <c r="E41" s="119" t="s">
        <v>2</v>
      </c>
      <c r="F41" s="120">
        <f>SUM(F34:F40)</f>
        <v>0</v>
      </c>
      <c r="G41" s="121"/>
    </row>
    <row r="42" spans="1:7">
      <c r="A42" s="112" t="s">
        <v>153</v>
      </c>
      <c r="B42" s="113" t="s">
        <v>166</v>
      </c>
      <c r="C42" s="114"/>
      <c r="D42" s="114"/>
      <c r="E42" s="115"/>
      <c r="F42" s="115" t="s">
        <v>2</v>
      </c>
      <c r="G42" s="112" t="s">
        <v>154</v>
      </c>
    </row>
    <row r="43" spans="1:7">
      <c r="A43" s="96" t="s">
        <v>149</v>
      </c>
      <c r="B43" s="97" t="s">
        <v>2</v>
      </c>
      <c r="C43" s="98">
        <v>0</v>
      </c>
      <c r="D43" s="98">
        <v>0</v>
      </c>
      <c r="E43" s="99">
        <v>0</v>
      </c>
      <c r="F43" s="99">
        <f t="shared" ref="F43:F46" si="4">C43*D43*E43</f>
        <v>0</v>
      </c>
      <c r="G43" s="100" t="s">
        <v>151</v>
      </c>
    </row>
    <row r="44" spans="1:7">
      <c r="A44" s="96" t="s">
        <v>145</v>
      </c>
      <c r="B44" s="97" t="s">
        <v>2</v>
      </c>
      <c r="C44" s="98">
        <v>0</v>
      </c>
      <c r="D44" s="98">
        <v>0</v>
      </c>
      <c r="E44" s="99">
        <v>0</v>
      </c>
      <c r="F44" s="99">
        <f t="shared" si="4"/>
        <v>0</v>
      </c>
      <c r="G44" s="100" t="s">
        <v>152</v>
      </c>
    </row>
    <row r="45" spans="1:7" ht="16.5" customHeight="1">
      <c r="A45" s="96" t="s">
        <v>146</v>
      </c>
      <c r="B45" s="97" t="s">
        <v>2</v>
      </c>
      <c r="C45" s="98">
        <v>0</v>
      </c>
      <c r="D45" s="98">
        <v>0</v>
      </c>
      <c r="E45" s="99">
        <v>0</v>
      </c>
      <c r="F45" s="99">
        <f t="shared" si="4"/>
        <v>0</v>
      </c>
      <c r="G45" s="100" t="s">
        <v>150</v>
      </c>
    </row>
    <row r="46" spans="1:7" ht="17" thickBot="1">
      <c r="A46" s="96" t="s">
        <v>147</v>
      </c>
      <c r="B46" s="97" t="s">
        <v>2</v>
      </c>
      <c r="C46" s="98">
        <v>0</v>
      </c>
      <c r="D46" s="98">
        <v>0</v>
      </c>
      <c r="E46" s="99">
        <v>0</v>
      </c>
      <c r="F46" s="99">
        <f t="shared" si="4"/>
        <v>0</v>
      </c>
      <c r="G46" s="96" t="s">
        <v>148</v>
      </c>
    </row>
    <row r="47" spans="1:7" ht="17" thickBot="1">
      <c r="A47" s="36" t="s">
        <v>155</v>
      </c>
      <c r="B47" s="80"/>
      <c r="C47" s="37"/>
      <c r="D47" s="37"/>
      <c r="E47" s="38"/>
      <c r="F47" s="39">
        <f>F29+F32</f>
        <v>2340000</v>
      </c>
      <c r="G47" s="6" t="s">
        <v>117</v>
      </c>
    </row>
    <row r="48" spans="1:7">
      <c r="A48" s="3" t="s">
        <v>118</v>
      </c>
      <c r="B48" s="79"/>
      <c r="C48" s="31"/>
      <c r="D48" s="23"/>
      <c r="E48" s="7"/>
      <c r="F48" s="5">
        <f>F47*1.19-F47</f>
        <v>444600</v>
      </c>
      <c r="G48" s="6"/>
    </row>
    <row r="49" spans="1:7">
      <c r="A49" s="81" t="s">
        <v>161</v>
      </c>
      <c r="B49" s="82"/>
      <c r="C49" s="83"/>
      <c r="D49" s="83"/>
      <c r="E49" s="84"/>
      <c r="F49" s="85">
        <f>F47+F48</f>
        <v>2784600</v>
      </c>
      <c r="G49" s="6"/>
    </row>
    <row r="50" spans="1:7">
      <c r="A50" s="3"/>
      <c r="B50" s="79"/>
      <c r="C50" s="31"/>
      <c r="D50" s="23"/>
      <c r="E50" s="7"/>
      <c r="F50" s="4"/>
      <c r="G50" s="6"/>
    </row>
    <row r="51" spans="1:7">
      <c r="A51" s="3"/>
      <c r="B51" s="79"/>
      <c r="C51" s="31"/>
      <c r="D51" s="23"/>
      <c r="E51" s="7"/>
      <c r="F51" s="4"/>
      <c r="G51" s="6"/>
    </row>
    <row r="52" spans="1:7" ht="17">
      <c r="A52" s="133" t="s">
        <v>123</v>
      </c>
      <c r="B52"/>
      <c r="E52" s="75"/>
      <c r="F52" s="75"/>
      <c r="G52" s="75"/>
    </row>
    <row r="53" spans="1:7">
      <c r="A53" s="135" t="s">
        <v>175</v>
      </c>
      <c r="B53"/>
    </row>
    <row r="54" spans="1:7">
      <c r="A54" s="135" t="s">
        <v>176</v>
      </c>
      <c r="B54"/>
    </row>
    <row r="56" spans="1:7">
      <c r="A56" s="133" t="s">
        <v>187</v>
      </c>
      <c r="B56"/>
    </row>
    <row r="57" spans="1:7">
      <c r="A57" s="134" t="s">
        <v>188</v>
      </c>
      <c r="B57"/>
    </row>
    <row r="58" spans="1:7">
      <c r="A58" s="135" t="s">
        <v>171</v>
      </c>
      <c r="B58"/>
    </row>
    <row r="59" spans="1:7">
      <c r="A59" s="135" t="s">
        <v>172</v>
      </c>
      <c r="B59"/>
    </row>
    <row r="60" spans="1:7">
      <c r="A60" s="133" t="s">
        <v>170</v>
      </c>
      <c r="B60"/>
    </row>
    <row r="61" spans="1:7">
      <c r="A61" s="135" t="s">
        <v>189</v>
      </c>
      <c r="B61"/>
    </row>
    <row r="62" spans="1:7">
      <c r="A62" s="133" t="s">
        <v>173</v>
      </c>
      <c r="B62"/>
    </row>
    <row r="63" spans="1:7">
      <c r="A63" s="135" t="s">
        <v>190</v>
      </c>
      <c r="B63"/>
    </row>
    <row r="64" spans="1:7">
      <c r="A64" s="135" t="s">
        <v>191</v>
      </c>
      <c r="B64"/>
    </row>
    <row r="65" spans="1:6">
      <c r="A65" s="135" t="s">
        <v>192</v>
      </c>
      <c r="B65"/>
    </row>
    <row r="66" spans="1:6">
      <c r="A66" s="135" t="s">
        <v>193</v>
      </c>
      <c r="B66"/>
    </row>
    <row r="67" spans="1:6">
      <c r="A67" s="134"/>
      <c r="B67"/>
    </row>
    <row r="68" spans="1:6">
      <c r="A68" s="134" t="s">
        <v>194</v>
      </c>
      <c r="B68" s="134"/>
      <c r="C68" s="134"/>
      <c r="D68" s="134"/>
      <c r="E68" s="134"/>
      <c r="F68" s="134"/>
    </row>
    <row r="69" spans="1:6">
      <c r="A69" s="150"/>
      <c r="B69"/>
    </row>
    <row r="70" spans="1:6">
      <c r="A70" s="151" t="s">
        <v>195</v>
      </c>
      <c r="B70"/>
    </row>
    <row r="71" spans="1:6" ht="16" customHeight="1">
      <c r="A71" s="154" t="s">
        <v>196</v>
      </c>
      <c r="B71" s="154"/>
      <c r="C71" s="154"/>
      <c r="D71" s="154"/>
      <c r="E71" s="154"/>
      <c r="F71" s="154"/>
    </row>
    <row r="72" spans="1:6">
      <c r="A72" s="134"/>
      <c r="B72"/>
    </row>
    <row r="73" spans="1:6">
      <c r="A73" s="133" t="s">
        <v>174</v>
      </c>
      <c r="B73"/>
    </row>
    <row r="74" spans="1:6">
      <c r="A74" s="134"/>
      <c r="B74"/>
    </row>
    <row r="75" spans="1:6">
      <c r="A75" s="134" t="s">
        <v>124</v>
      </c>
      <c r="B75" s="134" t="s">
        <v>125</v>
      </c>
    </row>
    <row r="76" spans="1:6">
      <c r="A76" s="134" t="s">
        <v>126</v>
      </c>
      <c r="B76"/>
      <c r="D76" s="134" t="s">
        <v>127</v>
      </c>
    </row>
    <row r="77" spans="1:6">
      <c r="A77" s="134" t="s">
        <v>128</v>
      </c>
      <c r="B77" s="134" t="s">
        <v>197</v>
      </c>
    </row>
    <row r="78" spans="1:6">
      <c r="A78" s="134" t="s">
        <v>129</v>
      </c>
      <c r="B78"/>
      <c r="D78" s="134" t="s">
        <v>130</v>
      </c>
    </row>
    <row r="79" spans="1:6">
      <c r="A79" s="134" t="s">
        <v>131</v>
      </c>
      <c r="B79"/>
      <c r="D79" s="134" t="s">
        <v>132</v>
      </c>
    </row>
    <row r="80" spans="1:6">
      <c r="A80" s="134" t="s">
        <v>133</v>
      </c>
      <c r="B80"/>
      <c r="C80" s="134" t="s">
        <v>134</v>
      </c>
    </row>
    <row r="81" spans="1:4">
      <c r="A81" s="134" t="s">
        <v>4</v>
      </c>
      <c r="B81"/>
      <c r="D81" s="134">
        <v>29539311</v>
      </c>
    </row>
    <row r="82" spans="1:4">
      <c r="A82" s="152" t="s">
        <v>198</v>
      </c>
      <c r="B82"/>
    </row>
  </sheetData>
  <mergeCells count="1">
    <mergeCell ref="A71:F71"/>
  </mergeCells>
  <phoneticPr fontId="7" type="noConversion"/>
  <hyperlinks>
    <hyperlink ref="A82" r:id="rId1" display="mailto:sf@sflodge.cl" xr:uid="{F2E06317-FA26-FE40-932C-91E8DCBE551E}"/>
    <hyperlink ref="B4" r:id="rId2" xr:uid="{89810E43-364E-B64E-8E2A-FDA898E750DF}"/>
  </hyperlinks>
  <pageMargins left="0.75000000000000011" right="0.75000000000000011" top="1" bottom="1" header="0.5" footer="0.5"/>
  <pageSetup paperSize="5" orientation="portrait" horizontalDpi="4294967292" verticalDpi="4294967292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/>
  <cols>
    <col min="1" max="2" width="11" style="70"/>
    <col min="6" max="8" width="11" style="70"/>
    <col min="9" max="9" width="31" customWidth="1"/>
  </cols>
  <sheetData>
    <row r="1" spans="1:14">
      <c r="A1" s="173"/>
      <c r="B1" s="173"/>
      <c r="C1" s="173"/>
      <c r="D1" s="24"/>
      <c r="E1" s="24" t="s">
        <v>86</v>
      </c>
      <c r="F1" s="40"/>
      <c r="G1" s="40"/>
      <c r="H1" s="40"/>
      <c r="I1" s="24"/>
      <c r="J1" s="22"/>
      <c r="K1" s="22"/>
      <c r="L1" s="22"/>
      <c r="M1" s="22"/>
      <c r="N1" s="22"/>
    </row>
    <row r="2" spans="1:14">
      <c r="A2" s="173"/>
      <c r="B2" s="173"/>
      <c r="C2" s="173"/>
      <c r="D2" s="24"/>
      <c r="E2" s="24"/>
      <c r="F2" s="40"/>
      <c r="G2" s="40"/>
      <c r="H2" s="40"/>
      <c r="I2" s="24"/>
      <c r="J2" s="22"/>
      <c r="K2" s="22"/>
      <c r="L2" s="22"/>
      <c r="M2" s="22"/>
      <c r="N2" s="22"/>
    </row>
    <row r="3" spans="1:14">
      <c r="A3" s="173"/>
      <c r="B3" s="173"/>
      <c r="C3" s="173"/>
      <c r="D3" s="24"/>
      <c r="E3" s="24" t="s">
        <v>111</v>
      </c>
      <c r="F3" s="40"/>
      <c r="G3" s="40"/>
      <c r="H3" s="40"/>
      <c r="I3" s="24"/>
      <c r="J3" s="22"/>
      <c r="K3" s="22"/>
      <c r="L3" s="22"/>
      <c r="M3" s="22"/>
      <c r="N3" s="22"/>
    </row>
    <row r="4" spans="1:14">
      <c r="A4" s="173"/>
      <c r="B4" s="173"/>
      <c r="C4" s="173"/>
      <c r="D4" s="41"/>
      <c r="E4" s="41" t="s">
        <v>112</v>
      </c>
      <c r="F4" s="42"/>
      <c r="G4" s="42"/>
      <c r="H4" s="42"/>
      <c r="I4" s="41"/>
      <c r="J4" s="22"/>
      <c r="K4" s="22"/>
      <c r="L4" s="22"/>
      <c r="M4" s="22"/>
      <c r="N4" s="22"/>
    </row>
    <row r="5" spans="1:14">
      <c r="A5" s="35"/>
      <c r="B5" s="35"/>
      <c r="C5" s="35"/>
      <c r="D5" s="41"/>
      <c r="E5" s="41"/>
      <c r="F5" s="42"/>
      <c r="G5" s="42"/>
      <c r="H5" s="42"/>
      <c r="I5" s="41"/>
      <c r="J5" s="22"/>
      <c r="K5" s="22"/>
      <c r="L5" s="22"/>
      <c r="M5" s="22"/>
      <c r="N5" s="22"/>
    </row>
    <row r="6" spans="1:14">
      <c r="A6" s="28" t="s">
        <v>87</v>
      </c>
      <c r="B6" s="29" t="s">
        <v>88</v>
      </c>
      <c r="C6" s="174" t="s">
        <v>105</v>
      </c>
      <c r="D6" s="168"/>
      <c r="E6" s="169"/>
      <c r="F6" s="29" t="s">
        <v>89</v>
      </c>
      <c r="G6" s="29" t="s">
        <v>90</v>
      </c>
      <c r="H6" s="29" t="s">
        <v>91</v>
      </c>
      <c r="I6" s="29" t="s">
        <v>92</v>
      </c>
      <c r="J6" s="22"/>
      <c r="K6" s="22"/>
      <c r="L6" s="22"/>
      <c r="M6" s="22"/>
      <c r="N6" s="22"/>
    </row>
    <row r="7" spans="1:14">
      <c r="A7" s="50">
        <v>0.375</v>
      </c>
      <c r="B7" s="51">
        <v>0.45833333333333331</v>
      </c>
      <c r="C7" s="155" t="s">
        <v>106</v>
      </c>
      <c r="D7" s="156"/>
      <c r="E7" s="157"/>
      <c r="F7" s="52"/>
      <c r="G7" s="52"/>
      <c r="H7" s="52"/>
      <c r="I7" s="53" t="s">
        <v>107</v>
      </c>
      <c r="J7" s="22"/>
      <c r="K7" s="22"/>
      <c r="L7" s="22"/>
      <c r="M7" s="22"/>
      <c r="N7" s="22"/>
    </row>
    <row r="8" spans="1:14">
      <c r="A8" s="50">
        <v>0.46875</v>
      </c>
      <c r="B8" s="51">
        <v>0.5625</v>
      </c>
      <c r="C8" s="155" t="s">
        <v>106</v>
      </c>
      <c r="D8" s="156"/>
      <c r="E8" s="157"/>
      <c r="F8" s="52"/>
      <c r="G8" s="52"/>
      <c r="H8" s="52"/>
      <c r="I8" s="53" t="s">
        <v>107</v>
      </c>
      <c r="J8" s="22"/>
      <c r="K8" s="22"/>
      <c r="L8" s="22"/>
      <c r="M8" s="22"/>
      <c r="N8" s="22"/>
    </row>
    <row r="9" spans="1:14" ht="17">
      <c r="A9" s="45">
        <v>0.5625</v>
      </c>
      <c r="B9" s="46">
        <v>0.60416666666666663</v>
      </c>
      <c r="C9" s="158" t="s">
        <v>95</v>
      </c>
      <c r="D9" s="159"/>
      <c r="E9" s="160"/>
      <c r="F9" s="47"/>
      <c r="G9" s="47">
        <v>60</v>
      </c>
      <c r="H9" s="48" t="s">
        <v>94</v>
      </c>
      <c r="I9" s="49"/>
      <c r="J9" s="22"/>
      <c r="K9" s="22"/>
      <c r="L9" s="22"/>
      <c r="M9" s="22"/>
      <c r="N9" s="22"/>
    </row>
    <row r="10" spans="1:14">
      <c r="A10" s="50">
        <v>0.625</v>
      </c>
      <c r="B10" s="51">
        <v>0.70833333333333337</v>
      </c>
      <c r="C10" s="155" t="s">
        <v>106</v>
      </c>
      <c r="D10" s="156"/>
      <c r="E10" s="157"/>
      <c r="F10" s="52"/>
      <c r="G10" s="52"/>
      <c r="H10" s="52"/>
      <c r="I10" s="53" t="s">
        <v>107</v>
      </c>
      <c r="J10" s="22"/>
      <c r="K10" s="22"/>
      <c r="L10" s="22"/>
      <c r="M10" s="22"/>
      <c r="N10" s="22"/>
    </row>
    <row r="11" spans="1:14">
      <c r="A11" s="50">
        <v>0.71875</v>
      </c>
      <c r="B11" s="51">
        <v>0.75</v>
      </c>
      <c r="C11" s="155" t="s">
        <v>106</v>
      </c>
      <c r="D11" s="156"/>
      <c r="E11" s="157"/>
      <c r="F11" s="52"/>
      <c r="G11" s="52"/>
      <c r="H11" s="52"/>
      <c r="I11" s="53" t="s">
        <v>107</v>
      </c>
      <c r="J11" s="22"/>
      <c r="K11" s="22"/>
      <c r="L11" s="22"/>
      <c r="M11" s="22"/>
      <c r="N11" s="22"/>
    </row>
    <row r="12" spans="1:14">
      <c r="A12" s="25">
        <v>0.75</v>
      </c>
      <c r="B12" s="26">
        <v>0.79166666666666663</v>
      </c>
      <c r="C12" s="161" t="s">
        <v>96</v>
      </c>
      <c r="D12" s="162"/>
      <c r="E12" s="163"/>
      <c r="F12" s="44"/>
      <c r="G12" s="44"/>
      <c r="H12" s="43"/>
      <c r="I12" s="27" t="s">
        <v>103</v>
      </c>
      <c r="J12" s="22"/>
      <c r="K12" s="22"/>
      <c r="L12" s="22"/>
      <c r="M12" s="22"/>
      <c r="N12" s="22"/>
    </row>
    <row r="13" spans="1:14" ht="15" customHeight="1">
      <c r="A13" s="56">
        <v>0.83333333333333337</v>
      </c>
      <c r="B13" s="57">
        <v>0.875</v>
      </c>
      <c r="C13" s="164" t="s">
        <v>104</v>
      </c>
      <c r="D13" s="165"/>
      <c r="E13" s="166"/>
      <c r="F13" s="58"/>
      <c r="G13" s="58">
        <v>60</v>
      </c>
      <c r="H13" s="48" t="s">
        <v>94</v>
      </c>
      <c r="I13" s="59"/>
      <c r="J13" s="22"/>
      <c r="K13" s="22"/>
      <c r="L13" s="22"/>
      <c r="M13" s="22"/>
      <c r="N13" s="22"/>
    </row>
    <row r="14" spans="1:14">
      <c r="A14" s="62"/>
      <c r="B14" s="63"/>
      <c r="C14" s="63"/>
      <c r="D14" s="63"/>
      <c r="E14" s="63"/>
      <c r="F14" s="63"/>
      <c r="G14" s="63"/>
      <c r="H14" s="63"/>
      <c r="I14" s="64"/>
      <c r="J14" s="22"/>
      <c r="K14" s="22"/>
      <c r="L14" s="22"/>
      <c r="M14" s="22"/>
      <c r="N14" s="22"/>
    </row>
    <row r="15" spans="1:14">
      <c r="A15" s="28" t="s">
        <v>87</v>
      </c>
      <c r="B15" s="29" t="s">
        <v>88</v>
      </c>
      <c r="C15" s="167" t="s">
        <v>108</v>
      </c>
      <c r="D15" s="168"/>
      <c r="E15" s="169"/>
      <c r="F15" s="29" t="s">
        <v>89</v>
      </c>
      <c r="G15" s="29" t="s">
        <v>90</v>
      </c>
      <c r="H15" s="29" t="s">
        <v>91</v>
      </c>
      <c r="I15" s="29" t="s">
        <v>92</v>
      </c>
      <c r="J15" s="22"/>
      <c r="K15" s="22"/>
      <c r="L15" s="22"/>
      <c r="M15" s="22"/>
      <c r="N15" s="22"/>
    </row>
    <row r="16" spans="1:14">
      <c r="A16" s="45">
        <v>0.33333333333333331</v>
      </c>
      <c r="B16" s="46">
        <v>0.375</v>
      </c>
      <c r="C16" s="170" t="s">
        <v>93</v>
      </c>
      <c r="D16" s="171"/>
      <c r="E16" s="172"/>
      <c r="F16" s="60"/>
      <c r="G16" s="60">
        <v>60</v>
      </c>
      <c r="H16" s="60"/>
      <c r="I16" s="61"/>
      <c r="J16" s="22"/>
      <c r="K16" s="22"/>
      <c r="L16" s="22"/>
      <c r="M16" s="22"/>
      <c r="N16" s="22"/>
    </row>
    <row r="17" spans="1:14">
      <c r="A17" s="50">
        <v>0.375</v>
      </c>
      <c r="B17" s="51">
        <v>0.45833333333333331</v>
      </c>
      <c r="C17" s="155" t="s">
        <v>106</v>
      </c>
      <c r="D17" s="156"/>
      <c r="E17" s="157"/>
      <c r="F17" s="52"/>
      <c r="G17" s="52"/>
      <c r="H17" s="52"/>
      <c r="I17" s="53" t="s">
        <v>107</v>
      </c>
      <c r="J17" s="22"/>
      <c r="K17" s="22"/>
      <c r="L17" s="22"/>
      <c r="M17" s="22"/>
      <c r="N17" s="22"/>
    </row>
    <row r="18" spans="1:14">
      <c r="A18" s="50">
        <v>0.46875</v>
      </c>
      <c r="B18" s="51">
        <v>0.5625</v>
      </c>
      <c r="C18" s="155" t="s">
        <v>106</v>
      </c>
      <c r="D18" s="156"/>
      <c r="E18" s="157"/>
      <c r="F18" s="52"/>
      <c r="G18" s="52"/>
      <c r="H18" s="52"/>
      <c r="I18" s="53" t="s">
        <v>107</v>
      </c>
      <c r="J18" s="22"/>
      <c r="K18" s="22"/>
      <c r="L18" s="22"/>
      <c r="M18" s="22"/>
      <c r="N18" s="22"/>
    </row>
    <row r="19" spans="1:14" ht="17">
      <c r="A19" s="45">
        <v>0.5625</v>
      </c>
      <c r="B19" s="46">
        <v>0.60416666666666663</v>
      </c>
      <c r="C19" s="158" t="s">
        <v>95</v>
      </c>
      <c r="D19" s="159"/>
      <c r="E19" s="160"/>
      <c r="F19" s="47"/>
      <c r="G19" s="47">
        <v>60</v>
      </c>
      <c r="H19" s="48" t="s">
        <v>94</v>
      </c>
      <c r="I19" s="49"/>
      <c r="J19" s="22"/>
      <c r="K19" s="22"/>
      <c r="L19" s="22"/>
      <c r="M19" s="22"/>
      <c r="N19" s="22"/>
    </row>
    <row r="20" spans="1:14">
      <c r="A20" s="50">
        <v>0.625</v>
      </c>
      <c r="B20" s="51">
        <v>0.70833333333333337</v>
      </c>
      <c r="C20" s="155" t="s">
        <v>106</v>
      </c>
      <c r="D20" s="156"/>
      <c r="E20" s="157"/>
      <c r="F20" s="52"/>
      <c r="G20" s="52"/>
      <c r="H20" s="52"/>
      <c r="I20" s="53" t="s">
        <v>107</v>
      </c>
      <c r="J20" s="22"/>
      <c r="K20" s="22"/>
      <c r="L20" s="22"/>
      <c r="M20" s="22"/>
      <c r="N20" s="22"/>
    </row>
    <row r="21" spans="1:14">
      <c r="A21" s="50">
        <v>0.71875</v>
      </c>
      <c r="B21" s="51">
        <v>0.75</v>
      </c>
      <c r="C21" s="155" t="s">
        <v>106</v>
      </c>
      <c r="D21" s="156"/>
      <c r="E21" s="157"/>
      <c r="F21" s="52"/>
      <c r="G21" s="52"/>
      <c r="H21" s="52"/>
      <c r="I21" s="53" t="s">
        <v>107</v>
      </c>
      <c r="J21" s="22"/>
      <c r="K21" s="22"/>
      <c r="L21" s="22"/>
      <c r="M21" s="22"/>
      <c r="N21" s="22"/>
    </row>
    <row r="22" spans="1:14">
      <c r="A22" s="25">
        <v>0.75</v>
      </c>
      <c r="B22" s="26">
        <v>0.79166666666666663</v>
      </c>
      <c r="C22" s="161" t="s">
        <v>96</v>
      </c>
      <c r="D22" s="162"/>
      <c r="E22" s="163"/>
      <c r="F22" s="44"/>
      <c r="G22" s="44"/>
      <c r="H22" s="43"/>
      <c r="I22" s="27" t="s">
        <v>103</v>
      </c>
      <c r="J22" s="22"/>
      <c r="K22" s="22"/>
      <c r="L22" s="22"/>
      <c r="M22" s="22"/>
      <c r="N22" s="22"/>
    </row>
    <row r="23" spans="1:14" ht="15" customHeight="1">
      <c r="A23" s="56">
        <v>0.83333333333333337</v>
      </c>
      <c r="B23" s="57">
        <v>0.875</v>
      </c>
      <c r="C23" s="164" t="s">
        <v>104</v>
      </c>
      <c r="D23" s="165"/>
      <c r="E23" s="166"/>
      <c r="F23" s="58"/>
      <c r="G23" s="58">
        <v>60</v>
      </c>
      <c r="H23" s="48" t="s">
        <v>94</v>
      </c>
      <c r="I23" s="59"/>
      <c r="J23" s="22"/>
      <c r="K23" s="22"/>
      <c r="L23" s="22"/>
      <c r="M23" s="22"/>
      <c r="N23" s="22"/>
    </row>
    <row r="24" spans="1:14" s="55" customFormat="1" ht="15" customHeight="1">
      <c r="A24" s="65"/>
      <c r="B24" s="65"/>
      <c r="C24" s="66"/>
      <c r="D24" s="66"/>
      <c r="E24" s="66"/>
      <c r="F24" s="67"/>
      <c r="G24" s="67"/>
      <c r="H24" s="68"/>
      <c r="I24" s="69"/>
      <c r="J24" s="54"/>
      <c r="K24" s="54"/>
      <c r="L24" s="54"/>
      <c r="M24" s="54"/>
      <c r="N24" s="54"/>
    </row>
    <row r="25" spans="1:14">
      <c r="A25" s="28" t="s">
        <v>87</v>
      </c>
      <c r="B25" s="29" t="s">
        <v>88</v>
      </c>
      <c r="C25" s="167" t="s">
        <v>109</v>
      </c>
      <c r="D25" s="168"/>
      <c r="E25" s="169"/>
      <c r="F25" s="29" t="s">
        <v>89</v>
      </c>
      <c r="G25" s="29" t="s">
        <v>90</v>
      </c>
      <c r="H25" s="29" t="s">
        <v>91</v>
      </c>
      <c r="I25" s="29" t="s">
        <v>92</v>
      </c>
      <c r="J25" s="22"/>
      <c r="K25" s="22"/>
      <c r="L25" s="22"/>
      <c r="M25" s="22"/>
      <c r="N25" s="22"/>
    </row>
    <row r="26" spans="1:14">
      <c r="A26" s="45">
        <v>0.33333333333333331</v>
      </c>
      <c r="B26" s="46">
        <v>0.375</v>
      </c>
      <c r="C26" s="170" t="s">
        <v>93</v>
      </c>
      <c r="D26" s="171"/>
      <c r="E26" s="172"/>
      <c r="F26" s="60"/>
      <c r="G26" s="60">
        <v>60</v>
      </c>
      <c r="H26" s="60"/>
      <c r="I26" s="61"/>
      <c r="J26" s="22"/>
      <c r="K26" s="22"/>
      <c r="L26" s="22"/>
      <c r="M26" s="22"/>
      <c r="N26" s="22"/>
    </row>
    <row r="27" spans="1:14">
      <c r="A27" s="50">
        <v>0.375</v>
      </c>
      <c r="B27" s="51">
        <v>0.45833333333333331</v>
      </c>
      <c r="C27" s="155" t="s">
        <v>106</v>
      </c>
      <c r="D27" s="156"/>
      <c r="E27" s="157"/>
      <c r="F27" s="52"/>
      <c r="G27" s="52"/>
      <c r="H27" s="52"/>
      <c r="I27" s="53" t="s">
        <v>107</v>
      </c>
      <c r="J27" s="22"/>
      <c r="K27" s="22"/>
      <c r="L27" s="22"/>
      <c r="M27" s="22"/>
      <c r="N27" s="22"/>
    </row>
    <row r="28" spans="1:14">
      <c r="A28" s="50">
        <v>0.46875</v>
      </c>
      <c r="B28" s="51">
        <v>0.5625</v>
      </c>
      <c r="C28" s="155" t="s">
        <v>106</v>
      </c>
      <c r="D28" s="156"/>
      <c r="E28" s="157"/>
      <c r="F28" s="52"/>
      <c r="G28" s="52"/>
      <c r="H28" s="52"/>
      <c r="I28" s="53" t="s">
        <v>107</v>
      </c>
      <c r="J28" s="22"/>
      <c r="K28" s="22"/>
      <c r="L28" s="22"/>
      <c r="M28" s="22"/>
      <c r="N28" s="22"/>
    </row>
    <row r="29" spans="1:14" ht="17">
      <c r="A29" s="45">
        <v>0.5625</v>
      </c>
      <c r="B29" s="46">
        <v>0.60416666666666663</v>
      </c>
      <c r="C29" s="158" t="s">
        <v>95</v>
      </c>
      <c r="D29" s="159"/>
      <c r="E29" s="160"/>
      <c r="F29" s="47"/>
      <c r="G29" s="47">
        <v>60</v>
      </c>
      <c r="H29" s="48" t="s">
        <v>94</v>
      </c>
      <c r="I29" s="49"/>
      <c r="J29" s="22"/>
      <c r="K29" s="22"/>
      <c r="L29" s="22"/>
      <c r="M29" s="22"/>
      <c r="N29" s="22"/>
    </row>
    <row r="30" spans="1:14">
      <c r="A30" s="50">
        <v>0.625</v>
      </c>
      <c r="B30" s="51">
        <v>0.70833333333333337</v>
      </c>
      <c r="C30" s="155" t="s">
        <v>106</v>
      </c>
      <c r="D30" s="156"/>
      <c r="E30" s="157"/>
      <c r="F30" s="52"/>
      <c r="G30" s="52"/>
      <c r="H30" s="52"/>
      <c r="I30" s="53" t="s">
        <v>107</v>
      </c>
      <c r="J30" s="22"/>
      <c r="K30" s="22"/>
      <c r="L30" s="22"/>
      <c r="M30" s="22"/>
      <c r="N30" s="22"/>
    </row>
    <row r="31" spans="1:14">
      <c r="A31" s="50">
        <v>0.71875</v>
      </c>
      <c r="B31" s="51">
        <v>0.75</v>
      </c>
      <c r="C31" s="155" t="s">
        <v>106</v>
      </c>
      <c r="D31" s="156"/>
      <c r="E31" s="157"/>
      <c r="F31" s="52"/>
      <c r="G31" s="52"/>
      <c r="H31" s="52"/>
      <c r="I31" s="53" t="s">
        <v>107</v>
      </c>
      <c r="J31" s="22"/>
      <c r="K31" s="22"/>
      <c r="L31" s="22"/>
      <c r="M31" s="22"/>
      <c r="N31" s="22"/>
    </row>
    <row r="32" spans="1:14" s="55" customFormat="1" ht="15" customHeight="1">
      <c r="A32" s="176"/>
      <c r="B32" s="176"/>
      <c r="C32" s="176"/>
      <c r="D32" s="176"/>
      <c r="E32" s="176"/>
      <c r="F32" s="176"/>
      <c r="G32" s="176"/>
      <c r="H32" s="176"/>
      <c r="I32" s="176"/>
      <c r="J32" s="54"/>
      <c r="K32" s="54"/>
      <c r="L32" s="54"/>
      <c r="M32" s="54"/>
      <c r="N32" s="54"/>
    </row>
    <row r="33" spans="1:14" s="55" customFormat="1" ht="15" customHeight="1">
      <c r="A33" s="177" t="s">
        <v>110</v>
      </c>
      <c r="B33" s="177"/>
      <c r="C33" s="177"/>
      <c r="D33" s="177"/>
      <c r="E33" s="177"/>
      <c r="F33" s="177"/>
      <c r="G33" s="177"/>
      <c r="H33" s="177"/>
      <c r="I33" s="177"/>
      <c r="J33" s="54"/>
      <c r="K33" s="54"/>
      <c r="L33" s="54"/>
      <c r="M33" s="54"/>
      <c r="N33" s="54"/>
    </row>
    <row r="34" spans="1:14" s="55" customFormat="1" ht="15" customHeight="1">
      <c r="A34" s="176"/>
      <c r="B34" s="176"/>
      <c r="C34" s="176"/>
      <c r="D34" s="176"/>
      <c r="E34" s="176"/>
      <c r="F34" s="176"/>
      <c r="G34" s="176"/>
      <c r="H34" s="176"/>
      <c r="I34" s="176"/>
      <c r="J34" s="54"/>
      <c r="K34" s="54"/>
      <c r="L34" s="54"/>
      <c r="M34" s="54"/>
      <c r="N34" s="54"/>
    </row>
    <row r="35" spans="1:14" s="55" customFormat="1" ht="15" customHeight="1">
      <c r="A35" s="176"/>
      <c r="B35" s="176"/>
      <c r="C35" s="176"/>
      <c r="D35" s="176"/>
      <c r="E35" s="176"/>
      <c r="F35" s="176"/>
      <c r="G35" s="176"/>
      <c r="H35" s="176"/>
      <c r="I35" s="176"/>
      <c r="J35" s="54"/>
      <c r="K35" s="54"/>
      <c r="L35" s="54"/>
      <c r="M35" s="54"/>
      <c r="N35" s="54"/>
    </row>
    <row r="36" spans="1:14" s="55" customFormat="1" ht="15" customHeight="1">
      <c r="A36" s="176"/>
      <c r="B36" s="176"/>
      <c r="C36" s="176"/>
      <c r="D36" s="176"/>
      <c r="E36" s="176"/>
      <c r="F36" s="176"/>
      <c r="G36" s="176"/>
      <c r="H36" s="176"/>
      <c r="I36" s="176"/>
      <c r="J36" s="54"/>
      <c r="K36" s="54"/>
      <c r="L36" s="54"/>
      <c r="M36" s="54"/>
      <c r="N36" s="54"/>
    </row>
    <row r="37" spans="1:14" s="55" customFormat="1" ht="15" customHeight="1">
      <c r="A37" s="176"/>
      <c r="B37" s="176"/>
      <c r="C37" s="176"/>
      <c r="D37" s="176"/>
      <c r="E37" s="176"/>
      <c r="F37" s="176"/>
      <c r="G37" s="176"/>
      <c r="H37" s="176"/>
      <c r="I37" s="176"/>
      <c r="J37" s="54"/>
      <c r="K37" s="54"/>
      <c r="L37" s="54"/>
      <c r="M37" s="54"/>
      <c r="N37" s="54"/>
    </row>
    <row r="38" spans="1:14" s="55" customFormat="1" ht="15" customHeight="1">
      <c r="A38" s="176"/>
      <c r="B38" s="176"/>
      <c r="C38" s="176"/>
      <c r="D38" s="176"/>
      <c r="E38" s="176"/>
      <c r="F38" s="176"/>
      <c r="G38" s="176"/>
      <c r="H38" s="176"/>
      <c r="I38" s="176"/>
      <c r="J38" s="54"/>
      <c r="K38" s="54"/>
      <c r="L38" s="54"/>
      <c r="M38" s="54"/>
      <c r="N38" s="54"/>
    </row>
    <row r="39" spans="1:14" s="55" customFormat="1" ht="15" customHeight="1">
      <c r="A39" s="176"/>
      <c r="B39" s="176"/>
      <c r="C39" s="176"/>
      <c r="D39" s="176"/>
      <c r="E39" s="176"/>
      <c r="F39" s="176"/>
      <c r="G39" s="176"/>
      <c r="H39" s="176"/>
      <c r="I39" s="176"/>
      <c r="J39" s="54"/>
      <c r="K39" s="54"/>
      <c r="L39" s="54"/>
      <c r="M39" s="54"/>
      <c r="N39" s="54"/>
    </row>
    <row r="40" spans="1:14" s="55" customFormat="1" ht="15" customHeight="1">
      <c r="A40" s="65"/>
      <c r="B40" s="65"/>
      <c r="C40" s="66"/>
      <c r="D40" s="66"/>
      <c r="E40" s="66"/>
      <c r="F40" s="67"/>
      <c r="G40" s="67"/>
      <c r="H40" s="68"/>
      <c r="I40" s="69"/>
      <c r="J40" s="54"/>
      <c r="K40" s="54"/>
      <c r="L40" s="54"/>
      <c r="M40" s="54"/>
      <c r="N40" s="54"/>
    </row>
    <row r="41" spans="1:14" s="55" customFormat="1" ht="15" customHeight="1">
      <c r="A41" s="65"/>
      <c r="B41" s="65"/>
      <c r="C41" s="66"/>
      <c r="D41" s="66"/>
      <c r="E41" s="66"/>
      <c r="F41" s="67"/>
      <c r="G41" s="67"/>
      <c r="H41" s="68"/>
      <c r="I41" s="69"/>
      <c r="J41" s="54"/>
      <c r="K41" s="54"/>
      <c r="L41" s="54"/>
      <c r="M41" s="54"/>
      <c r="N41" s="54"/>
    </row>
    <row r="42" spans="1:14" s="55" customFormat="1" ht="15" customHeight="1">
      <c r="A42" s="65"/>
      <c r="B42" s="65"/>
      <c r="C42" s="66"/>
      <c r="D42" s="66"/>
      <c r="E42" s="66"/>
      <c r="F42" s="67"/>
      <c r="G42" s="67"/>
      <c r="H42" s="68"/>
      <c r="I42" s="69"/>
      <c r="J42" s="54"/>
      <c r="K42" s="54"/>
      <c r="L42" s="54"/>
      <c r="M42" s="54"/>
      <c r="N42" s="54"/>
    </row>
    <row r="43" spans="1:14">
      <c r="A43" s="35"/>
      <c r="B43" s="35"/>
      <c r="C43" s="22"/>
      <c r="D43" s="35"/>
      <c r="E43" s="22"/>
      <c r="F43" s="35"/>
      <c r="G43" s="35"/>
      <c r="H43" s="35"/>
      <c r="I43" s="22"/>
      <c r="J43" s="22"/>
      <c r="K43" s="22"/>
      <c r="L43" s="22"/>
      <c r="M43" s="22"/>
      <c r="N43" s="22"/>
    </row>
    <row r="44" spans="1:14" ht="24" customHeight="1">
      <c r="A44" s="178" t="s">
        <v>97</v>
      </c>
      <c r="B44" s="178"/>
      <c r="C44" s="178"/>
      <c r="D44" s="178"/>
      <c r="E44" s="178"/>
      <c r="F44" s="178"/>
      <c r="G44" s="178"/>
      <c r="H44" s="35"/>
      <c r="I44" s="30" t="s">
        <v>98</v>
      </c>
      <c r="J44" s="22"/>
      <c r="K44" s="22"/>
      <c r="L44" s="22"/>
      <c r="M44" s="22"/>
      <c r="N44" s="22"/>
    </row>
    <row r="45" spans="1:14">
      <c r="A45" s="173"/>
      <c r="B45" s="173"/>
      <c r="C45" s="173"/>
      <c r="D45" s="173"/>
      <c r="E45" s="173"/>
      <c r="F45" s="173"/>
      <c r="G45" s="173"/>
      <c r="H45" s="35"/>
      <c r="I45" s="22"/>
      <c r="J45" s="22"/>
      <c r="K45" s="22"/>
      <c r="L45" s="22"/>
      <c r="M45" s="22"/>
      <c r="N45" s="22"/>
    </row>
    <row r="46" spans="1:14">
      <c r="A46" s="175" t="s">
        <v>99</v>
      </c>
      <c r="B46" s="175"/>
      <c r="C46" s="175"/>
      <c r="D46" s="175"/>
      <c r="E46" s="175"/>
      <c r="F46" s="175"/>
      <c r="G46" s="175"/>
      <c r="H46" s="35"/>
      <c r="I46" s="22"/>
      <c r="J46" s="22"/>
      <c r="K46" s="22"/>
      <c r="L46" s="22"/>
      <c r="M46" s="22"/>
      <c r="N46" s="22"/>
    </row>
    <row r="47" spans="1:14">
      <c r="A47" s="35"/>
      <c r="B47" s="35"/>
      <c r="C47" s="22"/>
      <c r="D47" s="22"/>
      <c r="E47" s="22"/>
      <c r="F47" s="35"/>
      <c r="G47" s="35"/>
      <c r="H47" s="35"/>
      <c r="I47" s="22"/>
      <c r="J47" s="22"/>
      <c r="K47" s="22"/>
      <c r="L47" s="22"/>
      <c r="M47" s="22"/>
      <c r="N47" s="22"/>
    </row>
    <row r="48" spans="1:14">
      <c r="A48" s="35"/>
      <c r="B48" s="35"/>
      <c r="C48" s="22"/>
      <c r="D48" s="22"/>
      <c r="E48" s="22"/>
      <c r="F48" s="35"/>
      <c r="G48" s="35"/>
      <c r="H48" s="35"/>
      <c r="I48" s="22"/>
      <c r="J48" s="22"/>
      <c r="K48" s="22"/>
      <c r="L48" s="22"/>
      <c r="M48" s="22"/>
      <c r="N48" s="22"/>
    </row>
    <row r="49" spans="1:14">
      <c r="A49" s="35"/>
      <c r="B49" s="35"/>
      <c r="C49" s="22"/>
      <c r="D49" s="22"/>
      <c r="E49" s="22"/>
      <c r="F49" s="35"/>
      <c r="G49" s="35"/>
      <c r="H49" s="35"/>
      <c r="I49" s="22"/>
      <c r="J49" s="22"/>
      <c r="K49" s="22"/>
      <c r="L49" s="22"/>
      <c r="M49" s="22"/>
      <c r="N49" s="22"/>
    </row>
    <row r="50" spans="1:14">
      <c r="A50" s="35"/>
      <c r="B50" s="35"/>
      <c r="C50" s="22"/>
      <c r="D50" s="22"/>
      <c r="E50" s="22"/>
      <c r="F50" s="35"/>
      <c r="G50" s="35"/>
      <c r="H50" s="35"/>
      <c r="I50" s="22"/>
      <c r="J50" s="22"/>
      <c r="K50" s="22"/>
      <c r="L50" s="22"/>
      <c r="M50" s="22"/>
      <c r="N50" s="22"/>
    </row>
    <row r="51" spans="1:14">
      <c r="A51" s="35"/>
      <c r="B51" s="35"/>
      <c r="C51" s="22"/>
      <c r="D51" s="22"/>
      <c r="E51" s="22"/>
      <c r="F51" s="35"/>
      <c r="G51" s="35"/>
      <c r="H51" s="35"/>
      <c r="I51" s="22"/>
      <c r="J51" s="22"/>
      <c r="K51" s="22"/>
      <c r="L51" s="22"/>
      <c r="M51" s="22"/>
      <c r="N51" s="22"/>
    </row>
    <row r="52" spans="1:14">
      <c r="A52" s="35"/>
      <c r="B52" s="35"/>
      <c r="C52" s="22"/>
      <c r="D52" s="22"/>
      <c r="E52" s="22"/>
      <c r="F52" s="35"/>
      <c r="G52" s="35"/>
      <c r="H52" s="35"/>
      <c r="I52" s="22"/>
      <c r="J52" s="22"/>
      <c r="K52" s="22"/>
      <c r="L52" s="22"/>
      <c r="M52" s="22"/>
      <c r="N52" s="22"/>
    </row>
    <row r="53" spans="1:14">
      <c r="A53" s="35"/>
      <c r="B53" s="35"/>
      <c r="C53" s="22"/>
      <c r="D53" s="22"/>
      <c r="E53" s="22"/>
      <c r="F53" s="35"/>
      <c r="G53" s="35"/>
      <c r="H53" s="35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/>
  <sheetData>
    <row r="1" spans="1:26" ht="115" customHeight="1">
      <c r="E1" s="8" t="s">
        <v>8</v>
      </c>
      <c r="L1" s="19" t="s">
        <v>2</v>
      </c>
    </row>
    <row r="2" spans="1:26">
      <c r="A2" t="s">
        <v>9</v>
      </c>
      <c r="J2" t="s">
        <v>10</v>
      </c>
      <c r="P2" t="s">
        <v>2</v>
      </c>
      <c r="U2" t="s">
        <v>11</v>
      </c>
    </row>
    <row r="3" spans="1:26" ht="58">
      <c r="A3" s="9" t="s">
        <v>12</v>
      </c>
      <c r="B3" s="10" t="s">
        <v>13</v>
      </c>
      <c r="C3" s="10" t="s">
        <v>14</v>
      </c>
      <c r="D3" s="10" t="s">
        <v>15</v>
      </c>
      <c r="E3" s="10" t="s">
        <v>16</v>
      </c>
      <c r="F3" s="10" t="s">
        <v>17</v>
      </c>
      <c r="H3" s="11" t="s">
        <v>18</v>
      </c>
      <c r="I3" s="10" t="s">
        <v>13</v>
      </c>
      <c r="J3" s="10" t="s">
        <v>14</v>
      </c>
      <c r="K3" s="10" t="s">
        <v>84</v>
      </c>
      <c r="L3" s="12"/>
      <c r="M3" s="11" t="s">
        <v>19</v>
      </c>
      <c r="N3" s="10" t="s">
        <v>13</v>
      </c>
      <c r="O3" s="10" t="s">
        <v>14</v>
      </c>
      <c r="P3" s="10" t="s">
        <v>15</v>
      </c>
      <c r="R3" s="13" t="s">
        <v>20</v>
      </c>
      <c r="S3" s="14" t="s">
        <v>21</v>
      </c>
      <c r="T3" s="14" t="s">
        <v>22</v>
      </c>
      <c r="U3" s="14" t="s">
        <v>23</v>
      </c>
      <c r="V3" s="14" t="s">
        <v>24</v>
      </c>
      <c r="W3" s="14" t="s">
        <v>25</v>
      </c>
      <c r="X3" s="14" t="s">
        <v>26</v>
      </c>
      <c r="Y3" s="14" t="s">
        <v>27</v>
      </c>
      <c r="Z3" s="15" t="s">
        <v>1</v>
      </c>
    </row>
    <row r="4" spans="1:26">
      <c r="A4" s="9" t="s">
        <v>28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29</v>
      </c>
      <c r="I4" s="9">
        <v>1</v>
      </c>
      <c r="J4" s="9">
        <v>2</v>
      </c>
      <c r="K4" s="20">
        <v>4</v>
      </c>
      <c r="L4" s="16"/>
      <c r="M4" s="9" t="s">
        <v>29</v>
      </c>
      <c r="N4" s="9">
        <v>1</v>
      </c>
      <c r="O4" s="9">
        <v>2</v>
      </c>
      <c r="P4" s="20">
        <v>3</v>
      </c>
      <c r="R4" s="9">
        <v>41</v>
      </c>
      <c r="S4" s="9" t="s">
        <v>30</v>
      </c>
      <c r="T4" s="9" t="s">
        <v>30</v>
      </c>
      <c r="U4" s="9" t="s">
        <v>31</v>
      </c>
      <c r="V4" s="9" t="s">
        <v>31</v>
      </c>
      <c r="W4" s="9">
        <v>2</v>
      </c>
      <c r="X4" s="9">
        <v>1</v>
      </c>
      <c r="Y4" s="9">
        <v>1</v>
      </c>
      <c r="Z4" s="20">
        <v>12</v>
      </c>
    </row>
    <row r="5" spans="1:26">
      <c r="A5" s="9" t="s">
        <v>32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33</v>
      </c>
      <c r="I5" s="9">
        <v>1</v>
      </c>
      <c r="J5" s="9">
        <v>2</v>
      </c>
      <c r="K5" s="20">
        <v>4</v>
      </c>
      <c r="L5" s="16"/>
      <c r="M5" s="9" t="s">
        <v>33</v>
      </c>
      <c r="N5" s="9">
        <v>1</v>
      </c>
      <c r="O5" s="9">
        <v>2</v>
      </c>
      <c r="P5" s="20">
        <v>3</v>
      </c>
      <c r="R5" s="9">
        <v>42</v>
      </c>
      <c r="S5" s="9" t="s">
        <v>30</v>
      </c>
      <c r="T5" s="9" t="s">
        <v>30</v>
      </c>
      <c r="U5" s="9" t="s">
        <v>31</v>
      </c>
      <c r="V5" s="9" t="s">
        <v>31</v>
      </c>
      <c r="W5" s="9">
        <v>2</v>
      </c>
      <c r="X5" s="9">
        <v>1</v>
      </c>
      <c r="Y5" s="9">
        <v>1</v>
      </c>
      <c r="Z5" s="20">
        <v>12</v>
      </c>
    </row>
    <row r="6" spans="1:26">
      <c r="A6" s="9" t="s">
        <v>34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35</v>
      </c>
      <c r="I6" s="9">
        <v>1</v>
      </c>
      <c r="J6" s="9">
        <v>2</v>
      </c>
      <c r="K6" s="20">
        <v>4</v>
      </c>
      <c r="L6" s="16"/>
      <c r="M6" s="9" t="s">
        <v>35</v>
      </c>
      <c r="N6" s="9">
        <v>1</v>
      </c>
      <c r="O6" s="9">
        <v>2</v>
      </c>
      <c r="P6" s="20">
        <v>3</v>
      </c>
      <c r="R6" s="9">
        <v>43</v>
      </c>
      <c r="S6" s="9" t="s">
        <v>30</v>
      </c>
      <c r="T6" s="9" t="s">
        <v>30</v>
      </c>
      <c r="U6" s="9" t="s">
        <v>31</v>
      </c>
      <c r="V6" s="9" t="s">
        <v>31</v>
      </c>
      <c r="W6" s="9">
        <v>2</v>
      </c>
      <c r="X6" s="9">
        <v>1</v>
      </c>
      <c r="Y6" s="9">
        <v>1</v>
      </c>
      <c r="Z6" s="20">
        <v>12</v>
      </c>
    </row>
    <row r="7" spans="1:26">
      <c r="A7" s="9" t="s">
        <v>36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37</v>
      </c>
      <c r="I7" s="9">
        <v>1</v>
      </c>
      <c r="J7" s="9">
        <v>2</v>
      </c>
      <c r="K7" s="20">
        <v>4</v>
      </c>
      <c r="L7" s="16"/>
      <c r="M7" s="9" t="s">
        <v>37</v>
      </c>
      <c r="N7" s="9">
        <v>1</v>
      </c>
      <c r="O7" s="9">
        <v>2</v>
      </c>
      <c r="P7" s="20">
        <v>3</v>
      </c>
      <c r="R7" s="9">
        <v>44</v>
      </c>
      <c r="S7" s="9" t="s">
        <v>30</v>
      </c>
      <c r="T7" s="9" t="s">
        <v>30</v>
      </c>
      <c r="U7" s="9" t="s">
        <v>31</v>
      </c>
      <c r="V7" s="9" t="s">
        <v>38</v>
      </c>
      <c r="W7" s="9">
        <v>2</v>
      </c>
      <c r="X7" s="9">
        <v>1</v>
      </c>
      <c r="Y7" s="9">
        <v>1</v>
      </c>
      <c r="Z7" s="20">
        <v>12</v>
      </c>
    </row>
    <row r="8" spans="1:26">
      <c r="A8" s="9" t="s">
        <v>39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40</v>
      </c>
      <c r="I8" s="9">
        <v>1</v>
      </c>
      <c r="J8" s="9">
        <v>2</v>
      </c>
      <c r="K8" s="20" t="s">
        <v>2</v>
      </c>
      <c r="L8" s="16"/>
      <c r="M8" s="9" t="s">
        <v>40</v>
      </c>
      <c r="N8" s="9">
        <v>1</v>
      </c>
      <c r="O8" s="9">
        <v>2</v>
      </c>
      <c r="P8" s="20">
        <v>3</v>
      </c>
    </row>
    <row r="9" spans="1:26">
      <c r="A9" s="9" t="s">
        <v>41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42</v>
      </c>
      <c r="I9" s="9">
        <v>1</v>
      </c>
      <c r="J9" s="9">
        <v>2</v>
      </c>
      <c r="K9" s="20" t="s">
        <v>2</v>
      </c>
      <c r="L9" s="16"/>
      <c r="M9" s="9" t="s">
        <v>42</v>
      </c>
      <c r="N9" s="9">
        <v>1</v>
      </c>
      <c r="O9" s="9">
        <v>2</v>
      </c>
      <c r="P9" s="20">
        <v>3</v>
      </c>
      <c r="R9" s="9">
        <v>31</v>
      </c>
      <c r="S9" s="9" t="s">
        <v>30</v>
      </c>
      <c r="T9" s="9" t="s">
        <v>43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>
      <c r="A10" s="9" t="s">
        <v>44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45</v>
      </c>
      <c r="I10" s="9">
        <v>1</v>
      </c>
      <c r="J10" s="9">
        <v>2</v>
      </c>
      <c r="K10" s="20" t="s">
        <v>2</v>
      </c>
      <c r="L10" s="16"/>
      <c r="M10" s="9" t="s">
        <v>45</v>
      </c>
      <c r="N10" s="9">
        <v>1</v>
      </c>
      <c r="O10" s="9">
        <v>2</v>
      </c>
      <c r="P10" s="20">
        <v>3</v>
      </c>
      <c r="R10" s="9">
        <v>32</v>
      </c>
      <c r="S10" s="9" t="s">
        <v>30</v>
      </c>
      <c r="T10" s="9" t="s">
        <v>30</v>
      </c>
      <c r="U10" s="9" t="s">
        <v>31</v>
      </c>
      <c r="V10" s="9" t="s">
        <v>38</v>
      </c>
      <c r="W10" s="9">
        <v>1</v>
      </c>
      <c r="X10" s="9">
        <v>1</v>
      </c>
      <c r="Y10" s="9">
        <v>1</v>
      </c>
      <c r="Z10" s="20">
        <v>8</v>
      </c>
    </row>
    <row r="11" spans="1:26">
      <c r="A11" s="9" t="s">
        <v>46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47</v>
      </c>
      <c r="I11" s="9">
        <v>1</v>
      </c>
      <c r="J11" s="9">
        <v>2</v>
      </c>
      <c r="K11" s="20" t="s">
        <v>2</v>
      </c>
      <c r="L11" s="16"/>
      <c r="M11" s="9" t="s">
        <v>47</v>
      </c>
      <c r="N11" s="9">
        <v>1</v>
      </c>
      <c r="O11" s="9">
        <v>2</v>
      </c>
      <c r="P11" s="20">
        <v>3</v>
      </c>
      <c r="R11" s="9">
        <v>33</v>
      </c>
      <c r="S11" s="9" t="s">
        <v>30</v>
      </c>
      <c r="T11" s="9" t="s">
        <v>30</v>
      </c>
      <c r="U11" s="9" t="s">
        <v>31</v>
      </c>
      <c r="V11" s="9" t="s">
        <v>38</v>
      </c>
      <c r="W11" s="9">
        <v>1</v>
      </c>
      <c r="X11" s="9">
        <v>1</v>
      </c>
      <c r="Y11" s="9">
        <v>1</v>
      </c>
      <c r="Z11" s="20">
        <v>8</v>
      </c>
    </row>
    <row r="12" spans="1:26">
      <c r="A12" t="s">
        <v>48</v>
      </c>
      <c r="B12">
        <v>0</v>
      </c>
      <c r="C12">
        <v>2</v>
      </c>
      <c r="D12" t="s">
        <v>2</v>
      </c>
      <c r="H12" s="9" t="s">
        <v>49</v>
      </c>
      <c r="I12" s="9">
        <v>1</v>
      </c>
      <c r="J12" s="9">
        <v>2</v>
      </c>
      <c r="K12" s="20" t="s">
        <v>2</v>
      </c>
      <c r="L12" s="16"/>
      <c r="M12" s="9" t="s">
        <v>49</v>
      </c>
      <c r="N12" s="9">
        <v>1</v>
      </c>
      <c r="O12" s="9">
        <v>2</v>
      </c>
      <c r="P12" s="20">
        <v>3</v>
      </c>
      <c r="R12" s="9">
        <v>34</v>
      </c>
      <c r="S12" s="9" t="s">
        <v>30</v>
      </c>
      <c r="T12" s="9" t="s">
        <v>30</v>
      </c>
      <c r="U12" s="9" t="s">
        <v>31</v>
      </c>
      <c r="V12" s="9" t="s">
        <v>38</v>
      </c>
      <c r="W12" s="9">
        <v>1</v>
      </c>
      <c r="X12" s="9">
        <v>1</v>
      </c>
      <c r="Y12" s="9">
        <v>1</v>
      </c>
      <c r="Z12" s="20">
        <v>8</v>
      </c>
    </row>
    <row r="13" spans="1:26">
      <c r="A13" s="9" t="s">
        <v>50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51</v>
      </c>
      <c r="I13" s="9">
        <v>1</v>
      </c>
      <c r="J13" s="9">
        <v>2</v>
      </c>
      <c r="K13" s="20">
        <v>3</v>
      </c>
      <c r="L13" s="16"/>
      <c r="M13" s="9" t="s">
        <v>51</v>
      </c>
      <c r="N13" s="9">
        <v>1</v>
      </c>
      <c r="O13" s="9">
        <v>2</v>
      </c>
      <c r="P13" s="20">
        <v>3</v>
      </c>
    </row>
    <row r="14" spans="1:26">
      <c r="A14" s="9" t="s">
        <v>52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53</v>
      </c>
      <c r="I14" s="9">
        <v>1</v>
      </c>
      <c r="J14" s="9">
        <v>2</v>
      </c>
      <c r="K14" s="20">
        <v>3</v>
      </c>
      <c r="L14" s="16"/>
      <c r="M14" s="9" t="s">
        <v>53</v>
      </c>
      <c r="N14" s="9">
        <v>1</v>
      </c>
      <c r="O14" s="9">
        <v>2</v>
      </c>
      <c r="P14" s="20">
        <v>3</v>
      </c>
      <c r="R14" s="9">
        <v>21</v>
      </c>
      <c r="S14" s="9" t="s">
        <v>30</v>
      </c>
      <c r="T14" s="9" t="s">
        <v>43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>
      <c r="A15" s="9" t="s">
        <v>54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55</v>
      </c>
      <c r="I15" s="9">
        <v>1</v>
      </c>
      <c r="J15" s="9">
        <v>2</v>
      </c>
      <c r="K15" s="20" t="s">
        <v>2</v>
      </c>
      <c r="L15" s="16"/>
      <c r="M15" s="9" t="s">
        <v>55</v>
      </c>
      <c r="N15" s="9">
        <v>1</v>
      </c>
      <c r="O15" s="9">
        <v>2</v>
      </c>
      <c r="P15" s="20">
        <v>3</v>
      </c>
      <c r="R15" s="9">
        <v>22</v>
      </c>
      <c r="S15" s="9" t="s">
        <v>30</v>
      </c>
      <c r="T15" s="9" t="s">
        <v>30</v>
      </c>
      <c r="U15" s="9" t="s">
        <v>31</v>
      </c>
      <c r="V15" s="9" t="s">
        <v>38</v>
      </c>
      <c r="W15" s="9">
        <v>1</v>
      </c>
      <c r="X15" s="9">
        <v>1</v>
      </c>
      <c r="Y15" s="9">
        <v>1</v>
      </c>
      <c r="Z15" s="20">
        <v>8</v>
      </c>
    </row>
    <row r="16" spans="1:26">
      <c r="A16" s="9" t="s">
        <v>56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57</v>
      </c>
      <c r="I16" s="18" t="s">
        <v>2</v>
      </c>
      <c r="J16" t="s">
        <v>2</v>
      </c>
      <c r="K16" t="s">
        <v>2</v>
      </c>
      <c r="M16" t="s">
        <v>58</v>
      </c>
      <c r="N16" s="18"/>
      <c r="P16" t="s">
        <v>2</v>
      </c>
      <c r="R16" s="9">
        <v>23</v>
      </c>
      <c r="S16" s="9" t="s">
        <v>30</v>
      </c>
      <c r="T16" s="9" t="s">
        <v>30</v>
      </c>
      <c r="U16" s="9" t="s">
        <v>31</v>
      </c>
      <c r="V16" s="9" t="s">
        <v>38</v>
      </c>
      <c r="W16" s="9">
        <v>1</v>
      </c>
      <c r="X16" s="9">
        <v>1</v>
      </c>
      <c r="Y16" s="9">
        <v>1</v>
      </c>
      <c r="Z16" s="20">
        <v>8</v>
      </c>
    </row>
    <row r="17" spans="1:26">
      <c r="A17" s="9" t="s">
        <v>59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60</v>
      </c>
      <c r="I17" s="9">
        <v>1</v>
      </c>
      <c r="J17" s="9">
        <v>2</v>
      </c>
      <c r="K17" s="20">
        <v>4</v>
      </c>
      <c r="L17" s="16"/>
      <c r="M17" s="9" t="s">
        <v>60</v>
      </c>
      <c r="N17" s="9">
        <v>1</v>
      </c>
      <c r="O17" s="9">
        <v>2</v>
      </c>
      <c r="P17" s="20">
        <v>3</v>
      </c>
      <c r="R17" s="9">
        <v>24</v>
      </c>
      <c r="S17" s="9" t="s">
        <v>30</v>
      </c>
      <c r="T17" s="9" t="s">
        <v>30</v>
      </c>
      <c r="U17" s="9" t="s">
        <v>31</v>
      </c>
      <c r="V17" s="9" t="s">
        <v>38</v>
      </c>
      <c r="W17" s="9">
        <v>1</v>
      </c>
      <c r="X17" s="9">
        <v>1</v>
      </c>
      <c r="Y17" s="9">
        <v>1</v>
      </c>
      <c r="Z17" s="20">
        <v>8</v>
      </c>
    </row>
    <row r="18" spans="1:26">
      <c r="A18" s="9" t="s">
        <v>61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62</v>
      </c>
      <c r="I18" s="9">
        <v>1</v>
      </c>
      <c r="J18" s="9">
        <v>2</v>
      </c>
      <c r="K18" s="20">
        <v>4</v>
      </c>
      <c r="L18" s="16"/>
      <c r="M18" s="9" t="s">
        <v>62</v>
      </c>
      <c r="N18" s="9">
        <v>1</v>
      </c>
      <c r="O18" s="9">
        <v>2</v>
      </c>
      <c r="P18" s="20">
        <v>3</v>
      </c>
    </row>
    <row r="19" spans="1:26">
      <c r="A19" s="9" t="s">
        <v>63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64</v>
      </c>
      <c r="I19" s="9">
        <v>1</v>
      </c>
      <c r="J19" s="9">
        <v>2</v>
      </c>
      <c r="K19" s="20">
        <v>4</v>
      </c>
      <c r="L19" s="16"/>
      <c r="M19" s="9" t="s">
        <v>64</v>
      </c>
      <c r="N19" s="9">
        <v>1</v>
      </c>
      <c r="O19" s="9">
        <v>2</v>
      </c>
      <c r="P19" s="20">
        <v>3</v>
      </c>
      <c r="R19" s="9">
        <v>11</v>
      </c>
      <c r="S19" s="9" t="s">
        <v>30</v>
      </c>
      <c r="T19" s="9" t="s">
        <v>43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>
      <c r="A20" s="9" t="s">
        <v>65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66</v>
      </c>
      <c r="I20" s="9">
        <v>1</v>
      </c>
      <c r="J20" s="9">
        <v>2</v>
      </c>
      <c r="K20" s="20">
        <v>4</v>
      </c>
      <c r="L20" s="16"/>
      <c r="M20" s="9" t="s">
        <v>66</v>
      </c>
      <c r="N20" s="9">
        <v>1</v>
      </c>
      <c r="O20" s="9">
        <v>2</v>
      </c>
      <c r="P20" s="20">
        <v>3</v>
      </c>
      <c r="R20" s="9">
        <v>12</v>
      </c>
      <c r="S20" s="9" t="s">
        <v>30</v>
      </c>
      <c r="T20" s="9" t="s">
        <v>30</v>
      </c>
      <c r="U20" s="9" t="s">
        <v>31</v>
      </c>
      <c r="V20" s="9" t="s">
        <v>38</v>
      </c>
      <c r="W20" s="9">
        <v>1</v>
      </c>
      <c r="X20" s="9">
        <v>1</v>
      </c>
      <c r="Y20" s="9">
        <v>1</v>
      </c>
      <c r="Z20" s="20">
        <v>8</v>
      </c>
    </row>
    <row r="21" spans="1:26">
      <c r="A21" t="s">
        <v>67</v>
      </c>
      <c r="B21" t="s">
        <v>2</v>
      </c>
      <c r="C21" t="s">
        <v>2</v>
      </c>
      <c r="D21" t="s">
        <v>2</v>
      </c>
      <c r="H21" s="9" t="s">
        <v>68</v>
      </c>
      <c r="I21" s="9">
        <v>1</v>
      </c>
      <c r="J21" s="9">
        <v>2</v>
      </c>
      <c r="K21" s="20" t="s">
        <v>2</v>
      </c>
      <c r="L21" s="16"/>
      <c r="M21" s="9" t="s">
        <v>68</v>
      </c>
      <c r="N21" s="9">
        <v>1</v>
      </c>
      <c r="O21" s="9">
        <v>2</v>
      </c>
      <c r="P21" s="20">
        <v>3</v>
      </c>
      <c r="R21" s="9">
        <v>13</v>
      </c>
      <c r="S21" s="9" t="s">
        <v>30</v>
      </c>
      <c r="T21" s="9" t="s">
        <v>30</v>
      </c>
      <c r="U21" s="9" t="s">
        <v>31</v>
      </c>
      <c r="V21" s="9" t="s">
        <v>38</v>
      </c>
      <c r="W21" s="9">
        <v>1</v>
      </c>
      <c r="X21" s="9">
        <v>1</v>
      </c>
      <c r="Y21" s="9">
        <v>1</v>
      </c>
      <c r="Z21" s="20">
        <v>8</v>
      </c>
    </row>
    <row r="22" spans="1:26">
      <c r="A22" s="9" t="s">
        <v>69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70</v>
      </c>
      <c r="I22" s="9">
        <v>1</v>
      </c>
      <c r="J22" s="9">
        <v>2</v>
      </c>
      <c r="K22" s="20" t="s">
        <v>2</v>
      </c>
      <c r="L22" s="16"/>
      <c r="M22" s="9" t="s">
        <v>70</v>
      </c>
      <c r="N22" s="9">
        <v>1</v>
      </c>
      <c r="O22" s="9">
        <v>2</v>
      </c>
      <c r="P22" s="20">
        <v>3</v>
      </c>
      <c r="R22" s="9">
        <v>14</v>
      </c>
      <c r="S22" s="9" t="s">
        <v>30</v>
      </c>
      <c r="T22" s="9" t="s">
        <v>30</v>
      </c>
      <c r="U22" s="9" t="s">
        <v>31</v>
      </c>
      <c r="V22" s="9" t="s">
        <v>38</v>
      </c>
      <c r="W22" s="9">
        <v>1</v>
      </c>
      <c r="X22" s="9">
        <v>1</v>
      </c>
      <c r="Y22" s="9">
        <v>1</v>
      </c>
      <c r="Z22" s="20">
        <v>8</v>
      </c>
    </row>
    <row r="23" spans="1:26">
      <c r="A23" s="9" t="s">
        <v>71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72</v>
      </c>
      <c r="I23" s="9">
        <v>1</v>
      </c>
      <c r="J23" s="9">
        <v>2</v>
      </c>
      <c r="K23" s="20" t="s">
        <v>2</v>
      </c>
      <c r="L23" s="16"/>
      <c r="M23" s="9" t="s">
        <v>72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>
      <c r="A24" s="9" t="s">
        <v>73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74</v>
      </c>
      <c r="I24" s="9">
        <v>1</v>
      </c>
      <c r="J24" s="9">
        <v>2</v>
      </c>
      <c r="K24" s="20" t="s">
        <v>2</v>
      </c>
      <c r="L24" s="16"/>
      <c r="M24" s="9" t="s">
        <v>74</v>
      </c>
      <c r="N24" s="9">
        <v>1</v>
      </c>
      <c r="O24" s="9">
        <v>2</v>
      </c>
      <c r="P24" s="20">
        <v>3</v>
      </c>
    </row>
    <row r="25" spans="1:26">
      <c r="A25" s="9" t="s">
        <v>75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76</v>
      </c>
      <c r="I25" s="9">
        <v>1</v>
      </c>
      <c r="J25" s="9">
        <v>2</v>
      </c>
      <c r="K25" s="20" t="s">
        <v>2</v>
      </c>
      <c r="L25" s="16"/>
      <c r="M25" s="9" t="s">
        <v>76</v>
      </c>
      <c r="N25" s="9">
        <v>1</v>
      </c>
      <c r="O25" s="9">
        <v>2</v>
      </c>
      <c r="P25" s="20">
        <v>3</v>
      </c>
      <c r="T25" t="s">
        <v>2</v>
      </c>
    </row>
    <row r="26" spans="1:26">
      <c r="A26" s="9" t="s">
        <v>77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78</v>
      </c>
      <c r="I26" s="9">
        <v>1</v>
      </c>
      <c r="J26" s="9">
        <v>2</v>
      </c>
      <c r="K26" s="20">
        <v>3</v>
      </c>
      <c r="L26" s="16"/>
      <c r="M26" s="9" t="s">
        <v>78</v>
      </c>
      <c r="N26" s="9">
        <v>1</v>
      </c>
      <c r="O26" s="9">
        <v>2</v>
      </c>
      <c r="P26" s="20">
        <v>3</v>
      </c>
    </row>
    <row r="27" spans="1:26">
      <c r="A27" s="9" t="s">
        <v>79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80</v>
      </c>
      <c r="I27" s="9">
        <v>1</v>
      </c>
      <c r="J27" s="9">
        <v>2</v>
      </c>
      <c r="K27" s="20">
        <v>3</v>
      </c>
      <c r="L27" s="16"/>
      <c r="M27" s="9" t="s">
        <v>80</v>
      </c>
      <c r="N27" s="9">
        <v>1</v>
      </c>
      <c r="O27" s="9">
        <v>2</v>
      </c>
      <c r="P27" s="20">
        <v>3</v>
      </c>
    </row>
    <row r="28" spans="1:26">
      <c r="A28" s="9" t="s">
        <v>81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82</v>
      </c>
      <c r="I28" s="9">
        <v>1</v>
      </c>
      <c r="J28" s="9">
        <v>2</v>
      </c>
      <c r="K28" s="20" t="s">
        <v>2</v>
      </c>
      <c r="L28" s="16"/>
      <c r="M28" s="9" t="s">
        <v>82</v>
      </c>
      <c r="N28" s="9">
        <v>1</v>
      </c>
      <c r="O28" s="9">
        <v>2</v>
      </c>
      <c r="P28" s="20">
        <v>3</v>
      </c>
    </row>
    <row r="29" spans="1:26">
      <c r="A29" s="9" t="s">
        <v>83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3" sqref="A3"/>
    </sheetView>
  </sheetViews>
  <sheetFormatPr baseColWidth="10" defaultRowHeight="16"/>
  <cols>
    <col min="1" max="1" width="121.1640625" customWidth="1"/>
  </cols>
  <sheetData>
    <row r="1" spans="1:1" ht="17" thickBot="1"/>
    <row r="2" spans="1:1" ht="18">
      <c r="A2" s="88" t="s">
        <v>139</v>
      </c>
    </row>
    <row r="3" spans="1:1" ht="28" customHeight="1" thickBot="1">
      <c r="A3" s="89" t="s">
        <v>140</v>
      </c>
    </row>
    <row r="4" spans="1:1" ht="18">
      <c r="A4" s="90" t="s">
        <v>141</v>
      </c>
    </row>
    <row r="5" spans="1:1" ht="41" customHeight="1">
      <c r="A5" s="91" t="s">
        <v>142</v>
      </c>
    </row>
    <row r="6" spans="1:1" ht="33" customHeight="1" thickBot="1">
      <c r="A6" s="89" t="s">
        <v>144</v>
      </c>
    </row>
    <row r="7" spans="1:1" ht="29" customHeight="1" thickBot="1">
      <c r="A7" s="92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carmen@sf.cl</cp:lastModifiedBy>
  <dcterms:created xsi:type="dcterms:W3CDTF">2014-07-29T17:30:41Z</dcterms:created>
  <dcterms:modified xsi:type="dcterms:W3CDTF">2019-12-30T20:32:57Z</dcterms:modified>
</cp:coreProperties>
</file>