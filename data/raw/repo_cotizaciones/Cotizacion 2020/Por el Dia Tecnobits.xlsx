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EF5296CE-3424-CF45-BCA0-BF29A91D88DF}" xr6:coauthVersionLast="47" xr6:coauthVersionMax="47" xr10:uidLastSave="{00000000-0000-0000-0000-000000000000}"/>
  <bookViews>
    <workbookView xWindow="0" yWindow="500" windowWidth="28800" windowHeight="16100" tabRatio="500" firstSheet="1" activeTab="1" xr2:uid="{00000000-000D-0000-FFFF-FFFF00000000}"/>
  </bookViews>
  <sheets>
    <sheet name="Presupuesto valorizado" sheetId="1" r:id="rId1"/>
    <sheet name="Programa por dia" sheetId="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9" l="1"/>
  <c r="F11" i="9"/>
  <c r="F33" i="9"/>
  <c r="F34" i="9"/>
  <c r="F35" i="9"/>
  <c r="F36" i="9"/>
  <c r="F37" i="9"/>
  <c r="F38" i="9"/>
  <c r="F39" i="9"/>
  <c r="F40" i="9"/>
  <c r="F41" i="9"/>
  <c r="F42" i="9"/>
  <c r="F43" i="9"/>
  <c r="F44" i="9"/>
  <c r="F32" i="9"/>
  <c r="F57" i="9" l="1"/>
  <c r="F56" i="9"/>
  <c r="F55" i="9"/>
  <c r="F54" i="9"/>
  <c r="F53" i="9"/>
  <c r="F58" i="9" s="1"/>
  <c r="F59" i="9" s="1"/>
  <c r="F60" i="9" s="1"/>
  <c r="F22" i="9"/>
  <c r="F21" i="9"/>
  <c r="F20" i="9"/>
  <c r="F19" i="9"/>
  <c r="F18" i="9"/>
  <c r="F17" i="9"/>
  <c r="F14" i="9"/>
  <c r="F13" i="9"/>
  <c r="F12" i="9"/>
  <c r="E24" i="9" l="1"/>
  <c r="E25" i="9"/>
  <c r="E47" i="9"/>
  <c r="F47" i="9" s="1"/>
  <c r="E46" i="9"/>
  <c r="F46" i="9" s="1"/>
  <c r="E45" i="9"/>
  <c r="F45" i="9" s="1"/>
  <c r="F54" i="1"/>
  <c r="F53" i="1"/>
  <c r="F52" i="1"/>
  <c r="F51" i="1"/>
  <c r="F50" i="1"/>
  <c r="F49" i="1"/>
  <c r="F48" i="1"/>
  <c r="F47" i="1"/>
  <c r="F46" i="1"/>
  <c r="F45" i="1"/>
  <c r="F42" i="1"/>
  <c r="F41" i="1"/>
  <c r="F40" i="1"/>
  <c r="F39" i="1"/>
  <c r="F38" i="1"/>
  <c r="F37" i="1"/>
  <c r="F43" i="1" s="1"/>
  <c r="F33" i="1"/>
  <c r="E32" i="1"/>
  <c r="F32" i="1" s="1"/>
  <c r="F31" i="1"/>
  <c r="F35" i="1" s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E9" i="1"/>
  <c r="F9" i="1" s="1"/>
  <c r="F29" i="1" l="1"/>
  <c r="F55" i="1"/>
  <c r="F67" i="1"/>
  <c r="F68" i="1" s="1"/>
  <c r="F69" i="1" s="1"/>
  <c r="F48" i="9"/>
  <c r="F49" i="9" s="1"/>
  <c r="F50" i="9" s="1"/>
  <c r="E9" i="9" l="1"/>
  <c r="F9" i="9" s="1"/>
  <c r="F24" i="9" l="1"/>
  <c r="F15" i="9"/>
  <c r="F23" i="9" s="1"/>
  <c r="F25" i="9" l="1"/>
  <c r="F26" i="9" s="1"/>
  <c r="F27" i="9" s="1"/>
  <c r="F28" i="9" l="1"/>
</calcChain>
</file>

<file path=xl/sharedStrings.xml><?xml version="1.0" encoding="utf-8"?>
<sst xmlns="http://schemas.openxmlformats.org/spreadsheetml/2006/main" count="355" uniqueCount="188">
  <si>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</si>
  <si>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</si>
  <si>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</si>
  <si>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</si>
  <si>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</si>
  <si>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1.-</t>
  </si>
  <si>
    <t xml:space="preserve">                                                             E Mail</t>
  </si>
  <si>
    <t>Fono:</t>
  </si>
  <si>
    <t>2.-</t>
  </si>
  <si>
    <t xml:space="preserve">                                                             Fecha:</t>
  </si>
  <si>
    <t>Nº Pasajeros</t>
  </si>
  <si>
    <t>3.-</t>
  </si>
  <si>
    <t>Atiende:</t>
  </si>
  <si>
    <t xml:space="preserve">Carmen Rodriguez </t>
  </si>
  <si>
    <t>Telefono</t>
  </si>
  <si>
    <t>9 74961403</t>
  </si>
  <si>
    <t>4.-</t>
  </si>
  <si>
    <t>Alimentos y bebidas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</si>
  <si>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</si>
  <si>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</si>
  <si>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</si>
  <si>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</si>
  <si>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</si>
  <si>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</si>
  <si>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</si>
  <si>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Café, té, leche, yogurt, jamón, queso, huevos, mermeladas, mantequilla, panes, minipastelitos y cereales</t>
  </si>
  <si>
    <t>Coffee Básico</t>
  </si>
  <si>
    <t>Café, té, agua, jugo de pulpa, 2 facturitas ó 1 muffins y 2 tapaditos.</t>
  </si>
  <si>
    <t>Coffee Light</t>
  </si>
  <si>
    <t>Jugo de pulpa, agua, yogurt, 1 brocheta fruta, 1 barra de cereal</t>
  </si>
  <si>
    <t>Coffee Intermedio</t>
  </si>
  <si>
    <t>Café, té, agua, jugo de pulpa, 1 muffins, 1 facturitas, 1 fruta y 2  tapadito.</t>
  </si>
  <si>
    <t>Brunch 1</t>
  </si>
  <si>
    <t>1 Bebida ó 1 Jugo, 1 Café ó té, 1 Agua, 1 copa de espumante, 1 Yogurt con granola, 1 Hot cake con sirope, 1 frutas de la estación, 1 Muffin, 1 Omelet con champiñon queso, 1 focaccia de cebolla caramelizada y hierbas de la estación, 1 Mini sándwich de salmón, hojas verdes y philadelphia, 1 Mini sándwich de roast beef con tomate y albahaca, 2 Mini postres.</t>
  </si>
  <si>
    <t>Brunch 2</t>
  </si>
  <si>
    <t>2 Bebidas o Jugo, 1 Café ó Té, 1 Agua , 2 copas de espumante, 1 yogurt con granola y berries, 1 Hot cake con sirope, 1 frutas de la estación, 1 Muffins, 1 Omelet con chorizo o salmón ahumado, 1 Mini ensalada con huevos pochado, 1 focaccia de cebolla caramelizada y hierbas de la estación, 1 Croissant queso jamón ó palmito palta, 1 Mini sándwich de roast beef, queso mantecoso, tomate y albahaca, 2 Mini postres.</t>
  </si>
  <si>
    <t>Almuerzo Sugerencias del chef  en formato Buffet, mas de 30 pasajeros</t>
  </si>
  <si>
    <t>Podra elegir entre, 3 opciones de fondo, acompañamientos, variadad de ensaladas, Postre, sopas, inc café.</t>
  </si>
  <si>
    <t>Almuerzo Sugerencias del chef  en formato carta, menos de 30 pasajeros</t>
  </si>
  <si>
    <t>Cena o Almuerzo parrilla, minimo 30 pax</t>
  </si>
  <si>
    <t>Preparacion de carnes, verduras y frutas a la parrilla, mas acompañamientos, ensaladas y postre y café.</t>
  </si>
  <si>
    <t>Cena o Almuerzo parrilla, menos de 30 pax</t>
  </si>
  <si>
    <t>Preparacion de carnes, verduras y frutas a la parrilla,  mas acompañamientos, ensaladas y postre y café.</t>
  </si>
  <si>
    <t>Bebida gaseosa  ó cerveza</t>
  </si>
  <si>
    <t>Gaseosa ó mineral ó  jugo de botella ó cerveza Cristal o Escudo en lata.</t>
  </si>
  <si>
    <t>Botella de vino reserva</t>
  </si>
  <si>
    <t xml:space="preserve">Once </t>
  </si>
  <si>
    <t>Bebida o Jugo con Hamburguesa o lomito(elegir antes) y helado.</t>
  </si>
  <si>
    <t>Coctail basico, minimo 15 pasajeros.</t>
  </si>
  <si>
    <t xml:space="preserve"> Tragos(1 p/p entre) Pisco sour o espumante, vino,  bebida, cerveza, 1 empanadita, 1 bruscheta, quesos, frutos secos, galletas.</t>
  </si>
  <si>
    <t>Coctail Intermedio,                            Minimo 15 pasajeros.</t>
  </si>
  <si>
    <t>Tragos(2 p/p entre)Vino tinto, Blanco, espumante, pisco sour, bebidas,  cerveza, 1 empanaditas de Pino, 1empanadita de queso, queso crema /aceitunas,  1 bruschetas jamón serrano, 1 bruschetas de Salmón, 1 brocheta mediterranea,  frutos secos o quesos.</t>
  </si>
  <si>
    <t>Cata de vinos, hasta 40 pasajeros</t>
  </si>
  <si>
    <t>Cata de 4 vinos boutique de la zona con maridaje de quesos y encurtidos.</t>
  </si>
  <si>
    <t>Coctail entretenido, clinica de pizza, con maridaje de cerveza, hasta 30 pax, mas de 30 pax, sumar $30.000 p/P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</si>
  <si>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</si>
  <si>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Tragos con ticket</t>
  </si>
  <si>
    <t>Piscola, roncola, mojito, Ice, Ramozzotti, copa de vino, espumante, vino tinto, vino blanco</t>
  </si>
  <si>
    <r>
      <t>Bar abierto 4 horas</t>
    </r>
    <r>
      <rPr>
        <sz val="12"/>
        <color rgb="FFFF0000"/>
        <rFont val="Calibri (Cuerpo)_x0000_"/>
      </rPr>
      <t xml:space="preserve"> </t>
    </r>
  </si>
  <si>
    <t>Tragos Con pisco, ron cocteles, cerveza, gaseosas,  vinos.</t>
  </si>
  <si>
    <t>Descorche vino por botella</t>
  </si>
  <si>
    <t>Descorche por botella servido a la mesa.</t>
  </si>
  <si>
    <t>Descorche bar (sobre 10 pax) hora add 30%</t>
  </si>
  <si>
    <t>Armado de bar, hielo, cooler, barman, servido de tragos, vasos y copas. (4 hrs maximo)</t>
  </si>
  <si>
    <t>Alojamiento</t>
  </si>
  <si>
    <t>Nº Noches</t>
  </si>
  <si>
    <t>Unidades</t>
  </si>
  <si>
    <t>Habitación single hotel</t>
  </si>
  <si>
    <t>Incluye: desayuno, cabalgatas, canopy, kayak, botes, standup paddle, canchas tenis, minigolf, baby, pesca con mosca y piscina temperada</t>
  </si>
  <si>
    <t>Habitación doble hotel</t>
  </si>
  <si>
    <t>Valor Pax adicional en la misma habitacion</t>
  </si>
  <si>
    <t>Total paquete.</t>
  </si>
  <si>
    <t xml:space="preserve">Salones </t>
  </si>
  <si>
    <t>Salon chinook, hasta 300 pasajeros</t>
  </si>
  <si>
    <t>Equipado con telón papelógrafo, aire acondicionado y calefacción, 8 h Día o 4 h Noche(disponible solo hasta las 10:00)</t>
  </si>
  <si>
    <t>Salon Coho, hasta 180 pasajeros</t>
  </si>
  <si>
    <t>Salon Fario, hasta 110 pasajeros</t>
  </si>
  <si>
    <t>Salón Arcoiris 1 hasta 80 pasajeros.</t>
  </si>
  <si>
    <r>
      <t xml:space="preserve">Quincho 150 pasajeros </t>
    </r>
    <r>
      <rPr>
        <sz val="12"/>
        <color rgb="FFFF0000"/>
        <rFont val="Calibri (Cuerpo)_x0000_"/>
      </rPr>
      <t>No disponible</t>
    </r>
  </si>
  <si>
    <t>Domo 300 pasajeros</t>
  </si>
  <si>
    <t>Implementos técnologicos</t>
  </si>
  <si>
    <t>Amplificacion exterior</t>
  </si>
  <si>
    <t>Luces salon chinook</t>
  </si>
  <si>
    <t>Pantalla led.</t>
  </si>
  <si>
    <t xml:space="preserve">DJ </t>
  </si>
  <si>
    <t>Karaoke</t>
  </si>
  <si>
    <t>incluye tecnica</t>
  </si>
  <si>
    <t>DJ y Karaoke</t>
  </si>
  <si>
    <t>Incluye tecnica</t>
  </si>
  <si>
    <t>Animador</t>
  </si>
  <si>
    <t>Tecnica para salones</t>
  </si>
  <si>
    <t>Data, amplificacion, microfonos, operador.</t>
  </si>
  <si>
    <t>Telon</t>
  </si>
  <si>
    <t>Microfono</t>
  </si>
  <si>
    <t>Por hora de uso exclusivo</t>
  </si>
  <si>
    <t>Hrs</t>
  </si>
  <si>
    <t>Nº uds</t>
  </si>
  <si>
    <t>Costo $0 alojando y en forma no exclusiva, según disponibilidad/formato exclusivo  en horas pedidas.</t>
  </si>
  <si>
    <t>Piscina temperada</t>
  </si>
  <si>
    <t>Piscina exterior</t>
  </si>
  <si>
    <t>Canopy</t>
  </si>
  <si>
    <t>Kayak</t>
  </si>
  <si>
    <t>cabalgatas hasta 2 horas, cada caballo</t>
  </si>
  <si>
    <t>desde 10 pasajeros incluye racion de marcha, menos de 10 pasajeros se cobra adicional (guia mas caballo de Guia $90.000)</t>
  </si>
  <si>
    <t>Pool</t>
  </si>
  <si>
    <t>Valor actividades y piscinas, uso compratido</t>
  </si>
  <si>
    <t>Pesca con Mosca</t>
  </si>
  <si>
    <t>Acceso a pescar con mosca, en lagunas o estero.</t>
  </si>
  <si>
    <t>Masajes de relajacion de media hora</t>
  </si>
  <si>
    <t>Total  Evento</t>
  </si>
  <si>
    <t>IVA</t>
  </si>
  <si>
    <t>Total evento con IVA</t>
  </si>
  <si>
    <t>Valor no incluye propinas.</t>
  </si>
  <si>
    <r>
      <t>Para órdenes de Compra y pagos</t>
    </r>
    <r>
      <rPr>
        <sz val="11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</si>
  <si>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</si>
  <si>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</si>
  <si>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</si>
  <si>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</si>
  <si>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</si>
  <si>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</si>
  <si>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</si>
  <si>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</si>
  <si>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</si>
  <si>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</si>
  <si>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</si>
  <si>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</si>
  <si>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</si>
  <si>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Importante: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</si>
  <si>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</si>
  <si>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</si>
  <si>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</si>
  <si>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</si>
  <si>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</si>
  <si>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</si>
  <si>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</si>
  <si>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</si>
  <si>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</si>
  <si>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</si>
  <si>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</si>
  <si>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</si>
  <si>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</si>
  <si>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</si>
  <si>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</si>
  <si>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</si>
  <si>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</si>
  <si>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</si>
  <si>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Carmen Rodriguez D.</t>
  </si>
  <si>
    <t>Dia 19 de noviembre</t>
  </si>
  <si>
    <t>08:30-10:00</t>
  </si>
  <si>
    <t>Bebida gaseosa</t>
  </si>
  <si>
    <t>Actividades libres</t>
  </si>
  <si>
    <t>Cabalgatas, canopy, kayak, botes, standup paddle, canchas tenis, minigolf, baby, pesca con mosca y piscina temperada</t>
  </si>
  <si>
    <t xml:space="preserve"> Sub Total </t>
  </si>
  <si>
    <t>Actividades de entretencion no INC.</t>
  </si>
  <si>
    <t>Team building Paintaball</t>
  </si>
  <si>
    <t>Team building Circuito de alianzas</t>
  </si>
  <si>
    <t>Team building El Naufrago</t>
  </si>
  <si>
    <t>Total Actividades</t>
  </si>
  <si>
    <t>Buffet Sugerencias del chef, más de 30 pax</t>
  </si>
  <si>
    <t>Distintas opciones de fondos con carnes, pastas, acompañamientos, Salad bar, salsas, dressing, 1 Postre, sopas, inc café.</t>
  </si>
  <si>
    <t>Carta Sugerencias del chef, menos de 30 pasajeros</t>
  </si>
  <si>
    <t>Podran elegir una entrada, un fondo y un postre de las alternativas disponibles. No incluye bebidas ni aperitivo.</t>
  </si>
  <si>
    <t>Buffet parrilla, mas de 30 pax, menos de 30 Pax, $45.000.</t>
  </si>
  <si>
    <t>Lomo, picana, p.paleta, pollo, cerdo, chorizos prietas, verduras y frutas a la parrilla, acompañamientos, salad bar, salsas, dresing, 1 postre, café.</t>
  </si>
  <si>
    <t>Botella de vino reserva Castillo Molina</t>
  </si>
  <si>
    <t>Botella de Vino Castillo Molina. Recomendación  1 botella cada 5 personas  (una por mesa)</t>
  </si>
  <si>
    <r>
      <rPr>
        <sz val="12"/>
        <color rgb="FF000000"/>
        <rFont val="Calibri"/>
        <family val="2"/>
      </rPr>
      <t>Bar abierto 4 horas</t>
    </r>
    <r>
      <rPr>
        <sz val="12"/>
        <color rgb="FFFF0000"/>
        <rFont val="Calibri (Cuerpo)_x0000_"/>
      </rPr>
      <t xml:space="preserve"> </t>
    </r>
  </si>
  <si>
    <t>4 hrs</t>
  </si>
  <si>
    <t>DJ Marcelo</t>
  </si>
  <si>
    <t>DJ Juan Carlos</t>
  </si>
  <si>
    <t>4 hrs, contempla equipos de Marcelo.</t>
  </si>
  <si>
    <t>Karaoke Marcelo</t>
  </si>
  <si>
    <t>Karaoke Juan Carlos</t>
  </si>
  <si>
    <t>DJ y Karaoke Marcelo</t>
  </si>
  <si>
    <t>DJ y Karaoke Juan Carlos</t>
  </si>
  <si>
    <t>Animador Marcelo</t>
  </si>
  <si>
    <t>Data, amplificacion, 2 microfonos.</t>
  </si>
  <si>
    <t>Microfono inalambrico</t>
  </si>
  <si>
    <t>Microfono solapa</t>
  </si>
  <si>
    <t>Operador 8 hrs</t>
  </si>
  <si>
    <t>operador de audio para salon diurno. Se debe agregar tecnica que desee operar.</t>
  </si>
  <si>
    <t>Total Salones</t>
  </si>
  <si>
    <t>Café, té, agua, jugo de pulpa, 1 muffins, 1 facturitas, 1 fruta y 2  tapaditos.</t>
  </si>
  <si>
    <t>Gaseosa ó mineral.</t>
  </si>
  <si>
    <t>Café, té, agua, jugo de pulpa, 2 facturitas ó 1 muffins y 1 tapaditos.</t>
  </si>
  <si>
    <t xml:space="preserve">Margarita </t>
  </si>
  <si>
    <t>Telefonica</t>
  </si>
  <si>
    <t>margarita@tecnobit.cl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</si>
</sst>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sz val="12"/>
      <color rgb="FF3C444F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 (Cuerpo)"/>
    </font>
    <font>
      <sz val="10"/>
      <color theme="1"/>
      <name val="Arial"/>
      <family val="2"/>
    </font>
    <font>
      <b/>
      <sz val="12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8" fillId="0" borderId="0" applyFont="0" applyFill="0" applyBorder="0" applyAlignment="0" applyProtection="0"/>
  </cellStyleXfs>
  <cellXfs count="245">
    <xf numFmtId="0" fontId="0" fillId="0" borderId="0" xfId="0"/>
    <xf numFmtId="0" fontId="3" fillId="0" borderId="0" xfId="0" applyFont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" xfId="0" applyFont="1" applyBorder="1"/>
    <xf numFmtId="0" fontId="6" fillId="0" borderId="0" xfId="0" applyFont="1" applyBorder="1" applyAlignment="1">
      <alignment horizontal="center"/>
    </xf>
    <xf numFmtId="0" fontId="8" fillId="0" borderId="0" xfId="0" applyFont="1"/>
    <xf numFmtId="0" fontId="6" fillId="0" borderId="7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0" borderId="9" xfId="0" applyFont="1" applyBorder="1" applyAlignment="1">
      <alignment horizontal="right" vertical="center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9" fillId="0" borderId="0" xfId="0" applyFont="1"/>
    <xf numFmtId="0" fontId="4" fillId="0" borderId="0" xfId="116"/>
    <xf numFmtId="0" fontId="10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7" xfId="0" applyNumberFormat="1" applyFont="1" applyBorder="1" applyAlignment="1">
      <alignment horizontal="right"/>
    </xf>
    <xf numFmtId="166" fontId="6" fillId="0" borderId="10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1" xfId="0" applyNumberFormat="1" applyFont="1" applyBorder="1" applyAlignment="1">
      <alignment horizontal="right"/>
    </xf>
    <xf numFmtId="20" fontId="12" fillId="0" borderId="0" xfId="0" applyNumberFormat="1" applyFont="1"/>
    <xf numFmtId="0" fontId="12" fillId="0" borderId="0" xfId="0" applyFont="1"/>
    <xf numFmtId="0" fontId="6" fillId="4" borderId="1" xfId="0" applyFont="1" applyFill="1" applyBorder="1" applyAlignment="1">
      <alignment horizontal="left"/>
    </xf>
    <xf numFmtId="164" fontId="6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166" fontId="6" fillId="4" borderId="1" xfId="0" applyNumberFormat="1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0" fontId="6" fillId="4" borderId="1" xfId="0" applyFont="1" applyFill="1" applyBorder="1"/>
    <xf numFmtId="166" fontId="6" fillId="4" borderId="1" xfId="0" applyNumberFormat="1" applyFont="1" applyFill="1" applyBorder="1"/>
    <xf numFmtId="0" fontId="2" fillId="5" borderId="5" xfId="0" applyFont="1" applyFill="1" applyBorder="1" applyAlignment="1">
      <alignment horizontal="center"/>
    </xf>
    <xf numFmtId="166" fontId="2" fillId="5" borderId="8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indent="4"/>
    </xf>
    <xf numFmtId="0" fontId="6" fillId="0" borderId="13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1" xfId="0" applyFont="1" applyBorder="1"/>
    <xf numFmtId="0" fontId="6" fillId="3" borderId="13" xfId="0" applyFont="1" applyFill="1" applyBorder="1" applyAlignment="1">
      <alignment vertical="center"/>
    </xf>
    <xf numFmtId="166" fontId="6" fillId="3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6" fillId="4" borderId="1" xfId="175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left" wrapText="1"/>
    </xf>
    <xf numFmtId="0" fontId="14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6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164" fontId="0" fillId="0" borderId="0" xfId="0" applyNumberFormat="1"/>
    <xf numFmtId="0" fontId="0" fillId="0" borderId="0" xfId="0" applyAlignment="1">
      <alignment horizontal="left"/>
    </xf>
    <xf numFmtId="164" fontId="11" fillId="4" borderId="14" xfId="0" applyNumberFormat="1" applyFont="1" applyFill="1" applyBorder="1" applyAlignment="1">
      <alignment horizontal="right"/>
    </xf>
    <xf numFmtId="0" fontId="6" fillId="4" borderId="15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0" fillId="2" borderId="0" xfId="0" applyFill="1"/>
    <xf numFmtId="164" fontId="8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20" fontId="2" fillId="5" borderId="8" xfId="0" applyNumberFormat="1" applyFont="1" applyFill="1" applyBorder="1" applyAlignment="1">
      <alignment horizontal="center"/>
    </xf>
    <xf numFmtId="20" fontId="6" fillId="4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20" fontId="0" fillId="0" borderId="1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20" fontId="6" fillId="4" borderId="1" xfId="0" applyNumberFormat="1" applyFont="1" applyFill="1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 wrapText="1"/>
    </xf>
    <xf numFmtId="20" fontId="6" fillId="4" borderId="2" xfId="0" applyNumberFormat="1" applyFont="1" applyFill="1" applyBorder="1" applyAlignment="1">
      <alignment horizontal="center" vertical="center"/>
    </xf>
    <xf numFmtId="165" fontId="6" fillId="4" borderId="2" xfId="175" applyNumberFormat="1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horizontal="right"/>
    </xf>
    <xf numFmtId="0" fontId="0" fillId="2" borderId="13" xfId="0" applyFill="1" applyBorder="1" applyAlignment="1">
      <alignment horizontal="left" wrapText="1"/>
    </xf>
    <xf numFmtId="20" fontId="6" fillId="0" borderId="10" xfId="0" applyNumberFormat="1" applyFont="1" applyBorder="1" applyAlignment="1">
      <alignment horizontal="center" vertical="center"/>
    </xf>
    <xf numFmtId="20" fontId="6" fillId="0" borderId="0" xfId="0" applyNumberFormat="1" applyFont="1" applyBorder="1" applyAlignment="1">
      <alignment horizontal="center"/>
    </xf>
    <xf numFmtId="20" fontId="6" fillId="0" borderId="4" xfId="0" applyNumberFormat="1" applyFont="1" applyBorder="1" applyAlignment="1">
      <alignment horizontal="center"/>
    </xf>
    <xf numFmtId="164" fontId="6" fillId="2" borderId="16" xfId="0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right"/>
    </xf>
    <xf numFmtId="20" fontId="6" fillId="2" borderId="3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2" fillId="7" borderId="5" xfId="0" applyFont="1" applyFill="1" applyBorder="1" applyAlignment="1">
      <alignment horizontal="center"/>
    </xf>
    <xf numFmtId="20" fontId="2" fillId="7" borderId="8" xfId="0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19" fillId="0" borderId="0" xfId="0" applyFont="1"/>
    <xf numFmtId="0" fontId="1" fillId="0" borderId="0" xfId="0" applyFont="1" applyFill="1" applyAlignment="1"/>
    <xf numFmtId="0" fontId="6" fillId="0" borderId="1" xfId="0" applyFont="1" applyBorder="1" applyAlignment="1">
      <alignment wrapText="1"/>
    </xf>
    <xf numFmtId="165" fontId="6" fillId="4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 wrapText="1"/>
    </xf>
    <xf numFmtId="0" fontId="0" fillId="2" borderId="1" xfId="0" applyFill="1" applyBorder="1" applyAlignment="1">
      <alignment horizontal="left" vertical="top" wrapText="1"/>
    </xf>
    <xf numFmtId="0" fontId="2" fillId="5" borderId="9" xfId="0" applyFont="1" applyFill="1" applyBorder="1" applyAlignment="1">
      <alignment horizontal="center"/>
    </xf>
    <xf numFmtId="166" fontId="2" fillId="5" borderId="17" xfId="0" applyNumberFormat="1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166" fontId="0" fillId="0" borderId="13" xfId="0" applyNumberFormat="1" applyBorder="1"/>
    <xf numFmtId="0" fontId="6" fillId="4" borderId="13" xfId="0" applyFont="1" applyFill="1" applyBorder="1" applyAlignment="1">
      <alignment horizontal="center"/>
    </xf>
    <xf numFmtId="164" fontId="6" fillId="0" borderId="13" xfId="0" applyNumberFormat="1" applyFont="1" applyBorder="1" applyAlignment="1">
      <alignment horizontal="right"/>
    </xf>
    <xf numFmtId="164" fontId="6" fillId="4" borderId="13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0" fontId="6" fillId="0" borderId="7" xfId="0" applyFont="1" applyBorder="1" applyAlignment="1">
      <alignment horizontal="left"/>
    </xf>
    <xf numFmtId="166" fontId="0" fillId="0" borderId="7" xfId="0" applyNumberFormat="1" applyBorder="1"/>
    <xf numFmtId="0" fontId="6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164" fontId="6" fillId="4" borderId="6" xfId="0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6" fillId="4" borderId="0" xfId="0" applyFont="1" applyFill="1"/>
    <xf numFmtId="166" fontId="6" fillId="4" borderId="0" xfId="0" applyNumberFormat="1" applyFont="1" applyFill="1"/>
    <xf numFmtId="164" fontId="6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0" fontId="6" fillId="4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6" fillId="8" borderId="1" xfId="0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left"/>
    </xf>
    <xf numFmtId="20" fontId="6" fillId="9" borderId="1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right"/>
    </xf>
    <xf numFmtId="165" fontId="6" fillId="2" borderId="11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20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165" fontId="6" fillId="0" borderId="6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6" fontId="0" fillId="0" borderId="0" xfId="0" applyNumberFormat="1"/>
    <xf numFmtId="0" fontId="1" fillId="10" borderId="1" xfId="0" applyFont="1" applyFill="1" applyBorder="1"/>
    <xf numFmtId="6" fontId="0" fillId="0" borderId="1" xfId="0" applyNumberFormat="1" applyBorder="1"/>
    <xf numFmtId="20" fontId="21" fillId="11" borderId="18" xfId="0" applyNumberFormat="1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/>
    </xf>
    <xf numFmtId="164" fontId="21" fillId="11" borderId="19" xfId="0" applyNumberFormat="1" applyFont="1" applyFill="1" applyBorder="1" applyAlignment="1">
      <alignment horizontal="right"/>
    </xf>
    <xf numFmtId="0" fontId="21" fillId="11" borderId="18" xfId="0" applyFont="1" applyFill="1" applyBorder="1" applyAlignment="1">
      <alignment horizontal="left"/>
    </xf>
    <xf numFmtId="0" fontId="20" fillId="0" borderId="0" xfId="0" applyFont="1" applyAlignment="1">
      <alignment horizontal="center"/>
    </xf>
    <xf numFmtId="0" fontId="21" fillId="11" borderId="18" xfId="0" applyFont="1" applyFill="1" applyBorder="1" applyAlignment="1">
      <alignment horizontal="left" vertical="center" wrapText="1"/>
    </xf>
    <xf numFmtId="165" fontId="21" fillId="11" borderId="18" xfId="0" applyNumberFormat="1" applyFont="1" applyFill="1" applyBorder="1" applyAlignment="1">
      <alignment horizontal="right"/>
    </xf>
    <xf numFmtId="165" fontId="6" fillId="12" borderId="20" xfId="0" applyNumberFormat="1" applyFont="1" applyFill="1" applyBorder="1" applyAlignment="1">
      <alignment wrapText="1"/>
    </xf>
    <xf numFmtId="0" fontId="21" fillId="13" borderId="18" xfId="0" applyFont="1" applyFill="1" applyBorder="1" applyAlignment="1">
      <alignment horizontal="left" vertical="center" wrapText="1"/>
    </xf>
    <xf numFmtId="0" fontId="21" fillId="13" borderId="18" xfId="0" applyFont="1" applyFill="1" applyBorder="1" applyAlignment="1">
      <alignment horizontal="center" vertical="center" wrapText="1"/>
    </xf>
    <xf numFmtId="165" fontId="21" fillId="13" borderId="18" xfId="0" applyNumberFormat="1" applyFont="1" applyFill="1" applyBorder="1" applyAlignment="1">
      <alignment horizontal="right" wrapText="1"/>
    </xf>
    <xf numFmtId="165" fontId="21" fillId="11" borderId="21" xfId="0" applyNumberFormat="1" applyFont="1" applyFill="1" applyBorder="1" applyAlignment="1">
      <alignment horizontal="right"/>
    </xf>
    <xf numFmtId="0" fontId="20" fillId="0" borderId="18" xfId="0" applyFont="1" applyBorder="1" applyAlignment="1">
      <alignment wrapText="1"/>
    </xf>
    <xf numFmtId="0" fontId="22" fillId="2" borderId="0" xfId="0" applyFont="1" applyFill="1"/>
    <xf numFmtId="164" fontId="21" fillId="11" borderId="18" xfId="0" applyNumberFormat="1" applyFont="1" applyFill="1" applyBorder="1" applyAlignment="1">
      <alignment horizontal="right" vertical="center"/>
    </xf>
    <xf numFmtId="164" fontId="21" fillId="11" borderId="18" xfId="0" applyNumberFormat="1" applyFont="1" applyFill="1" applyBorder="1" applyAlignment="1">
      <alignment horizontal="right"/>
    </xf>
    <xf numFmtId="0" fontId="21" fillId="11" borderId="18" xfId="0" applyFont="1" applyFill="1" applyBorder="1" applyAlignment="1">
      <alignment horizontal="left" vertical="center"/>
    </xf>
    <xf numFmtId="0" fontId="21" fillId="11" borderId="18" xfId="0" applyFont="1" applyFill="1" applyBorder="1" applyAlignment="1">
      <alignment horizontal="center" vertical="center"/>
    </xf>
    <xf numFmtId="165" fontId="21" fillId="11" borderId="18" xfId="0" applyNumberFormat="1" applyFont="1" applyFill="1" applyBorder="1" applyAlignment="1">
      <alignment vertical="center"/>
    </xf>
    <xf numFmtId="0" fontId="21" fillId="11" borderId="18" xfId="0" applyFont="1" applyFill="1" applyBorder="1" applyAlignment="1">
      <alignment horizontal="left" wrapText="1"/>
    </xf>
    <xf numFmtId="0" fontId="20" fillId="11" borderId="18" xfId="0" applyFont="1" applyFill="1" applyBorder="1" applyAlignment="1">
      <alignment horizontal="left" wrapText="1"/>
    </xf>
    <xf numFmtId="0" fontId="21" fillId="0" borderId="21" xfId="0" applyFont="1" applyBorder="1" applyAlignment="1">
      <alignment horizontal="left"/>
    </xf>
    <xf numFmtId="21" fontId="21" fillId="0" borderId="22" xfId="0" applyNumberFormat="1" applyFont="1" applyBorder="1" applyAlignment="1">
      <alignment horizontal="right"/>
    </xf>
    <xf numFmtId="0" fontId="21" fillId="0" borderId="22" xfId="0" applyFont="1" applyBorder="1" applyAlignment="1">
      <alignment horizontal="center"/>
    </xf>
    <xf numFmtId="164" fontId="21" fillId="0" borderId="22" xfId="0" applyNumberFormat="1" applyFont="1" applyBorder="1" applyAlignment="1">
      <alignment horizontal="right"/>
    </xf>
    <xf numFmtId="0" fontId="21" fillId="0" borderId="20" xfId="0" applyFont="1" applyBorder="1"/>
    <xf numFmtId="0" fontId="21" fillId="0" borderId="22" xfId="0" applyFont="1" applyBorder="1"/>
    <xf numFmtId="0" fontId="20" fillId="0" borderId="1" xfId="0" applyFont="1" applyBorder="1"/>
    <xf numFmtId="0" fontId="23" fillId="0" borderId="1" xfId="0" applyFont="1" applyBorder="1"/>
    <xf numFmtId="6" fontId="20" fillId="0" borderId="1" xfId="0" applyNumberFormat="1" applyFont="1" applyBorder="1"/>
    <xf numFmtId="0" fontId="21" fillId="11" borderId="1" xfId="0" applyFont="1" applyFill="1" applyBorder="1" applyAlignment="1">
      <alignment horizontal="left"/>
    </xf>
    <xf numFmtId="0" fontId="24" fillId="14" borderId="23" xfId="0" applyFont="1" applyFill="1" applyBorder="1" applyAlignment="1">
      <alignment horizontal="center"/>
    </xf>
    <xf numFmtId="21" fontId="24" fillId="14" borderId="24" xfId="0" applyNumberFormat="1" applyFont="1" applyFill="1" applyBorder="1" applyAlignment="1">
      <alignment horizontal="center"/>
    </xf>
    <xf numFmtId="0" fontId="24" fillId="14" borderId="24" xfId="0" applyFont="1" applyFill="1" applyBorder="1" applyAlignment="1">
      <alignment horizontal="center"/>
    </xf>
    <xf numFmtId="0" fontId="24" fillId="14" borderId="25" xfId="0" applyFont="1" applyFill="1" applyBorder="1" applyAlignment="1">
      <alignment horizontal="center"/>
    </xf>
    <xf numFmtId="0" fontId="21" fillId="11" borderId="18" xfId="0" applyFont="1" applyFill="1" applyBorder="1"/>
    <xf numFmtId="21" fontId="21" fillId="11" borderId="18" xfId="0" applyNumberFormat="1" applyFont="1" applyFill="1" applyBorder="1"/>
    <xf numFmtId="164" fontId="21" fillId="11" borderId="18" xfId="0" applyNumberFormat="1" applyFont="1" applyFill="1" applyBorder="1"/>
    <xf numFmtId="0" fontId="20" fillId="0" borderId="18" xfId="0" applyFont="1" applyBorder="1"/>
    <xf numFmtId="21" fontId="20" fillId="0" borderId="18" xfId="0" applyNumberFormat="1" applyFont="1" applyBorder="1"/>
    <xf numFmtId="21" fontId="21" fillId="11" borderId="18" xfId="0" applyNumberFormat="1" applyFont="1" applyFill="1" applyBorder="1" applyAlignment="1">
      <alignment horizontal="left" vertical="center"/>
    </xf>
    <xf numFmtId="0" fontId="20" fillId="0" borderId="0" xfId="0" applyFont="1"/>
    <xf numFmtId="0" fontId="21" fillId="13" borderId="19" xfId="0" applyFont="1" applyFill="1" applyBorder="1" applyAlignment="1">
      <alignment vertical="center" wrapText="1"/>
    </xf>
    <xf numFmtId="0" fontId="21" fillId="13" borderId="19" xfId="0" applyFont="1" applyFill="1" applyBorder="1" applyAlignment="1">
      <alignment horizontal="center" vertical="center" wrapText="1"/>
    </xf>
    <xf numFmtId="0" fontId="21" fillId="11" borderId="19" xfId="0" applyFont="1" applyFill="1" applyBorder="1" applyAlignment="1">
      <alignment horizontal="center"/>
    </xf>
    <xf numFmtId="0" fontId="21" fillId="11" borderId="19" xfId="0" applyFont="1" applyFill="1" applyBorder="1" applyAlignment="1">
      <alignment horizontal="left"/>
    </xf>
    <xf numFmtId="0" fontId="6" fillId="0" borderId="13" xfId="0" applyFont="1" applyBorder="1" applyAlignment="1">
      <alignment horizontal="right"/>
    </xf>
    <xf numFmtId="0" fontId="21" fillId="11" borderId="1" xfId="0" applyFont="1" applyFill="1" applyBorder="1"/>
    <xf numFmtId="21" fontId="21" fillId="11" borderId="1" xfId="0" applyNumberFormat="1" applyFont="1" applyFill="1" applyBorder="1"/>
    <xf numFmtId="0" fontId="21" fillId="11" borderId="1" xfId="0" applyFont="1" applyFill="1" applyBorder="1" applyAlignment="1">
      <alignment horizontal="center"/>
    </xf>
    <xf numFmtId="164" fontId="21" fillId="11" borderId="1" xfId="0" applyNumberFormat="1" applyFont="1" applyFill="1" applyBorder="1"/>
    <xf numFmtId="164" fontId="21" fillId="11" borderId="1" xfId="0" applyNumberFormat="1" applyFont="1" applyFill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21" fillId="15" borderId="1" xfId="0" applyFont="1" applyFill="1" applyBorder="1"/>
    <xf numFmtId="21" fontId="21" fillId="15" borderId="1" xfId="0" applyNumberFormat="1" applyFont="1" applyFill="1" applyBorder="1"/>
    <xf numFmtId="0" fontId="21" fillId="15" borderId="1" xfId="0" applyFont="1" applyFill="1" applyBorder="1" applyAlignment="1">
      <alignment horizontal="center"/>
    </xf>
    <xf numFmtId="164" fontId="21" fillId="15" borderId="1" xfId="0" applyNumberFormat="1" applyFont="1" applyFill="1" applyBorder="1"/>
    <xf numFmtId="164" fontId="21" fillId="15" borderId="1" xfId="0" applyNumberFormat="1" applyFont="1" applyFill="1" applyBorder="1" applyAlignment="1">
      <alignment horizontal="right"/>
    </xf>
    <xf numFmtId="0" fontId="21" fillId="15" borderId="20" xfId="0" applyFont="1" applyFill="1" applyBorder="1" applyAlignment="1">
      <alignment horizontal="left"/>
    </xf>
    <xf numFmtId="0" fontId="20" fillId="16" borderId="18" xfId="0" applyFont="1" applyFill="1" applyBorder="1" applyAlignment="1">
      <alignment wrapText="1"/>
    </xf>
    <xf numFmtId="20" fontId="21" fillId="15" borderId="18" xfId="0" applyNumberFormat="1" applyFont="1" applyFill="1" applyBorder="1" applyAlignment="1">
      <alignment horizontal="center" vertical="center"/>
    </xf>
    <xf numFmtId="0" fontId="21" fillId="15" borderId="18" xfId="0" applyFont="1" applyFill="1" applyBorder="1" applyAlignment="1">
      <alignment horizontal="center"/>
    </xf>
    <xf numFmtId="165" fontId="20" fillId="17" borderId="18" xfId="0" applyNumberFormat="1" applyFont="1" applyFill="1" applyBorder="1" applyAlignment="1">
      <alignment horizontal="right" wrapText="1"/>
    </xf>
    <xf numFmtId="164" fontId="21" fillId="15" borderId="19" xfId="0" applyNumberFormat="1" applyFont="1" applyFill="1" applyBorder="1" applyAlignment="1">
      <alignment horizontal="right"/>
    </xf>
    <xf numFmtId="0" fontId="21" fillId="15" borderId="18" xfId="0" applyFont="1" applyFill="1" applyBorder="1" applyAlignment="1">
      <alignment horizontal="left"/>
    </xf>
    <xf numFmtId="0" fontId="6" fillId="18" borderId="1" xfId="0" applyFont="1" applyFill="1" applyBorder="1" applyAlignment="1">
      <alignment horizontal="left" vertical="center"/>
    </xf>
    <xf numFmtId="20" fontId="6" fillId="18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164" fontId="6" fillId="18" borderId="1" xfId="0" applyNumberFormat="1" applyFont="1" applyFill="1" applyBorder="1" applyAlignment="1">
      <alignment horizontal="right"/>
    </xf>
    <xf numFmtId="0" fontId="6" fillId="18" borderId="1" xfId="0" applyFont="1" applyFill="1" applyBorder="1" applyAlignment="1">
      <alignment horizontal="left"/>
    </xf>
    <xf numFmtId="0" fontId="22" fillId="15" borderId="18" xfId="0" applyFont="1" applyFill="1" applyBorder="1" applyAlignment="1">
      <alignment horizontal="left" vertical="center"/>
    </xf>
    <xf numFmtId="21" fontId="22" fillId="15" borderId="18" xfId="0" applyNumberFormat="1" applyFont="1" applyFill="1" applyBorder="1" applyAlignment="1">
      <alignment horizontal="left" vertical="center"/>
    </xf>
    <xf numFmtId="164" fontId="22" fillId="15" borderId="18" xfId="0" applyNumberFormat="1" applyFont="1" applyFill="1" applyBorder="1" applyAlignment="1">
      <alignment horizontal="right"/>
    </xf>
    <xf numFmtId="164" fontId="22" fillId="17" borderId="18" xfId="0" applyNumberFormat="1" applyFont="1" applyFill="1" applyBorder="1"/>
    <xf numFmtId="0" fontId="21" fillId="15" borderId="18" xfId="0" applyFont="1" applyFill="1" applyBorder="1" applyAlignment="1">
      <alignment vertical="center"/>
    </xf>
    <xf numFmtId="164" fontId="21" fillId="15" borderId="18" xfId="0" applyNumberFormat="1" applyFont="1" applyFill="1" applyBorder="1" applyAlignment="1">
      <alignment horizontal="right" vertical="center"/>
    </xf>
    <xf numFmtId="164" fontId="21" fillId="15" borderId="18" xfId="0" applyNumberFormat="1" applyFont="1" applyFill="1" applyBorder="1" applyAlignment="1">
      <alignment horizontal="right"/>
    </xf>
    <xf numFmtId="0" fontId="21" fillId="15" borderId="18" xfId="0" applyFont="1" applyFill="1" applyBorder="1" applyAlignment="1">
      <alignment horizontal="left" vertical="center"/>
    </xf>
    <xf numFmtId="0" fontId="21" fillId="18" borderId="21" xfId="0" applyFont="1" applyFill="1" applyBorder="1" applyAlignment="1">
      <alignment horizontal="left"/>
    </xf>
    <xf numFmtId="21" fontId="21" fillId="18" borderId="22" xfId="0" applyNumberFormat="1" applyFont="1" applyFill="1" applyBorder="1" applyAlignment="1">
      <alignment horizontal="right"/>
    </xf>
    <xf numFmtId="0" fontId="21" fillId="18" borderId="22" xfId="0" applyFont="1" applyFill="1" applyBorder="1" applyAlignment="1">
      <alignment horizontal="center"/>
    </xf>
    <xf numFmtId="164" fontId="21" fillId="18" borderId="22" xfId="0" applyNumberFormat="1" applyFont="1" applyFill="1" applyBorder="1" applyAlignment="1">
      <alignment horizontal="right"/>
    </xf>
    <xf numFmtId="0" fontId="21" fillId="18" borderId="22" xfId="0" applyFont="1" applyFill="1" applyBorder="1"/>
    <xf numFmtId="0" fontId="20" fillId="18" borderId="18" xfId="0" applyFont="1" applyFill="1" applyBorder="1"/>
    <xf numFmtId="21" fontId="21" fillId="15" borderId="18" xfId="0" applyNumberFormat="1" applyFont="1" applyFill="1" applyBorder="1" applyAlignment="1">
      <alignment vertical="center"/>
    </xf>
  </cellXfs>
  <cellStyles count="176"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77" builtinId="8" hidden="1"/>
    <cellStyle name="Hipervínculo" xfId="6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5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3" builtinId="8" hidden="1"/>
    <cellStyle name="Hipervínculo" xfId="1" builtinId="8" hidden="1"/>
    <cellStyle name="Hipervínculo" xfId="116" builtinId="8"/>
    <cellStyle name="Hipervínculo visitado" xfId="68" builtinId="9" hidden="1"/>
    <cellStyle name="Hipervínculo visitado" xfId="72" builtinId="9" hidden="1"/>
    <cellStyle name="Hipervínculo visitado" xfId="76" builtinId="9" hidden="1"/>
    <cellStyle name="Hipervínculo visitado" xfId="80" builtinId="9" hidden="1"/>
    <cellStyle name="Hipervínculo visitado" xfId="84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3" builtinId="9" hidden="1"/>
    <cellStyle name="Hipervínculo visitado" xfId="171" builtinId="9" hidden="1"/>
    <cellStyle name="Hipervínculo visitado" xfId="169" builtinId="9" hidden="1"/>
    <cellStyle name="Hipervínculo visitado" xfId="167" builtinId="9" hidden="1"/>
    <cellStyle name="Hipervínculo visitado" xfId="165" builtinId="9" hidden="1"/>
    <cellStyle name="Hipervínculo visitado" xfId="163" builtinId="9" hidden="1"/>
    <cellStyle name="Hipervínculo visitado" xfId="161" builtinId="9" hidden="1"/>
    <cellStyle name="Hipervínculo visitado" xfId="159" builtinId="9" hidden="1"/>
    <cellStyle name="Hipervínculo visitado" xfId="157" builtinId="9" hidden="1"/>
    <cellStyle name="Hipervínculo visitado" xfId="155" builtinId="9" hidden="1"/>
    <cellStyle name="Hipervínculo visitado" xfId="153" builtinId="9" hidden="1"/>
    <cellStyle name="Hipervínculo visitado" xfId="151" builtinId="9" hidden="1"/>
    <cellStyle name="Hipervínculo visitado" xfId="149" builtinId="9" hidden="1"/>
    <cellStyle name="Hipervínculo visitado" xfId="147" builtinId="9" hidden="1"/>
    <cellStyle name="Hipervínculo visitado" xfId="145" builtinId="9" hidden="1"/>
    <cellStyle name="Hipervínculo visitado" xfId="143" builtinId="9" hidden="1"/>
    <cellStyle name="Hipervínculo visitado" xfId="141" builtinId="9" hidden="1"/>
    <cellStyle name="Hipervínculo visitado" xfId="139" builtinId="9" hidden="1"/>
    <cellStyle name="Hipervínculo visitado" xfId="137" builtinId="9" hidden="1"/>
    <cellStyle name="Hipervínculo visitado" xfId="135" builtinId="9" hidden="1"/>
    <cellStyle name="Hipervínculo visitado" xfId="133" builtinId="9" hidden="1"/>
    <cellStyle name="Hipervínculo visitado" xfId="131" builtinId="9" hidden="1"/>
    <cellStyle name="Hipervínculo visitado" xfId="129" builtinId="9" hidden="1"/>
    <cellStyle name="Hipervínculo visitado" xfId="127" builtinId="9" hidden="1"/>
    <cellStyle name="Hipervínculo visitado" xfId="125" builtinId="9" hidden="1"/>
    <cellStyle name="Hipervínculo visitado" xfId="123" builtinId="9" hidden="1"/>
    <cellStyle name="Hipervínculo visitado" xfId="121" builtinId="9" hidden="1"/>
    <cellStyle name="Hipervínculo visitado" xfId="119" builtinId="9" hidden="1"/>
    <cellStyle name="Hipervínculo visitado" xfId="117" builtinId="9" hidden="1"/>
    <cellStyle name="Hipervínculo visitado" xfId="114" builtinId="9" hidden="1"/>
    <cellStyle name="Hipervínculo visitado" xfId="112" builtinId="9" hidden="1"/>
    <cellStyle name="Hipervínculo visitado" xfId="110" builtinId="9" hidden="1"/>
    <cellStyle name="Hipervínculo visitado" xfId="108" builtinId="9" hidden="1"/>
    <cellStyle name="Hipervínculo visitado" xfId="106" builtinId="9" hidden="1"/>
    <cellStyle name="Hipervínculo visitado" xfId="104" builtinId="9" hidden="1"/>
    <cellStyle name="Hipervínculo visitado" xfId="102" builtinId="9" hidden="1"/>
    <cellStyle name="Hipervínculo visitado" xfId="100" builtinId="9" hidden="1"/>
    <cellStyle name="Hipervínculo visitado" xfId="98" builtinId="9" hidden="1"/>
    <cellStyle name="Hipervínculo visitado" xfId="96" builtinId="9" hidden="1"/>
    <cellStyle name="Hipervínculo visitado" xfId="94" builtinId="9" hidden="1"/>
    <cellStyle name="Hipervínculo visitado" xfId="92" builtinId="9" hidden="1"/>
    <cellStyle name="Hipervínculo visitado" xfId="90" builtinId="9" hidden="1"/>
    <cellStyle name="Hipervínculo visitado" xfId="88" builtinId="9" hidden="1"/>
    <cellStyle name="Hipervínculo visitado" xfId="86" builtinId="9" hidden="1"/>
    <cellStyle name="Hipervínculo visitado" xfId="82" builtinId="9" hidden="1"/>
    <cellStyle name="Hipervínculo visitado" xfId="78" builtinId="9" hidden="1"/>
    <cellStyle name="Hipervínculo visitado" xfId="74" builtinId="9" hidden="1"/>
    <cellStyle name="Hipervínculo visitado" xfId="70" builtinId="9" hidden="1"/>
    <cellStyle name="Hipervínculo visitado" xfId="66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4" builtinId="9" hidden="1"/>
    <cellStyle name="Hipervínculo visitado" xfId="62" builtinId="9" hidden="1"/>
    <cellStyle name="Hipervínculo visitado" xfId="54" builtinId="9" hidden="1"/>
    <cellStyle name="Hipervínculo visitado" xfId="46" builtinId="9" hidden="1"/>
    <cellStyle name="Hipervínculo visitado" xfId="38" builtinId="9" hidden="1"/>
    <cellStyle name="Hipervínculo visitado" xfId="30" builtinId="9" hidden="1"/>
    <cellStyle name="Hipervínculo visitado" xfId="22" builtinId="9" hidden="1"/>
    <cellStyle name="Hipervínculo visitado" xfId="10" builtinId="9" hidden="1"/>
    <cellStyle name="Hipervínculo visitado" xfId="12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14" builtinId="9" hidden="1"/>
    <cellStyle name="Hipervínculo visitado" xfId="6" builtinId="9" hidden="1"/>
    <cellStyle name="Hipervínculo visitado" xfId="8" builtinId="9" hidden="1"/>
    <cellStyle name="Hipervínculo visitado" xfId="4" builtinId="9" hidden="1"/>
    <cellStyle name="Hipervínculo visitado" xfId="2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1981200</xdr:colOff>
      <xdr:row>5</xdr:row>
      <xdr:rowOff>209494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DF3605B5-A969-A940-827E-5D3D8C45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81200" cy="1479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sf@sflodge.cl" TargetMode="External"/><Relationship Id="rId1" Type="http://schemas.openxmlformats.org/officeDocument/2006/relationships/hyperlink" Target="mailto:sf@sflodg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1"/>
  <sheetViews>
    <sheetView topLeftCell="A8" zoomScale="109" zoomScaleNormal="109" zoomScalePageLayoutView="109" workbookViewId="0">
      <selection activeCell="A17" sqref="A17:G18"/>
    </sheetView>
  </sheetViews>
  <sheetFormatPr baseColWidth="10" defaultColWidth="11" defaultRowHeight="16"/>
  <cols>
    <col min="1" max="1" width="36.33203125" customWidth="1"/>
    <col min="2" max="2" width="10.83203125" style="25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8" ht="47" customHeight="1">
      <c r="A1" s="1" t="s">
        <v>0</v>
      </c>
      <c r="B1" s="24"/>
      <c r="C1" s="21" t="s">
        <v>1</v>
      </c>
    </row>
    <row r="2" spans="1:8">
      <c r="F2" s="80" t="s">
        <v>0</v>
      </c>
      <c r="G2" s="68" t="s">
        <v>2</v>
      </c>
    </row>
    <row r="3" spans="1:8">
      <c r="A3" s="13" t="s">
        <v>3</v>
      </c>
      <c r="B3" s="51"/>
      <c r="D3" t="s">
        <v>4</v>
      </c>
      <c r="E3" s="13"/>
      <c r="G3" s="33" t="s">
        <v>5</v>
      </c>
    </row>
    <row r="4" spans="1:8">
      <c r="A4" s="81" t="s">
        <v>6</v>
      </c>
      <c r="B4" s="51"/>
      <c r="C4" s="22"/>
      <c r="D4" t="s">
        <v>7</v>
      </c>
      <c r="G4" s="34" t="s">
        <v>8</v>
      </c>
    </row>
    <row r="5" spans="1:8">
      <c r="A5" s="81" t="s">
        <v>9</v>
      </c>
      <c r="B5" s="51"/>
      <c r="D5" t="s">
        <v>10</v>
      </c>
      <c r="E5" s="13" t="s">
        <v>0</v>
      </c>
      <c r="G5" s="34" t="s">
        <v>11</v>
      </c>
    </row>
    <row r="6" spans="1:8">
      <c r="A6" s="20" t="s">
        <v>12</v>
      </c>
      <c r="B6" s="52" t="s">
        <v>13</v>
      </c>
      <c r="C6" s="19"/>
      <c r="D6" s="19" t="s">
        <v>14</v>
      </c>
      <c r="E6" s="19" t="s">
        <v>15</v>
      </c>
      <c r="G6" s="34" t="s">
        <v>16</v>
      </c>
    </row>
    <row r="7" spans="1:8" ht="17" thickBot="1">
      <c r="A7" s="19"/>
      <c r="B7" s="52"/>
      <c r="C7" s="19"/>
      <c r="D7" s="19"/>
      <c r="E7" s="19"/>
      <c r="F7" s="19"/>
      <c r="G7" s="34"/>
    </row>
    <row r="8" spans="1:8" ht="15.75" customHeight="1">
      <c r="A8" s="45" t="s">
        <v>17</v>
      </c>
      <c r="B8" s="46" t="s">
        <v>18</v>
      </c>
      <c r="C8" s="47" t="s">
        <v>19</v>
      </c>
      <c r="D8" s="47" t="s">
        <v>20</v>
      </c>
      <c r="E8" s="47" t="s">
        <v>21</v>
      </c>
      <c r="F8" s="47" t="s">
        <v>22</v>
      </c>
      <c r="G8" s="48" t="s">
        <v>23</v>
      </c>
    </row>
    <row r="9" spans="1:8">
      <c r="A9" s="43" t="s">
        <v>24</v>
      </c>
      <c r="B9" s="44"/>
      <c r="C9" s="37">
        <v>0</v>
      </c>
      <c r="D9" s="37">
        <v>0</v>
      </c>
      <c r="E9" s="55">
        <f>12500/1.19</f>
        <v>10504.20168067227</v>
      </c>
      <c r="F9" s="36">
        <f>C9*D9*E9</f>
        <v>0</v>
      </c>
      <c r="G9" s="35" t="s">
        <v>25</v>
      </c>
    </row>
    <row r="10" spans="1:8">
      <c r="A10" s="41" t="s">
        <v>26</v>
      </c>
      <c r="B10" s="42"/>
      <c r="C10" s="37">
        <v>0</v>
      </c>
      <c r="D10" s="37">
        <v>0</v>
      </c>
      <c r="E10" s="40">
        <v>4850</v>
      </c>
      <c r="F10" s="36">
        <f t="shared" ref="F10:F28" si="0">C10*D10*E10</f>
        <v>0</v>
      </c>
      <c r="G10" s="38" t="s">
        <v>27</v>
      </c>
    </row>
    <row r="11" spans="1:8">
      <c r="A11" s="63" t="s">
        <v>28</v>
      </c>
      <c r="B11" s="64"/>
      <c r="C11" s="65">
        <v>0</v>
      </c>
      <c r="D11" s="65">
        <v>0</v>
      </c>
      <c r="E11" s="66">
        <v>5850</v>
      </c>
      <c r="F11" s="36">
        <f t="shared" si="0"/>
        <v>0</v>
      </c>
      <c r="G11" s="67" t="s">
        <v>29</v>
      </c>
    </row>
    <row r="12" spans="1:8">
      <c r="A12" s="63" t="s">
        <v>30</v>
      </c>
      <c r="B12" s="64"/>
      <c r="C12" s="65">
        <v>0</v>
      </c>
      <c r="D12" s="65">
        <v>0</v>
      </c>
      <c r="E12" s="66">
        <v>6850</v>
      </c>
      <c r="F12" s="36">
        <f t="shared" si="0"/>
        <v>0</v>
      </c>
      <c r="G12" s="67" t="s">
        <v>31</v>
      </c>
    </row>
    <row r="13" spans="1:8" s="85" customFormat="1" ht="51">
      <c r="A13" s="41" t="s">
        <v>32</v>
      </c>
      <c r="B13" s="89"/>
      <c r="C13" s="37">
        <v>0</v>
      </c>
      <c r="D13" s="37">
        <v>0</v>
      </c>
      <c r="E13" s="40">
        <v>21600</v>
      </c>
      <c r="F13" s="36">
        <f t="shared" si="0"/>
        <v>0</v>
      </c>
      <c r="G13" s="114" t="s">
        <v>33</v>
      </c>
      <c r="H13" s="90"/>
    </row>
    <row r="14" spans="1:8" s="85" customFormat="1" ht="68">
      <c r="A14" s="41" t="s">
        <v>34</v>
      </c>
      <c r="B14" s="89"/>
      <c r="C14" s="37">
        <v>0</v>
      </c>
      <c r="D14" s="37">
        <v>0</v>
      </c>
      <c r="E14" s="40">
        <v>27480</v>
      </c>
      <c r="F14" s="36">
        <f t="shared" si="0"/>
        <v>0</v>
      </c>
      <c r="G14" s="114" t="s">
        <v>35</v>
      </c>
      <c r="H14" s="90"/>
    </row>
    <row r="15" spans="1:8" ht="34">
      <c r="A15" s="78" t="s">
        <v>36</v>
      </c>
      <c r="B15" s="89">
        <v>0.54166666666666663</v>
      </c>
      <c r="C15" s="37">
        <v>0</v>
      </c>
      <c r="D15" s="37">
        <v>0</v>
      </c>
      <c r="E15" s="115">
        <v>25210</v>
      </c>
      <c r="F15" s="115">
        <f t="shared" si="0"/>
        <v>0</v>
      </c>
      <c r="G15" s="35" t="s">
        <v>37</v>
      </c>
      <c r="H15" s="18"/>
    </row>
    <row r="16" spans="1:8" ht="34">
      <c r="A16" s="78" t="s">
        <v>38</v>
      </c>
      <c r="B16" s="89">
        <v>0.54166666666666663</v>
      </c>
      <c r="C16" s="37">
        <v>0</v>
      </c>
      <c r="D16" s="37">
        <v>0</v>
      </c>
      <c r="E16" s="115">
        <v>25210</v>
      </c>
      <c r="F16" s="115">
        <f t="shared" si="0"/>
        <v>0</v>
      </c>
      <c r="G16" s="35" t="s">
        <v>37</v>
      </c>
      <c r="H16" s="18"/>
    </row>
    <row r="17" spans="1:7" ht="17">
      <c r="A17" s="84" t="s">
        <v>39</v>
      </c>
      <c r="B17" s="54"/>
      <c r="C17" s="37">
        <v>0</v>
      </c>
      <c r="D17" s="37">
        <v>0</v>
      </c>
      <c r="E17" s="116">
        <v>35000</v>
      </c>
      <c r="F17" s="115">
        <f>C17*D17*E17</f>
        <v>0</v>
      </c>
      <c r="G17" s="103" t="s">
        <v>40</v>
      </c>
    </row>
    <row r="18" spans="1:7" ht="24" customHeight="1">
      <c r="A18" s="84" t="s">
        <v>41</v>
      </c>
      <c r="B18" s="54"/>
      <c r="C18" s="37">
        <v>0</v>
      </c>
      <c r="D18" s="37">
        <v>0</v>
      </c>
      <c r="E18" s="116">
        <v>45000</v>
      </c>
      <c r="F18" s="115">
        <f>C18*D18*E18</f>
        <v>0</v>
      </c>
      <c r="G18" s="103" t="s">
        <v>42</v>
      </c>
    </row>
    <row r="19" spans="1:7">
      <c r="A19" s="38" t="s">
        <v>43</v>
      </c>
      <c r="B19" s="39"/>
      <c r="C19" s="37">
        <v>0</v>
      </c>
      <c r="D19" s="37">
        <v>0</v>
      </c>
      <c r="E19" s="36">
        <v>1933</v>
      </c>
      <c r="F19" s="36">
        <f t="shared" si="0"/>
        <v>0</v>
      </c>
      <c r="G19" s="35" t="s">
        <v>44</v>
      </c>
    </row>
    <row r="20" spans="1:7">
      <c r="A20" s="38" t="s">
        <v>45</v>
      </c>
      <c r="B20" s="39"/>
      <c r="C20" s="37">
        <v>0</v>
      </c>
      <c r="D20" s="37">
        <v>0</v>
      </c>
      <c r="E20" s="36">
        <v>15126</v>
      </c>
      <c r="F20" s="36">
        <f t="shared" si="0"/>
        <v>0</v>
      </c>
      <c r="G20" s="35" t="s">
        <v>44</v>
      </c>
    </row>
    <row r="21" spans="1:7">
      <c r="A21" s="41" t="s">
        <v>46</v>
      </c>
      <c r="B21" s="89">
        <v>0.75</v>
      </c>
      <c r="C21" s="37">
        <v>0</v>
      </c>
      <c r="D21" s="37">
        <v>0</v>
      </c>
      <c r="E21" s="40">
        <v>9800</v>
      </c>
      <c r="F21" s="36">
        <f t="shared" si="0"/>
        <v>0</v>
      </c>
      <c r="G21" s="38" t="s">
        <v>47</v>
      </c>
    </row>
    <row r="22" spans="1:7" ht="17">
      <c r="A22" s="38" t="s">
        <v>48</v>
      </c>
      <c r="B22" s="70"/>
      <c r="C22" s="71">
        <v>1</v>
      </c>
      <c r="D22" s="70"/>
      <c r="E22" s="72">
        <v>12000</v>
      </c>
      <c r="F22" s="36">
        <f t="shared" si="0"/>
        <v>0</v>
      </c>
      <c r="G22" s="73" t="s">
        <v>49</v>
      </c>
    </row>
    <row r="23" spans="1:7" ht="34">
      <c r="A23" s="78" t="s">
        <v>50</v>
      </c>
      <c r="B23" s="70"/>
      <c r="C23" s="65">
        <v>0</v>
      </c>
      <c r="D23" s="65">
        <v>0</v>
      </c>
      <c r="E23" s="72">
        <v>15500</v>
      </c>
      <c r="F23" s="36">
        <f t="shared" si="0"/>
        <v>0</v>
      </c>
      <c r="G23" s="79" t="s">
        <v>51</v>
      </c>
    </row>
    <row r="24" spans="1:7" ht="19" customHeight="1">
      <c r="A24" s="83" t="s">
        <v>52</v>
      </c>
      <c r="B24" s="39"/>
      <c r="C24" s="37">
        <v>0</v>
      </c>
      <c r="D24" s="37">
        <v>0</v>
      </c>
      <c r="E24" s="36">
        <v>22500</v>
      </c>
      <c r="F24" s="36">
        <f t="shared" si="0"/>
        <v>0</v>
      </c>
      <c r="G24" s="38" t="s">
        <v>53</v>
      </c>
    </row>
    <row r="25" spans="1:7" ht="48" customHeight="1">
      <c r="A25" s="78" t="s">
        <v>54</v>
      </c>
      <c r="B25" s="70"/>
      <c r="C25" s="65">
        <v>0</v>
      </c>
      <c r="D25" s="65">
        <v>0</v>
      </c>
      <c r="E25" s="72">
        <v>450000</v>
      </c>
      <c r="F25" s="36">
        <f t="shared" si="0"/>
        <v>0</v>
      </c>
      <c r="G25" s="117" t="s">
        <v>55</v>
      </c>
    </row>
    <row r="26" spans="1:7">
      <c r="A26" s="59" t="s">
        <v>56</v>
      </c>
      <c r="B26" s="60"/>
      <c r="C26" s="17">
        <v>0</v>
      </c>
      <c r="D26" s="17">
        <v>0</v>
      </c>
      <c r="E26" s="61">
        <v>4850</v>
      </c>
      <c r="F26" s="36">
        <f t="shared" si="0"/>
        <v>0</v>
      </c>
      <c r="G26" s="62" t="s">
        <v>57</v>
      </c>
    </row>
    <row r="27" spans="1:7">
      <c r="A27" s="59" t="s">
        <v>58</v>
      </c>
      <c r="B27" s="60"/>
      <c r="C27" s="17">
        <v>0</v>
      </c>
      <c r="D27" s="17">
        <v>0</v>
      </c>
      <c r="E27" s="61">
        <v>28000</v>
      </c>
      <c r="F27" s="36">
        <f t="shared" si="0"/>
        <v>0</v>
      </c>
      <c r="G27" s="9" t="s">
        <v>59</v>
      </c>
    </row>
    <row r="28" spans="1:7">
      <c r="A28" s="59" t="s">
        <v>60</v>
      </c>
      <c r="B28" s="60"/>
      <c r="C28" s="17">
        <v>0</v>
      </c>
      <c r="D28" s="17">
        <v>0</v>
      </c>
      <c r="E28" s="61">
        <v>7000</v>
      </c>
      <c r="F28" s="36">
        <f t="shared" si="0"/>
        <v>0</v>
      </c>
      <c r="G28" s="9" t="s">
        <v>61</v>
      </c>
    </row>
    <row r="29" spans="1:7" ht="17" thickBot="1">
      <c r="A29" s="59" t="s">
        <v>62</v>
      </c>
      <c r="B29" s="60"/>
      <c r="C29" s="17"/>
      <c r="D29" s="17"/>
      <c r="E29" s="61">
        <v>15000</v>
      </c>
      <c r="F29" s="36">
        <f>SUM(F9:F28)</f>
        <v>0</v>
      </c>
      <c r="G29" s="9" t="s">
        <v>63</v>
      </c>
    </row>
    <row r="30" spans="1:7" ht="19" customHeight="1" thickBot="1">
      <c r="A30" s="118" t="s">
        <v>64</v>
      </c>
      <c r="B30" s="119" t="s">
        <v>18</v>
      </c>
      <c r="C30" s="120" t="s">
        <v>65</v>
      </c>
      <c r="D30" s="120" t="s">
        <v>66</v>
      </c>
      <c r="E30" s="120" t="s">
        <v>21</v>
      </c>
      <c r="F30" s="121" t="s">
        <v>22</v>
      </c>
      <c r="G30" s="47" t="s">
        <v>23</v>
      </c>
    </row>
    <row r="31" spans="1:7" ht="19" customHeight="1">
      <c r="A31" s="59" t="s">
        <v>67</v>
      </c>
      <c r="B31" s="122"/>
      <c r="C31" s="123">
        <v>0</v>
      </c>
      <c r="D31" s="123">
        <v>0</v>
      </c>
      <c r="E31" s="124">
        <v>109664</v>
      </c>
      <c r="F31" s="125">
        <f>C31*E31</f>
        <v>0</v>
      </c>
      <c r="G31" s="126" t="s">
        <v>68</v>
      </c>
    </row>
    <row r="32" spans="1:7" ht="19" customHeight="1">
      <c r="A32" s="126" t="s">
        <v>69</v>
      </c>
      <c r="B32" s="77"/>
      <c r="C32" s="37">
        <v>0</v>
      </c>
      <c r="D32" s="37">
        <v>0</v>
      </c>
      <c r="E32" s="127">
        <f>E31+39916</f>
        <v>149580</v>
      </c>
      <c r="F32" s="36">
        <f t="shared" ref="F32" si="1">C32*E32</f>
        <v>0</v>
      </c>
      <c r="G32" s="126" t="s">
        <v>68</v>
      </c>
    </row>
    <row r="33" spans="1:7" ht="19" customHeight="1">
      <c r="A33" s="126" t="s">
        <v>70</v>
      </c>
      <c r="B33" s="77"/>
      <c r="C33" s="37">
        <v>0</v>
      </c>
      <c r="D33" s="37">
        <v>0</v>
      </c>
      <c r="E33" s="127">
        <v>39916</v>
      </c>
      <c r="F33" s="36">
        <f>C33*E33</f>
        <v>0</v>
      </c>
      <c r="G33" s="126" t="s">
        <v>68</v>
      </c>
    </row>
    <row r="34" spans="1:7" ht="19" customHeight="1">
      <c r="A34" s="128"/>
      <c r="B34" s="129"/>
      <c r="C34" s="130"/>
      <c r="D34" s="131"/>
      <c r="E34" s="6" t="s">
        <v>0</v>
      </c>
      <c r="F34" s="132"/>
      <c r="G34" s="133"/>
    </row>
    <row r="35" spans="1:7" ht="19" customHeight="1" thickBot="1">
      <c r="A35" s="2" t="s">
        <v>71</v>
      </c>
      <c r="B35" s="26"/>
      <c r="C35" s="12"/>
      <c r="D35" s="8"/>
      <c r="F35" s="4">
        <f>SUM(F31:F33)</f>
        <v>0</v>
      </c>
      <c r="G35" s="11" t="s">
        <v>0</v>
      </c>
    </row>
    <row r="36" spans="1:7" ht="19" customHeight="1">
      <c r="A36" s="45" t="s">
        <v>72</v>
      </c>
      <c r="B36" s="46"/>
      <c r="C36" s="47" t="s">
        <v>19</v>
      </c>
      <c r="D36" s="47" t="s">
        <v>20</v>
      </c>
      <c r="E36" s="47" t="s">
        <v>21</v>
      </c>
      <c r="F36" s="47" t="s">
        <v>22</v>
      </c>
      <c r="G36" s="48" t="s">
        <v>23</v>
      </c>
    </row>
    <row r="37" spans="1:7" ht="19" customHeight="1">
      <c r="A37" s="43" t="s">
        <v>73</v>
      </c>
      <c r="B37" s="44"/>
      <c r="C37" s="37">
        <v>0</v>
      </c>
      <c r="D37" s="37">
        <v>80</v>
      </c>
      <c r="E37" s="55">
        <v>350000</v>
      </c>
      <c r="F37" s="36">
        <f>C37*E37</f>
        <v>0</v>
      </c>
      <c r="G37" s="35" t="s">
        <v>74</v>
      </c>
    </row>
    <row r="38" spans="1:7" ht="19" customHeight="1">
      <c r="A38" s="7" t="s">
        <v>75</v>
      </c>
      <c r="B38" s="77"/>
      <c r="C38" s="37">
        <v>0</v>
      </c>
      <c r="D38" s="37">
        <v>40</v>
      </c>
      <c r="E38" s="55">
        <v>300000</v>
      </c>
      <c r="F38" s="36">
        <f t="shared" ref="F38:F42" si="2">C38*E38</f>
        <v>0</v>
      </c>
      <c r="G38" s="35" t="s">
        <v>74</v>
      </c>
    </row>
    <row r="39" spans="1:7">
      <c r="A39" s="7" t="s">
        <v>76</v>
      </c>
      <c r="B39" s="42"/>
      <c r="C39" s="37">
        <v>0</v>
      </c>
      <c r="D39" s="37">
        <v>30</v>
      </c>
      <c r="E39" s="40">
        <v>220000</v>
      </c>
      <c r="F39" s="36">
        <f t="shared" si="2"/>
        <v>0</v>
      </c>
      <c r="G39" s="35" t="s">
        <v>74</v>
      </c>
    </row>
    <row r="40" spans="1:7" ht="19" customHeight="1">
      <c r="A40" s="38" t="s">
        <v>77</v>
      </c>
      <c r="B40" s="39"/>
      <c r="C40" s="37">
        <v>0</v>
      </c>
      <c r="D40" s="37">
        <v>15</v>
      </c>
      <c r="E40" s="40">
        <v>180000</v>
      </c>
      <c r="F40" s="36">
        <f t="shared" si="2"/>
        <v>0</v>
      </c>
      <c r="G40" s="35" t="s">
        <v>74</v>
      </c>
    </row>
    <row r="41" spans="1:7">
      <c r="A41" s="38" t="s">
        <v>78</v>
      </c>
      <c r="B41" s="39"/>
      <c r="C41" s="37">
        <v>0</v>
      </c>
      <c r="D41" s="37">
        <v>60</v>
      </c>
      <c r="E41" s="36">
        <v>450000</v>
      </c>
      <c r="F41" s="36">
        <f t="shared" si="2"/>
        <v>0</v>
      </c>
      <c r="G41" s="35" t="s">
        <v>74</v>
      </c>
    </row>
    <row r="42" spans="1:7" ht="19" customHeight="1">
      <c r="A42" s="53" t="s">
        <v>79</v>
      </c>
      <c r="B42" s="54" t="s">
        <v>0</v>
      </c>
      <c r="C42" s="37">
        <v>0</v>
      </c>
      <c r="D42" s="37">
        <v>150</v>
      </c>
      <c r="E42" s="36">
        <v>500000</v>
      </c>
      <c r="F42" s="36">
        <f t="shared" si="2"/>
        <v>0</v>
      </c>
      <c r="G42" s="35" t="s">
        <v>0</v>
      </c>
    </row>
    <row r="43" spans="1:7" ht="19" customHeight="1" thickBot="1">
      <c r="A43" s="134"/>
      <c r="B43" s="135"/>
      <c r="C43" s="131"/>
      <c r="D43" s="131"/>
      <c r="E43" s="136" t="s">
        <v>0</v>
      </c>
      <c r="F43" s="137">
        <f>SUM(F37:F42)</f>
        <v>0</v>
      </c>
      <c r="G43" s="138"/>
    </row>
    <row r="44" spans="1:7" ht="19" customHeight="1">
      <c r="A44" s="45" t="s">
        <v>80</v>
      </c>
      <c r="B44" s="46"/>
      <c r="C44" s="47" t="s">
        <v>19</v>
      </c>
      <c r="D44" s="47" t="s">
        <v>20</v>
      </c>
      <c r="E44" s="47" t="s">
        <v>21</v>
      </c>
      <c r="F44" s="47" t="s">
        <v>22</v>
      </c>
      <c r="G44" s="48" t="s">
        <v>23</v>
      </c>
    </row>
    <row r="45" spans="1:7" ht="19" customHeight="1">
      <c r="A45" s="38" t="s">
        <v>81</v>
      </c>
      <c r="B45" s="39"/>
      <c r="C45" s="37">
        <v>0</v>
      </c>
      <c r="D45" s="37">
        <v>0</v>
      </c>
      <c r="E45" s="36">
        <v>200000</v>
      </c>
      <c r="F45" s="139">
        <f>C45*E45</f>
        <v>0</v>
      </c>
      <c r="G45" s="69"/>
    </row>
    <row r="46" spans="1:7">
      <c r="A46" s="38" t="s">
        <v>82</v>
      </c>
      <c r="B46" s="77"/>
      <c r="C46" s="37">
        <v>0</v>
      </c>
      <c r="D46" s="37">
        <v>0</v>
      </c>
      <c r="E46" s="36">
        <v>150000</v>
      </c>
      <c r="F46" s="36">
        <f t="shared" ref="F46:F54" si="3">C46*E46</f>
        <v>0</v>
      </c>
      <c r="G46" s="35" t="s">
        <v>0</v>
      </c>
    </row>
    <row r="47" spans="1:7">
      <c r="A47" s="38" t="s">
        <v>83</v>
      </c>
      <c r="B47" s="39"/>
      <c r="C47" s="37">
        <v>0</v>
      </c>
      <c r="D47" s="37">
        <v>0</v>
      </c>
      <c r="E47" s="36">
        <v>650000</v>
      </c>
      <c r="F47" s="36">
        <f t="shared" si="3"/>
        <v>0</v>
      </c>
      <c r="G47" s="69"/>
    </row>
    <row r="48" spans="1:7">
      <c r="A48" s="38" t="s">
        <v>84</v>
      </c>
      <c r="B48" s="39"/>
      <c r="C48" s="37">
        <v>0</v>
      </c>
      <c r="D48" s="37">
        <v>0</v>
      </c>
      <c r="E48" s="36">
        <v>380000</v>
      </c>
      <c r="F48" s="36">
        <f t="shared" si="3"/>
        <v>0</v>
      </c>
      <c r="G48" s="69" t="s">
        <v>0</v>
      </c>
    </row>
    <row r="49" spans="1:7">
      <c r="A49" s="38" t="s">
        <v>85</v>
      </c>
      <c r="B49" s="39"/>
      <c r="C49" s="37">
        <v>0</v>
      </c>
      <c r="D49" s="37">
        <v>0</v>
      </c>
      <c r="E49" s="36">
        <v>480000</v>
      </c>
      <c r="F49" s="36">
        <f t="shared" si="3"/>
        <v>0</v>
      </c>
      <c r="G49" s="35" t="s">
        <v>86</v>
      </c>
    </row>
    <row r="50" spans="1:7" ht="17">
      <c r="A50" s="53" t="s">
        <v>87</v>
      </c>
      <c r="B50" s="54" t="s">
        <v>0</v>
      </c>
      <c r="C50" s="37">
        <v>0</v>
      </c>
      <c r="D50" s="37">
        <v>0</v>
      </c>
      <c r="E50" s="36">
        <v>580000</v>
      </c>
      <c r="F50" s="36">
        <f t="shared" si="3"/>
        <v>0</v>
      </c>
      <c r="G50" s="35" t="s">
        <v>88</v>
      </c>
    </row>
    <row r="51" spans="1:7" ht="17">
      <c r="A51" s="53" t="s">
        <v>89</v>
      </c>
      <c r="B51" s="54" t="s">
        <v>0</v>
      </c>
      <c r="C51" s="37">
        <v>0</v>
      </c>
      <c r="D51" s="37">
        <v>0</v>
      </c>
      <c r="E51" s="36">
        <v>250000</v>
      </c>
      <c r="F51" s="36">
        <f t="shared" si="3"/>
        <v>0</v>
      </c>
      <c r="G51" s="35" t="s">
        <v>0</v>
      </c>
    </row>
    <row r="52" spans="1:7" ht="17">
      <c r="A52" s="87" t="s">
        <v>90</v>
      </c>
      <c r="B52" s="94"/>
      <c r="C52" s="37">
        <v>0</v>
      </c>
      <c r="D52" s="37">
        <v>0</v>
      </c>
      <c r="E52" s="115">
        <v>150000</v>
      </c>
      <c r="F52" s="115">
        <f>C52*E52</f>
        <v>0</v>
      </c>
      <c r="G52" s="35" t="s">
        <v>91</v>
      </c>
    </row>
    <row r="53" spans="1:7" ht="17">
      <c r="A53" s="53" t="s">
        <v>92</v>
      </c>
      <c r="B53" s="54"/>
      <c r="C53" s="37">
        <v>0</v>
      </c>
      <c r="D53" s="37">
        <v>0</v>
      </c>
      <c r="E53" s="36">
        <v>100000</v>
      </c>
      <c r="F53" s="36">
        <f t="shared" si="3"/>
        <v>0</v>
      </c>
      <c r="G53" s="35"/>
    </row>
    <row r="54" spans="1:7" ht="17">
      <c r="A54" s="53" t="s">
        <v>93</v>
      </c>
      <c r="B54" s="54"/>
      <c r="C54" s="37">
        <v>0</v>
      </c>
      <c r="D54" s="37">
        <v>0</v>
      </c>
      <c r="E54" s="36">
        <v>50000</v>
      </c>
      <c r="F54" s="36">
        <f t="shared" si="3"/>
        <v>0</v>
      </c>
      <c r="G54" s="35"/>
    </row>
    <row r="55" spans="1:7">
      <c r="A55" s="134"/>
      <c r="B55" s="135"/>
      <c r="C55" s="131"/>
      <c r="D55" s="131"/>
      <c r="E55" s="136" t="s">
        <v>0</v>
      </c>
      <c r="F55" s="137">
        <f>SUM(F45:F54)</f>
        <v>0</v>
      </c>
      <c r="G55" s="138"/>
    </row>
    <row r="56" spans="1:7">
      <c r="A56" s="156" t="s">
        <v>94</v>
      </c>
      <c r="B56" s="156" t="s">
        <v>95</v>
      </c>
      <c r="C56" s="156" t="s">
        <v>96</v>
      </c>
      <c r="D56" s="156" t="s">
        <v>20</v>
      </c>
      <c r="E56" s="156"/>
      <c r="F56" s="156"/>
      <c r="G56" s="156" t="s">
        <v>97</v>
      </c>
    </row>
    <row r="57" spans="1:7">
      <c r="A57" s="7" t="s">
        <v>98</v>
      </c>
      <c r="B57" s="7"/>
      <c r="C57" s="7">
        <v>0</v>
      </c>
      <c r="D57" s="7">
        <v>0</v>
      </c>
      <c r="E57" s="157">
        <v>500000</v>
      </c>
      <c r="F57" s="157">
        <v>0</v>
      </c>
      <c r="G57" s="7"/>
    </row>
    <row r="58" spans="1:7">
      <c r="A58" s="7" t="s">
        <v>99</v>
      </c>
      <c r="B58" s="7"/>
      <c r="C58" s="7">
        <v>0</v>
      </c>
      <c r="D58" s="7">
        <v>0</v>
      </c>
      <c r="E58" s="157">
        <v>250000</v>
      </c>
      <c r="F58" s="157">
        <v>0</v>
      </c>
      <c r="G58" s="7"/>
    </row>
    <row r="59" spans="1:7">
      <c r="A59" s="7" t="s">
        <v>100</v>
      </c>
      <c r="B59" s="7"/>
      <c r="C59" s="7">
        <v>0</v>
      </c>
      <c r="D59" s="7">
        <v>0</v>
      </c>
      <c r="E59" s="157">
        <v>250000</v>
      </c>
      <c r="F59" s="157">
        <v>0</v>
      </c>
      <c r="G59" s="7"/>
    </row>
    <row r="60" spans="1:7">
      <c r="A60" s="7" t="s">
        <v>101</v>
      </c>
      <c r="B60" s="7"/>
      <c r="C60" s="7">
        <v>0</v>
      </c>
      <c r="D60" s="7">
        <v>0</v>
      </c>
      <c r="E60" s="157">
        <v>250000</v>
      </c>
      <c r="F60" s="157">
        <v>0</v>
      </c>
      <c r="G60" s="7"/>
    </row>
    <row r="61" spans="1:7">
      <c r="A61" s="7" t="s">
        <v>102</v>
      </c>
      <c r="B61" s="7"/>
      <c r="C61" s="7">
        <v>0</v>
      </c>
      <c r="D61" s="7">
        <v>0</v>
      </c>
      <c r="E61" s="157">
        <v>48000</v>
      </c>
      <c r="F61" s="157">
        <v>0</v>
      </c>
      <c r="G61" s="7" t="s">
        <v>103</v>
      </c>
    </row>
    <row r="62" spans="1:7">
      <c r="A62" s="7" t="s">
        <v>104</v>
      </c>
      <c r="B62" s="7"/>
      <c r="C62" s="7">
        <v>0</v>
      </c>
      <c r="D62" s="7">
        <v>0</v>
      </c>
      <c r="E62" s="157">
        <v>250000</v>
      </c>
      <c r="F62" s="157">
        <v>0</v>
      </c>
      <c r="G62" s="7"/>
    </row>
    <row r="63" spans="1:7">
      <c r="A63" s="7" t="s">
        <v>105</v>
      </c>
      <c r="B63" s="7">
        <v>0</v>
      </c>
      <c r="C63" s="7">
        <v>0</v>
      </c>
      <c r="D63" s="7">
        <v>0</v>
      </c>
      <c r="E63" s="157">
        <v>21008</v>
      </c>
      <c r="F63" s="157">
        <v>0</v>
      </c>
      <c r="G63" s="7"/>
    </row>
    <row r="64" spans="1:7" ht="16.5" customHeight="1">
      <c r="A64" s="7" t="s">
        <v>106</v>
      </c>
      <c r="B64" s="7"/>
      <c r="C64" s="7">
        <v>0</v>
      </c>
      <c r="D64" s="7">
        <v>0</v>
      </c>
      <c r="E64" s="157">
        <v>500000</v>
      </c>
      <c r="F64" s="157">
        <v>0</v>
      </c>
      <c r="G64" s="7" t="s">
        <v>107</v>
      </c>
    </row>
    <row r="65" spans="1:7" ht="16.5" customHeight="1">
      <c r="A65" s="7" t="s">
        <v>108</v>
      </c>
      <c r="B65" s="7"/>
      <c r="C65" s="7">
        <v>0</v>
      </c>
      <c r="D65" s="7">
        <v>0</v>
      </c>
      <c r="E65" s="157">
        <v>30000</v>
      </c>
      <c r="F65" s="157">
        <v>0</v>
      </c>
      <c r="G65" s="7"/>
    </row>
    <row r="66" spans="1:7" ht="16.5" customHeight="1" thickBot="1">
      <c r="B66"/>
      <c r="F66" s="155">
        <v>0</v>
      </c>
    </row>
    <row r="67" spans="1:7" ht="17" thickBot="1">
      <c r="A67" s="14" t="s">
        <v>109</v>
      </c>
      <c r="B67" s="27"/>
      <c r="C67" s="15"/>
      <c r="D67" s="15"/>
      <c r="E67" s="16"/>
      <c r="F67" s="82">
        <f>F29+F35+F43+F55+F66</f>
        <v>0</v>
      </c>
    </row>
    <row r="68" spans="1:7">
      <c r="A68" s="140" t="s">
        <v>110</v>
      </c>
      <c r="B68" s="141"/>
      <c r="C68" s="8"/>
      <c r="D68" s="8"/>
      <c r="E68" s="6"/>
      <c r="F68" s="4">
        <f>F67*1.19-F67</f>
        <v>0</v>
      </c>
      <c r="G68" s="5"/>
    </row>
    <row r="69" spans="1:7">
      <c r="A69" s="28" t="s">
        <v>111</v>
      </c>
      <c r="B69" s="29"/>
      <c r="C69" s="30"/>
      <c r="D69" s="30"/>
      <c r="E69" s="31"/>
      <c r="F69" s="32">
        <f>F67+F68</f>
        <v>0</v>
      </c>
      <c r="G69" s="5" t="s">
        <v>112</v>
      </c>
    </row>
    <row r="71" spans="1:7">
      <c r="A71" s="56" t="s">
        <v>113</v>
      </c>
      <c r="B71"/>
    </row>
    <row r="72" spans="1:7">
      <c r="A72" s="57" t="s">
        <v>114</v>
      </c>
      <c r="B72" s="57" t="s">
        <v>115</v>
      </c>
    </row>
    <row r="73" spans="1:7">
      <c r="A73" s="57" t="s">
        <v>116</v>
      </c>
      <c r="B73" s="57" t="s">
        <v>117</v>
      </c>
    </row>
    <row r="74" spans="1:7">
      <c r="A74" s="57" t="s">
        <v>118</v>
      </c>
      <c r="B74" s="57" t="s">
        <v>119</v>
      </c>
    </row>
    <row r="75" spans="1:7">
      <c r="A75" s="57" t="s">
        <v>120</v>
      </c>
      <c r="B75" s="57" t="s">
        <v>121</v>
      </c>
    </row>
    <row r="76" spans="1:7">
      <c r="A76" s="57" t="s">
        <v>122</v>
      </c>
      <c r="B76" s="57" t="s">
        <v>123</v>
      </c>
    </row>
    <row r="77" spans="1:7">
      <c r="A77" s="57" t="s">
        <v>124</v>
      </c>
      <c r="B77" s="57" t="s">
        <v>125</v>
      </c>
    </row>
    <row r="78" spans="1:7">
      <c r="A78" s="57" t="s">
        <v>7</v>
      </c>
      <c r="B78" s="57">
        <v>29539311</v>
      </c>
    </row>
    <row r="79" spans="1:7">
      <c r="A79" s="76" t="s">
        <v>126</v>
      </c>
      <c r="B79"/>
    </row>
    <row r="80" spans="1:7">
      <c r="A80" s="76"/>
      <c r="B80"/>
    </row>
    <row r="81" spans="1:7" ht="17">
      <c r="A81" s="56" t="s">
        <v>127</v>
      </c>
      <c r="B81"/>
      <c r="E81" s="23"/>
      <c r="F81" s="23"/>
      <c r="G81" s="23"/>
    </row>
    <row r="82" spans="1:7">
      <c r="A82" s="58" t="s">
        <v>128</v>
      </c>
      <c r="B82"/>
    </row>
    <row r="83" spans="1:7">
      <c r="A83" s="58" t="s">
        <v>129</v>
      </c>
      <c r="B83"/>
    </row>
    <row r="85" spans="1:7">
      <c r="A85" s="56" t="s">
        <v>130</v>
      </c>
      <c r="B85"/>
    </row>
    <row r="86" spans="1:7">
      <c r="A86" s="57" t="s">
        <v>131</v>
      </c>
      <c r="B86"/>
    </row>
    <row r="87" spans="1:7">
      <c r="A87" s="58" t="s">
        <v>132</v>
      </c>
      <c r="B87"/>
    </row>
    <row r="88" spans="1:7">
      <c r="A88" s="58" t="s">
        <v>133</v>
      </c>
      <c r="B88"/>
    </row>
    <row r="89" spans="1:7">
      <c r="A89" s="56" t="s">
        <v>134</v>
      </c>
      <c r="B89"/>
    </row>
    <row r="90" spans="1:7">
      <c r="A90" s="58" t="s">
        <v>135</v>
      </c>
      <c r="B90"/>
    </row>
    <row r="91" spans="1:7">
      <c r="A91" s="56" t="s">
        <v>136</v>
      </c>
      <c r="B91"/>
    </row>
    <row r="92" spans="1:7">
      <c r="A92" s="58" t="s">
        <v>137</v>
      </c>
      <c r="B92"/>
    </row>
    <row r="93" spans="1:7">
      <c r="A93" s="58" t="s">
        <v>138</v>
      </c>
      <c r="B93"/>
    </row>
    <row r="94" spans="1:7">
      <c r="A94" s="58" t="s">
        <v>139</v>
      </c>
      <c r="B94"/>
    </row>
    <row r="95" spans="1:7">
      <c r="A95" s="58" t="s">
        <v>140</v>
      </c>
      <c r="B95"/>
    </row>
    <row r="96" spans="1:7">
      <c r="A96" s="57"/>
      <c r="B96"/>
    </row>
    <row r="97" spans="1:6">
      <c r="A97" s="57" t="s">
        <v>141</v>
      </c>
      <c r="B97" s="57"/>
      <c r="C97" s="57"/>
      <c r="D97" s="57"/>
      <c r="E97" s="57"/>
      <c r="F97" s="57"/>
    </row>
    <row r="98" spans="1:6">
      <c r="A98" s="74"/>
      <c r="B98"/>
    </row>
    <row r="99" spans="1:6">
      <c r="A99" s="75" t="s">
        <v>142</v>
      </c>
      <c r="B99"/>
    </row>
    <row r="100" spans="1:6" ht="16" customHeight="1">
      <c r="A100" s="212" t="s">
        <v>143</v>
      </c>
      <c r="B100" s="212"/>
      <c r="C100" s="212"/>
      <c r="D100" s="212"/>
      <c r="E100" s="212"/>
      <c r="F100" s="212"/>
    </row>
    <row r="101" spans="1:6">
      <c r="A101" s="57"/>
      <c r="B101"/>
    </row>
  </sheetData>
  <mergeCells count="1">
    <mergeCell ref="A100:F100"/>
  </mergeCells>
  <phoneticPr fontId="7" type="noConversion"/>
  <hyperlinks>
    <hyperlink ref="A79" r:id="rId1" display="mailto:sf@sflodge.cl" xr:uid="{963C29F3-612A-5746-9B29-2E22ACFB87CB}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8"/>
  <sheetViews>
    <sheetView tabSelected="1" workbookViewId="0">
      <selection activeCell="B5" sqref="B5"/>
    </sheetView>
  </sheetViews>
  <sheetFormatPr baseColWidth="10" defaultColWidth="11" defaultRowHeight="16"/>
  <cols>
    <col min="1" max="1" width="36.6640625" style="18" customWidth="1"/>
    <col min="2" max="2" width="11" style="18"/>
    <col min="4" max="4" width="12.1640625" customWidth="1"/>
    <col min="5" max="5" width="12.83203125" customWidth="1"/>
    <col min="6" max="6" width="11" style="18"/>
    <col min="7" max="7" width="100.33203125" style="18" customWidth="1"/>
    <col min="8" max="8" width="11" style="18"/>
    <col min="9" max="9" width="31" customWidth="1"/>
  </cols>
  <sheetData>
    <row r="1" spans="1:8" ht="20" customHeight="1">
      <c r="A1" s="1" t="s">
        <v>0</v>
      </c>
      <c r="B1" s="24"/>
      <c r="C1" s="21" t="s">
        <v>1</v>
      </c>
      <c r="F1"/>
      <c r="G1"/>
      <c r="H1"/>
    </row>
    <row r="2" spans="1:8" ht="20" customHeight="1">
      <c r="A2"/>
      <c r="B2" s="25"/>
      <c r="F2" s="80" t="s">
        <v>0</v>
      </c>
      <c r="G2" s="68" t="s">
        <v>2</v>
      </c>
      <c r="H2"/>
    </row>
    <row r="3" spans="1:8" ht="20" customHeight="1">
      <c r="A3" s="13" t="s">
        <v>3</v>
      </c>
      <c r="B3" s="51" t="s">
        <v>185</v>
      </c>
      <c r="D3" t="s">
        <v>4</v>
      </c>
      <c r="E3" s="13" t="s">
        <v>186</v>
      </c>
      <c r="F3"/>
      <c r="G3" s="33" t="s">
        <v>5</v>
      </c>
      <c r="H3"/>
    </row>
    <row r="4" spans="1:8" ht="20" customHeight="1">
      <c r="A4" s="13" t="s">
        <v>144</v>
      </c>
      <c r="B4" s="22" t="s">
        <v>187</v>
      </c>
      <c r="C4" s="22"/>
      <c r="D4" t="s">
        <v>7</v>
      </c>
      <c r="E4" s="112" t="s">
        <v>0</v>
      </c>
      <c r="F4"/>
      <c r="G4" s="34" t="s">
        <v>8</v>
      </c>
      <c r="H4"/>
    </row>
    <row r="5" spans="1:8" ht="20" customHeight="1">
      <c r="A5" s="13" t="s">
        <v>145</v>
      </c>
      <c r="B5" s="51" t="s">
        <v>0</v>
      </c>
      <c r="D5" t="s">
        <v>10</v>
      </c>
      <c r="E5" s="13">
        <v>30</v>
      </c>
      <c r="F5"/>
      <c r="G5" s="34" t="s">
        <v>11</v>
      </c>
      <c r="H5"/>
    </row>
    <row r="6" spans="1:8" ht="20" customHeight="1">
      <c r="A6" s="20" t="s">
        <v>12</v>
      </c>
      <c r="B6" s="52" t="s">
        <v>146</v>
      </c>
      <c r="C6" s="19"/>
      <c r="D6" s="19" t="s">
        <v>14</v>
      </c>
      <c r="E6" s="113">
        <v>974961403</v>
      </c>
      <c r="F6"/>
      <c r="G6" s="34" t="s">
        <v>16</v>
      </c>
      <c r="H6"/>
    </row>
    <row r="7" spans="1:8" ht="20" customHeight="1" thickBot="1">
      <c r="A7" s="19"/>
      <c r="B7" s="52"/>
      <c r="C7" s="19"/>
      <c r="D7" s="19"/>
      <c r="E7" s="19"/>
      <c r="F7" s="19"/>
      <c r="G7" s="34"/>
      <c r="H7"/>
    </row>
    <row r="8" spans="1:8" s="85" customFormat="1">
      <c r="A8" s="45" t="s">
        <v>147</v>
      </c>
      <c r="B8" s="88" t="s">
        <v>18</v>
      </c>
      <c r="C8" s="47" t="s">
        <v>19</v>
      </c>
      <c r="D8" s="47" t="s">
        <v>20</v>
      </c>
      <c r="E8" s="47" t="s">
        <v>21</v>
      </c>
      <c r="F8" s="47" t="s">
        <v>22</v>
      </c>
      <c r="G8" s="48" t="s">
        <v>23</v>
      </c>
      <c r="H8" s="90"/>
    </row>
    <row r="9" spans="1:8" s="85" customFormat="1">
      <c r="A9" s="43" t="s">
        <v>24</v>
      </c>
      <c r="B9" s="93" t="s">
        <v>148</v>
      </c>
      <c r="C9" s="37">
        <v>0</v>
      </c>
      <c r="D9" s="37">
        <v>0</v>
      </c>
      <c r="E9" s="55">
        <f>12500/1.19</f>
        <v>10504.20168067227</v>
      </c>
      <c r="F9" s="36">
        <f>C9*D9*E9</f>
        <v>0</v>
      </c>
      <c r="G9" s="35" t="s">
        <v>25</v>
      </c>
      <c r="H9" s="90"/>
    </row>
    <row r="10" spans="1:8">
      <c r="A10" s="7" t="s">
        <v>30</v>
      </c>
      <c r="B10" s="7"/>
      <c r="C10" s="211">
        <v>0</v>
      </c>
      <c r="D10" s="211">
        <v>0</v>
      </c>
      <c r="E10" s="157">
        <v>9450</v>
      </c>
      <c r="F10" s="157">
        <v>0</v>
      </c>
      <c r="G10" t="s">
        <v>182</v>
      </c>
      <c r="H10"/>
    </row>
    <row r="11" spans="1:8" ht="15.75" customHeight="1">
      <c r="A11" s="213" t="s">
        <v>26</v>
      </c>
      <c r="B11" s="214"/>
      <c r="C11" s="215">
        <v>1</v>
      </c>
      <c r="D11" s="215">
        <v>30</v>
      </c>
      <c r="E11" s="216">
        <v>5800</v>
      </c>
      <c r="F11" s="217">
        <f t="shared" ref="F11" si="0">C11*D11*E11</f>
        <v>174000</v>
      </c>
      <c r="G11" s="218" t="s">
        <v>184</v>
      </c>
      <c r="H11"/>
    </row>
    <row r="12" spans="1:8" ht="18" customHeight="1">
      <c r="A12" s="219" t="s">
        <v>158</v>
      </c>
      <c r="B12" s="220">
        <v>0.54166666666666663</v>
      </c>
      <c r="C12" s="221">
        <v>1</v>
      </c>
      <c r="D12" s="221">
        <v>30</v>
      </c>
      <c r="E12" s="222">
        <v>25210</v>
      </c>
      <c r="F12" s="223">
        <f t="shared" ref="F12:F14" si="1">C12*D12*E12</f>
        <v>756300</v>
      </c>
      <c r="G12" s="224" t="s">
        <v>159</v>
      </c>
      <c r="H12" s="162"/>
    </row>
    <row r="13" spans="1:8" ht="15.75" customHeight="1">
      <c r="A13" s="163" t="s">
        <v>160</v>
      </c>
      <c r="B13" s="158">
        <v>0.54166666666666663</v>
      </c>
      <c r="C13" s="159">
        <v>0</v>
      </c>
      <c r="D13" s="159">
        <v>0</v>
      </c>
      <c r="E13" s="164">
        <v>35000</v>
      </c>
      <c r="F13" s="164">
        <f t="shared" si="1"/>
        <v>0</v>
      </c>
      <c r="G13" s="165" t="s">
        <v>161</v>
      </c>
      <c r="H13" s="162"/>
    </row>
    <row r="14" spans="1:8" ht="35" customHeight="1">
      <c r="A14" s="166" t="s">
        <v>162</v>
      </c>
      <c r="B14" s="167"/>
      <c r="C14" s="159">
        <v>0</v>
      </c>
      <c r="D14" s="159">
        <v>0</v>
      </c>
      <c r="E14" s="168">
        <v>35000</v>
      </c>
      <c r="F14" s="169">
        <f t="shared" si="1"/>
        <v>0</v>
      </c>
      <c r="G14" s="170" t="s">
        <v>163</v>
      </c>
      <c r="H14"/>
    </row>
    <row r="15" spans="1:8">
      <c r="A15" s="225" t="s">
        <v>149</v>
      </c>
      <c r="B15" s="226">
        <v>0.54166666666666663</v>
      </c>
      <c r="C15" s="227">
        <v>2</v>
      </c>
      <c r="D15" s="227">
        <v>30</v>
      </c>
      <c r="E15" s="228">
        <v>1933</v>
      </c>
      <c r="F15" s="228">
        <f>C15*D15*E15</f>
        <v>115980</v>
      </c>
      <c r="G15" s="229" t="s">
        <v>183</v>
      </c>
    </row>
    <row r="16" spans="1:8" s="171" customFormat="1" ht="15.75" customHeight="1">
      <c r="A16" s="230" t="s">
        <v>164</v>
      </c>
      <c r="B16" s="231"/>
      <c r="C16" s="221">
        <v>6</v>
      </c>
      <c r="D16" s="221">
        <v>30</v>
      </c>
      <c r="E16" s="232">
        <v>13025</v>
      </c>
      <c r="F16" s="232">
        <f>C16*E16</f>
        <v>78150</v>
      </c>
      <c r="G16" s="233" t="s">
        <v>165</v>
      </c>
    </row>
    <row r="17" spans="1:8" ht="15.75" customHeight="1">
      <c r="A17" s="234" t="s">
        <v>46</v>
      </c>
      <c r="B17" s="220">
        <v>0.75</v>
      </c>
      <c r="C17" s="221">
        <v>1</v>
      </c>
      <c r="D17" s="221">
        <v>30</v>
      </c>
      <c r="E17" s="235">
        <v>9800</v>
      </c>
      <c r="F17" s="236">
        <f t="shared" ref="F16:F22" si="2">C17*D17*E17</f>
        <v>294000</v>
      </c>
      <c r="G17" s="237" t="s">
        <v>47</v>
      </c>
      <c r="H17"/>
    </row>
    <row r="18" spans="1:8" ht="15.75" customHeight="1">
      <c r="A18" s="174" t="s">
        <v>48</v>
      </c>
      <c r="B18" s="175"/>
      <c r="C18" s="159">
        <v>0</v>
      </c>
      <c r="D18" s="159">
        <v>0</v>
      </c>
      <c r="E18" s="176">
        <v>12000</v>
      </c>
      <c r="F18" s="173">
        <f t="shared" si="2"/>
        <v>0</v>
      </c>
      <c r="G18" s="177" t="s">
        <v>49</v>
      </c>
      <c r="H18"/>
    </row>
    <row r="19" spans="1:8" ht="52" customHeight="1">
      <c r="A19" s="163" t="s">
        <v>50</v>
      </c>
      <c r="B19" s="175"/>
      <c r="C19" s="159">
        <v>0</v>
      </c>
      <c r="D19" s="159">
        <v>0</v>
      </c>
      <c r="E19" s="176">
        <v>15500</v>
      </c>
      <c r="F19" s="173">
        <f t="shared" si="2"/>
        <v>0</v>
      </c>
      <c r="G19" s="178" t="s">
        <v>51</v>
      </c>
      <c r="H19"/>
    </row>
    <row r="20" spans="1:8" ht="15.75" customHeight="1">
      <c r="A20" s="179" t="s">
        <v>56</v>
      </c>
      <c r="B20" s="180"/>
      <c r="C20" s="181">
        <v>0</v>
      </c>
      <c r="D20" s="181">
        <v>0</v>
      </c>
      <c r="E20" s="182">
        <v>4850</v>
      </c>
      <c r="F20" s="173">
        <f t="shared" si="2"/>
        <v>0</v>
      </c>
      <c r="G20" s="183" t="s">
        <v>57</v>
      </c>
      <c r="H20"/>
    </row>
    <row r="21" spans="1:8" ht="15.75" customHeight="1">
      <c r="A21" s="179" t="s">
        <v>166</v>
      </c>
      <c r="B21" s="180"/>
      <c r="C21" s="181">
        <v>0</v>
      </c>
      <c r="D21" s="181">
        <v>0</v>
      </c>
      <c r="E21" s="182">
        <v>28000</v>
      </c>
      <c r="F21" s="173">
        <f t="shared" si="2"/>
        <v>0</v>
      </c>
      <c r="G21" s="184" t="s">
        <v>59</v>
      </c>
      <c r="H21"/>
    </row>
    <row r="22" spans="1:8" ht="15.75" customHeight="1">
      <c r="A22" s="179" t="s">
        <v>60</v>
      </c>
      <c r="B22" s="180"/>
      <c r="C22" s="181">
        <v>0</v>
      </c>
      <c r="D22" s="181">
        <v>0</v>
      </c>
      <c r="E22" s="182">
        <v>7000</v>
      </c>
      <c r="F22" s="173">
        <f t="shared" si="2"/>
        <v>0</v>
      </c>
      <c r="G22" s="184" t="s">
        <v>61</v>
      </c>
      <c r="H22"/>
    </row>
    <row r="23" spans="1:8" ht="15.75" customHeight="1">
      <c r="A23" s="238" t="s">
        <v>62</v>
      </c>
      <c r="B23" s="239"/>
      <c r="C23" s="240"/>
      <c r="D23" s="240"/>
      <c r="E23" s="241">
        <v>15000</v>
      </c>
      <c r="F23" s="236">
        <f>SUM(F2:F22)</f>
        <v>1418430</v>
      </c>
      <c r="G23" s="242" t="s">
        <v>63</v>
      </c>
      <c r="H23"/>
    </row>
    <row r="24" spans="1:8">
      <c r="A24" s="49" t="s">
        <v>150</v>
      </c>
      <c r="B24" s="91"/>
      <c r="C24" s="37">
        <v>1</v>
      </c>
      <c r="D24" s="37">
        <v>30</v>
      </c>
      <c r="E24" s="50">
        <f>25000/1.19</f>
        <v>21008.403361344539</v>
      </c>
      <c r="F24" s="36">
        <f>C24*D24*E24</f>
        <v>630252.10084033618</v>
      </c>
      <c r="G24" s="49" t="s">
        <v>151</v>
      </c>
    </row>
    <row r="25" spans="1:8" ht="19" customHeight="1" thickBot="1">
      <c r="A25" s="92" t="s">
        <v>152</v>
      </c>
      <c r="B25" s="95"/>
      <c r="C25" s="65"/>
      <c r="D25" s="65"/>
      <c r="E25" s="96">
        <f>25000/1.19</f>
        <v>21008.403361344539</v>
      </c>
      <c r="F25" s="97">
        <f>SUM(F9:F24)</f>
        <v>3467112.1008403362</v>
      </c>
      <c r="G25" s="98"/>
    </row>
    <row r="26" spans="1:8" ht="17" thickBot="1">
      <c r="A26" s="14" t="s">
        <v>109</v>
      </c>
      <c r="B26" s="99"/>
      <c r="C26" s="15"/>
      <c r="D26" s="15"/>
      <c r="E26" s="16"/>
      <c r="F26" s="102">
        <f>F25</f>
        <v>3467112.1008403362</v>
      </c>
      <c r="G26" s="86" t="s">
        <v>0</v>
      </c>
    </row>
    <row r="27" spans="1:8">
      <c r="A27" s="3" t="s">
        <v>110</v>
      </c>
      <c r="B27" s="100"/>
      <c r="C27" s="10"/>
      <c r="D27" s="8"/>
      <c r="E27" s="6"/>
      <c r="F27" s="4">
        <f>F26*1.19-F26</f>
        <v>658751.29915966373</v>
      </c>
      <c r="G27" s="5"/>
    </row>
    <row r="28" spans="1:8">
      <c r="A28" s="28" t="s">
        <v>111</v>
      </c>
      <c r="B28" s="101"/>
      <c r="C28" s="30"/>
      <c r="D28" s="30"/>
      <c r="E28" s="31"/>
      <c r="F28" s="32">
        <f>F26+F27</f>
        <v>4125863.4</v>
      </c>
      <c r="G28" s="5" t="s">
        <v>112</v>
      </c>
    </row>
    <row r="30" spans="1:8" ht="17" thickBot="1"/>
    <row r="31" spans="1:8">
      <c r="A31" s="108" t="s">
        <v>153</v>
      </c>
      <c r="B31" s="109" t="s">
        <v>18</v>
      </c>
      <c r="C31" s="110" t="s">
        <v>19</v>
      </c>
      <c r="D31" s="110" t="s">
        <v>20</v>
      </c>
      <c r="E31" s="110" t="s">
        <v>21</v>
      </c>
      <c r="F31" s="110" t="s">
        <v>22</v>
      </c>
      <c r="G31" s="111" t="s">
        <v>23</v>
      </c>
    </row>
    <row r="32" spans="1:8" ht="18.75" customHeight="1">
      <c r="A32" s="185" t="s">
        <v>81</v>
      </c>
      <c r="B32" s="186"/>
      <c r="C32" s="210">
        <v>0</v>
      </c>
      <c r="D32" s="210">
        <v>0</v>
      </c>
      <c r="E32" s="187">
        <v>200000</v>
      </c>
      <c r="F32" s="157">
        <f>C32*E32</f>
        <v>0</v>
      </c>
      <c r="G32" s="186" t="s">
        <v>167</v>
      </c>
      <c r="H32"/>
    </row>
    <row r="33" spans="1:8" ht="15.75" customHeight="1">
      <c r="A33" s="185" t="s">
        <v>82</v>
      </c>
      <c r="B33" s="186"/>
      <c r="C33" s="210">
        <v>0</v>
      </c>
      <c r="D33" s="210">
        <v>0</v>
      </c>
      <c r="E33" s="187">
        <v>160000</v>
      </c>
      <c r="F33" s="157">
        <f t="shared" ref="F33:F44" si="3">C33*E33</f>
        <v>0</v>
      </c>
      <c r="G33" s="186" t="s">
        <v>167</v>
      </c>
      <c r="H33"/>
    </row>
    <row r="34" spans="1:8" ht="15.75" customHeight="1">
      <c r="A34" s="185" t="s">
        <v>168</v>
      </c>
      <c r="B34" s="186"/>
      <c r="C34" s="210">
        <v>0</v>
      </c>
      <c r="D34" s="210">
        <v>0</v>
      </c>
      <c r="E34" s="187">
        <v>380000</v>
      </c>
      <c r="F34" s="157">
        <f t="shared" si="3"/>
        <v>0</v>
      </c>
      <c r="G34" s="186" t="s">
        <v>167</v>
      </c>
      <c r="H34"/>
    </row>
    <row r="35" spans="1:8" ht="15.75" customHeight="1">
      <c r="A35" s="185" t="s">
        <v>169</v>
      </c>
      <c r="B35" s="186"/>
      <c r="C35" s="210">
        <v>0</v>
      </c>
      <c r="D35" s="210">
        <v>0</v>
      </c>
      <c r="E35" s="187">
        <v>600000</v>
      </c>
      <c r="F35" s="157">
        <f t="shared" si="3"/>
        <v>0</v>
      </c>
      <c r="G35" s="186" t="s">
        <v>170</v>
      </c>
      <c r="H35"/>
    </row>
    <row r="36" spans="1:8" ht="15.75" customHeight="1">
      <c r="A36" s="185" t="s">
        <v>171</v>
      </c>
      <c r="B36" s="186"/>
      <c r="C36" s="210">
        <v>0</v>
      </c>
      <c r="D36" s="210">
        <v>0</v>
      </c>
      <c r="E36" s="187">
        <v>250000</v>
      </c>
      <c r="F36" s="157">
        <f t="shared" si="3"/>
        <v>0</v>
      </c>
      <c r="G36" s="188"/>
      <c r="H36"/>
    </row>
    <row r="37" spans="1:8" ht="15.75" customHeight="1">
      <c r="A37" s="185" t="s">
        <v>172</v>
      </c>
      <c r="B37" s="186"/>
      <c r="C37" s="210">
        <v>0</v>
      </c>
      <c r="D37" s="210">
        <v>0</v>
      </c>
      <c r="E37" s="187">
        <v>600000</v>
      </c>
      <c r="F37" s="157">
        <f t="shared" si="3"/>
        <v>0</v>
      </c>
      <c r="G37" s="188"/>
      <c r="H37"/>
    </row>
    <row r="38" spans="1:8" ht="15.75" customHeight="1">
      <c r="A38" s="185" t="s">
        <v>173</v>
      </c>
      <c r="B38" s="186"/>
      <c r="C38" s="210">
        <v>0</v>
      </c>
      <c r="D38" s="210">
        <v>0</v>
      </c>
      <c r="E38" s="187">
        <v>375000</v>
      </c>
      <c r="F38" s="157">
        <f t="shared" si="3"/>
        <v>0</v>
      </c>
      <c r="G38" s="188"/>
      <c r="H38"/>
    </row>
    <row r="39" spans="1:8" ht="15.75" customHeight="1">
      <c r="A39" s="185" t="s">
        <v>174</v>
      </c>
      <c r="B39" s="186"/>
      <c r="C39" s="210">
        <v>0</v>
      </c>
      <c r="D39" s="210">
        <v>0</v>
      </c>
      <c r="E39" s="187">
        <v>750000</v>
      </c>
      <c r="F39" s="157">
        <f t="shared" si="3"/>
        <v>0</v>
      </c>
      <c r="G39" s="188" t="s">
        <v>0</v>
      </c>
      <c r="H39"/>
    </row>
    <row r="40" spans="1:8" ht="15.75" customHeight="1">
      <c r="A40" s="185" t="s">
        <v>175</v>
      </c>
      <c r="B40" s="186"/>
      <c r="C40" s="210">
        <v>0</v>
      </c>
      <c r="D40" s="210">
        <v>0</v>
      </c>
      <c r="E40" s="187">
        <v>250000</v>
      </c>
      <c r="F40" s="157">
        <f t="shared" si="3"/>
        <v>0</v>
      </c>
      <c r="G40" s="188" t="s">
        <v>0</v>
      </c>
      <c r="H40"/>
    </row>
    <row r="41" spans="1:8" ht="15.75" customHeight="1">
      <c r="A41" s="185" t="s">
        <v>90</v>
      </c>
      <c r="B41" s="186"/>
      <c r="C41" s="210">
        <v>0</v>
      </c>
      <c r="D41" s="210">
        <v>0</v>
      </c>
      <c r="E41" s="187">
        <v>150000</v>
      </c>
      <c r="F41" s="157">
        <f t="shared" si="3"/>
        <v>0</v>
      </c>
      <c r="G41" s="186" t="s">
        <v>176</v>
      </c>
      <c r="H41"/>
    </row>
    <row r="42" spans="1:8" ht="15.75" customHeight="1">
      <c r="A42" s="185" t="s">
        <v>177</v>
      </c>
      <c r="B42" s="186"/>
      <c r="C42" s="210">
        <v>0</v>
      </c>
      <c r="D42" s="210">
        <v>0</v>
      </c>
      <c r="E42" s="187">
        <v>50000</v>
      </c>
      <c r="F42" s="157">
        <f t="shared" si="3"/>
        <v>0</v>
      </c>
      <c r="G42" s="188" t="s">
        <v>0</v>
      </c>
      <c r="H42"/>
    </row>
    <row r="43" spans="1:8" ht="15.75" customHeight="1">
      <c r="A43" s="185" t="s">
        <v>178</v>
      </c>
      <c r="B43" s="186"/>
      <c r="C43" s="210">
        <v>0</v>
      </c>
      <c r="D43" s="210">
        <v>0</v>
      </c>
      <c r="E43" s="187">
        <v>50000</v>
      </c>
      <c r="F43" s="157">
        <f t="shared" si="3"/>
        <v>0</v>
      </c>
      <c r="G43" s="188" t="s">
        <v>91</v>
      </c>
      <c r="H43"/>
    </row>
    <row r="44" spans="1:8" ht="15.75" customHeight="1">
      <c r="A44" s="185" t="s">
        <v>179</v>
      </c>
      <c r="B44" s="186"/>
      <c r="C44" s="210">
        <v>0</v>
      </c>
      <c r="D44" s="210">
        <v>0</v>
      </c>
      <c r="E44" s="187">
        <v>70000</v>
      </c>
      <c r="F44" s="157">
        <f t="shared" si="3"/>
        <v>0</v>
      </c>
      <c r="G44" s="186" t="s">
        <v>180</v>
      </c>
      <c r="H44"/>
    </row>
    <row r="45" spans="1:8" ht="17">
      <c r="A45" s="87" t="s">
        <v>154</v>
      </c>
      <c r="B45" s="94"/>
      <c r="C45" s="210">
        <v>0</v>
      </c>
      <c r="D45" s="37">
        <v>0</v>
      </c>
      <c r="E45" s="115">
        <f>800000+35000*D45</f>
        <v>800000</v>
      </c>
      <c r="F45" s="115">
        <f t="shared" ref="F45:F47" si="4">C45*E45</f>
        <v>0</v>
      </c>
      <c r="G45" s="35"/>
    </row>
    <row r="46" spans="1:8" ht="17">
      <c r="A46" s="144" t="s">
        <v>155</v>
      </c>
      <c r="B46" s="146"/>
      <c r="C46" s="142">
        <v>1</v>
      </c>
      <c r="D46" s="142">
        <v>30</v>
      </c>
      <c r="E46" s="143">
        <f>500000+7500*D46</f>
        <v>725000</v>
      </c>
      <c r="F46" s="143">
        <f t="shared" si="4"/>
        <v>725000</v>
      </c>
      <c r="G46" s="145"/>
    </row>
    <row r="47" spans="1:8" ht="17">
      <c r="A47" s="87" t="s">
        <v>156</v>
      </c>
      <c r="B47" s="94"/>
      <c r="C47" s="37">
        <v>0</v>
      </c>
      <c r="D47" s="37">
        <v>0</v>
      </c>
      <c r="E47" s="115">
        <f>1000000+9000*D47</f>
        <v>1000000</v>
      </c>
      <c r="F47" s="115">
        <f t="shared" si="4"/>
        <v>0</v>
      </c>
      <c r="G47" s="35"/>
    </row>
    <row r="48" spans="1:8">
      <c r="A48" s="104" t="s">
        <v>157</v>
      </c>
      <c r="B48" s="105"/>
      <c r="C48" s="106"/>
      <c r="D48" s="106"/>
      <c r="E48" s="147"/>
      <c r="F48" s="148">
        <f>SUM(F32:F47)</f>
        <v>725000</v>
      </c>
      <c r="G48" s="149"/>
    </row>
    <row r="49" spans="1:26">
      <c r="A49" s="107" t="s">
        <v>110</v>
      </c>
      <c r="B49" s="150"/>
      <c r="C49" s="8"/>
      <c r="D49" s="8"/>
      <c r="E49" s="151"/>
      <c r="F49" s="152">
        <f>F48*1.19-F48</f>
        <v>137750</v>
      </c>
      <c r="G49" s="5"/>
    </row>
    <row r="50" spans="1:26">
      <c r="A50" s="28" t="s">
        <v>111</v>
      </c>
      <c r="B50" s="101"/>
      <c r="C50" s="30"/>
      <c r="D50" s="30"/>
      <c r="E50" s="153"/>
      <c r="F50" s="154">
        <f>F48+F49</f>
        <v>862750</v>
      </c>
      <c r="G50" s="5" t="s">
        <v>112</v>
      </c>
    </row>
    <row r="51" spans="1:26" ht="17" thickBot="1"/>
    <row r="52" spans="1:26" ht="18.75" customHeight="1">
      <c r="A52" s="189" t="s">
        <v>72</v>
      </c>
      <c r="B52" s="190"/>
      <c r="C52" s="191" t="s">
        <v>19</v>
      </c>
      <c r="D52" s="191" t="s">
        <v>20</v>
      </c>
      <c r="E52" s="191" t="s">
        <v>21</v>
      </c>
      <c r="F52" s="191" t="s">
        <v>22</v>
      </c>
      <c r="G52" s="192" t="s">
        <v>23</v>
      </c>
      <c r="H52"/>
    </row>
    <row r="53" spans="1:26" ht="18.75" customHeight="1">
      <c r="A53" s="193" t="s">
        <v>73</v>
      </c>
      <c r="B53" s="194"/>
      <c r="C53" s="159">
        <v>0</v>
      </c>
      <c r="D53" s="159">
        <v>80</v>
      </c>
      <c r="E53" s="195">
        <v>350000</v>
      </c>
      <c r="F53" s="173">
        <f t="shared" ref="F53:F57" si="5">C53*E53</f>
        <v>0</v>
      </c>
      <c r="G53" s="161" t="s">
        <v>74</v>
      </c>
      <c r="H53"/>
    </row>
    <row r="54" spans="1:26" ht="18.75" customHeight="1">
      <c r="A54" s="196" t="s">
        <v>75</v>
      </c>
      <c r="B54" s="197"/>
      <c r="C54" s="159">
        <v>0</v>
      </c>
      <c r="D54" s="159">
        <v>40</v>
      </c>
      <c r="E54" s="195">
        <v>300000</v>
      </c>
      <c r="F54" s="173">
        <f t="shared" si="5"/>
        <v>0</v>
      </c>
      <c r="G54" s="161" t="s">
        <v>74</v>
      </c>
      <c r="H54"/>
    </row>
    <row r="55" spans="1:26" ht="15.75" customHeight="1">
      <c r="A55" s="243" t="s">
        <v>76</v>
      </c>
      <c r="B55" s="244"/>
      <c r="C55" s="221">
        <v>0</v>
      </c>
      <c r="D55" s="221">
        <v>30</v>
      </c>
      <c r="E55" s="235">
        <v>220000</v>
      </c>
      <c r="F55" s="236">
        <f t="shared" si="5"/>
        <v>0</v>
      </c>
      <c r="G55" s="224" t="s">
        <v>74</v>
      </c>
      <c r="H55"/>
    </row>
    <row r="56" spans="1:26" ht="18.75" customHeight="1">
      <c r="A56" s="174" t="s">
        <v>77</v>
      </c>
      <c r="B56" s="198"/>
      <c r="C56" s="159">
        <v>0</v>
      </c>
      <c r="D56" s="159">
        <v>15</v>
      </c>
      <c r="E56" s="172">
        <v>180000</v>
      </c>
      <c r="F56" s="173">
        <f t="shared" si="5"/>
        <v>0</v>
      </c>
      <c r="G56" s="161" t="s">
        <v>74</v>
      </c>
      <c r="H56"/>
    </row>
    <row r="57" spans="1:26" ht="18.75" customHeight="1">
      <c r="A57" s="200" t="s">
        <v>79</v>
      </c>
      <c r="B57" s="201" t="s">
        <v>0</v>
      </c>
      <c r="C57" s="202">
        <v>0</v>
      </c>
      <c r="D57" s="202">
        <v>150</v>
      </c>
      <c r="E57" s="160">
        <v>500000</v>
      </c>
      <c r="F57" s="160">
        <f t="shared" si="5"/>
        <v>0</v>
      </c>
      <c r="G57" s="203" t="s">
        <v>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spans="1:26" ht="18.75" customHeight="1">
      <c r="A58" s="205" t="s">
        <v>181</v>
      </c>
      <c r="B58" s="206"/>
      <c r="C58" s="207"/>
      <c r="D58" s="207"/>
      <c r="E58" s="208" t="s">
        <v>0</v>
      </c>
      <c r="F58" s="209">
        <f>SUM(F53:F57)</f>
        <v>0</v>
      </c>
      <c r="G58" s="188"/>
      <c r="H58"/>
    </row>
    <row r="59" spans="1:26">
      <c r="A59" s="204" t="s">
        <v>110</v>
      </c>
      <c r="B59" s="150"/>
      <c r="C59" s="8"/>
      <c r="D59" s="8"/>
      <c r="E59" s="151"/>
      <c r="F59" s="152">
        <f>F58*1.19-F58</f>
        <v>0</v>
      </c>
      <c r="G59" s="5"/>
    </row>
    <row r="60" spans="1:26">
      <c r="A60" s="28" t="s">
        <v>111</v>
      </c>
      <c r="B60" s="101"/>
      <c r="C60" s="30"/>
      <c r="D60" s="30"/>
      <c r="E60" s="153"/>
      <c r="F60" s="154">
        <f>F58+F59</f>
        <v>0</v>
      </c>
      <c r="G60" s="5" t="s">
        <v>112</v>
      </c>
    </row>
    <row r="63" spans="1:26">
      <c r="A63" s="56" t="s">
        <v>113</v>
      </c>
      <c r="B63"/>
      <c r="F63"/>
      <c r="G63"/>
      <c r="H63"/>
    </row>
    <row r="64" spans="1:26">
      <c r="A64" s="57" t="s">
        <v>114</v>
      </c>
      <c r="B64" s="57" t="s">
        <v>115</v>
      </c>
      <c r="F64"/>
      <c r="G64"/>
      <c r="H64"/>
    </row>
    <row r="65" spans="1:8">
      <c r="A65" s="57" t="s">
        <v>116</v>
      </c>
      <c r="B65" s="57" t="s">
        <v>117</v>
      </c>
      <c r="F65"/>
      <c r="G65"/>
      <c r="H65"/>
    </row>
    <row r="66" spans="1:8">
      <c r="A66" s="57" t="s">
        <v>118</v>
      </c>
      <c r="B66" s="57" t="s">
        <v>119</v>
      </c>
      <c r="F66"/>
      <c r="G66"/>
      <c r="H66"/>
    </row>
    <row r="67" spans="1:8">
      <c r="A67" s="57" t="s">
        <v>120</v>
      </c>
      <c r="B67" s="57" t="s">
        <v>121</v>
      </c>
      <c r="F67"/>
      <c r="G67"/>
      <c r="H67"/>
    </row>
    <row r="68" spans="1:8">
      <c r="A68" s="57" t="s">
        <v>122</v>
      </c>
      <c r="B68" s="57" t="s">
        <v>123</v>
      </c>
      <c r="F68"/>
      <c r="G68"/>
      <c r="H68"/>
    </row>
    <row r="69" spans="1:8">
      <c r="A69" s="57" t="s">
        <v>124</v>
      </c>
      <c r="B69" s="57" t="s">
        <v>125</v>
      </c>
      <c r="F69"/>
      <c r="G69"/>
      <c r="H69"/>
    </row>
    <row r="70" spans="1:8">
      <c r="A70" s="57" t="s">
        <v>7</v>
      </c>
      <c r="B70" s="57">
        <v>29539311</v>
      </c>
      <c r="F70"/>
      <c r="G70"/>
      <c r="H70"/>
    </row>
    <row r="71" spans="1:8">
      <c r="A71" s="76" t="s">
        <v>126</v>
      </c>
      <c r="B71"/>
      <c r="F71"/>
      <c r="G71"/>
      <c r="H71"/>
    </row>
    <row r="73" spans="1:8" ht="17">
      <c r="A73" s="56" t="s">
        <v>127</v>
      </c>
      <c r="B73"/>
      <c r="E73" s="23"/>
      <c r="F73" s="23"/>
      <c r="G73" s="23"/>
      <c r="H73"/>
    </row>
    <row r="74" spans="1:8">
      <c r="A74" s="58" t="s">
        <v>128</v>
      </c>
      <c r="B74"/>
      <c r="F74"/>
      <c r="G74"/>
      <c r="H74"/>
    </row>
    <row r="75" spans="1:8">
      <c r="A75" s="58" t="s">
        <v>129</v>
      </c>
      <c r="B75"/>
      <c r="F75"/>
      <c r="G75"/>
      <c r="H75"/>
    </row>
    <row r="76" spans="1:8">
      <c r="A76"/>
      <c r="B76" s="25"/>
      <c r="F76"/>
      <c r="G76"/>
      <c r="H76"/>
    </row>
    <row r="77" spans="1:8">
      <c r="A77" s="56" t="s">
        <v>130</v>
      </c>
      <c r="B77"/>
      <c r="F77"/>
      <c r="G77"/>
      <c r="H77"/>
    </row>
    <row r="78" spans="1:8">
      <c r="A78" s="57" t="s">
        <v>131</v>
      </c>
      <c r="B78"/>
      <c r="F78"/>
      <c r="G78"/>
      <c r="H78"/>
    </row>
    <row r="79" spans="1:8">
      <c r="A79" s="58" t="s">
        <v>132</v>
      </c>
      <c r="B79"/>
      <c r="F79"/>
      <c r="G79"/>
      <c r="H79"/>
    </row>
    <row r="80" spans="1:8">
      <c r="A80" s="58" t="s">
        <v>133</v>
      </c>
      <c r="B80"/>
      <c r="F80"/>
      <c r="G80"/>
      <c r="H80"/>
    </row>
    <row r="81" spans="1:8">
      <c r="A81" s="56" t="s">
        <v>134</v>
      </c>
      <c r="B81"/>
      <c r="F81"/>
      <c r="G81"/>
      <c r="H81"/>
    </row>
    <row r="82" spans="1:8">
      <c r="A82" s="58" t="s">
        <v>135</v>
      </c>
      <c r="B82"/>
      <c r="F82"/>
      <c r="G82"/>
      <c r="H82"/>
    </row>
    <row r="83" spans="1:8">
      <c r="A83" s="56" t="s">
        <v>136</v>
      </c>
      <c r="B83"/>
      <c r="F83"/>
      <c r="G83"/>
      <c r="H83"/>
    </row>
    <row r="84" spans="1:8">
      <c r="A84" s="58" t="s">
        <v>137</v>
      </c>
      <c r="B84"/>
      <c r="F84"/>
      <c r="G84"/>
      <c r="H84"/>
    </row>
    <row r="85" spans="1:8">
      <c r="A85" s="58" t="s">
        <v>138</v>
      </c>
      <c r="B85"/>
      <c r="F85"/>
      <c r="G85"/>
      <c r="H85"/>
    </row>
    <row r="86" spans="1:8">
      <c r="A86" s="58" t="s">
        <v>139</v>
      </c>
      <c r="B86"/>
      <c r="F86"/>
      <c r="G86"/>
      <c r="H86"/>
    </row>
    <row r="87" spans="1:8">
      <c r="A87" s="58" t="s">
        <v>140</v>
      </c>
      <c r="B87"/>
      <c r="F87"/>
      <c r="G87"/>
      <c r="H87"/>
    </row>
    <row r="88" spans="1:8">
      <c r="A88" s="57"/>
      <c r="B88"/>
      <c r="F88"/>
      <c r="G88"/>
      <c r="H88"/>
    </row>
    <row r="89" spans="1:8">
      <c r="A89" s="57" t="s">
        <v>141</v>
      </c>
      <c r="B89" s="57"/>
      <c r="C89" s="57"/>
      <c r="D89" s="57"/>
      <c r="E89" s="57"/>
      <c r="F89" s="57"/>
      <c r="G89"/>
      <c r="H89"/>
    </row>
    <row r="90" spans="1:8">
      <c r="A90" s="74"/>
      <c r="B90"/>
      <c r="F90"/>
      <c r="G90"/>
      <c r="H90"/>
    </row>
    <row r="91" spans="1:8">
      <c r="A91" s="75" t="s">
        <v>142</v>
      </c>
      <c r="B91"/>
      <c r="F91"/>
      <c r="G91"/>
      <c r="H91"/>
    </row>
    <row r="92" spans="1:8" ht="16" customHeight="1">
      <c r="A92" s="212" t="s">
        <v>143</v>
      </c>
      <c r="B92" s="212"/>
      <c r="C92" s="212"/>
      <c r="D92" s="212"/>
      <c r="E92" s="212"/>
      <c r="F92" s="212"/>
      <c r="G92"/>
      <c r="H92"/>
    </row>
    <row r="93" spans="1:8">
      <c r="A93" s="57"/>
      <c r="B93"/>
      <c r="F93"/>
      <c r="G93"/>
      <c r="H93"/>
    </row>
    <row r="94" spans="1:8">
      <c r="A94" s="56" t="s">
        <v>113</v>
      </c>
      <c r="B94"/>
      <c r="F94"/>
      <c r="G94"/>
      <c r="H94"/>
    </row>
    <row r="95" spans="1:8">
      <c r="A95" s="57" t="s">
        <v>114</v>
      </c>
      <c r="B95" s="57" t="s">
        <v>115</v>
      </c>
      <c r="F95"/>
      <c r="G95"/>
      <c r="H95"/>
    </row>
    <row r="96" spans="1:8">
      <c r="A96" s="57" t="s">
        <v>116</v>
      </c>
      <c r="B96" s="57" t="s">
        <v>117</v>
      </c>
      <c r="F96"/>
      <c r="G96"/>
      <c r="H96"/>
    </row>
    <row r="97" spans="1:8">
      <c r="A97" s="57" t="s">
        <v>118</v>
      </c>
      <c r="B97" s="57" t="s">
        <v>119</v>
      </c>
      <c r="F97"/>
      <c r="G97"/>
      <c r="H97"/>
    </row>
    <row r="98" spans="1:8">
      <c r="A98" s="57" t="s">
        <v>120</v>
      </c>
      <c r="B98" s="57" t="s">
        <v>121</v>
      </c>
      <c r="F98"/>
      <c r="G98"/>
      <c r="H98"/>
    </row>
    <row r="99" spans="1:8">
      <c r="A99" s="57" t="s">
        <v>122</v>
      </c>
      <c r="B99" s="57" t="s">
        <v>123</v>
      </c>
      <c r="F99"/>
      <c r="G99"/>
      <c r="H99"/>
    </row>
    <row r="100" spans="1:8">
      <c r="A100" s="57" t="s">
        <v>124</v>
      </c>
      <c r="B100" s="57" t="s">
        <v>125</v>
      </c>
      <c r="F100"/>
      <c r="G100"/>
      <c r="H100"/>
    </row>
    <row r="101" spans="1:8">
      <c r="A101" s="57" t="s">
        <v>7</v>
      </c>
      <c r="B101" s="57">
        <v>29539311</v>
      </c>
      <c r="F101"/>
      <c r="G101"/>
      <c r="H101"/>
    </row>
    <row r="102" spans="1:8">
      <c r="A102" s="76" t="s">
        <v>126</v>
      </c>
      <c r="B102"/>
      <c r="F102"/>
      <c r="G102"/>
      <c r="H102"/>
    </row>
    <row r="103" spans="1:8">
      <c r="A103"/>
      <c r="B103" s="25"/>
      <c r="F103"/>
      <c r="G103"/>
      <c r="H103"/>
    </row>
    <row r="104" spans="1:8">
      <c r="A104"/>
      <c r="B104" s="25"/>
      <c r="F104"/>
      <c r="G104"/>
      <c r="H104"/>
    </row>
    <row r="105" spans="1:8">
      <c r="A105"/>
      <c r="B105" s="25"/>
      <c r="F105"/>
      <c r="G105"/>
      <c r="H105"/>
    </row>
    <row r="106" spans="1:8">
      <c r="A106"/>
      <c r="B106" s="25"/>
      <c r="F106"/>
      <c r="G106"/>
      <c r="H106"/>
    </row>
    <row r="107" spans="1:8">
      <c r="A107"/>
      <c r="B107" s="25"/>
      <c r="F107"/>
      <c r="G107"/>
      <c r="H107"/>
    </row>
    <row r="108" spans="1:8">
      <c r="A108"/>
      <c r="B108" s="25"/>
      <c r="F108"/>
      <c r="G108"/>
      <c r="H108"/>
    </row>
  </sheetData>
  <mergeCells count="1">
    <mergeCell ref="A92:F92"/>
  </mergeCells>
  <hyperlinks>
    <hyperlink ref="A102" r:id="rId1" display="mailto:sf@sflodge.cl" xr:uid="{57DF8044-FB95-C949-BA16-42BAF80495A0}"/>
    <hyperlink ref="A71" r:id="rId2" display="mailto:sf@sflodge.cl" xr:uid="{F820DFDB-B4C1-4448-B2A2-A730DA7D99B9}"/>
  </hyperlink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</vt:lpstr>
      <vt:lpstr>Programa por 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Rodriguez</dc:creator>
  <cp:keywords/>
  <dc:description/>
  <cp:lastModifiedBy>Microsoft Office User</cp:lastModifiedBy>
  <cp:revision/>
  <dcterms:created xsi:type="dcterms:W3CDTF">2014-07-29T17:30:41Z</dcterms:created>
  <dcterms:modified xsi:type="dcterms:W3CDTF">2022-10-26T16:18:04Z</dcterms:modified>
  <cp:category/>
  <cp:contentStatus/>
</cp:coreProperties>
</file>