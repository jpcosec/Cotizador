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4C1C959F-E4E9-3A4F-BC1A-F60609D7B341}" xr6:coauthVersionLast="36" xr6:coauthVersionMax="36" xr10:uidLastSave="{00000000-0000-0000-0000-000000000000}"/>
  <bookViews>
    <workbookView xWindow="1660" yWindow="460" windowWidth="25840" windowHeight="1632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3" i="1" l="1"/>
  <c r="E23" i="1"/>
  <c r="F24" i="1" s="1"/>
  <c r="F21" i="1"/>
  <c r="F19" i="1"/>
  <c r="F36" i="1" l="1"/>
  <c r="F27" i="1"/>
  <c r="F16" i="1"/>
  <c r="E22" i="1" l="1"/>
  <c r="F22" i="1" s="1"/>
  <c r="E44" i="1" l="1"/>
  <c r="F42" i="1"/>
  <c r="F41" i="1"/>
  <c r="F20" i="1" l="1"/>
  <c r="E14" i="1" l="1"/>
  <c r="F14" i="1" s="1"/>
  <c r="E29" i="1"/>
  <c r="F29" i="1" s="1"/>
  <c r="E11" i="1"/>
  <c r="F11" i="1" s="1"/>
  <c r="F28" i="1"/>
  <c r="F9" i="1"/>
  <c r="F10" i="1"/>
  <c r="F12" i="1"/>
  <c r="F13" i="1"/>
  <c r="F33" i="1"/>
  <c r="F34" i="1"/>
  <c r="F35" i="1"/>
  <c r="F32" i="1"/>
  <c r="F30" i="5"/>
  <c r="E30" i="5"/>
  <c r="D30" i="5"/>
  <c r="C30" i="5"/>
  <c r="B30" i="5"/>
  <c r="P29" i="5"/>
  <c r="O29" i="5"/>
  <c r="N29" i="5"/>
  <c r="K29" i="5"/>
  <c r="J29" i="5"/>
  <c r="I29" i="5"/>
  <c r="Z23" i="5"/>
  <c r="F30" i="1" l="1"/>
  <c r="F37" i="1" l="1"/>
  <c r="F38" i="1" s="1"/>
</calcChain>
</file>

<file path=xl/sharedStrings.xml><?xml version="1.0" encoding="utf-8"?>
<sst xmlns="http://schemas.openxmlformats.org/spreadsheetml/2006/main" count="416" uniqueCount="234">
  <si>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</si>
  <si>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</si>
  <si>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</si>
  <si>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</si>
  <si>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</si>
  <si>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</si>
  <si>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</si>
  <si>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</si>
  <si>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</si>
  <si>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</si>
  <si>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</si>
  <si>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</si>
  <si>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</si>
  <si>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</si>
  <si>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</si>
  <si>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</si>
  <si>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</si>
  <si>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</si>
  <si>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</si>
  <si>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</si>
  <si>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</si>
  <si>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</si>
  <si>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</si>
  <si>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</si>
  <si>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</si>
  <si>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</si>
  <si>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</si>
  <si>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</si>
  <si>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</si>
  <si>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</si>
  <si>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</si>
  <si>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</si>
  <si>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</si>
  <si>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</si>
  <si>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</si>
  <si>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</si>
  <si>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</si>
  <si>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</si>
  <si>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</si>
  <si>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</si>
  <si>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</si>
  <si>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</si>
  <si>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</si>
  <si>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</si>
  <si>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</si>
  <si>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</si>
  <si>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</si>
  <si>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</si>
  <si>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</si>
  <si>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</si>
  <si>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</si>
  <si>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</si>
  <si>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</si>
  <si>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</si>
  <si>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</si>
  <si>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</si>
  <si>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</si>
  <si>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</si>
  <si>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</si>
  <si>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</si>
  <si>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</si>
  <si>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</si>
  <si>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</si>
  <si>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</si>
  <si>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</si>
  <si>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</si>
  <si>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</si>
  <si>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</si>
  <si>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</si>
  <si>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</si>
  <si>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</si>
  <si>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</si>
  <si>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</si>
  <si>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</si>
  <si>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</si>
  <si>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</si>
  <si>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</si>
  <si>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</si>
  <si>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</si>
  <si>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</si>
  <si>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</si>
  <si>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</si>
  <si>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</si>
  <si>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</si>
  <si>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</si>
  <si>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</si>
  <si>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</si>
  <si>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</si>
  <si>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</si>
  <si>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</si>
  <si>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</si>
  <si>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</si>
  <si>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</si>
  <si>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</si>
  <si>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</si>
  <si>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</si>
  <si>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</si>
  <si>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</si>
  <si>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</si>
  <si>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</si>
  <si>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</si>
  <si>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</si>
  <si>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</si>
  <si>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</si>
  <si>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Almuerzos Buffet Parrilla</t>
  </si>
  <si>
    <t xml:space="preserve">Cena  Buffet 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</si>
  <si>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</si>
  <si>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</si>
  <si>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</si>
  <si>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</si>
  <si>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</si>
  <si>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</si>
  <si>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</si>
  <si>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</si>
  <si>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</si>
  <si>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</si>
  <si>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</si>
  <si>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</si>
  <si>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</si>
  <si>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</si>
  <si>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</si>
  <si>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</si>
  <si>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</si>
  <si>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</si>
  <si>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</si>
  <si>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</si>
  <si>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</si>
  <si>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</si>
  <si>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</si>
  <si>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</si>
  <si>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</si>
  <si>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</si>
  <si>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</si>
  <si>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</si>
  <si>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</si>
  <si>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</si>
  <si>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</si>
  <si>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</si>
  <si>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</si>
  <si>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</si>
  <si>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</si>
  <si>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</si>
  <si>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</si>
  <si>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</si>
  <si>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</si>
  <si>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</si>
  <si>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</si>
  <si>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</si>
  <si>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</si>
  <si>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</si>
  <si>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</si>
  <si>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</si>
  <si>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</si>
  <si>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</si>
  <si>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</si>
  <si>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</si>
  <si>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</si>
  <si>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</si>
  <si>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</si>
  <si>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</si>
  <si>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</si>
  <si>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</si>
  <si>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</si>
  <si>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</si>
  <si>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</si>
  <si>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</si>
  <si>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</si>
  <si>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</si>
  <si>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</si>
  <si>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</si>
  <si>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</si>
  <si>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</si>
  <si>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</si>
  <si>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</si>
  <si>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</si>
  <si>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</si>
  <si>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</si>
  <si>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</si>
  <si>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</si>
  <si>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</si>
  <si>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</si>
  <si>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</si>
  <si>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</si>
  <si>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</si>
  <si>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</si>
  <si>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</si>
  <si>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</si>
  <si>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</si>
  <si>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</si>
  <si>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</si>
  <si>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</si>
  <si>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</si>
  <si>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Total Otros</t>
  </si>
  <si>
    <t xml:space="preserve">Carmen Rodriguez </t>
  </si>
  <si>
    <t>9 74961403</t>
  </si>
  <si>
    <t>Quincho 4 horas en la noche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</si>
  <si>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</si>
  <si>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</si>
  <si>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</si>
  <si>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</si>
  <si>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</si>
  <si>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</si>
  <si>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</si>
  <si>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</si>
  <si>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</si>
  <si>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</si>
  <si>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</si>
  <si>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</si>
  <si>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</si>
  <si>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</si>
  <si>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</si>
  <si>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 xml:space="preserve">Pantalla led. </t>
  </si>
  <si>
    <r>
      <t xml:space="preserve">Amplificacion y luces </t>
    </r>
    <r>
      <rPr>
        <sz val="12"/>
        <color rgb="FFFF0000"/>
        <rFont val="Calibri (Cuerpo)_x0000_"/>
      </rPr>
      <t xml:space="preserve"> </t>
    </r>
  </si>
  <si>
    <t>DJ con animador.</t>
  </si>
  <si>
    <t>Tragos con ticket.</t>
  </si>
  <si>
    <t>Bar abierto 4 horas.</t>
  </si>
  <si>
    <t>Descorche, valor por persona</t>
  </si>
  <si>
    <t>Cada grupo tendra que buscar tesoros con los que debera formar las partes de un todo.</t>
  </si>
  <si>
    <t>Coctail Intermedio,                            Minimo 15 pasajeros.</t>
  </si>
  <si>
    <t>Tragos(2 p/p entre)Vino tinto, Blanco, espumante, pisco sour, bebidas,  cerveza, 1 empanaditas de Pino, 1 queso, queso crema /aceitunas, 2  bruzquetas jamón serrano, de Salmón, brocheta mediterranea,  frutos secos o quesos.</t>
  </si>
  <si>
    <t>Coctail entretenido, clinica de pizza, con maridaje de cerveza.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</si>
  <si>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</si>
  <si>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Qincho para fiesta en la noche</t>
  </si>
  <si>
    <t>Daniela Maldonado</t>
  </si>
  <si>
    <t>CCU</t>
  </si>
  <si>
    <t>Dmaldon@ccu.cl</t>
  </si>
  <si>
    <t>?</t>
  </si>
  <si>
    <t>Habitacion single en cabaña</t>
  </si>
  <si>
    <t>habitacion doble en cabaña</t>
  </si>
  <si>
    <t>Habitación Doble en cabaña desayuno por persona, 7 y 8 pasajeros por cabaña</t>
  </si>
  <si>
    <t>Habitación Single en cabaña desayuno por persona, 4 pasajeros por cabaña</t>
  </si>
  <si>
    <t>19-20 de Marzo</t>
  </si>
  <si>
    <t>Salón Coho.</t>
  </si>
  <si>
    <t>1.- Incicar el Formato en que necesitan el salon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</si>
</sst>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FF9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202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1" borderId="1" xfId="0" applyFont="1" applyFill="1" applyBorder="1" applyAlignment="1">
      <alignment horizontal="left"/>
    </xf>
    <xf numFmtId="166" fontId="2" fillId="11" borderId="15" xfId="0" applyNumberFormat="1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/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right"/>
    </xf>
    <xf numFmtId="166" fontId="6" fillId="11" borderId="0" xfId="0" applyNumberFormat="1" applyFont="1" applyFill="1" applyAlignment="1">
      <alignment horizontal="right"/>
    </xf>
    <xf numFmtId="0" fontId="6" fillId="11" borderId="0" xfId="0" applyFont="1" applyFill="1" applyAlignment="1">
      <alignment horizontal="center"/>
    </xf>
    <xf numFmtId="164" fontId="6" fillId="11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0" fontId="6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166" fontId="4" fillId="0" borderId="0" xfId="116" applyNumberFormat="1" applyAlignment="1">
      <alignment horizontal="left"/>
    </xf>
    <xf numFmtId="0" fontId="6" fillId="12" borderId="1" xfId="0" applyFont="1" applyFill="1" applyBorder="1" applyAlignment="1">
      <alignment horizontal="left" vertical="center"/>
    </xf>
    <xf numFmtId="166" fontId="6" fillId="12" borderId="1" xfId="0" applyNumberFormat="1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/>
    </xf>
    <xf numFmtId="164" fontId="6" fillId="12" borderId="1" xfId="0" applyNumberFormat="1" applyFont="1" applyFill="1" applyBorder="1" applyAlignment="1">
      <alignment horizontal="right" vertical="center"/>
    </xf>
    <xf numFmtId="164" fontId="6" fillId="12" borderId="1" xfId="0" applyNumberFormat="1" applyFont="1" applyFill="1" applyBorder="1" applyAlignment="1">
      <alignment horizontal="right"/>
    </xf>
    <xf numFmtId="0" fontId="6" fillId="12" borderId="1" xfId="0" applyFont="1" applyFill="1" applyBorder="1" applyAlignment="1">
      <alignment horizontal="left"/>
    </xf>
    <xf numFmtId="0" fontId="0" fillId="13" borderId="0" xfId="0" applyFill="1"/>
    <xf numFmtId="0" fontId="6" fillId="13" borderId="1" xfId="0" applyFont="1" applyFill="1" applyBorder="1" applyAlignment="1">
      <alignment horizontal="left"/>
    </xf>
    <xf numFmtId="166" fontId="0" fillId="13" borderId="1" xfId="0" applyNumberFormat="1" applyFill="1" applyBorder="1"/>
    <xf numFmtId="164" fontId="6" fillId="13" borderId="1" xfId="0" applyNumberFormat="1" applyFont="1" applyFill="1" applyBorder="1" applyAlignment="1">
      <alignment horizontal="right"/>
    </xf>
    <xf numFmtId="0" fontId="6" fillId="13" borderId="1" xfId="0" applyFont="1" applyFill="1" applyBorder="1" applyAlignment="1">
      <alignment vertical="center" wrapText="1"/>
    </xf>
    <xf numFmtId="0" fontId="6" fillId="13" borderId="1" xfId="0" applyFont="1" applyFill="1" applyBorder="1" applyAlignment="1">
      <alignment horizontal="center" vertical="center" wrapText="1"/>
    </xf>
    <xf numFmtId="164" fontId="6" fillId="13" borderId="1" xfId="0" applyNumberFormat="1" applyFont="1" applyFill="1" applyBorder="1" applyAlignment="1">
      <alignment horizontal="right" wrapText="1"/>
    </xf>
    <xf numFmtId="0" fontId="6" fillId="13" borderId="15" xfId="0" applyFont="1" applyFill="1" applyBorder="1" applyAlignment="1">
      <alignment wrapText="1"/>
    </xf>
    <xf numFmtId="0" fontId="6" fillId="13" borderId="2" xfId="0" applyFont="1" applyFill="1" applyBorder="1" applyAlignment="1">
      <alignment horizontal="center"/>
    </xf>
    <xf numFmtId="164" fontId="6" fillId="13" borderId="2" xfId="0" applyNumberFormat="1" applyFont="1" applyFill="1" applyBorder="1" applyAlignment="1">
      <alignment horizontal="right"/>
    </xf>
    <xf numFmtId="0" fontId="17" fillId="0" borderId="0" xfId="0" applyFont="1" applyAlignment="1">
      <alignment horizontal="left" vertic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maldon@ccu.cl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82"/>
  <sheetViews>
    <sheetView tabSelected="1" zoomScaleNormal="100" zoomScalePageLayoutView="109" workbookViewId="0">
      <selection activeCell="G15" sqref="G15"/>
    </sheetView>
  </sheetViews>
  <sheetFormatPr baseColWidth="10" defaultRowHeight="16"/>
  <cols>
    <col min="1" max="1" width="33" customWidth="1"/>
    <col min="2" max="2" width="10.83203125" style="77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6"/>
      <c r="C1" s="73" t="s">
        <v>177</v>
      </c>
    </row>
    <row r="2" spans="1:7">
      <c r="G2" s="150" t="s">
        <v>145</v>
      </c>
    </row>
    <row r="3" spans="1:7">
      <c r="A3" s="70" t="s">
        <v>120</v>
      </c>
      <c r="B3" s="125" t="s">
        <v>223</v>
      </c>
      <c r="D3" t="s">
        <v>3</v>
      </c>
      <c r="E3" s="34" t="s">
        <v>224</v>
      </c>
      <c r="G3" s="86" t="s">
        <v>233</v>
      </c>
    </row>
    <row r="4" spans="1:7">
      <c r="A4" t="s">
        <v>121</v>
      </c>
      <c r="B4" s="160" t="s">
        <v>225</v>
      </c>
      <c r="C4" s="74"/>
      <c r="D4" t="s">
        <v>5</v>
      </c>
      <c r="E4">
        <v>224273394</v>
      </c>
      <c r="G4" s="87" t="s">
        <v>146</v>
      </c>
    </row>
    <row r="5" spans="1:7">
      <c r="A5" t="s">
        <v>122</v>
      </c>
      <c r="B5" s="125" t="s">
        <v>231</v>
      </c>
      <c r="D5" t="s">
        <v>4</v>
      </c>
      <c r="E5" s="34">
        <v>70</v>
      </c>
      <c r="G5" s="87" t="s">
        <v>147</v>
      </c>
    </row>
    <row r="6" spans="1:7">
      <c r="A6" s="72" t="s">
        <v>124</v>
      </c>
      <c r="B6" s="126" t="s">
        <v>193</v>
      </c>
      <c r="C6" s="71"/>
      <c r="D6" s="71" t="s">
        <v>123</v>
      </c>
      <c r="E6" s="71" t="s">
        <v>194</v>
      </c>
      <c r="G6" s="87" t="s">
        <v>148</v>
      </c>
    </row>
    <row r="7" spans="1:7" ht="17" thickBot="1">
      <c r="A7" s="71"/>
      <c r="B7" s="126"/>
      <c r="C7" s="71"/>
      <c r="D7" s="71"/>
      <c r="E7" s="71"/>
      <c r="F7" s="71"/>
      <c r="G7" s="87"/>
    </row>
    <row r="8" spans="1:7" ht="15.75" customHeight="1">
      <c r="A8" s="108" t="s">
        <v>107</v>
      </c>
      <c r="B8" s="109" t="s">
        <v>130</v>
      </c>
      <c r="C8" s="110" t="s">
        <v>106</v>
      </c>
      <c r="D8" s="110" t="s">
        <v>6</v>
      </c>
      <c r="E8" s="110" t="s">
        <v>0</v>
      </c>
      <c r="F8" s="110" t="s">
        <v>1</v>
      </c>
      <c r="G8" s="111" t="s">
        <v>7</v>
      </c>
    </row>
    <row r="9" spans="1:7">
      <c r="A9" s="101" t="s">
        <v>232</v>
      </c>
      <c r="B9" s="102"/>
      <c r="C9" s="95">
        <v>1</v>
      </c>
      <c r="D9" s="95">
        <v>1</v>
      </c>
      <c r="E9" s="103">
        <v>250000</v>
      </c>
      <c r="F9" s="94">
        <f>C9*E9</f>
        <v>250000</v>
      </c>
      <c r="G9" s="93" t="s">
        <v>172</v>
      </c>
    </row>
    <row r="10" spans="1:7" ht="16.5" customHeight="1">
      <c r="A10" s="101" t="s">
        <v>104</v>
      </c>
      <c r="B10" s="102" t="s">
        <v>131</v>
      </c>
      <c r="C10" s="95">
        <v>1</v>
      </c>
      <c r="D10" s="95">
        <v>70</v>
      </c>
      <c r="E10" s="94">
        <v>15000</v>
      </c>
      <c r="F10" s="94">
        <f t="shared" ref="F10:F13" si="0">D10*E10</f>
        <v>1050000</v>
      </c>
      <c r="G10" s="93" t="s">
        <v>101</v>
      </c>
    </row>
    <row r="11" spans="1:7">
      <c r="A11" s="101" t="s">
        <v>186</v>
      </c>
      <c r="B11" s="102"/>
      <c r="C11" s="95">
        <v>1</v>
      </c>
      <c r="D11" s="95">
        <v>70</v>
      </c>
      <c r="E11" s="94">
        <f>1800/1.19</f>
        <v>1512.6050420168067</v>
      </c>
      <c r="F11" s="94">
        <f t="shared" si="0"/>
        <v>105882.35294117648</v>
      </c>
      <c r="G11" s="93" t="s">
        <v>187</v>
      </c>
    </row>
    <row r="12" spans="1:7">
      <c r="A12" s="104" t="s">
        <v>170</v>
      </c>
      <c r="B12" s="105"/>
      <c r="C12" s="95">
        <v>1</v>
      </c>
      <c r="D12" s="95">
        <v>70</v>
      </c>
      <c r="E12" s="103">
        <v>3850</v>
      </c>
      <c r="F12" s="94">
        <f t="shared" si="0"/>
        <v>269500</v>
      </c>
      <c r="G12" s="101" t="s">
        <v>128</v>
      </c>
    </row>
    <row r="13" spans="1:7">
      <c r="A13" s="101" t="s">
        <v>105</v>
      </c>
      <c r="B13" s="102" t="s">
        <v>132</v>
      </c>
      <c r="C13" s="95">
        <v>1</v>
      </c>
      <c r="D13" s="95">
        <v>70</v>
      </c>
      <c r="E13" s="103">
        <v>15000</v>
      </c>
      <c r="F13" s="94">
        <f t="shared" si="0"/>
        <v>1050000</v>
      </c>
      <c r="G13" s="93" t="s">
        <v>168</v>
      </c>
    </row>
    <row r="14" spans="1:7">
      <c r="A14" s="101" t="s">
        <v>169</v>
      </c>
      <c r="B14" s="102"/>
      <c r="C14" s="95">
        <v>1</v>
      </c>
      <c r="D14" s="95">
        <v>70</v>
      </c>
      <c r="E14" s="94">
        <f>1800/1.19</f>
        <v>1512.6050420168067</v>
      </c>
      <c r="F14" s="94">
        <f>D14*E14</f>
        <v>105882.35294117648</v>
      </c>
      <c r="G14" s="93" t="s">
        <v>187</v>
      </c>
    </row>
    <row r="15" spans="1:7" s="167" customFormat="1" ht="17">
      <c r="A15" s="171" t="s">
        <v>222</v>
      </c>
      <c r="B15" s="172"/>
      <c r="C15" s="163">
        <v>1</v>
      </c>
      <c r="D15" s="163">
        <v>1</v>
      </c>
      <c r="E15" s="173">
        <v>300000</v>
      </c>
      <c r="F15" s="165">
        <v>300000</v>
      </c>
      <c r="G15" s="174"/>
    </row>
    <row r="16" spans="1:7">
      <c r="A16" s="101" t="s">
        <v>213</v>
      </c>
      <c r="B16" s="102"/>
      <c r="C16" s="95">
        <v>1</v>
      </c>
      <c r="D16" s="95">
        <v>1</v>
      </c>
      <c r="E16" s="94">
        <v>450000</v>
      </c>
      <c r="F16" s="94">
        <f>+E16</f>
        <v>450000</v>
      </c>
      <c r="G16" s="151" t="s">
        <v>2</v>
      </c>
    </row>
    <row r="17" spans="1:7">
      <c r="A17" s="135" t="s">
        <v>214</v>
      </c>
      <c r="B17" s="136" t="s">
        <v>226</v>
      </c>
      <c r="C17" s="43">
        <v>0</v>
      </c>
      <c r="D17" s="43">
        <v>0</v>
      </c>
      <c r="E17" s="137">
        <v>3850</v>
      </c>
      <c r="F17" s="137">
        <v>0</v>
      </c>
      <c r="G17" s="139" t="s">
        <v>189</v>
      </c>
    </row>
    <row r="18" spans="1:7">
      <c r="A18" s="135" t="s">
        <v>215</v>
      </c>
      <c r="B18" s="136" t="s">
        <v>226</v>
      </c>
      <c r="C18" s="43">
        <v>0</v>
      </c>
      <c r="D18" s="43">
        <v>0</v>
      </c>
      <c r="E18" s="137">
        <v>24000</v>
      </c>
      <c r="F18" s="137">
        <v>0</v>
      </c>
      <c r="G18" s="27" t="s">
        <v>190</v>
      </c>
    </row>
    <row r="19" spans="1:7" s="167" customFormat="1">
      <c r="A19" s="161" t="s">
        <v>216</v>
      </c>
      <c r="B19" s="162"/>
      <c r="C19" s="175">
        <v>70</v>
      </c>
      <c r="D19" s="175">
        <v>7000</v>
      </c>
      <c r="E19" s="165">
        <v>490000</v>
      </c>
      <c r="F19" s="176">
        <f>C19*D19</f>
        <v>490000</v>
      </c>
      <c r="G19" s="166" t="s">
        <v>196</v>
      </c>
    </row>
    <row r="20" spans="1:7" ht="16.5" customHeight="1">
      <c r="A20" s="122" t="s">
        <v>174</v>
      </c>
      <c r="B20" s="123"/>
      <c r="C20" s="95">
        <v>1</v>
      </c>
      <c r="D20" s="95">
        <v>1</v>
      </c>
      <c r="E20" s="124">
        <v>99000</v>
      </c>
      <c r="F20" s="94">
        <f>C20*E20</f>
        <v>99000</v>
      </c>
      <c r="G20" s="122" t="s">
        <v>175</v>
      </c>
    </row>
    <row r="21" spans="1:7" ht="16.5" customHeight="1">
      <c r="A21" s="122" t="s">
        <v>127</v>
      </c>
      <c r="B21" s="123"/>
      <c r="C21" s="95">
        <v>0</v>
      </c>
      <c r="D21" s="95">
        <v>0</v>
      </c>
      <c r="E21" s="124">
        <v>118000</v>
      </c>
      <c r="F21" s="94">
        <f>+E21</f>
        <v>118000</v>
      </c>
      <c r="G21" s="122" t="s">
        <v>176</v>
      </c>
    </row>
    <row r="22" spans="1:7" ht="16.5" customHeight="1">
      <c r="A22" s="122" t="s">
        <v>227</v>
      </c>
      <c r="B22" s="123"/>
      <c r="C22" s="95">
        <v>0</v>
      </c>
      <c r="D22" s="95">
        <v>0</v>
      </c>
      <c r="E22" s="124">
        <f>118000+39500*2</f>
        <v>197000</v>
      </c>
      <c r="F22" s="94">
        <f>C22*E22</f>
        <v>0</v>
      </c>
      <c r="G22" s="122" t="s">
        <v>230</v>
      </c>
    </row>
    <row r="23" spans="1:7" s="167" customFormat="1" ht="16.5" customHeight="1">
      <c r="A23" s="168" t="s">
        <v>228</v>
      </c>
      <c r="B23" s="169"/>
      <c r="C23" s="163">
        <v>7</v>
      </c>
      <c r="D23" s="163">
        <v>69</v>
      </c>
      <c r="E23" s="170">
        <f>315000/7</f>
        <v>45000</v>
      </c>
      <c r="F23" s="165">
        <f>D23*E23</f>
        <v>3105000</v>
      </c>
      <c r="G23" s="168" t="s">
        <v>229</v>
      </c>
    </row>
    <row r="24" spans="1:7" ht="16.5" customHeight="1" thickBot="1">
      <c r="A24" s="2" t="s">
        <v>86</v>
      </c>
      <c r="B24" s="78"/>
      <c r="C24" s="33"/>
      <c r="D24" s="23">
        <v>70</v>
      </c>
      <c r="E24" s="7"/>
      <c r="F24" s="5">
        <f>SUM(F9:F23)</f>
        <v>7393264.7058823528</v>
      </c>
      <c r="G24" s="32" t="s">
        <v>2</v>
      </c>
    </row>
    <row r="25" spans="1:7" ht="16.5" customHeight="1">
      <c r="A25" s="108" t="s">
        <v>108</v>
      </c>
      <c r="B25" s="109"/>
      <c r="C25" s="110" t="s">
        <v>106</v>
      </c>
      <c r="D25" s="110" t="s">
        <v>6</v>
      </c>
      <c r="E25" s="110" t="s">
        <v>0</v>
      </c>
      <c r="F25" s="110" t="s">
        <v>1</v>
      </c>
      <c r="G25" s="111" t="s">
        <v>7</v>
      </c>
    </row>
    <row r="26" spans="1:7">
      <c r="A26" s="106" t="s">
        <v>8</v>
      </c>
      <c r="B26" s="107"/>
      <c r="C26" s="95">
        <v>1</v>
      </c>
      <c r="D26" s="95">
        <v>70</v>
      </c>
      <c r="E26" s="127">
        <v>10504</v>
      </c>
      <c r="F26" s="94" t="s">
        <v>109</v>
      </c>
      <c r="G26" s="93" t="s">
        <v>167</v>
      </c>
    </row>
    <row r="27" spans="1:7" s="167" customFormat="1">
      <c r="A27" s="161" t="s">
        <v>232</v>
      </c>
      <c r="B27" s="162"/>
      <c r="C27" s="163">
        <v>1</v>
      </c>
      <c r="D27" s="163">
        <v>1</v>
      </c>
      <c r="E27" s="164">
        <v>250000</v>
      </c>
      <c r="F27" s="165">
        <f>C27*E27</f>
        <v>250000</v>
      </c>
      <c r="G27" s="166" t="s">
        <v>172</v>
      </c>
    </row>
    <row r="28" spans="1:7" s="16" customFormat="1" ht="16.5" customHeight="1">
      <c r="A28" s="101" t="s">
        <v>104</v>
      </c>
      <c r="B28" s="102" t="s">
        <v>131</v>
      </c>
      <c r="C28" s="95">
        <v>1</v>
      </c>
      <c r="D28" s="95">
        <v>70</v>
      </c>
      <c r="E28" s="94">
        <v>15000</v>
      </c>
      <c r="F28" s="128">
        <f t="shared" ref="F28:F29" si="1">D28*E28</f>
        <v>1050000</v>
      </c>
      <c r="G28" s="93" t="s">
        <v>101</v>
      </c>
    </row>
    <row r="29" spans="1:7">
      <c r="A29" s="101" t="s">
        <v>169</v>
      </c>
      <c r="B29" s="102"/>
      <c r="C29" s="95">
        <v>1</v>
      </c>
      <c r="D29" s="95">
        <v>70</v>
      </c>
      <c r="E29" s="94">
        <f>1513</f>
        <v>1513</v>
      </c>
      <c r="F29" s="128">
        <f t="shared" si="1"/>
        <v>105910</v>
      </c>
      <c r="G29" s="93" t="s">
        <v>166</v>
      </c>
    </row>
    <row r="30" spans="1:7">
      <c r="A30" s="116"/>
      <c r="B30" s="117"/>
      <c r="C30" s="118"/>
      <c r="D30" s="118"/>
      <c r="E30" s="119" t="s">
        <v>2</v>
      </c>
      <c r="F30" s="120">
        <f>SUM(F28:F29)</f>
        <v>1155910</v>
      </c>
      <c r="G30" s="121"/>
    </row>
    <row r="31" spans="1:7">
      <c r="A31" s="112" t="s">
        <v>163</v>
      </c>
      <c r="B31" s="113" t="s">
        <v>178</v>
      </c>
      <c r="C31" s="114"/>
      <c r="D31" s="114"/>
      <c r="E31" s="115"/>
      <c r="F31" s="115" t="s">
        <v>2</v>
      </c>
      <c r="G31" s="112" t="s">
        <v>164</v>
      </c>
    </row>
    <row r="32" spans="1:7">
      <c r="A32" s="96" t="s">
        <v>159</v>
      </c>
      <c r="B32" s="97" t="s">
        <v>2</v>
      </c>
      <c r="C32" s="98">
        <v>0</v>
      </c>
      <c r="D32" s="98">
        <v>0</v>
      </c>
      <c r="E32" s="99">
        <v>0</v>
      </c>
      <c r="F32" s="99">
        <f t="shared" ref="F32:F35" si="2">C32*D32*E32</f>
        <v>0</v>
      </c>
      <c r="G32" s="100" t="s">
        <v>161</v>
      </c>
    </row>
    <row r="33" spans="1:7">
      <c r="A33" s="96" t="s">
        <v>155</v>
      </c>
      <c r="B33" s="97" t="s">
        <v>2</v>
      </c>
      <c r="C33" s="98">
        <v>0</v>
      </c>
      <c r="D33" s="98">
        <v>0</v>
      </c>
      <c r="E33" s="99">
        <v>0</v>
      </c>
      <c r="F33" s="99">
        <f t="shared" si="2"/>
        <v>0</v>
      </c>
      <c r="G33" s="100" t="s">
        <v>162</v>
      </c>
    </row>
    <row r="34" spans="1:7" ht="16.5" customHeight="1">
      <c r="A34" s="96" t="s">
        <v>156</v>
      </c>
      <c r="B34" s="97" t="s">
        <v>2</v>
      </c>
      <c r="C34" s="98">
        <v>0</v>
      </c>
      <c r="D34" s="98">
        <v>0</v>
      </c>
      <c r="E34" s="99">
        <v>0</v>
      </c>
      <c r="F34" s="99">
        <f t="shared" si="2"/>
        <v>0</v>
      </c>
      <c r="G34" s="100" t="s">
        <v>160</v>
      </c>
    </row>
    <row r="35" spans="1:7" ht="17" thickBot="1">
      <c r="A35" s="96" t="s">
        <v>157</v>
      </c>
      <c r="B35" s="97" t="s">
        <v>2</v>
      </c>
      <c r="C35" s="98">
        <v>0</v>
      </c>
      <c r="D35" s="98">
        <v>0</v>
      </c>
      <c r="E35" s="99">
        <v>0</v>
      </c>
      <c r="F35" s="99">
        <f t="shared" si="2"/>
        <v>0</v>
      </c>
      <c r="G35" s="96" t="s">
        <v>158</v>
      </c>
    </row>
    <row r="36" spans="1:7" ht="17" thickBot="1">
      <c r="A36" s="36" t="s">
        <v>165</v>
      </c>
      <c r="B36" s="80"/>
      <c r="C36" s="37"/>
      <c r="D36" s="37"/>
      <c r="E36" s="38"/>
      <c r="F36" s="39">
        <f>F24+F30</f>
        <v>8549174.7058823518</v>
      </c>
      <c r="G36" s="6" t="s">
        <v>125</v>
      </c>
    </row>
    <row r="37" spans="1:7">
      <c r="A37" s="3" t="s">
        <v>126</v>
      </c>
      <c r="B37" s="79"/>
      <c r="C37" s="31"/>
      <c r="D37" s="23"/>
      <c r="E37" s="7"/>
      <c r="F37" s="5">
        <f>F36*1.19-F36</f>
        <v>1624343.1941176467</v>
      </c>
      <c r="G37" s="6"/>
    </row>
    <row r="38" spans="1:7">
      <c r="A38" s="81" t="s">
        <v>173</v>
      </c>
      <c r="B38" s="82"/>
      <c r="C38" s="83"/>
      <c r="D38" s="83"/>
      <c r="E38" s="84"/>
      <c r="F38" s="85">
        <f>F36+F37</f>
        <v>10173517.899999999</v>
      </c>
      <c r="G38" s="6"/>
    </row>
    <row r="39" spans="1:7">
      <c r="A39" s="3"/>
      <c r="B39" s="79"/>
      <c r="C39" s="31"/>
      <c r="D39" s="23"/>
      <c r="E39" s="7"/>
      <c r="F39" s="4"/>
      <c r="G39" s="6"/>
    </row>
    <row r="40" spans="1:7">
      <c r="A40" s="132" t="s">
        <v>188</v>
      </c>
      <c r="B40" s="133" t="s">
        <v>130</v>
      </c>
      <c r="C40" s="134" t="s">
        <v>106</v>
      </c>
      <c r="D40" s="134" t="s">
        <v>6</v>
      </c>
      <c r="E40" s="134" t="s">
        <v>0</v>
      </c>
      <c r="F40" s="134" t="s">
        <v>1</v>
      </c>
      <c r="G40" s="134" t="s">
        <v>7</v>
      </c>
    </row>
    <row r="41" spans="1:7">
      <c r="A41" s="101" t="s">
        <v>195</v>
      </c>
      <c r="B41" s="102"/>
      <c r="C41" s="95">
        <v>0</v>
      </c>
      <c r="D41" s="95">
        <v>0</v>
      </c>
      <c r="E41" s="94">
        <v>300000</v>
      </c>
      <c r="F41" s="94">
        <f>D41*E41</f>
        <v>0</v>
      </c>
      <c r="G41" s="93"/>
    </row>
    <row r="42" spans="1:7">
      <c r="A42" s="101" t="s">
        <v>211</v>
      </c>
      <c r="B42" s="102"/>
      <c r="C42" s="95">
        <v>0</v>
      </c>
      <c r="D42" s="95">
        <v>0</v>
      </c>
      <c r="E42" s="94">
        <v>570000</v>
      </c>
      <c r="F42" s="94">
        <f t="shared" ref="F42" si="3">C42*E42</f>
        <v>0</v>
      </c>
      <c r="G42" s="151"/>
    </row>
    <row r="43" spans="1:7">
      <c r="A43" s="101" t="s">
        <v>212</v>
      </c>
      <c r="B43" s="102"/>
      <c r="C43" s="95">
        <v>1</v>
      </c>
      <c r="D43" s="95">
        <v>0</v>
      </c>
      <c r="E43" s="94">
        <v>350000</v>
      </c>
      <c r="F43" s="94">
        <v>0</v>
      </c>
      <c r="G43" s="151"/>
    </row>
    <row r="44" spans="1:7">
      <c r="A44" s="135" t="s">
        <v>191</v>
      </c>
      <c r="B44" s="136"/>
      <c r="C44" s="43">
        <v>0</v>
      </c>
      <c r="D44" s="43">
        <v>0</v>
      </c>
      <c r="E44" s="137">
        <f>400000+6000*20</f>
        <v>520000</v>
      </c>
      <c r="F44" s="138">
        <v>0</v>
      </c>
      <c r="G44" s="27" t="s">
        <v>217</v>
      </c>
    </row>
    <row r="45" spans="1:7">
      <c r="A45" s="140" t="s">
        <v>170</v>
      </c>
      <c r="B45" s="141"/>
      <c r="C45" s="142">
        <v>0</v>
      </c>
      <c r="D45" s="142">
        <v>0</v>
      </c>
      <c r="E45" s="143">
        <v>3850</v>
      </c>
      <c r="F45" s="144">
        <v>0</v>
      </c>
      <c r="G45" s="145" t="s">
        <v>128</v>
      </c>
    </row>
    <row r="46" spans="1:7">
      <c r="A46" s="140" t="s">
        <v>102</v>
      </c>
      <c r="B46" s="141"/>
      <c r="C46" s="142">
        <v>0</v>
      </c>
      <c r="D46" s="142">
        <v>0</v>
      </c>
      <c r="E46" s="143">
        <v>4800</v>
      </c>
      <c r="F46" s="144">
        <v>0</v>
      </c>
      <c r="G46" s="145" t="s">
        <v>171</v>
      </c>
    </row>
    <row r="47" spans="1:7">
      <c r="A47" s="140" t="s">
        <v>103</v>
      </c>
      <c r="B47" s="141"/>
      <c r="C47" s="142">
        <v>0</v>
      </c>
      <c r="D47" s="142">
        <v>0</v>
      </c>
      <c r="E47" s="143">
        <v>5500</v>
      </c>
      <c r="F47" s="144">
        <v>0</v>
      </c>
      <c r="G47" s="145" t="s">
        <v>129</v>
      </c>
    </row>
    <row r="48" spans="1:7" ht="17">
      <c r="A48" s="101" t="s">
        <v>197</v>
      </c>
      <c r="B48" s="152"/>
      <c r="C48" s="142">
        <v>0</v>
      </c>
      <c r="D48" s="142">
        <v>0</v>
      </c>
      <c r="E48" s="153">
        <v>8500</v>
      </c>
      <c r="F48" s="144">
        <v>0</v>
      </c>
      <c r="G48" s="154" t="s">
        <v>198</v>
      </c>
    </row>
    <row r="49" spans="1:7" ht="34">
      <c r="A49" s="158" t="s">
        <v>218</v>
      </c>
      <c r="B49" s="152"/>
      <c r="C49" s="142">
        <v>0</v>
      </c>
      <c r="D49" s="142">
        <v>0</v>
      </c>
      <c r="E49" s="153">
        <v>13500</v>
      </c>
      <c r="F49" s="144">
        <v>0</v>
      </c>
      <c r="G49" s="159" t="s">
        <v>219</v>
      </c>
    </row>
    <row r="50" spans="1:7" ht="34">
      <c r="A50" s="158" t="s">
        <v>220</v>
      </c>
      <c r="B50" s="152"/>
      <c r="C50" s="142">
        <v>0</v>
      </c>
      <c r="D50" s="142">
        <v>0</v>
      </c>
      <c r="E50" s="153">
        <v>15000</v>
      </c>
      <c r="F50" s="144">
        <v>0</v>
      </c>
      <c r="G50" s="159" t="s">
        <v>221</v>
      </c>
    </row>
    <row r="51" spans="1:7">
      <c r="A51" s="146" t="s">
        <v>192</v>
      </c>
      <c r="B51" s="147"/>
      <c r="C51" s="148"/>
      <c r="D51" s="148"/>
      <c r="E51" s="149"/>
      <c r="F51" s="149">
        <v>0</v>
      </c>
      <c r="G51" s="6"/>
    </row>
    <row r="52" spans="1:7" ht="17">
      <c r="A52" s="129" t="s">
        <v>133</v>
      </c>
      <c r="B52"/>
      <c r="E52" s="75"/>
      <c r="F52" s="75"/>
      <c r="G52" s="75"/>
    </row>
    <row r="53" spans="1:7">
      <c r="A53" s="131" t="s">
        <v>184</v>
      </c>
      <c r="B53"/>
    </row>
    <row r="54" spans="1:7">
      <c r="A54" s="131" t="s">
        <v>185</v>
      </c>
      <c r="B54"/>
    </row>
    <row r="56" spans="1:7">
      <c r="A56" s="129" t="s">
        <v>199</v>
      </c>
      <c r="B56"/>
    </row>
    <row r="57" spans="1:7">
      <c r="A57" s="130" t="s">
        <v>200</v>
      </c>
      <c r="B57"/>
    </row>
    <row r="58" spans="1:7">
      <c r="A58" s="131" t="s">
        <v>180</v>
      </c>
      <c r="B58"/>
    </row>
    <row r="59" spans="1:7">
      <c r="A59" s="131" t="s">
        <v>181</v>
      </c>
      <c r="B59"/>
    </row>
    <row r="60" spans="1:7">
      <c r="A60" s="129" t="s">
        <v>179</v>
      </c>
      <c r="B60"/>
    </row>
    <row r="61" spans="1:7">
      <c r="A61" s="131" t="s">
        <v>201</v>
      </c>
      <c r="B61"/>
    </row>
    <row r="62" spans="1:7">
      <c r="A62" s="129" t="s">
        <v>182</v>
      </c>
      <c r="B62"/>
    </row>
    <row r="63" spans="1:7">
      <c r="A63" s="131" t="s">
        <v>202</v>
      </c>
      <c r="B63"/>
    </row>
    <row r="64" spans="1:7">
      <c r="A64" s="131" t="s">
        <v>203</v>
      </c>
      <c r="B64"/>
    </row>
    <row r="65" spans="1:6">
      <c r="A65" s="131" t="s">
        <v>204</v>
      </c>
      <c r="B65"/>
    </row>
    <row r="66" spans="1:6">
      <c r="A66" s="131" t="s">
        <v>205</v>
      </c>
      <c r="B66"/>
    </row>
    <row r="67" spans="1:6">
      <c r="A67" s="130"/>
      <c r="B67"/>
    </row>
    <row r="68" spans="1:6">
      <c r="A68" s="130" t="s">
        <v>206</v>
      </c>
      <c r="B68" s="130"/>
      <c r="C68" s="130"/>
      <c r="D68" s="130"/>
      <c r="E68" s="130"/>
      <c r="F68" s="130"/>
    </row>
    <row r="69" spans="1:6">
      <c r="A69" s="155"/>
      <c r="B69"/>
    </row>
    <row r="70" spans="1:6">
      <c r="A70" s="156" t="s">
        <v>207</v>
      </c>
      <c r="B70"/>
    </row>
    <row r="71" spans="1:6" ht="16" customHeight="1">
      <c r="A71" s="177" t="s">
        <v>208</v>
      </c>
      <c r="B71" s="177"/>
      <c r="C71" s="177"/>
      <c r="D71" s="177"/>
      <c r="E71" s="177"/>
      <c r="F71" s="177"/>
    </row>
    <row r="72" spans="1:6">
      <c r="A72" s="130"/>
      <c r="B72"/>
    </row>
    <row r="73" spans="1:6">
      <c r="A73" s="129" t="s">
        <v>183</v>
      </c>
      <c r="B73"/>
    </row>
    <row r="74" spans="1:6">
      <c r="A74" s="130"/>
      <c r="B74"/>
    </row>
    <row r="75" spans="1:6">
      <c r="A75" s="130" t="s">
        <v>134</v>
      </c>
      <c r="B75" s="130" t="s">
        <v>135</v>
      </c>
    </row>
    <row r="76" spans="1:6">
      <c r="A76" s="130" t="s">
        <v>136</v>
      </c>
      <c r="B76"/>
      <c r="D76" s="130" t="s">
        <v>137</v>
      </c>
    </row>
    <row r="77" spans="1:6">
      <c r="A77" s="130" t="s">
        <v>138</v>
      </c>
      <c r="B77" s="130" t="s">
        <v>209</v>
      </c>
    </row>
    <row r="78" spans="1:6">
      <c r="A78" s="130" t="s">
        <v>139</v>
      </c>
      <c r="B78"/>
      <c r="D78" s="130" t="s">
        <v>140</v>
      </c>
    </row>
    <row r="79" spans="1:6">
      <c r="A79" s="130" t="s">
        <v>141</v>
      </c>
      <c r="B79"/>
      <c r="D79" s="130" t="s">
        <v>142</v>
      </c>
    </row>
    <row r="80" spans="1:6">
      <c r="A80" s="130" t="s">
        <v>143</v>
      </c>
      <c r="B80"/>
      <c r="C80" s="130" t="s">
        <v>144</v>
      </c>
    </row>
    <row r="81" spans="1:4">
      <c r="A81" s="130" t="s">
        <v>5</v>
      </c>
      <c r="B81"/>
      <c r="D81" s="130">
        <v>29539311</v>
      </c>
    </row>
    <row r="82" spans="1:4">
      <c r="A82" s="157" t="s">
        <v>210</v>
      </c>
      <c r="B82"/>
    </row>
  </sheetData>
  <mergeCells count="1">
    <mergeCell ref="A71:F71"/>
  </mergeCells>
  <phoneticPr fontId="7" type="noConversion"/>
  <hyperlinks>
    <hyperlink ref="A82" r:id="rId1" display="mailto:sf@sflodge.cl" xr:uid="{00000000-0004-0000-0000-000000000000}"/>
    <hyperlink ref="B4" r:id="rId2" xr:uid="{00000000-0004-0000-0000-000001000000}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9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96"/>
      <c r="B1" s="196"/>
      <c r="C1" s="196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96"/>
      <c r="B2" s="196"/>
      <c r="C2" s="196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96"/>
      <c r="B3" s="196"/>
      <c r="C3" s="196"/>
      <c r="D3" s="24"/>
      <c r="E3" s="24" t="s">
        <v>118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96"/>
      <c r="B4" s="196"/>
      <c r="C4" s="196"/>
      <c r="D4" s="41"/>
      <c r="E4" s="41" t="s">
        <v>119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97" t="s">
        <v>112</v>
      </c>
      <c r="D6" s="191"/>
      <c r="E6" s="192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78" t="s">
        <v>113</v>
      </c>
      <c r="D7" s="179"/>
      <c r="E7" s="180"/>
      <c r="F7" s="52"/>
      <c r="G7" s="52"/>
      <c r="H7" s="52"/>
      <c r="I7" s="53" t="s">
        <v>114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78" t="s">
        <v>113</v>
      </c>
      <c r="D8" s="179"/>
      <c r="E8" s="180"/>
      <c r="F8" s="52"/>
      <c r="G8" s="52"/>
      <c r="H8" s="52"/>
      <c r="I8" s="53" t="s">
        <v>114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81" t="s">
        <v>96</v>
      </c>
      <c r="D9" s="182"/>
      <c r="E9" s="183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78" t="s">
        <v>113</v>
      </c>
      <c r="D10" s="179"/>
      <c r="E10" s="180"/>
      <c r="F10" s="52"/>
      <c r="G10" s="52"/>
      <c r="H10" s="52"/>
      <c r="I10" s="53" t="s">
        <v>114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78" t="s">
        <v>113</v>
      </c>
      <c r="D11" s="179"/>
      <c r="E11" s="180"/>
      <c r="F11" s="52"/>
      <c r="G11" s="52"/>
      <c r="H11" s="52"/>
      <c r="I11" s="53" t="s">
        <v>114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84" t="s">
        <v>97</v>
      </c>
      <c r="D12" s="185"/>
      <c r="E12" s="186"/>
      <c r="F12" s="44"/>
      <c r="G12" s="44"/>
      <c r="H12" s="43"/>
      <c r="I12" s="27" t="s">
        <v>110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87" t="s">
        <v>111</v>
      </c>
      <c r="D13" s="188"/>
      <c r="E13" s="189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90" t="s">
        <v>115</v>
      </c>
      <c r="D15" s="191"/>
      <c r="E15" s="192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193" t="s">
        <v>94</v>
      </c>
      <c r="D16" s="194"/>
      <c r="E16" s="195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78" t="s">
        <v>113</v>
      </c>
      <c r="D17" s="179"/>
      <c r="E17" s="180"/>
      <c r="F17" s="52"/>
      <c r="G17" s="52"/>
      <c r="H17" s="52"/>
      <c r="I17" s="53" t="s">
        <v>114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78" t="s">
        <v>113</v>
      </c>
      <c r="D18" s="179"/>
      <c r="E18" s="180"/>
      <c r="F18" s="52"/>
      <c r="G18" s="52"/>
      <c r="H18" s="52"/>
      <c r="I18" s="53" t="s">
        <v>114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81" t="s">
        <v>96</v>
      </c>
      <c r="D19" s="182"/>
      <c r="E19" s="183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78" t="s">
        <v>113</v>
      </c>
      <c r="D20" s="179"/>
      <c r="E20" s="180"/>
      <c r="F20" s="52"/>
      <c r="G20" s="52"/>
      <c r="H20" s="52"/>
      <c r="I20" s="53" t="s">
        <v>114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78" t="s">
        <v>113</v>
      </c>
      <c r="D21" s="179"/>
      <c r="E21" s="180"/>
      <c r="F21" s="52"/>
      <c r="G21" s="52"/>
      <c r="H21" s="52"/>
      <c r="I21" s="53" t="s">
        <v>114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84" t="s">
        <v>97</v>
      </c>
      <c r="D22" s="185"/>
      <c r="E22" s="186"/>
      <c r="F22" s="44"/>
      <c r="G22" s="44"/>
      <c r="H22" s="43"/>
      <c r="I22" s="27" t="s">
        <v>110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87" t="s">
        <v>111</v>
      </c>
      <c r="D23" s="188"/>
      <c r="E23" s="189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88</v>
      </c>
      <c r="B25" s="29" t="s">
        <v>89</v>
      </c>
      <c r="C25" s="190" t="s">
        <v>116</v>
      </c>
      <c r="D25" s="191"/>
      <c r="E25" s="192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193" t="s">
        <v>94</v>
      </c>
      <c r="D26" s="194"/>
      <c r="E26" s="195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78" t="s">
        <v>113</v>
      </c>
      <c r="D27" s="179"/>
      <c r="E27" s="180"/>
      <c r="F27" s="52"/>
      <c r="G27" s="52"/>
      <c r="H27" s="52"/>
      <c r="I27" s="53" t="s">
        <v>114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78" t="s">
        <v>113</v>
      </c>
      <c r="D28" s="179"/>
      <c r="E28" s="180"/>
      <c r="F28" s="52"/>
      <c r="G28" s="52"/>
      <c r="H28" s="52"/>
      <c r="I28" s="53" t="s">
        <v>114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81" t="s">
        <v>96</v>
      </c>
      <c r="D29" s="182"/>
      <c r="E29" s="183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78" t="s">
        <v>113</v>
      </c>
      <c r="D30" s="179"/>
      <c r="E30" s="180"/>
      <c r="F30" s="52"/>
      <c r="G30" s="52"/>
      <c r="H30" s="52"/>
      <c r="I30" s="53" t="s">
        <v>114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78" t="s">
        <v>113</v>
      </c>
      <c r="D31" s="179"/>
      <c r="E31" s="180"/>
      <c r="F31" s="52"/>
      <c r="G31" s="52"/>
      <c r="H31" s="52"/>
      <c r="I31" s="53" t="s">
        <v>114</v>
      </c>
      <c r="J31" s="22"/>
      <c r="K31" s="22"/>
      <c r="L31" s="22"/>
      <c r="M31" s="22"/>
      <c r="N31" s="22"/>
    </row>
    <row r="32" spans="1:14" s="55" customFormat="1" ht="15" customHeight="1">
      <c r="A32" s="199"/>
      <c r="B32" s="199"/>
      <c r="C32" s="199"/>
      <c r="D32" s="199"/>
      <c r="E32" s="199"/>
      <c r="F32" s="199"/>
      <c r="G32" s="199"/>
      <c r="H32" s="199"/>
      <c r="I32" s="199"/>
      <c r="J32" s="54"/>
      <c r="K32" s="54"/>
      <c r="L32" s="54"/>
      <c r="M32" s="54"/>
      <c r="N32" s="54"/>
    </row>
    <row r="33" spans="1:14" s="55" customFormat="1" ht="15" customHeight="1">
      <c r="A33" s="200" t="s">
        <v>117</v>
      </c>
      <c r="B33" s="200"/>
      <c r="C33" s="200"/>
      <c r="D33" s="200"/>
      <c r="E33" s="200"/>
      <c r="F33" s="200"/>
      <c r="G33" s="200"/>
      <c r="H33" s="200"/>
      <c r="I33" s="200"/>
      <c r="J33" s="54"/>
      <c r="K33" s="54"/>
      <c r="L33" s="54"/>
      <c r="M33" s="54"/>
      <c r="N33" s="54"/>
    </row>
    <row r="34" spans="1:14" s="55" customFormat="1" ht="15" customHeight="1">
      <c r="A34" s="199"/>
      <c r="B34" s="199"/>
      <c r="C34" s="199"/>
      <c r="D34" s="199"/>
      <c r="E34" s="199"/>
      <c r="F34" s="199"/>
      <c r="G34" s="199"/>
      <c r="H34" s="199"/>
      <c r="I34" s="199"/>
      <c r="J34" s="54"/>
      <c r="K34" s="54"/>
      <c r="L34" s="54"/>
      <c r="M34" s="54"/>
      <c r="N34" s="54"/>
    </row>
    <row r="35" spans="1:14" s="55" customFormat="1" ht="15" customHeight="1">
      <c r="A35" s="199"/>
      <c r="B35" s="199"/>
      <c r="C35" s="199"/>
      <c r="D35" s="199"/>
      <c r="E35" s="199"/>
      <c r="F35" s="199"/>
      <c r="G35" s="199"/>
      <c r="H35" s="199"/>
      <c r="I35" s="199"/>
      <c r="J35" s="54"/>
      <c r="K35" s="54"/>
      <c r="L35" s="54"/>
      <c r="M35" s="54"/>
      <c r="N35" s="54"/>
    </row>
    <row r="36" spans="1:14" s="55" customFormat="1" ht="15" customHeight="1">
      <c r="A36" s="199"/>
      <c r="B36" s="199"/>
      <c r="C36" s="199"/>
      <c r="D36" s="199"/>
      <c r="E36" s="199"/>
      <c r="F36" s="199"/>
      <c r="G36" s="199"/>
      <c r="H36" s="199"/>
      <c r="I36" s="199"/>
      <c r="J36" s="54"/>
      <c r="K36" s="54"/>
      <c r="L36" s="54"/>
      <c r="M36" s="54"/>
      <c r="N36" s="54"/>
    </row>
    <row r="37" spans="1:14" s="55" customFormat="1" ht="15" customHeight="1">
      <c r="A37" s="199"/>
      <c r="B37" s="199"/>
      <c r="C37" s="199"/>
      <c r="D37" s="199"/>
      <c r="E37" s="199"/>
      <c r="F37" s="199"/>
      <c r="G37" s="199"/>
      <c r="H37" s="199"/>
      <c r="I37" s="199"/>
      <c r="J37" s="54"/>
      <c r="K37" s="54"/>
      <c r="L37" s="54"/>
      <c r="M37" s="54"/>
      <c r="N37" s="54"/>
    </row>
    <row r="38" spans="1:14" s="55" customFormat="1" ht="15" customHeight="1">
      <c r="A38" s="199"/>
      <c r="B38" s="199"/>
      <c r="C38" s="199"/>
      <c r="D38" s="199"/>
      <c r="E38" s="199"/>
      <c r="F38" s="199"/>
      <c r="G38" s="199"/>
      <c r="H38" s="199"/>
      <c r="I38" s="199"/>
      <c r="J38" s="54"/>
      <c r="K38" s="54"/>
      <c r="L38" s="54"/>
      <c r="M38" s="54"/>
      <c r="N38" s="54"/>
    </row>
    <row r="39" spans="1:14" s="55" customFormat="1" ht="15" customHeight="1">
      <c r="A39" s="199"/>
      <c r="B39" s="199"/>
      <c r="C39" s="199"/>
      <c r="D39" s="199"/>
      <c r="E39" s="199"/>
      <c r="F39" s="199"/>
      <c r="G39" s="199"/>
      <c r="H39" s="199"/>
      <c r="I39" s="199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201" t="s">
        <v>98</v>
      </c>
      <c r="B44" s="201"/>
      <c r="C44" s="201"/>
      <c r="D44" s="201"/>
      <c r="E44" s="201"/>
      <c r="F44" s="201"/>
      <c r="G44" s="201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96"/>
      <c r="B45" s="196"/>
      <c r="C45" s="196"/>
      <c r="D45" s="196"/>
      <c r="E45" s="196"/>
      <c r="F45" s="196"/>
      <c r="G45" s="196"/>
      <c r="H45" s="35"/>
      <c r="I45" s="22"/>
      <c r="J45" s="22"/>
      <c r="K45" s="22"/>
      <c r="L45" s="22"/>
      <c r="M45" s="22"/>
      <c r="N45" s="22"/>
    </row>
    <row r="46" spans="1:14">
      <c r="A46" s="198" t="s">
        <v>100</v>
      </c>
      <c r="B46" s="198"/>
      <c r="C46" s="198"/>
      <c r="D46" s="198"/>
      <c r="E46" s="198"/>
      <c r="F46" s="198"/>
      <c r="G46" s="198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8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8" t="s">
        <v>149</v>
      </c>
    </row>
    <row r="3" spans="1:1" ht="28" customHeight="1" thickBot="1">
      <c r="A3" s="89" t="s">
        <v>150</v>
      </c>
    </row>
    <row r="4" spans="1:1" ht="18">
      <c r="A4" s="90" t="s">
        <v>151</v>
      </c>
    </row>
    <row r="5" spans="1:1" ht="41" customHeight="1">
      <c r="A5" s="91" t="s">
        <v>152</v>
      </c>
    </row>
    <row r="6" spans="1:1" ht="33" customHeight="1" thickBot="1">
      <c r="A6" s="89" t="s">
        <v>154</v>
      </c>
    </row>
    <row r="7" spans="1:1" ht="29" customHeight="1" thickBot="1">
      <c r="A7" s="9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2020-03-09T19:58:16Z</dcterms:modified>
</cp:coreProperties>
</file>