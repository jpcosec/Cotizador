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6EB2FEDD-526C-E643-B8A3-7B442E279639}" xr6:coauthVersionLast="36" xr6:coauthVersionMax="36" xr10:uidLastSave="{00000000-0000-0000-0000-000000000000}"/>
  <bookViews>
    <workbookView xWindow="1820" yWindow="460" windowWidth="25400" windowHeight="1272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0" i="1" l="1"/>
  <c r="F19" i="1"/>
  <c r="F17" i="1"/>
  <c r="E14" i="1"/>
  <c r="F14" i="1" s="1"/>
  <c r="F38" i="1" l="1"/>
  <c r="F37" i="1"/>
  <c r="F18" i="1" l="1"/>
  <c r="E16" i="1" l="1"/>
  <c r="F16" i="1" s="1"/>
  <c r="E26" i="1"/>
  <c r="F26" i="1" s="1"/>
  <c r="E12" i="1"/>
  <c r="F12" i="1" s="1"/>
  <c r="F23" i="1"/>
  <c r="F25" i="1"/>
  <c r="F24" i="1"/>
  <c r="F10" i="1"/>
  <c r="F9" i="1"/>
  <c r="F32" i="1" s="1"/>
  <c r="F33" i="1" s="1"/>
  <c r="F11" i="1"/>
  <c r="F13" i="1"/>
  <c r="F15" i="1"/>
  <c r="F29" i="1"/>
  <c r="F30" i="1"/>
  <c r="F31" i="1"/>
  <c r="F30" i="5"/>
  <c r="E30" i="5"/>
  <c r="D30" i="5"/>
  <c r="C30" i="5"/>
  <c r="B30" i="5"/>
  <c r="P29" i="5"/>
  <c r="O29" i="5"/>
  <c r="N29" i="5"/>
  <c r="K29" i="5"/>
  <c r="J29" i="5"/>
  <c r="I29" i="5"/>
  <c r="Z23" i="5"/>
  <c r="F27" i="1" l="1"/>
  <c r="F34" i="1" l="1"/>
</calcChain>
</file>

<file path=xl/sharedStrings.xml><?xml version="1.0" encoding="utf-8"?>
<sst xmlns="http://schemas.openxmlformats.org/spreadsheetml/2006/main" count="412" uniqueCount="225">
  <si>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</si>
  <si>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</si>
  <si>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</si>
  <si>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</si>
  <si>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</si>
  <si>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</si>
  <si>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</si>
  <si>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</si>
  <si>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</si>
  <si>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</si>
  <si>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</si>
  <si>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</si>
  <si>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</si>
  <si>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</si>
  <si>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</si>
  <si>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</si>
  <si>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</si>
  <si>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</si>
  <si>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</si>
  <si>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</si>
  <si>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</si>
  <si>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</si>
  <si>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</si>
  <si>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</si>
  <si>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</si>
  <si>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</si>
  <si>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</si>
  <si>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</si>
  <si>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</si>
  <si>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</si>
  <si>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</si>
  <si>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</si>
  <si>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</si>
  <si>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</si>
  <si>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</si>
  <si>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</si>
  <si>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</si>
  <si>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</si>
  <si>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</si>
  <si>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</si>
  <si>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</si>
  <si>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</si>
  <si>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</si>
  <si>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</si>
  <si>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</si>
  <si>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</si>
  <si>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</si>
  <si>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</si>
  <si>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</si>
  <si>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</si>
  <si>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</si>
  <si>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</si>
  <si>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</si>
  <si>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</si>
  <si>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</si>
  <si>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</si>
  <si>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</si>
  <si>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</si>
  <si>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</si>
  <si>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</si>
  <si>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</si>
  <si>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</si>
  <si>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</si>
  <si>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</si>
  <si>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</si>
  <si>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</si>
  <si>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</si>
  <si>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</si>
  <si>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</si>
  <si>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</si>
  <si>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</si>
  <si>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</si>
  <si>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</si>
  <si>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</si>
  <si>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</si>
  <si>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</si>
  <si>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</si>
  <si>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</si>
  <si>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</si>
  <si>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</si>
  <si>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</si>
  <si>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</si>
  <si>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</si>
  <si>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</si>
  <si>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</si>
  <si>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</si>
  <si>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</si>
  <si>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</si>
  <si>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</si>
  <si>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</si>
  <si>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</si>
  <si>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</si>
  <si>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</si>
  <si>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</si>
  <si>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</si>
  <si>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</si>
  <si>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</si>
  <si>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</si>
  <si>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</si>
  <si>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</si>
  <si>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</si>
  <si>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</si>
  <si>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</si>
  <si>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</si>
  <si>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</si>
  <si>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</si>
  <si>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</si>
  <si>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</si>
  <si>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</si>
  <si>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</si>
  <si>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</si>
  <si>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</si>
  <si>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</si>
  <si>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</si>
  <si>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</si>
  <si>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</si>
  <si>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</si>
  <si>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</si>
  <si>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</si>
  <si>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</si>
  <si>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</si>
  <si>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</si>
  <si>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</si>
  <si>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</si>
  <si>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</si>
  <si>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</si>
  <si>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</si>
  <si>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</si>
  <si>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Salón Arcoiris 1 hasta 80 pasajeros.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</si>
  <si>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</si>
  <si>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</si>
  <si>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</si>
  <si>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</si>
  <si>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</si>
  <si>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</si>
  <si>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</si>
  <si>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</si>
  <si>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</si>
  <si>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</si>
  <si>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</si>
  <si>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</si>
  <si>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</si>
  <si>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</si>
  <si>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</si>
  <si>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</si>
  <si>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</si>
  <si>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</si>
  <si>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</si>
  <si>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</si>
  <si>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</si>
  <si>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</si>
  <si>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</si>
  <si>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</si>
  <si>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</si>
  <si>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</si>
  <si>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</si>
  <si>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Acceso a pescar con mosca, en lagunas o estero.</t>
  </si>
  <si>
    <t>Canopy, kayak, Cabalgatas 30 min, pool, ping pong, taca, taca, entre 10:00-13:00; 15:00- 18:30.</t>
  </si>
  <si>
    <t>Siempre que se usen en horarios establecidos y en forma no exclusiva, indicando hora de uso.</t>
  </si>
  <si>
    <t>Total  Evento</t>
  </si>
  <si>
    <t>Gaseosa ó mineral ó  jugo de botella ó cerveza Cristal o Escudo.</t>
  </si>
  <si>
    <t>Café, té, leche, yogurt, jamón, queso, huevos, mermeladas, mantequilla, panes, minipastelitos y cereales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</si>
  <si>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</si>
  <si>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</si>
  <si>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</si>
  <si>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</si>
  <si>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</si>
  <si>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</si>
  <si>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</si>
  <si>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</si>
  <si>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</si>
  <si>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</si>
  <si>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Sugerencias del chef, 2 opciones de entrada, fondo y postre.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</si>
  <si>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</si>
  <si>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</si>
  <si>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</si>
  <si>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</si>
  <si>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</si>
  <si>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</si>
  <si>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</si>
  <si>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 xml:space="preserve">Bebida gaseosa </t>
  </si>
  <si>
    <t>Gaseosa ó mineral ó  jugo de botella ó cerveza Cristal o Escudo en lata.</t>
  </si>
  <si>
    <t>Otros no incluidos</t>
  </si>
  <si>
    <t>Piscola, roncola, mojito, Ice, Aperol, copa de vino, espumante, vino tinto, blanco</t>
  </si>
  <si>
    <t>Tragos Con pisco, ron cocteles, cerveza vino.</t>
  </si>
  <si>
    <t>Team building Busqueda de Tesoro</t>
  </si>
  <si>
    <t>Total Otros</t>
  </si>
  <si>
    <t xml:space="preserve">Carmen Rodriguez </t>
  </si>
  <si>
    <t>9 74961403</t>
  </si>
  <si>
    <t>Quincho 4 horas en la noche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</si>
  <si>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</si>
  <si>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</si>
  <si>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</si>
  <si>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</si>
  <si>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</si>
  <si>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</si>
  <si>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</si>
  <si>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</si>
  <si>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</si>
  <si>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</si>
  <si>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</si>
  <si>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</si>
  <si>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</si>
  <si>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</si>
  <si>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</si>
  <si>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 xml:space="preserve">Pantalla led. </t>
  </si>
  <si>
    <r>
      <t xml:space="preserve">Amplificacion y luces </t>
    </r>
    <r>
      <rPr>
        <sz val="12"/>
        <color rgb="FFFF0000"/>
        <rFont val="Calibri (Cuerpo)_x0000_"/>
      </rPr>
      <t xml:space="preserve"> </t>
    </r>
  </si>
  <si>
    <t>DJ con animador.</t>
  </si>
  <si>
    <t>Tragos con ticket.</t>
  </si>
  <si>
    <t>Bar abierto 4 horas.</t>
  </si>
  <si>
    <t>Descorche, valor por persona</t>
  </si>
  <si>
    <t>Cada grupo tendra que buscar tesoros con los que debera formar las partes de un todo.</t>
  </si>
  <si>
    <t>Coctail Intermedio,                            Minimo 15 pasajeros.</t>
  </si>
  <si>
    <t>Tragos(2 p/p entre)Vino tinto, Blanco, espumante, pisco sour, bebidas,  cerveza, 1 empanaditas de Pino, 1 queso, queso crema /aceitunas, 2  bruzquetas jamón serrano, de Salmón, brocheta mediterranea,  frutos secos o quesos.</t>
  </si>
  <si>
    <t>Coctail entretenido, clinica de pizza, con maridaje de cerveza.</t>
  </si>
  <si>
    <t>Entretenido coctel en que los participantes, aprenden a preparar la pizza en su parrilla y a                                                                     maridarla con distintos tipos de cerveza, según los ingredientes utilizados, app 1 hora.</t>
  </si>
  <si>
    <t>Almuerzo  sugerencias del chef</t>
  </si>
  <si>
    <t>Cena sugerencias del chef</t>
  </si>
  <si>
    <t>Bionova</t>
  </si>
  <si>
    <t>Valentina Lobos</t>
  </si>
  <si>
    <t>vlobos@bionova.cl</t>
  </si>
  <si>
    <t>26-27 noviembre</t>
  </si>
  <si>
    <t>Karaoke para 11 pasajeros</t>
  </si>
  <si>
    <t>Salon, animador, karaoque.</t>
  </si>
  <si>
    <t>Incluido sin costo entre 10:00 y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</si>
</sst>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89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" fillId="12" borderId="1" xfId="0" applyFont="1" applyFill="1" applyBorder="1" applyAlignment="1">
      <alignment horizontal="left"/>
    </xf>
    <xf numFmtId="166" fontId="2" fillId="12" borderId="15" xfId="0" applyNumberFormat="1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/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right"/>
    </xf>
    <xf numFmtId="166" fontId="6" fillId="12" borderId="0" xfId="0" applyNumberFormat="1" applyFont="1" applyFill="1" applyAlignment="1">
      <alignment horizontal="right"/>
    </xf>
    <xf numFmtId="0" fontId="6" fillId="12" borderId="0" xfId="0" applyFont="1" applyFill="1" applyAlignment="1">
      <alignment horizontal="center"/>
    </xf>
    <xf numFmtId="164" fontId="6" fillId="12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0" fontId="6" fillId="9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1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1"/>
  <sheetViews>
    <sheetView tabSelected="1" topLeftCell="A16" zoomScale="109" zoomScaleNormal="109" zoomScalePageLayoutView="109" workbookViewId="0">
      <selection activeCell="F21" sqref="F21"/>
    </sheetView>
  </sheetViews>
  <sheetFormatPr baseColWidth="10" defaultRowHeight="16"/>
  <cols>
    <col min="1" max="1" width="33.5" customWidth="1"/>
    <col min="2" max="2" width="10.83203125" style="77" customWidth="1"/>
    <col min="3" max="3" width="12" customWidth="1"/>
    <col min="4" max="4" width="10.16406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170</v>
      </c>
    </row>
    <row r="2" spans="1:7">
      <c r="G2" s="154" t="s">
        <v>141</v>
      </c>
    </row>
    <row r="3" spans="1:7">
      <c r="A3" s="70" t="s">
        <v>117</v>
      </c>
      <c r="B3" s="125" t="s">
        <v>219</v>
      </c>
      <c r="D3" t="s">
        <v>3</v>
      </c>
      <c r="E3" s="34" t="s">
        <v>218</v>
      </c>
      <c r="G3" s="86" t="s">
        <v>142</v>
      </c>
    </row>
    <row r="4" spans="1:7">
      <c r="A4" t="s">
        <v>118</v>
      </c>
      <c r="B4" s="125" t="s">
        <v>220</v>
      </c>
      <c r="C4" s="74"/>
      <c r="D4" t="s">
        <v>5</v>
      </c>
      <c r="E4">
        <v>223844000</v>
      </c>
      <c r="G4" s="87" t="s">
        <v>143</v>
      </c>
    </row>
    <row r="5" spans="1:7">
      <c r="A5" t="s">
        <v>119</v>
      </c>
      <c r="B5" s="125" t="s">
        <v>221</v>
      </c>
      <c r="D5" t="s">
        <v>4</v>
      </c>
      <c r="E5" s="34">
        <v>11</v>
      </c>
      <c r="G5" s="87" t="s">
        <v>144</v>
      </c>
    </row>
    <row r="6" spans="1:7">
      <c r="A6" s="72" t="s">
        <v>121</v>
      </c>
      <c r="B6" s="126" t="s">
        <v>187</v>
      </c>
      <c r="C6" s="71"/>
      <c r="D6" s="71" t="s">
        <v>120</v>
      </c>
      <c r="E6" s="71" t="s">
        <v>188</v>
      </c>
      <c r="G6" s="87" t="s">
        <v>145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104</v>
      </c>
      <c r="B8" s="109" t="s">
        <v>127</v>
      </c>
      <c r="C8" s="110" t="s">
        <v>103</v>
      </c>
      <c r="D8" s="110" t="s">
        <v>6</v>
      </c>
      <c r="E8" s="110" t="s">
        <v>0</v>
      </c>
      <c r="F8" s="110" t="s">
        <v>1</v>
      </c>
      <c r="G8" s="111" t="s">
        <v>7</v>
      </c>
    </row>
    <row r="9" spans="1:7">
      <c r="A9" s="104" t="s">
        <v>163</v>
      </c>
      <c r="B9" s="105">
        <v>0.4375</v>
      </c>
      <c r="C9" s="95">
        <v>1</v>
      </c>
      <c r="D9" s="95">
        <v>11</v>
      </c>
      <c r="E9" s="103">
        <v>3850</v>
      </c>
      <c r="F9" s="94">
        <f t="shared" ref="F9:F16" si="0">D9*E9</f>
        <v>42350</v>
      </c>
      <c r="G9" s="101" t="s">
        <v>125</v>
      </c>
    </row>
    <row r="10" spans="1:7">
      <c r="A10" s="101" t="s">
        <v>128</v>
      </c>
      <c r="B10" s="102"/>
      <c r="C10" s="95">
        <v>1</v>
      </c>
      <c r="D10" s="95">
        <v>11</v>
      </c>
      <c r="E10" s="103">
        <v>180000</v>
      </c>
      <c r="F10" s="94">
        <f>C10*E10</f>
        <v>180000</v>
      </c>
      <c r="G10" s="93" t="s">
        <v>165</v>
      </c>
    </row>
    <row r="11" spans="1:7" ht="16.5" customHeight="1">
      <c r="A11" s="127" t="s">
        <v>216</v>
      </c>
      <c r="B11" s="128" t="s">
        <v>2</v>
      </c>
      <c r="C11" s="95">
        <v>1</v>
      </c>
      <c r="D11" s="95">
        <v>11</v>
      </c>
      <c r="E11" s="129">
        <v>20000</v>
      </c>
      <c r="F11" s="94">
        <f t="shared" si="0"/>
        <v>220000</v>
      </c>
      <c r="G11" s="130" t="s">
        <v>172</v>
      </c>
    </row>
    <row r="12" spans="1:7">
      <c r="A12" s="101" t="s">
        <v>180</v>
      </c>
      <c r="B12" s="102"/>
      <c r="C12" s="95">
        <v>1</v>
      </c>
      <c r="D12" s="95">
        <v>11</v>
      </c>
      <c r="E12" s="94">
        <f>1800/1.19</f>
        <v>1512.6050420168067</v>
      </c>
      <c r="F12" s="94">
        <f t="shared" si="0"/>
        <v>16638.655462184874</v>
      </c>
      <c r="G12" s="93" t="s">
        <v>181</v>
      </c>
    </row>
    <row r="13" spans="1:7">
      <c r="A13" s="104" t="s">
        <v>163</v>
      </c>
      <c r="B13" s="105">
        <v>0.70833333333333337</v>
      </c>
      <c r="C13" s="95">
        <v>1</v>
      </c>
      <c r="D13" s="95">
        <v>11</v>
      </c>
      <c r="E13" s="103">
        <v>3850</v>
      </c>
      <c r="F13" s="94">
        <f t="shared" si="0"/>
        <v>42350</v>
      </c>
      <c r="G13" s="101" t="s">
        <v>125</v>
      </c>
    </row>
    <row r="14" spans="1:7">
      <c r="A14" s="139" t="s">
        <v>185</v>
      </c>
      <c r="B14" s="140"/>
      <c r="C14" s="43">
        <v>1</v>
      </c>
      <c r="D14" s="43">
        <v>11</v>
      </c>
      <c r="E14" s="141">
        <f>400000+6000*11</f>
        <v>466000</v>
      </c>
      <c r="F14" s="142">
        <f>E14</f>
        <v>466000</v>
      </c>
      <c r="G14" s="27" t="s">
        <v>211</v>
      </c>
    </row>
    <row r="15" spans="1:7" ht="17">
      <c r="A15" s="127" t="s">
        <v>217</v>
      </c>
      <c r="B15" s="128" t="s">
        <v>2</v>
      </c>
      <c r="C15" s="95">
        <v>1</v>
      </c>
      <c r="D15" s="95">
        <v>11</v>
      </c>
      <c r="E15" s="129">
        <v>20000</v>
      </c>
      <c r="F15" s="94">
        <f t="shared" si="0"/>
        <v>220000</v>
      </c>
      <c r="G15" s="130" t="s">
        <v>172</v>
      </c>
    </row>
    <row r="16" spans="1:7">
      <c r="A16" s="101" t="s">
        <v>162</v>
      </c>
      <c r="B16" s="102"/>
      <c r="C16" s="95">
        <v>1</v>
      </c>
      <c r="D16" s="95">
        <v>11</v>
      </c>
      <c r="E16" s="94">
        <f>1800/1.19</f>
        <v>1512.6050420168067</v>
      </c>
      <c r="F16" s="94">
        <f t="shared" si="0"/>
        <v>16638.655462184874</v>
      </c>
      <c r="G16" s="93" t="s">
        <v>181</v>
      </c>
    </row>
    <row r="17" spans="1:7">
      <c r="A17" s="101" t="s">
        <v>222</v>
      </c>
      <c r="B17" s="102"/>
      <c r="C17" s="95">
        <v>1</v>
      </c>
      <c r="D17" s="95">
        <v>11</v>
      </c>
      <c r="E17" s="94">
        <v>450000</v>
      </c>
      <c r="F17" s="94">
        <f>E17</f>
        <v>450000</v>
      </c>
      <c r="G17" s="93" t="s">
        <v>223</v>
      </c>
    </row>
    <row r="18" spans="1:7" ht="16.5" customHeight="1">
      <c r="A18" s="122" t="s">
        <v>167</v>
      </c>
      <c r="B18" s="123"/>
      <c r="C18" s="95">
        <v>1</v>
      </c>
      <c r="D18" s="95">
        <v>1</v>
      </c>
      <c r="E18" s="124">
        <v>99000</v>
      </c>
      <c r="F18" s="94">
        <f>C18*E18</f>
        <v>99000</v>
      </c>
      <c r="G18" s="122" t="s">
        <v>168</v>
      </c>
    </row>
    <row r="19" spans="1:7" ht="16.5" customHeight="1">
      <c r="A19" s="122" t="s">
        <v>124</v>
      </c>
      <c r="B19" s="123"/>
      <c r="C19" s="95">
        <v>1</v>
      </c>
      <c r="D19" s="95">
        <v>5</v>
      </c>
      <c r="E19" s="124">
        <v>118000</v>
      </c>
      <c r="F19" s="94">
        <f>C19*D19*E19</f>
        <v>590000</v>
      </c>
      <c r="G19" s="122" t="s">
        <v>169</v>
      </c>
    </row>
    <row r="20" spans="1:7" ht="16.5" customHeight="1" thickBot="1">
      <c r="A20" s="2" t="s">
        <v>86</v>
      </c>
      <c r="B20" s="78"/>
      <c r="C20" s="33"/>
      <c r="D20" s="23"/>
      <c r="E20" s="7"/>
      <c r="F20" s="5">
        <f>SUM(F9:F19)</f>
        <v>2342977.3109243698</v>
      </c>
      <c r="G20" s="32" t="s">
        <v>2</v>
      </c>
    </row>
    <row r="21" spans="1:7" ht="16.5" customHeight="1">
      <c r="A21" s="108" t="s">
        <v>105</v>
      </c>
      <c r="B21" s="109"/>
      <c r="C21" s="110" t="s">
        <v>103</v>
      </c>
      <c r="D21" s="110" t="s">
        <v>6</v>
      </c>
      <c r="E21" s="110" t="s">
        <v>0</v>
      </c>
      <c r="F21" s="110" t="s">
        <v>1</v>
      </c>
      <c r="G21" s="111" t="s">
        <v>7</v>
      </c>
    </row>
    <row r="22" spans="1:7">
      <c r="A22" s="106" t="s">
        <v>8</v>
      </c>
      <c r="B22" s="107"/>
      <c r="C22" s="95">
        <v>1</v>
      </c>
      <c r="D22" s="95">
        <v>11</v>
      </c>
      <c r="E22" s="131">
        <v>10504</v>
      </c>
      <c r="F22" s="94" t="s">
        <v>106</v>
      </c>
      <c r="G22" s="93" t="s">
        <v>161</v>
      </c>
    </row>
    <row r="23" spans="1:7">
      <c r="A23" s="101" t="s">
        <v>128</v>
      </c>
      <c r="B23" s="102"/>
      <c r="C23" s="95">
        <v>1</v>
      </c>
      <c r="D23" s="95">
        <v>11</v>
      </c>
      <c r="E23" s="103">
        <v>180000</v>
      </c>
      <c r="F23" s="94">
        <f>C23*E23</f>
        <v>180000</v>
      </c>
      <c r="G23" s="93" t="s">
        <v>165</v>
      </c>
    </row>
    <row r="24" spans="1:7" ht="18" customHeight="1">
      <c r="A24" s="104" t="s">
        <v>163</v>
      </c>
      <c r="B24" s="105"/>
      <c r="C24" s="95">
        <v>1</v>
      </c>
      <c r="D24" s="95">
        <v>11</v>
      </c>
      <c r="E24" s="103">
        <v>3850</v>
      </c>
      <c r="F24" s="132">
        <f>D24*E24</f>
        <v>42350</v>
      </c>
      <c r="G24" s="101" t="s">
        <v>125</v>
      </c>
    </row>
    <row r="25" spans="1:7" s="16" customFormat="1" ht="16.5" customHeight="1">
      <c r="A25" s="127" t="s">
        <v>216</v>
      </c>
      <c r="B25" s="128" t="s">
        <v>2</v>
      </c>
      <c r="C25" s="95">
        <v>1</v>
      </c>
      <c r="D25" s="95">
        <v>11</v>
      </c>
      <c r="E25" s="129">
        <v>20000</v>
      </c>
      <c r="F25" s="132">
        <f t="shared" ref="F25:F26" si="1">D25*E25</f>
        <v>220000</v>
      </c>
      <c r="G25" s="130" t="s">
        <v>172</v>
      </c>
    </row>
    <row r="26" spans="1:7">
      <c r="A26" s="101" t="s">
        <v>162</v>
      </c>
      <c r="B26" s="102"/>
      <c r="C26" s="95">
        <v>1</v>
      </c>
      <c r="D26" s="95">
        <v>11</v>
      </c>
      <c r="E26" s="94">
        <f>1513</f>
        <v>1513</v>
      </c>
      <c r="F26" s="132">
        <f t="shared" si="1"/>
        <v>16643</v>
      </c>
      <c r="G26" s="93" t="s">
        <v>160</v>
      </c>
    </row>
    <row r="27" spans="1:7">
      <c r="A27" s="116"/>
      <c r="B27" s="117"/>
      <c r="C27" s="118"/>
      <c r="D27" s="118"/>
      <c r="E27" s="119" t="s">
        <v>2</v>
      </c>
      <c r="F27" s="120">
        <f>SUM(F23:F26)</f>
        <v>458993</v>
      </c>
      <c r="G27" s="121"/>
    </row>
    <row r="28" spans="1:7">
      <c r="A28" s="112" t="s">
        <v>224</v>
      </c>
      <c r="B28" s="113" t="s">
        <v>171</v>
      </c>
      <c r="C28" s="114"/>
      <c r="D28" s="114"/>
      <c r="E28" s="115"/>
      <c r="F28" s="115" t="s">
        <v>2</v>
      </c>
      <c r="G28" s="112" t="s">
        <v>158</v>
      </c>
    </row>
    <row r="29" spans="1:7">
      <c r="A29" s="96" t="s">
        <v>152</v>
      </c>
      <c r="B29" s="97" t="s">
        <v>2</v>
      </c>
      <c r="C29" s="98">
        <v>0</v>
      </c>
      <c r="D29" s="98">
        <v>0</v>
      </c>
      <c r="E29" s="99">
        <v>0</v>
      </c>
      <c r="F29" s="99">
        <f t="shared" ref="F29:F31" si="2">C29*D29*E29</f>
        <v>0</v>
      </c>
      <c r="G29" s="100" t="s">
        <v>157</v>
      </c>
    </row>
    <row r="30" spans="1:7" ht="16.5" customHeight="1">
      <c r="A30" s="96" t="s">
        <v>153</v>
      </c>
      <c r="B30" s="97" t="s">
        <v>2</v>
      </c>
      <c r="C30" s="98">
        <v>0</v>
      </c>
      <c r="D30" s="98">
        <v>0</v>
      </c>
      <c r="E30" s="99">
        <v>0</v>
      </c>
      <c r="F30" s="99">
        <f t="shared" si="2"/>
        <v>0</v>
      </c>
      <c r="G30" s="100" t="s">
        <v>156</v>
      </c>
    </row>
    <row r="31" spans="1:7" ht="17" thickBot="1">
      <c r="A31" s="96" t="s">
        <v>154</v>
      </c>
      <c r="B31" s="97" t="s">
        <v>2</v>
      </c>
      <c r="C31" s="98">
        <v>0</v>
      </c>
      <c r="D31" s="98">
        <v>0</v>
      </c>
      <c r="E31" s="99">
        <v>0</v>
      </c>
      <c r="F31" s="99">
        <f t="shared" si="2"/>
        <v>0</v>
      </c>
      <c r="G31" s="96" t="s">
        <v>155</v>
      </c>
    </row>
    <row r="32" spans="1:7" ht="17" thickBot="1">
      <c r="A32" s="36" t="s">
        <v>159</v>
      </c>
      <c r="B32" s="80"/>
      <c r="C32" s="37"/>
      <c r="D32" s="37"/>
      <c r="E32" s="38"/>
      <c r="F32" s="39">
        <f>F20+F27</f>
        <v>2801970.3109243698</v>
      </c>
      <c r="G32" s="6" t="s">
        <v>122</v>
      </c>
    </row>
    <row r="33" spans="1:7">
      <c r="A33" s="3" t="s">
        <v>123</v>
      </c>
      <c r="B33" s="79"/>
      <c r="C33" s="31"/>
      <c r="D33" s="23"/>
      <c r="E33" s="7"/>
      <c r="F33" s="5">
        <f>F32*1.19-F32</f>
        <v>532374.35907563008</v>
      </c>
      <c r="G33" s="6"/>
    </row>
    <row r="34" spans="1:7">
      <c r="A34" s="81" t="s">
        <v>166</v>
      </c>
      <c r="B34" s="82"/>
      <c r="C34" s="83"/>
      <c r="D34" s="83"/>
      <c r="E34" s="84"/>
      <c r="F34" s="85">
        <f>F32+F33</f>
        <v>3334344.67</v>
      </c>
      <c r="G34" s="6"/>
    </row>
    <row r="35" spans="1:7">
      <c r="A35" s="3"/>
      <c r="B35" s="79"/>
      <c r="C35" s="31"/>
      <c r="D35" s="23"/>
      <c r="E35" s="7"/>
      <c r="F35" s="4"/>
      <c r="G35" s="6"/>
    </row>
    <row r="36" spans="1:7">
      <c r="A36" s="136" t="s">
        <v>182</v>
      </c>
      <c r="B36" s="137" t="s">
        <v>127</v>
      </c>
      <c r="C36" s="138" t="s">
        <v>103</v>
      </c>
      <c r="D36" s="138" t="s">
        <v>6</v>
      </c>
      <c r="E36" s="138" t="s">
        <v>0</v>
      </c>
      <c r="F36" s="138" t="s">
        <v>1</v>
      </c>
      <c r="G36" s="138" t="s">
        <v>7</v>
      </c>
    </row>
    <row r="37" spans="1:7">
      <c r="A37" s="101" t="s">
        <v>189</v>
      </c>
      <c r="B37" s="102"/>
      <c r="C37" s="95">
        <v>0</v>
      </c>
      <c r="D37" s="95">
        <v>0</v>
      </c>
      <c r="E37" s="94">
        <v>300000</v>
      </c>
      <c r="F37" s="94">
        <f>D37*E37</f>
        <v>0</v>
      </c>
      <c r="G37" s="93"/>
    </row>
    <row r="38" spans="1:7">
      <c r="A38" s="101" t="s">
        <v>205</v>
      </c>
      <c r="B38" s="102"/>
      <c r="C38" s="95">
        <v>0</v>
      </c>
      <c r="D38" s="95">
        <v>0</v>
      </c>
      <c r="E38" s="94">
        <v>570000</v>
      </c>
      <c r="F38" s="94">
        <f t="shared" ref="F38" si="3">C38*E38</f>
        <v>0</v>
      </c>
      <c r="G38" s="155"/>
    </row>
    <row r="39" spans="1:7">
      <c r="A39" s="101" t="s">
        <v>206</v>
      </c>
      <c r="B39" s="102"/>
      <c r="C39" s="95">
        <v>1</v>
      </c>
      <c r="D39" s="95">
        <v>0</v>
      </c>
      <c r="E39" s="94">
        <v>350000</v>
      </c>
      <c r="F39" s="94">
        <v>0</v>
      </c>
      <c r="G39" s="155"/>
    </row>
    <row r="40" spans="1:7">
      <c r="A40" s="101" t="s">
        <v>207</v>
      </c>
      <c r="B40" s="102"/>
      <c r="C40" s="95">
        <v>1</v>
      </c>
      <c r="D40" s="95">
        <v>0</v>
      </c>
      <c r="E40" s="94">
        <v>450000</v>
      </c>
      <c r="F40" s="94">
        <v>0</v>
      </c>
      <c r="G40" s="155" t="s">
        <v>2</v>
      </c>
    </row>
    <row r="41" spans="1:7">
      <c r="A41" s="139" t="s">
        <v>208</v>
      </c>
      <c r="B41" s="140"/>
      <c r="C41" s="43">
        <v>0</v>
      </c>
      <c r="D41" s="43">
        <v>0</v>
      </c>
      <c r="E41" s="141">
        <v>3850</v>
      </c>
      <c r="F41" s="141">
        <v>0</v>
      </c>
      <c r="G41" s="143" t="s">
        <v>183</v>
      </c>
    </row>
    <row r="42" spans="1:7">
      <c r="A42" s="139" t="s">
        <v>209</v>
      </c>
      <c r="B42" s="140"/>
      <c r="C42" s="43">
        <v>0</v>
      </c>
      <c r="D42" s="43">
        <v>0</v>
      </c>
      <c r="E42" s="141">
        <v>24000</v>
      </c>
      <c r="F42" s="141">
        <v>0</v>
      </c>
      <c r="G42" s="27" t="s">
        <v>184</v>
      </c>
    </row>
    <row r="43" spans="1:7">
      <c r="A43" s="101" t="s">
        <v>210</v>
      </c>
      <c r="B43" s="102"/>
      <c r="C43" s="43">
        <v>0</v>
      </c>
      <c r="D43" s="43">
        <v>0</v>
      </c>
      <c r="E43" s="94">
        <v>7000</v>
      </c>
      <c r="F43" s="141">
        <v>0</v>
      </c>
      <c r="G43" s="93" t="s">
        <v>190</v>
      </c>
    </row>
    <row r="44" spans="1:7">
      <c r="A44" s="144" t="s">
        <v>163</v>
      </c>
      <c r="B44" s="145"/>
      <c r="C44" s="146">
        <v>0</v>
      </c>
      <c r="D44" s="146">
        <v>0</v>
      </c>
      <c r="E44" s="147">
        <v>3850</v>
      </c>
      <c r="F44" s="148">
        <v>0</v>
      </c>
      <c r="G44" s="149" t="s">
        <v>125</v>
      </c>
    </row>
    <row r="45" spans="1:7">
      <c r="A45" s="144" t="s">
        <v>101</v>
      </c>
      <c r="B45" s="145"/>
      <c r="C45" s="146">
        <v>0</v>
      </c>
      <c r="D45" s="146">
        <v>0</v>
      </c>
      <c r="E45" s="147">
        <v>4800</v>
      </c>
      <c r="F45" s="148">
        <v>0</v>
      </c>
      <c r="G45" s="149" t="s">
        <v>164</v>
      </c>
    </row>
    <row r="46" spans="1:7">
      <c r="A46" s="144" t="s">
        <v>102</v>
      </c>
      <c r="B46" s="145"/>
      <c r="C46" s="146">
        <v>0</v>
      </c>
      <c r="D46" s="146">
        <v>0</v>
      </c>
      <c r="E46" s="147">
        <v>5500</v>
      </c>
      <c r="F46" s="148">
        <v>0</v>
      </c>
      <c r="G46" s="149" t="s">
        <v>126</v>
      </c>
    </row>
    <row r="47" spans="1:7" ht="17">
      <c r="A47" s="101" t="s">
        <v>191</v>
      </c>
      <c r="B47" s="156"/>
      <c r="C47" s="146">
        <v>0</v>
      </c>
      <c r="D47" s="146">
        <v>0</v>
      </c>
      <c r="E47" s="157">
        <v>8500</v>
      </c>
      <c r="F47" s="148">
        <v>0</v>
      </c>
      <c r="G47" s="158" t="s">
        <v>192</v>
      </c>
    </row>
    <row r="48" spans="1:7" ht="34">
      <c r="A48" s="162" t="s">
        <v>212</v>
      </c>
      <c r="B48" s="156"/>
      <c r="C48" s="146">
        <v>0</v>
      </c>
      <c r="D48" s="146">
        <v>0</v>
      </c>
      <c r="E48" s="157">
        <v>13500</v>
      </c>
      <c r="F48" s="148">
        <v>0</v>
      </c>
      <c r="G48" s="163" t="s">
        <v>213</v>
      </c>
    </row>
    <row r="49" spans="1:7" ht="34">
      <c r="A49" s="162" t="s">
        <v>214</v>
      </c>
      <c r="B49" s="156"/>
      <c r="C49" s="146">
        <v>0</v>
      </c>
      <c r="D49" s="146">
        <v>0</v>
      </c>
      <c r="E49" s="157">
        <v>15000</v>
      </c>
      <c r="F49" s="148">
        <v>0</v>
      </c>
      <c r="G49" s="163" t="s">
        <v>215</v>
      </c>
    </row>
    <row r="50" spans="1:7">
      <c r="A50" s="150" t="s">
        <v>186</v>
      </c>
      <c r="B50" s="151"/>
      <c r="C50" s="152"/>
      <c r="D50" s="152"/>
      <c r="E50" s="153"/>
      <c r="F50" s="153">
        <v>0</v>
      </c>
      <c r="G50" s="6"/>
    </row>
    <row r="51" spans="1:7" ht="17">
      <c r="A51" s="133" t="s">
        <v>129</v>
      </c>
      <c r="B51"/>
      <c r="E51" s="75"/>
      <c r="F51" s="75"/>
      <c r="G51" s="75"/>
    </row>
    <row r="52" spans="1:7">
      <c r="A52" s="135" t="s">
        <v>178</v>
      </c>
      <c r="B52"/>
    </row>
    <row r="53" spans="1:7">
      <c r="A53" s="135" t="s">
        <v>179</v>
      </c>
      <c r="B53"/>
    </row>
    <row r="55" spans="1:7">
      <c r="A55" s="133" t="s">
        <v>193</v>
      </c>
      <c r="B55"/>
    </row>
    <row r="56" spans="1:7">
      <c r="A56" s="134" t="s">
        <v>194</v>
      </c>
      <c r="B56"/>
    </row>
    <row r="57" spans="1:7">
      <c r="A57" s="135" t="s">
        <v>174</v>
      </c>
      <c r="B57"/>
    </row>
    <row r="58" spans="1:7">
      <c r="A58" s="135" t="s">
        <v>175</v>
      </c>
      <c r="B58"/>
    </row>
    <row r="59" spans="1:7">
      <c r="A59" s="133" t="s">
        <v>173</v>
      </c>
      <c r="B59"/>
    </row>
    <row r="60" spans="1:7">
      <c r="A60" s="135" t="s">
        <v>195</v>
      </c>
      <c r="B60"/>
    </row>
    <row r="61" spans="1:7">
      <c r="A61" s="133" t="s">
        <v>176</v>
      </c>
      <c r="B61"/>
    </row>
    <row r="62" spans="1:7">
      <c r="A62" s="135" t="s">
        <v>196</v>
      </c>
      <c r="B62"/>
    </row>
    <row r="63" spans="1:7">
      <c r="A63" s="135" t="s">
        <v>197</v>
      </c>
      <c r="B63"/>
    </row>
    <row r="64" spans="1:7">
      <c r="A64" s="135" t="s">
        <v>198</v>
      </c>
      <c r="B64"/>
    </row>
    <row r="65" spans="1:6">
      <c r="A65" s="135" t="s">
        <v>199</v>
      </c>
      <c r="B65"/>
    </row>
    <row r="66" spans="1:6">
      <c r="A66" s="134"/>
      <c r="B66"/>
    </row>
    <row r="67" spans="1:6">
      <c r="A67" s="134" t="s">
        <v>200</v>
      </c>
      <c r="B67" s="134"/>
      <c r="C67" s="134"/>
      <c r="D67" s="134"/>
      <c r="E67" s="134"/>
      <c r="F67" s="134"/>
    </row>
    <row r="68" spans="1:6">
      <c r="A68" s="159"/>
      <c r="B68"/>
    </row>
    <row r="69" spans="1:6">
      <c r="A69" s="160" t="s">
        <v>201</v>
      </c>
      <c r="B69"/>
    </row>
    <row r="70" spans="1:6" ht="16" customHeight="1">
      <c r="A70" s="164" t="s">
        <v>202</v>
      </c>
      <c r="B70" s="164"/>
      <c r="C70" s="164"/>
      <c r="D70" s="164"/>
      <c r="E70" s="164"/>
      <c r="F70" s="164"/>
    </row>
    <row r="71" spans="1:6">
      <c r="A71" s="134"/>
      <c r="B71"/>
    </row>
    <row r="72" spans="1:6">
      <c r="A72" s="133" t="s">
        <v>177</v>
      </c>
      <c r="B72"/>
    </row>
    <row r="73" spans="1:6">
      <c r="A73" s="134"/>
      <c r="B73"/>
    </row>
    <row r="74" spans="1:6">
      <c r="A74" s="134" t="s">
        <v>130</v>
      </c>
      <c r="B74" s="134" t="s">
        <v>131</v>
      </c>
    </row>
    <row r="75" spans="1:6">
      <c r="A75" s="134" t="s">
        <v>132</v>
      </c>
      <c r="B75" s="134" t="s">
        <v>133</v>
      </c>
    </row>
    <row r="76" spans="1:6">
      <c r="A76" s="134" t="s">
        <v>134</v>
      </c>
      <c r="B76" s="134" t="s">
        <v>203</v>
      </c>
    </row>
    <row r="77" spans="1:6">
      <c r="A77" s="134" t="s">
        <v>135</v>
      </c>
      <c r="B77" s="134" t="s">
        <v>136</v>
      </c>
    </row>
    <row r="78" spans="1:6">
      <c r="A78" s="134" t="s">
        <v>137</v>
      </c>
      <c r="B78" s="134" t="s">
        <v>138</v>
      </c>
    </row>
    <row r="79" spans="1:6">
      <c r="A79" s="134" t="s">
        <v>139</v>
      </c>
      <c r="B79" s="134" t="s">
        <v>140</v>
      </c>
    </row>
    <row r="80" spans="1:6">
      <c r="A80" s="134" t="s">
        <v>5</v>
      </c>
      <c r="B80" s="134">
        <v>29539311</v>
      </c>
    </row>
    <row r="81" spans="1:2">
      <c r="A81" s="161" t="s">
        <v>204</v>
      </c>
      <c r="B81"/>
    </row>
  </sheetData>
  <mergeCells count="1">
    <mergeCell ref="A70:F70"/>
  </mergeCells>
  <phoneticPr fontId="7" type="noConversion"/>
  <hyperlinks>
    <hyperlink ref="A81" r:id="rId1" display="mailto:sf@sflodge.cl" xr:uid="{F2E06317-FA26-FE40-932C-91E8DCBE551E}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75"/>
      <c r="B1" s="175"/>
      <c r="C1" s="175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75"/>
      <c r="B2" s="175"/>
      <c r="C2" s="175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75"/>
      <c r="B3" s="175"/>
      <c r="C3" s="175"/>
      <c r="D3" s="24"/>
      <c r="E3" s="24" t="s">
        <v>115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75"/>
      <c r="B4" s="175"/>
      <c r="C4" s="175"/>
      <c r="D4" s="41"/>
      <c r="E4" s="41" t="s">
        <v>116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88</v>
      </c>
      <c r="B6" s="29" t="s">
        <v>89</v>
      </c>
      <c r="C6" s="176" t="s">
        <v>109</v>
      </c>
      <c r="D6" s="177"/>
      <c r="E6" s="178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66" t="s">
        <v>110</v>
      </c>
      <c r="D7" s="167"/>
      <c r="E7" s="168"/>
      <c r="F7" s="52"/>
      <c r="G7" s="52"/>
      <c r="H7" s="52"/>
      <c r="I7" s="53" t="s">
        <v>111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66" t="s">
        <v>110</v>
      </c>
      <c r="D8" s="167"/>
      <c r="E8" s="168"/>
      <c r="F8" s="52"/>
      <c r="G8" s="52"/>
      <c r="H8" s="52"/>
      <c r="I8" s="53" t="s">
        <v>111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69" t="s">
        <v>96</v>
      </c>
      <c r="D9" s="170"/>
      <c r="E9" s="171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66" t="s">
        <v>110</v>
      </c>
      <c r="D10" s="167"/>
      <c r="E10" s="168"/>
      <c r="F10" s="52"/>
      <c r="G10" s="52"/>
      <c r="H10" s="52"/>
      <c r="I10" s="53" t="s">
        <v>111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66" t="s">
        <v>110</v>
      </c>
      <c r="D11" s="167"/>
      <c r="E11" s="168"/>
      <c r="F11" s="52"/>
      <c r="G11" s="52"/>
      <c r="H11" s="52"/>
      <c r="I11" s="53" t="s">
        <v>111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79" t="s">
        <v>97</v>
      </c>
      <c r="D12" s="180"/>
      <c r="E12" s="181"/>
      <c r="F12" s="44"/>
      <c r="G12" s="44"/>
      <c r="H12" s="43"/>
      <c r="I12" s="27" t="s">
        <v>107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82" t="s">
        <v>108</v>
      </c>
      <c r="D13" s="183"/>
      <c r="E13" s="184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88</v>
      </c>
      <c r="B15" s="29" t="s">
        <v>89</v>
      </c>
      <c r="C15" s="185" t="s">
        <v>112</v>
      </c>
      <c r="D15" s="177"/>
      <c r="E15" s="178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86" t="s">
        <v>94</v>
      </c>
      <c r="D16" s="187"/>
      <c r="E16" s="188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66" t="s">
        <v>110</v>
      </c>
      <c r="D17" s="167"/>
      <c r="E17" s="168"/>
      <c r="F17" s="52"/>
      <c r="G17" s="52"/>
      <c r="H17" s="52"/>
      <c r="I17" s="53" t="s">
        <v>111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66" t="s">
        <v>110</v>
      </c>
      <c r="D18" s="167"/>
      <c r="E18" s="168"/>
      <c r="F18" s="52"/>
      <c r="G18" s="52"/>
      <c r="H18" s="52"/>
      <c r="I18" s="53" t="s">
        <v>111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69" t="s">
        <v>96</v>
      </c>
      <c r="D19" s="170"/>
      <c r="E19" s="171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66" t="s">
        <v>110</v>
      </c>
      <c r="D20" s="167"/>
      <c r="E20" s="168"/>
      <c r="F20" s="52"/>
      <c r="G20" s="52"/>
      <c r="H20" s="52"/>
      <c r="I20" s="53" t="s">
        <v>111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66" t="s">
        <v>110</v>
      </c>
      <c r="D21" s="167"/>
      <c r="E21" s="168"/>
      <c r="F21" s="52"/>
      <c r="G21" s="52"/>
      <c r="H21" s="52"/>
      <c r="I21" s="53" t="s">
        <v>111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79" t="s">
        <v>97</v>
      </c>
      <c r="D22" s="180"/>
      <c r="E22" s="181"/>
      <c r="F22" s="44"/>
      <c r="G22" s="44"/>
      <c r="H22" s="43"/>
      <c r="I22" s="27" t="s">
        <v>107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82" t="s">
        <v>108</v>
      </c>
      <c r="D23" s="183"/>
      <c r="E23" s="184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88</v>
      </c>
      <c r="B25" s="29" t="s">
        <v>89</v>
      </c>
      <c r="C25" s="185" t="s">
        <v>113</v>
      </c>
      <c r="D25" s="177"/>
      <c r="E25" s="178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86" t="s">
        <v>94</v>
      </c>
      <c r="D26" s="187"/>
      <c r="E26" s="188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66" t="s">
        <v>110</v>
      </c>
      <c r="D27" s="167"/>
      <c r="E27" s="168"/>
      <c r="F27" s="52"/>
      <c r="G27" s="52"/>
      <c r="H27" s="52"/>
      <c r="I27" s="53" t="s">
        <v>111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66" t="s">
        <v>110</v>
      </c>
      <c r="D28" s="167"/>
      <c r="E28" s="168"/>
      <c r="F28" s="52"/>
      <c r="G28" s="52"/>
      <c r="H28" s="52"/>
      <c r="I28" s="53" t="s">
        <v>111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69" t="s">
        <v>96</v>
      </c>
      <c r="D29" s="170"/>
      <c r="E29" s="171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66" t="s">
        <v>110</v>
      </c>
      <c r="D30" s="167"/>
      <c r="E30" s="168"/>
      <c r="F30" s="52"/>
      <c r="G30" s="52"/>
      <c r="H30" s="52"/>
      <c r="I30" s="53" t="s">
        <v>111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66" t="s">
        <v>110</v>
      </c>
      <c r="D31" s="167"/>
      <c r="E31" s="168"/>
      <c r="F31" s="52"/>
      <c r="G31" s="52"/>
      <c r="H31" s="52"/>
      <c r="I31" s="53" t="s">
        <v>111</v>
      </c>
      <c r="J31" s="22"/>
      <c r="K31" s="22"/>
      <c r="L31" s="22"/>
      <c r="M31" s="22"/>
      <c r="N31" s="22"/>
    </row>
    <row r="32" spans="1:14" s="55" customFormat="1" ht="15" customHeight="1">
      <c r="A32" s="172"/>
      <c r="B32" s="172"/>
      <c r="C32" s="172"/>
      <c r="D32" s="172"/>
      <c r="E32" s="172"/>
      <c r="F32" s="172"/>
      <c r="G32" s="172"/>
      <c r="H32" s="172"/>
      <c r="I32" s="172"/>
      <c r="J32" s="54"/>
      <c r="K32" s="54"/>
      <c r="L32" s="54"/>
      <c r="M32" s="54"/>
      <c r="N32" s="54"/>
    </row>
    <row r="33" spans="1:14" s="55" customFormat="1" ht="15" customHeight="1">
      <c r="A33" s="173" t="s">
        <v>114</v>
      </c>
      <c r="B33" s="173"/>
      <c r="C33" s="173"/>
      <c r="D33" s="173"/>
      <c r="E33" s="173"/>
      <c r="F33" s="173"/>
      <c r="G33" s="173"/>
      <c r="H33" s="173"/>
      <c r="I33" s="173"/>
      <c r="J33" s="54"/>
      <c r="K33" s="54"/>
      <c r="L33" s="54"/>
      <c r="M33" s="54"/>
      <c r="N33" s="54"/>
    </row>
    <row r="34" spans="1:14" s="55" customFormat="1" ht="15" customHeight="1">
      <c r="A34" s="172"/>
      <c r="B34" s="172"/>
      <c r="C34" s="172"/>
      <c r="D34" s="172"/>
      <c r="E34" s="172"/>
      <c r="F34" s="172"/>
      <c r="G34" s="172"/>
      <c r="H34" s="172"/>
      <c r="I34" s="172"/>
      <c r="J34" s="54"/>
      <c r="K34" s="54"/>
      <c r="L34" s="54"/>
      <c r="M34" s="54"/>
      <c r="N34" s="54"/>
    </row>
    <row r="35" spans="1:14" s="55" customFormat="1" ht="15" customHeight="1">
      <c r="A35" s="172"/>
      <c r="B35" s="172"/>
      <c r="C35" s="172"/>
      <c r="D35" s="172"/>
      <c r="E35" s="172"/>
      <c r="F35" s="172"/>
      <c r="G35" s="172"/>
      <c r="H35" s="172"/>
      <c r="I35" s="172"/>
      <c r="J35" s="54"/>
      <c r="K35" s="54"/>
      <c r="L35" s="54"/>
      <c r="M35" s="54"/>
      <c r="N35" s="54"/>
    </row>
    <row r="36" spans="1:14" s="55" customFormat="1" ht="15" customHeight="1">
      <c r="A36" s="172"/>
      <c r="B36" s="172"/>
      <c r="C36" s="172"/>
      <c r="D36" s="172"/>
      <c r="E36" s="172"/>
      <c r="F36" s="172"/>
      <c r="G36" s="172"/>
      <c r="H36" s="172"/>
      <c r="I36" s="172"/>
      <c r="J36" s="54"/>
      <c r="K36" s="54"/>
      <c r="L36" s="54"/>
      <c r="M36" s="54"/>
      <c r="N36" s="54"/>
    </row>
    <row r="37" spans="1:14" s="55" customFormat="1" ht="15" customHeight="1">
      <c r="A37" s="172"/>
      <c r="B37" s="172"/>
      <c r="C37" s="172"/>
      <c r="D37" s="172"/>
      <c r="E37" s="172"/>
      <c r="F37" s="172"/>
      <c r="G37" s="172"/>
      <c r="H37" s="172"/>
      <c r="I37" s="172"/>
      <c r="J37" s="54"/>
      <c r="K37" s="54"/>
      <c r="L37" s="54"/>
      <c r="M37" s="54"/>
      <c r="N37" s="54"/>
    </row>
    <row r="38" spans="1:14" s="55" customFormat="1" ht="15" customHeight="1">
      <c r="A38" s="172"/>
      <c r="B38" s="172"/>
      <c r="C38" s="172"/>
      <c r="D38" s="172"/>
      <c r="E38" s="172"/>
      <c r="F38" s="172"/>
      <c r="G38" s="172"/>
      <c r="H38" s="172"/>
      <c r="I38" s="172"/>
      <c r="J38" s="54"/>
      <c r="K38" s="54"/>
      <c r="L38" s="54"/>
      <c r="M38" s="54"/>
      <c r="N38" s="54"/>
    </row>
    <row r="39" spans="1:14" s="55" customFormat="1" ht="15" customHeight="1">
      <c r="A39" s="172"/>
      <c r="B39" s="172"/>
      <c r="C39" s="172"/>
      <c r="D39" s="172"/>
      <c r="E39" s="172"/>
      <c r="F39" s="172"/>
      <c r="G39" s="172"/>
      <c r="H39" s="172"/>
      <c r="I39" s="172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74" t="s">
        <v>98</v>
      </c>
      <c r="B44" s="174"/>
      <c r="C44" s="174"/>
      <c r="D44" s="174"/>
      <c r="E44" s="174"/>
      <c r="F44" s="174"/>
      <c r="G44" s="174"/>
      <c r="H44" s="35"/>
      <c r="I44" s="30" t="s">
        <v>99</v>
      </c>
      <c r="J44" s="22"/>
      <c r="K44" s="22"/>
      <c r="L44" s="22"/>
      <c r="M44" s="22"/>
      <c r="N44" s="22"/>
    </row>
    <row r="45" spans="1:14">
      <c r="A45" s="175"/>
      <c r="B45" s="175"/>
      <c r="C45" s="175"/>
      <c r="D45" s="175"/>
      <c r="E45" s="175"/>
      <c r="F45" s="175"/>
      <c r="G45" s="175"/>
      <c r="H45" s="35"/>
      <c r="I45" s="22"/>
      <c r="J45" s="22"/>
      <c r="K45" s="22"/>
      <c r="L45" s="22"/>
      <c r="M45" s="22"/>
      <c r="N45" s="22"/>
    </row>
    <row r="46" spans="1:14">
      <c r="A46" s="165" t="s">
        <v>100</v>
      </c>
      <c r="B46" s="165"/>
      <c r="C46" s="165"/>
      <c r="D46" s="165"/>
      <c r="E46" s="165"/>
      <c r="F46" s="165"/>
      <c r="G46" s="165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9</v>
      </c>
      <c r="L1" s="19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7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146</v>
      </c>
    </row>
    <row r="3" spans="1:1" ht="28" customHeight="1" thickBot="1">
      <c r="A3" s="89" t="s">
        <v>147</v>
      </c>
    </row>
    <row r="4" spans="1:1" ht="18">
      <c r="A4" s="90" t="s">
        <v>148</v>
      </c>
    </row>
    <row r="5" spans="1:1" ht="41" customHeight="1">
      <c r="A5" s="91" t="s">
        <v>149</v>
      </c>
    </row>
    <row r="6" spans="1:1" ht="33" customHeight="1" thickBot="1">
      <c r="A6" s="89" t="s">
        <v>151</v>
      </c>
    </row>
    <row r="7" spans="1:1" ht="29" customHeight="1" thickBot="1">
      <c r="A7" s="9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2020-10-13T15:58:09Z</dcterms:modified>
</cp:coreProperties>
</file>