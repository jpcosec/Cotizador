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C4134878-15A1-C340-A955-258DDBF98386}" xr6:coauthVersionLast="36" xr6:coauthVersionMax="36" xr10:uidLastSave="{00000000-0000-0000-0000-000000000000}"/>
  <bookViews>
    <workbookView xWindow="1820" yWindow="460" windowWidth="25780" windowHeight="1106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  <c r="F13" i="1" s="1"/>
  <c r="F19" i="1" l="1"/>
  <c r="F9" i="1" l="1"/>
  <c r="E39" i="1" l="1"/>
  <c r="F33" i="1"/>
  <c r="F32" i="1"/>
  <c r="F12" i="1" l="1"/>
  <c r="F11" i="1"/>
  <c r="E20" i="1" l="1"/>
  <c r="F20" i="1" s="1"/>
  <c r="E10" i="1"/>
  <c r="F10" i="1" s="1"/>
  <c r="F14" i="1" s="1"/>
  <c r="F17" i="1"/>
  <c r="F18" i="1"/>
  <c r="F24" i="1"/>
  <c r="F25" i="1"/>
  <c r="F26" i="1"/>
  <c r="F23" i="1"/>
  <c r="F30" i="5"/>
  <c r="E30" i="5"/>
  <c r="D30" i="5"/>
  <c r="C30" i="5"/>
  <c r="B30" i="5"/>
  <c r="P29" i="5"/>
  <c r="O29" i="5"/>
  <c r="N29" i="5"/>
  <c r="K29" i="5"/>
  <c r="J29" i="5"/>
  <c r="I29" i="5"/>
  <c r="Z23" i="5"/>
  <c r="F21" i="1" l="1"/>
  <c r="F27" i="1" l="1"/>
  <c r="F28" i="1" s="1"/>
  <c r="F29" i="1" s="1"/>
</calcChain>
</file>

<file path=xl/sharedStrings.xml><?xml version="1.0" encoding="utf-8"?>
<sst xmlns="http://schemas.openxmlformats.org/spreadsheetml/2006/main" count="404" uniqueCount="228">
  <si>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</si>
  <si>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</si>
  <si>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</si>
  <si>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</si>
  <si>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</si>
  <si>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</si>
  <si>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</si>
  <si>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</si>
  <si>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</si>
  <si>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</si>
  <si>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</si>
  <si>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</si>
  <si>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</si>
  <si>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</si>
  <si>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</si>
  <si>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</si>
  <si>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</si>
  <si>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</si>
  <si>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</si>
  <si>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</si>
  <si>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</si>
  <si>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</si>
  <si>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</si>
  <si>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</si>
  <si>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</si>
  <si>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</si>
  <si>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</si>
  <si>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</si>
  <si>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</si>
  <si>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</si>
  <si>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</si>
  <si>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</si>
  <si>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</si>
  <si>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</si>
  <si>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</si>
  <si>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</si>
  <si>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</si>
  <si>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</si>
  <si>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</si>
  <si>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</si>
  <si>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</si>
  <si>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</si>
  <si>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</si>
  <si>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</si>
  <si>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</si>
  <si>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</si>
  <si>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</si>
  <si>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</si>
  <si>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</si>
  <si>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</si>
  <si>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</si>
  <si>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</si>
  <si>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</si>
  <si>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</si>
  <si>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</si>
  <si>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</si>
  <si>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</si>
  <si>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</si>
  <si>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</si>
  <si>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</si>
  <si>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</si>
  <si>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</si>
  <si>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</si>
  <si>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</si>
  <si>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</si>
  <si>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</si>
  <si>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</si>
  <si>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</si>
  <si>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</si>
  <si>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</si>
  <si>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</si>
  <si>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</si>
  <si>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</si>
  <si>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</si>
  <si>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</si>
  <si>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</si>
  <si>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</si>
  <si>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</si>
  <si>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</si>
  <si>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</si>
  <si>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</si>
  <si>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</si>
  <si>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</si>
  <si>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</si>
  <si>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</si>
  <si>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</si>
  <si>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</si>
  <si>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</si>
  <si>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</si>
  <si>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</si>
  <si>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</si>
  <si>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</si>
  <si>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</si>
  <si>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</si>
  <si>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</si>
  <si>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</si>
  <si>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</si>
  <si>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</si>
  <si>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</si>
  <si>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</si>
  <si>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</si>
  <si>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</si>
  <si>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</si>
  <si>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</si>
  <si>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</si>
  <si>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</si>
  <si>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</si>
  <si>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</si>
  <si>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</si>
  <si>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</si>
  <si>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</si>
  <si>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</si>
  <si>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</si>
  <si>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</si>
  <si>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</si>
  <si>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</si>
  <si>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</si>
  <si>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</si>
  <si>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</si>
  <si>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</si>
  <si>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</si>
  <si>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</si>
  <si>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</si>
  <si>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</si>
  <si>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</si>
  <si>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</si>
  <si>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</si>
  <si>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</si>
  <si>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Importante:</t>
  </si>
  <si>
    <t>Cuenta  corriente: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</si>
  <si>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</si>
  <si>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</si>
  <si>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</si>
  <si>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</si>
  <si>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</si>
  <si>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</si>
  <si>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</si>
  <si>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</si>
  <si>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</si>
  <si>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</si>
  <si>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</si>
  <si>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</si>
  <si>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</si>
  <si>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</si>
  <si>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</si>
  <si>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</si>
  <si>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</si>
  <si>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</si>
  <si>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</si>
  <si>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</si>
  <si>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</si>
  <si>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</si>
  <si>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</si>
  <si>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</si>
  <si>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</si>
  <si>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</si>
  <si>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</si>
  <si>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</si>
  <si>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</si>
  <si>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</si>
  <si>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</si>
  <si>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</si>
  <si>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</si>
  <si>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</si>
  <si>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</si>
  <si>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</si>
  <si>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</si>
  <si>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</si>
  <si>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</si>
  <si>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</si>
  <si>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</si>
  <si>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</si>
  <si>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</si>
  <si>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</si>
  <si>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</si>
  <si>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</si>
  <si>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</si>
  <si>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</si>
  <si>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</si>
  <si>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</si>
  <si>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</si>
  <si>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</si>
  <si>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</si>
  <si>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</si>
  <si>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</si>
  <si>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</si>
  <si>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</si>
  <si>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</si>
  <si>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</si>
  <si>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</si>
  <si>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</si>
  <si>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</si>
  <si>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</si>
  <si>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</si>
  <si>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</si>
  <si>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</si>
  <si>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</si>
  <si>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</si>
  <si>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</si>
  <si>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</si>
  <si>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</si>
  <si>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</si>
  <si>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</si>
  <si>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</si>
  <si>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</si>
  <si>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</si>
  <si>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</si>
  <si>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</si>
  <si>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</si>
  <si>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</si>
  <si>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</si>
  <si>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</si>
  <si>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</si>
  <si>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</si>
  <si>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</si>
  <si>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Podra elegir entre, 3 opciones de entrada, 3 opciones de fondo, 3 opciones de postre, 2 ensaladas, 2 sopas, inc café, jarros de agua</t>
  </si>
  <si>
    <t>Almuerzo sugerencias del chef( bajo 30 pax) pasajeros)</t>
  </si>
  <si>
    <t>Podra elegir entre, 3 opciones de entrada, 3 opciones de fondo, 3 opciones de postre, 2 ensaladas, 2 sopas.</t>
  </si>
  <si>
    <t>Cena Sugerencias del chef(bajo 30 pax)</t>
  </si>
  <si>
    <t>620024-9.</t>
  </si>
  <si>
    <t xml:space="preserve">                                                            E Mail:</t>
  </si>
  <si>
    <t xml:space="preserve">                                                            Fecha:</t>
  </si>
  <si>
    <t>PGIC</t>
  </si>
  <si>
    <t>07 - 08 Enero</t>
  </si>
  <si>
    <t>jhenriquez@pgic.cl</t>
  </si>
  <si>
    <t>Jacqueline Henriquez</t>
  </si>
  <si>
    <t>Habitación Triple</t>
  </si>
  <si>
    <t>Piscinas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</si>
</sst>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9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164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enriquez@pgic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7"/>
  <sheetViews>
    <sheetView tabSelected="1" zoomScale="109" zoomScaleNormal="109" zoomScalePageLayoutView="109" workbookViewId="0">
      <selection activeCell="E6" sqref="E6"/>
    </sheetView>
  </sheetViews>
  <sheetFormatPr baseColWidth="10" defaultRowHeight="16"/>
  <cols>
    <col min="1" max="1" width="33.664062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170</v>
      </c>
    </row>
    <row r="2" spans="1:7">
      <c r="G2" s="153" t="s">
        <v>139</v>
      </c>
    </row>
    <row r="3" spans="1:7">
      <c r="A3" s="70" t="s">
        <v>117</v>
      </c>
      <c r="B3" s="125" t="s">
        <v>225</v>
      </c>
      <c r="D3" t="s">
        <v>3</v>
      </c>
      <c r="E3" s="34" t="s">
        <v>222</v>
      </c>
      <c r="G3" s="86" t="s">
        <v>140</v>
      </c>
    </row>
    <row r="4" spans="1:7">
      <c r="A4" t="s">
        <v>220</v>
      </c>
      <c r="B4" s="189" t="s">
        <v>224</v>
      </c>
      <c r="C4" s="74"/>
      <c r="D4" t="s">
        <v>5</v>
      </c>
      <c r="E4">
        <v>224969700</v>
      </c>
      <c r="G4" s="87" t="s">
        <v>141</v>
      </c>
    </row>
    <row r="5" spans="1:7">
      <c r="A5" t="s">
        <v>221</v>
      </c>
      <c r="B5" s="125" t="s">
        <v>223</v>
      </c>
      <c r="D5" t="s">
        <v>4</v>
      </c>
      <c r="E5" s="34">
        <v>15</v>
      </c>
      <c r="G5" s="87" t="s">
        <v>142</v>
      </c>
    </row>
    <row r="6" spans="1:7">
      <c r="A6" s="72" t="s">
        <v>119</v>
      </c>
      <c r="B6" s="126" t="s">
        <v>186</v>
      </c>
      <c r="C6" s="71"/>
      <c r="D6" s="71" t="s">
        <v>118</v>
      </c>
      <c r="E6" s="72" t="s">
        <v>187</v>
      </c>
      <c r="G6" s="87" t="s">
        <v>143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104</v>
      </c>
      <c r="B8" s="109" t="s">
        <v>125</v>
      </c>
      <c r="C8" s="110" t="s">
        <v>103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6.5" customHeight="1">
      <c r="A9" s="101" t="s">
        <v>218</v>
      </c>
      <c r="B9" s="102" t="s">
        <v>127</v>
      </c>
      <c r="C9" s="95">
        <v>1</v>
      </c>
      <c r="D9" s="95">
        <v>15</v>
      </c>
      <c r="E9" s="94">
        <v>25000</v>
      </c>
      <c r="F9" s="94">
        <f>D9*E9</f>
        <v>375000</v>
      </c>
      <c r="G9" s="93" t="s">
        <v>217</v>
      </c>
    </row>
    <row r="10" spans="1:7">
      <c r="A10" s="101" t="s">
        <v>179</v>
      </c>
      <c r="B10" s="102"/>
      <c r="C10" s="95">
        <v>0</v>
      </c>
      <c r="D10" s="95">
        <v>0</v>
      </c>
      <c r="E10" s="94">
        <f>1800/1.19</f>
        <v>1512.6050420168067</v>
      </c>
      <c r="F10" s="94">
        <f t="shared" ref="F10" si="0">D10*E10</f>
        <v>0</v>
      </c>
      <c r="G10" s="93" t="s">
        <v>180</v>
      </c>
    </row>
    <row r="11" spans="1:7" ht="16.5" customHeight="1">
      <c r="A11" s="122" t="s">
        <v>167</v>
      </c>
      <c r="B11" s="123"/>
      <c r="C11" s="95">
        <v>2</v>
      </c>
      <c r="D11" s="95">
        <v>2</v>
      </c>
      <c r="E11" s="124">
        <v>99000</v>
      </c>
      <c r="F11" s="94">
        <f>C11*E11</f>
        <v>198000</v>
      </c>
      <c r="G11" s="122" t="s">
        <v>168</v>
      </c>
    </row>
    <row r="12" spans="1:7" ht="16.5" customHeight="1">
      <c r="A12" s="122" t="s">
        <v>122</v>
      </c>
      <c r="B12" s="123"/>
      <c r="C12" s="95">
        <v>5</v>
      </c>
      <c r="D12" s="95">
        <v>10</v>
      </c>
      <c r="E12" s="124">
        <v>118000</v>
      </c>
      <c r="F12" s="94">
        <f>C12*E12</f>
        <v>590000</v>
      </c>
      <c r="G12" s="122" t="s">
        <v>169</v>
      </c>
    </row>
    <row r="13" spans="1:7" ht="16.5" customHeight="1">
      <c r="A13" s="122" t="s">
        <v>226</v>
      </c>
      <c r="B13" s="123"/>
      <c r="C13" s="95">
        <v>1</v>
      </c>
      <c r="D13" s="95">
        <v>3</v>
      </c>
      <c r="E13" s="124">
        <f>118000+12500+15000</f>
        <v>145500</v>
      </c>
      <c r="F13" s="94">
        <f>C13*E13</f>
        <v>145500</v>
      </c>
      <c r="G13" s="122" t="s">
        <v>169</v>
      </c>
    </row>
    <row r="14" spans="1:7" ht="16.5" customHeight="1" thickBot="1">
      <c r="A14" s="2" t="s">
        <v>86</v>
      </c>
      <c r="B14" s="78"/>
      <c r="C14" s="33"/>
      <c r="D14" s="23"/>
      <c r="E14" s="7"/>
      <c r="F14" s="5">
        <f>SUM(F9:F12)</f>
        <v>1163000</v>
      </c>
      <c r="G14" s="32" t="s">
        <v>2</v>
      </c>
    </row>
    <row r="15" spans="1:7" ht="16.5" customHeight="1">
      <c r="A15" s="108" t="s">
        <v>105</v>
      </c>
      <c r="B15" s="109"/>
      <c r="C15" s="110" t="s">
        <v>103</v>
      </c>
      <c r="D15" s="110" t="s">
        <v>6</v>
      </c>
      <c r="E15" s="110" t="s">
        <v>0</v>
      </c>
      <c r="F15" s="110" t="s">
        <v>1</v>
      </c>
      <c r="G15" s="111" t="s">
        <v>7</v>
      </c>
    </row>
    <row r="16" spans="1:7">
      <c r="A16" s="106" t="s">
        <v>8</v>
      </c>
      <c r="B16" s="107"/>
      <c r="C16" s="95">
        <v>1</v>
      </c>
      <c r="D16" s="95">
        <v>15</v>
      </c>
      <c r="E16" s="130">
        <v>12500</v>
      </c>
      <c r="F16" s="94" t="s">
        <v>106</v>
      </c>
      <c r="G16" s="93" t="s">
        <v>161</v>
      </c>
    </row>
    <row r="17" spans="1:7">
      <c r="A17" s="101" t="s">
        <v>126</v>
      </c>
      <c r="B17" s="102"/>
      <c r="C17" s="95">
        <v>1</v>
      </c>
      <c r="D17" s="95">
        <v>1</v>
      </c>
      <c r="E17" s="103">
        <v>180000</v>
      </c>
      <c r="F17" s="94">
        <f>C17*E17</f>
        <v>180000</v>
      </c>
      <c r="G17" s="93" t="s">
        <v>165</v>
      </c>
    </row>
    <row r="18" spans="1:7">
      <c r="A18" s="104" t="s">
        <v>163</v>
      </c>
      <c r="B18" s="105"/>
      <c r="C18" s="95">
        <v>0</v>
      </c>
      <c r="D18" s="95">
        <v>0</v>
      </c>
      <c r="E18" s="103">
        <v>4850</v>
      </c>
      <c r="F18" s="131">
        <f>D18*E18</f>
        <v>0</v>
      </c>
      <c r="G18" s="101" t="s">
        <v>123</v>
      </c>
    </row>
    <row r="19" spans="1:7" s="16" customFormat="1" ht="16.5" customHeight="1">
      <c r="A19" s="127" t="s">
        <v>216</v>
      </c>
      <c r="B19" s="128" t="s">
        <v>2</v>
      </c>
      <c r="C19" s="95">
        <v>1</v>
      </c>
      <c r="D19" s="95">
        <v>15</v>
      </c>
      <c r="E19" s="129">
        <v>25000</v>
      </c>
      <c r="F19" s="94">
        <f>D19*E19</f>
        <v>375000</v>
      </c>
      <c r="G19" s="93" t="s">
        <v>215</v>
      </c>
    </row>
    <row r="20" spans="1:7">
      <c r="A20" s="101" t="s">
        <v>162</v>
      </c>
      <c r="B20" s="102"/>
      <c r="C20" s="95">
        <v>1</v>
      </c>
      <c r="D20" s="95">
        <v>15</v>
      </c>
      <c r="E20" s="94">
        <f>1513</f>
        <v>1513</v>
      </c>
      <c r="F20" s="131">
        <f t="shared" ref="F20" si="1">D20*E20</f>
        <v>22695</v>
      </c>
      <c r="G20" s="93" t="s">
        <v>160</v>
      </c>
    </row>
    <row r="21" spans="1:7">
      <c r="A21" s="116"/>
      <c r="B21" s="117"/>
      <c r="C21" s="118"/>
      <c r="D21" s="118"/>
      <c r="E21" s="119" t="s">
        <v>2</v>
      </c>
      <c r="F21" s="120">
        <f>SUM(F17:F20)</f>
        <v>577695</v>
      </c>
      <c r="G21" s="121"/>
    </row>
    <row r="22" spans="1:7">
      <c r="A22" s="112" t="s">
        <v>157</v>
      </c>
      <c r="B22" s="113" t="s">
        <v>171</v>
      </c>
      <c r="C22" s="114"/>
      <c r="D22" s="114"/>
      <c r="E22" s="115"/>
      <c r="F22" s="115" t="s">
        <v>2</v>
      </c>
      <c r="G22" s="112" t="s">
        <v>158</v>
      </c>
    </row>
    <row r="23" spans="1:7">
      <c r="A23" s="96" t="s">
        <v>227</v>
      </c>
      <c r="B23" s="97" t="s">
        <v>2</v>
      </c>
      <c r="C23" s="98">
        <v>0</v>
      </c>
      <c r="D23" s="98">
        <v>0</v>
      </c>
      <c r="E23" s="99">
        <v>0</v>
      </c>
      <c r="F23" s="99">
        <f t="shared" ref="F23:F26" si="2">C23*D23*E23</f>
        <v>0</v>
      </c>
      <c r="G23" s="100" t="s">
        <v>155</v>
      </c>
    </row>
    <row r="24" spans="1:7">
      <c r="A24" s="96" t="s">
        <v>150</v>
      </c>
      <c r="B24" s="97" t="s">
        <v>2</v>
      </c>
      <c r="C24" s="98">
        <v>0</v>
      </c>
      <c r="D24" s="98">
        <v>0</v>
      </c>
      <c r="E24" s="99">
        <v>0</v>
      </c>
      <c r="F24" s="99">
        <f t="shared" si="2"/>
        <v>0</v>
      </c>
      <c r="G24" s="100" t="s">
        <v>156</v>
      </c>
    </row>
    <row r="25" spans="1:7" ht="16.5" customHeight="1">
      <c r="A25" s="96" t="s">
        <v>151</v>
      </c>
      <c r="B25" s="97" t="s">
        <v>2</v>
      </c>
      <c r="C25" s="98">
        <v>0</v>
      </c>
      <c r="D25" s="98">
        <v>0</v>
      </c>
      <c r="E25" s="99">
        <v>0</v>
      </c>
      <c r="F25" s="99">
        <f t="shared" si="2"/>
        <v>0</v>
      </c>
      <c r="G25" s="100" t="s">
        <v>154</v>
      </c>
    </row>
    <row r="26" spans="1:7" ht="17" thickBot="1">
      <c r="A26" s="96" t="s">
        <v>152</v>
      </c>
      <c r="B26" s="97" t="s">
        <v>2</v>
      </c>
      <c r="C26" s="98">
        <v>0</v>
      </c>
      <c r="D26" s="98">
        <v>0</v>
      </c>
      <c r="E26" s="99">
        <v>0</v>
      </c>
      <c r="F26" s="99">
        <f t="shared" si="2"/>
        <v>0</v>
      </c>
      <c r="G26" s="96" t="s">
        <v>153</v>
      </c>
    </row>
    <row r="27" spans="1:7" ht="17" thickBot="1">
      <c r="A27" s="36" t="s">
        <v>159</v>
      </c>
      <c r="B27" s="80"/>
      <c r="C27" s="37"/>
      <c r="D27" s="37"/>
      <c r="E27" s="38"/>
      <c r="F27" s="39">
        <f>F14+F21</f>
        <v>1740695</v>
      </c>
      <c r="G27" s="6" t="s">
        <v>120</v>
      </c>
    </row>
    <row r="28" spans="1:7">
      <c r="A28" s="3" t="s">
        <v>121</v>
      </c>
      <c r="B28" s="79"/>
      <c r="C28" s="31"/>
      <c r="D28" s="23"/>
      <c r="E28" s="7"/>
      <c r="F28" s="5">
        <f>F27*1.19-F27</f>
        <v>330732.04999999981</v>
      </c>
      <c r="G28" s="6"/>
    </row>
    <row r="29" spans="1:7">
      <c r="A29" s="81" t="s">
        <v>166</v>
      </c>
      <c r="B29" s="82"/>
      <c r="C29" s="83"/>
      <c r="D29" s="83"/>
      <c r="E29" s="84"/>
      <c r="F29" s="85">
        <f>F27+F28</f>
        <v>2071427.0499999998</v>
      </c>
      <c r="G29" s="6"/>
    </row>
    <row r="30" spans="1:7">
      <c r="A30" s="3"/>
      <c r="B30" s="79"/>
      <c r="C30" s="31"/>
      <c r="D30" s="23"/>
      <c r="E30" s="7"/>
      <c r="F30" s="4"/>
      <c r="G30" s="6"/>
    </row>
    <row r="31" spans="1:7">
      <c r="A31" s="135" t="s">
        <v>181</v>
      </c>
      <c r="B31" s="136" t="s">
        <v>125</v>
      </c>
      <c r="C31" s="137" t="s">
        <v>103</v>
      </c>
      <c r="D31" s="137" t="s">
        <v>6</v>
      </c>
      <c r="E31" s="137" t="s">
        <v>0</v>
      </c>
      <c r="F31" s="137" t="s">
        <v>1</v>
      </c>
      <c r="G31" s="137" t="s">
        <v>7</v>
      </c>
    </row>
    <row r="32" spans="1:7">
      <c r="A32" s="101" t="s">
        <v>188</v>
      </c>
      <c r="B32" s="102"/>
      <c r="C32" s="95">
        <v>0</v>
      </c>
      <c r="D32" s="95">
        <v>0</v>
      </c>
      <c r="E32" s="94">
        <v>300000</v>
      </c>
      <c r="F32" s="94">
        <f>D32*E32</f>
        <v>0</v>
      </c>
      <c r="G32" s="93"/>
    </row>
    <row r="33" spans="1:7">
      <c r="A33" s="101" t="s">
        <v>204</v>
      </c>
      <c r="B33" s="102"/>
      <c r="C33" s="95">
        <v>0</v>
      </c>
      <c r="D33" s="95">
        <v>0</v>
      </c>
      <c r="E33" s="94">
        <v>570000</v>
      </c>
      <c r="F33" s="94">
        <f t="shared" ref="F33" si="3">C33*E33</f>
        <v>0</v>
      </c>
      <c r="G33" s="154"/>
    </row>
    <row r="34" spans="1:7">
      <c r="A34" s="101" t="s">
        <v>205</v>
      </c>
      <c r="B34" s="102"/>
      <c r="C34" s="95">
        <v>1</v>
      </c>
      <c r="D34" s="95">
        <v>0</v>
      </c>
      <c r="E34" s="94">
        <v>350000</v>
      </c>
      <c r="F34" s="94">
        <v>0</v>
      </c>
      <c r="G34" s="154"/>
    </row>
    <row r="35" spans="1:7">
      <c r="A35" s="101" t="s">
        <v>206</v>
      </c>
      <c r="B35" s="102"/>
      <c r="C35" s="95">
        <v>1</v>
      </c>
      <c r="D35" s="95">
        <v>0</v>
      </c>
      <c r="E35" s="94">
        <v>450000</v>
      </c>
      <c r="F35" s="94">
        <v>0</v>
      </c>
      <c r="G35" s="154" t="s">
        <v>2</v>
      </c>
    </row>
    <row r="36" spans="1:7">
      <c r="A36" s="138" t="s">
        <v>207</v>
      </c>
      <c r="B36" s="139"/>
      <c r="C36" s="43">
        <v>0</v>
      </c>
      <c r="D36" s="43">
        <v>0</v>
      </c>
      <c r="E36" s="140">
        <v>3850</v>
      </c>
      <c r="F36" s="140">
        <v>0</v>
      </c>
      <c r="G36" s="142" t="s">
        <v>182</v>
      </c>
    </row>
    <row r="37" spans="1:7">
      <c r="A37" s="138" t="s">
        <v>208</v>
      </c>
      <c r="B37" s="139"/>
      <c r="C37" s="43">
        <v>0</v>
      </c>
      <c r="D37" s="43">
        <v>0</v>
      </c>
      <c r="E37" s="140">
        <v>24000</v>
      </c>
      <c r="F37" s="140">
        <v>0</v>
      </c>
      <c r="G37" s="27" t="s">
        <v>183</v>
      </c>
    </row>
    <row r="38" spans="1:7">
      <c r="A38" s="101" t="s">
        <v>209</v>
      </c>
      <c r="B38" s="102"/>
      <c r="C38" s="43">
        <v>0</v>
      </c>
      <c r="D38" s="43">
        <v>0</v>
      </c>
      <c r="E38" s="94">
        <v>7000</v>
      </c>
      <c r="F38" s="140">
        <v>0</v>
      </c>
      <c r="G38" s="93" t="s">
        <v>189</v>
      </c>
    </row>
    <row r="39" spans="1:7">
      <c r="A39" s="138" t="s">
        <v>184</v>
      </c>
      <c r="B39" s="139"/>
      <c r="C39" s="43">
        <v>0</v>
      </c>
      <c r="D39" s="43">
        <v>0</v>
      </c>
      <c r="E39" s="140">
        <f>400000+6000*20</f>
        <v>520000</v>
      </c>
      <c r="F39" s="141">
        <v>0</v>
      </c>
      <c r="G39" s="27" t="s">
        <v>210</v>
      </c>
    </row>
    <row r="40" spans="1:7">
      <c r="A40" s="143" t="s">
        <v>163</v>
      </c>
      <c r="B40" s="144"/>
      <c r="C40" s="145">
        <v>0</v>
      </c>
      <c r="D40" s="145">
        <v>0</v>
      </c>
      <c r="E40" s="146">
        <v>4850</v>
      </c>
      <c r="F40" s="147">
        <v>0</v>
      </c>
      <c r="G40" s="148" t="s">
        <v>123</v>
      </c>
    </row>
    <row r="41" spans="1:7">
      <c r="A41" s="143" t="s">
        <v>101</v>
      </c>
      <c r="B41" s="144"/>
      <c r="C41" s="145">
        <v>0</v>
      </c>
      <c r="D41" s="145">
        <v>0</v>
      </c>
      <c r="E41" s="146">
        <v>5850</v>
      </c>
      <c r="F41" s="147">
        <v>0</v>
      </c>
      <c r="G41" s="148" t="s">
        <v>164</v>
      </c>
    </row>
    <row r="42" spans="1:7">
      <c r="A42" s="143" t="s">
        <v>102</v>
      </c>
      <c r="B42" s="144"/>
      <c r="C42" s="145">
        <v>0</v>
      </c>
      <c r="D42" s="145">
        <v>0</v>
      </c>
      <c r="E42" s="146">
        <v>6850</v>
      </c>
      <c r="F42" s="147">
        <v>0</v>
      </c>
      <c r="G42" s="148" t="s">
        <v>124</v>
      </c>
    </row>
    <row r="43" spans="1:7" ht="17">
      <c r="A43" s="101" t="s">
        <v>190</v>
      </c>
      <c r="B43" s="155"/>
      <c r="C43" s="145">
        <v>0</v>
      </c>
      <c r="D43" s="145">
        <v>0</v>
      </c>
      <c r="E43" s="156">
        <v>8500</v>
      </c>
      <c r="F43" s="147">
        <v>0</v>
      </c>
      <c r="G43" s="157" t="s">
        <v>191</v>
      </c>
    </row>
    <row r="44" spans="1:7" ht="34">
      <c r="A44" s="161" t="s">
        <v>211</v>
      </c>
      <c r="B44" s="155"/>
      <c r="C44" s="145">
        <v>0</v>
      </c>
      <c r="D44" s="145">
        <v>0</v>
      </c>
      <c r="E44" s="156">
        <v>13500</v>
      </c>
      <c r="F44" s="147">
        <v>0</v>
      </c>
      <c r="G44" s="162" t="s">
        <v>212</v>
      </c>
    </row>
    <row r="45" spans="1:7" ht="34">
      <c r="A45" s="161" t="s">
        <v>213</v>
      </c>
      <c r="B45" s="155"/>
      <c r="C45" s="145">
        <v>0</v>
      </c>
      <c r="D45" s="145">
        <v>0</v>
      </c>
      <c r="E45" s="156">
        <v>15000</v>
      </c>
      <c r="F45" s="147">
        <v>0</v>
      </c>
      <c r="G45" s="162" t="s">
        <v>214</v>
      </c>
    </row>
    <row r="46" spans="1:7">
      <c r="A46" s="149" t="s">
        <v>185</v>
      </c>
      <c r="B46" s="150"/>
      <c r="C46" s="151"/>
      <c r="D46" s="151"/>
      <c r="E46" s="152"/>
      <c r="F46" s="152">
        <v>0</v>
      </c>
      <c r="G46" s="6"/>
    </row>
    <row r="47" spans="1:7" ht="17">
      <c r="A47" s="132" t="s">
        <v>128</v>
      </c>
      <c r="B47"/>
      <c r="E47" s="75"/>
      <c r="F47" s="75"/>
      <c r="G47" s="75"/>
    </row>
    <row r="48" spans="1:7">
      <c r="A48" s="134" t="s">
        <v>177</v>
      </c>
      <c r="B48"/>
    </row>
    <row r="49" spans="1:6">
      <c r="A49" s="134" t="s">
        <v>178</v>
      </c>
      <c r="B49"/>
    </row>
    <row r="51" spans="1:6">
      <c r="A51" s="132" t="s">
        <v>192</v>
      </c>
      <c r="B51"/>
    </row>
    <row r="52" spans="1:6">
      <c r="A52" s="133" t="s">
        <v>193</v>
      </c>
      <c r="B52"/>
    </row>
    <row r="53" spans="1:6">
      <c r="A53" s="134" t="s">
        <v>173</v>
      </c>
      <c r="B53"/>
    </row>
    <row r="54" spans="1:6">
      <c r="A54" s="134" t="s">
        <v>174</v>
      </c>
      <c r="B54"/>
    </row>
    <row r="55" spans="1:6">
      <c r="A55" s="132" t="s">
        <v>172</v>
      </c>
      <c r="B55"/>
    </row>
    <row r="56" spans="1:6">
      <c r="A56" s="134" t="s">
        <v>194</v>
      </c>
      <c r="B56"/>
    </row>
    <row r="57" spans="1:6">
      <c r="A57" s="132" t="s">
        <v>175</v>
      </c>
      <c r="B57"/>
    </row>
    <row r="58" spans="1:6">
      <c r="A58" s="134" t="s">
        <v>195</v>
      </c>
      <c r="B58"/>
    </row>
    <row r="59" spans="1:6">
      <c r="A59" s="134" t="s">
        <v>196</v>
      </c>
      <c r="B59"/>
    </row>
    <row r="60" spans="1:6">
      <c r="A60" s="134" t="s">
        <v>197</v>
      </c>
      <c r="B60"/>
    </row>
    <row r="61" spans="1:6">
      <c r="A61" s="134" t="s">
        <v>198</v>
      </c>
      <c r="B61"/>
    </row>
    <row r="62" spans="1:6">
      <c r="A62" s="133"/>
      <c r="B62"/>
    </row>
    <row r="63" spans="1:6">
      <c r="A63" s="133" t="s">
        <v>199</v>
      </c>
      <c r="B63" s="133"/>
      <c r="C63" s="133"/>
      <c r="D63" s="133"/>
      <c r="E63" s="133"/>
      <c r="F63" s="133"/>
    </row>
    <row r="64" spans="1:6">
      <c r="A64" s="158"/>
      <c r="B64"/>
    </row>
    <row r="65" spans="1:6">
      <c r="A65" s="159" t="s">
        <v>200</v>
      </c>
      <c r="B65"/>
    </row>
    <row r="66" spans="1:6" ht="16" customHeight="1">
      <c r="A66" s="164" t="s">
        <v>201</v>
      </c>
      <c r="B66" s="164"/>
      <c r="C66" s="164"/>
      <c r="D66" s="164"/>
      <c r="E66" s="164"/>
      <c r="F66" s="164"/>
    </row>
    <row r="67" spans="1:6">
      <c r="A67" s="133"/>
      <c r="B67"/>
    </row>
    <row r="68" spans="1:6">
      <c r="A68" s="132" t="s">
        <v>176</v>
      </c>
      <c r="B68"/>
    </row>
    <row r="69" spans="1:6">
      <c r="A69" s="133"/>
      <c r="B69"/>
    </row>
    <row r="70" spans="1:6">
      <c r="A70" s="133" t="s">
        <v>129</v>
      </c>
      <c r="B70" s="133" t="s">
        <v>219</v>
      </c>
    </row>
    <row r="71" spans="1:6">
      <c r="A71" s="133" t="s">
        <v>130</v>
      </c>
      <c r="B71" s="133" t="s">
        <v>131</v>
      </c>
    </row>
    <row r="72" spans="1:6">
      <c r="A72" s="133" t="s">
        <v>132</v>
      </c>
      <c r="B72" s="133" t="s">
        <v>202</v>
      </c>
    </row>
    <row r="73" spans="1:6">
      <c r="A73" s="133" t="s">
        <v>133</v>
      </c>
      <c r="B73" s="133" t="s">
        <v>134</v>
      </c>
    </row>
    <row r="74" spans="1:6">
      <c r="A74" s="133" t="s">
        <v>135</v>
      </c>
      <c r="B74" s="133" t="s">
        <v>136</v>
      </c>
    </row>
    <row r="75" spans="1:6">
      <c r="A75" s="133" t="s">
        <v>137</v>
      </c>
      <c r="B75" s="133" t="s">
        <v>138</v>
      </c>
    </row>
    <row r="76" spans="1:6">
      <c r="A76" s="133" t="s">
        <v>5</v>
      </c>
      <c r="B76" s="163">
        <v>29539311</v>
      </c>
    </row>
    <row r="77" spans="1:6">
      <c r="A77" s="160" t="s">
        <v>203</v>
      </c>
      <c r="B77"/>
    </row>
  </sheetData>
  <mergeCells count="1">
    <mergeCell ref="A66:F66"/>
  </mergeCells>
  <phoneticPr fontId="7" type="noConversion"/>
  <hyperlinks>
    <hyperlink ref="A77" r:id="rId1" display="mailto:sf@sflodge.cl" xr:uid="{F2E06317-FA26-FE40-932C-91E8DCBE551E}"/>
    <hyperlink ref="B4" r:id="rId2" xr:uid="{4F40E4DE-A0B0-C04E-A999-4D0ADD294A1F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3"/>
      <c r="B1" s="183"/>
      <c r="C1" s="183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3"/>
      <c r="B2" s="183"/>
      <c r="C2" s="183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3"/>
      <c r="B3" s="183"/>
      <c r="C3" s="183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3"/>
      <c r="B4" s="183"/>
      <c r="C4" s="183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84" t="s">
        <v>109</v>
      </c>
      <c r="D6" s="178"/>
      <c r="E6" s="179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5" t="s">
        <v>110</v>
      </c>
      <c r="D7" s="166"/>
      <c r="E7" s="167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5" t="s">
        <v>110</v>
      </c>
      <c r="D8" s="166"/>
      <c r="E8" s="167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8" t="s">
        <v>96</v>
      </c>
      <c r="D9" s="169"/>
      <c r="E9" s="170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5" t="s">
        <v>110</v>
      </c>
      <c r="D10" s="166"/>
      <c r="E10" s="167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5" t="s">
        <v>110</v>
      </c>
      <c r="D11" s="166"/>
      <c r="E11" s="167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1" t="s">
        <v>97</v>
      </c>
      <c r="D12" s="172"/>
      <c r="E12" s="173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4" t="s">
        <v>108</v>
      </c>
      <c r="D13" s="175"/>
      <c r="E13" s="176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7" t="s">
        <v>112</v>
      </c>
      <c r="D15" s="178"/>
      <c r="E15" s="179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80" t="s">
        <v>94</v>
      </c>
      <c r="D16" s="181"/>
      <c r="E16" s="182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5" t="s">
        <v>110</v>
      </c>
      <c r="D17" s="166"/>
      <c r="E17" s="167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5" t="s">
        <v>110</v>
      </c>
      <c r="D18" s="166"/>
      <c r="E18" s="167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8" t="s">
        <v>96</v>
      </c>
      <c r="D19" s="169"/>
      <c r="E19" s="170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5" t="s">
        <v>110</v>
      </c>
      <c r="D20" s="166"/>
      <c r="E20" s="167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5" t="s">
        <v>110</v>
      </c>
      <c r="D21" s="166"/>
      <c r="E21" s="167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1" t="s">
        <v>97</v>
      </c>
      <c r="D22" s="172"/>
      <c r="E22" s="173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4" t="s">
        <v>108</v>
      </c>
      <c r="D23" s="175"/>
      <c r="E23" s="176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7" t="s">
        <v>113</v>
      </c>
      <c r="D25" s="178"/>
      <c r="E25" s="179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80" t="s">
        <v>94</v>
      </c>
      <c r="D26" s="181"/>
      <c r="E26" s="182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5" t="s">
        <v>110</v>
      </c>
      <c r="D27" s="166"/>
      <c r="E27" s="167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5" t="s">
        <v>110</v>
      </c>
      <c r="D28" s="166"/>
      <c r="E28" s="167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8" t="s">
        <v>96</v>
      </c>
      <c r="D29" s="169"/>
      <c r="E29" s="170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5" t="s">
        <v>110</v>
      </c>
      <c r="D30" s="166"/>
      <c r="E30" s="167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5" t="s">
        <v>110</v>
      </c>
      <c r="D31" s="166"/>
      <c r="E31" s="167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86"/>
      <c r="B32" s="186"/>
      <c r="C32" s="186"/>
      <c r="D32" s="186"/>
      <c r="E32" s="186"/>
      <c r="F32" s="186"/>
      <c r="G32" s="186"/>
      <c r="H32" s="186"/>
      <c r="I32" s="186"/>
      <c r="J32" s="54"/>
      <c r="K32" s="54"/>
      <c r="L32" s="54"/>
      <c r="M32" s="54"/>
      <c r="N32" s="54"/>
    </row>
    <row r="33" spans="1:14" s="55" customFormat="1" ht="15" customHeight="1">
      <c r="A33" s="187" t="s">
        <v>114</v>
      </c>
      <c r="B33" s="187"/>
      <c r="C33" s="187"/>
      <c r="D33" s="187"/>
      <c r="E33" s="187"/>
      <c r="F33" s="187"/>
      <c r="G33" s="187"/>
      <c r="H33" s="187"/>
      <c r="I33" s="187"/>
      <c r="J33" s="54"/>
      <c r="K33" s="54"/>
      <c r="L33" s="54"/>
      <c r="M33" s="54"/>
      <c r="N33" s="54"/>
    </row>
    <row r="34" spans="1:14" s="55" customFormat="1" ht="15" customHeight="1">
      <c r="A34" s="186"/>
      <c r="B34" s="186"/>
      <c r="C34" s="186"/>
      <c r="D34" s="186"/>
      <c r="E34" s="186"/>
      <c r="F34" s="186"/>
      <c r="G34" s="186"/>
      <c r="H34" s="186"/>
      <c r="I34" s="186"/>
      <c r="J34" s="54"/>
      <c r="K34" s="54"/>
      <c r="L34" s="54"/>
      <c r="M34" s="54"/>
      <c r="N34" s="54"/>
    </row>
    <row r="35" spans="1:14" s="55" customFormat="1" ht="15" customHeight="1">
      <c r="A35" s="186"/>
      <c r="B35" s="186"/>
      <c r="C35" s="186"/>
      <c r="D35" s="186"/>
      <c r="E35" s="186"/>
      <c r="F35" s="186"/>
      <c r="G35" s="186"/>
      <c r="H35" s="186"/>
      <c r="I35" s="186"/>
      <c r="J35" s="54"/>
      <c r="K35" s="54"/>
      <c r="L35" s="54"/>
      <c r="M35" s="54"/>
      <c r="N35" s="54"/>
    </row>
    <row r="36" spans="1:14" s="55" customFormat="1" ht="15" customHeight="1">
      <c r="A36" s="186"/>
      <c r="B36" s="186"/>
      <c r="C36" s="186"/>
      <c r="D36" s="186"/>
      <c r="E36" s="186"/>
      <c r="F36" s="186"/>
      <c r="G36" s="186"/>
      <c r="H36" s="186"/>
      <c r="I36" s="186"/>
      <c r="J36" s="54"/>
      <c r="K36" s="54"/>
      <c r="L36" s="54"/>
      <c r="M36" s="54"/>
      <c r="N36" s="54"/>
    </row>
    <row r="37" spans="1:14" s="55" customFormat="1" ht="15" customHeight="1">
      <c r="A37" s="186"/>
      <c r="B37" s="186"/>
      <c r="C37" s="186"/>
      <c r="D37" s="186"/>
      <c r="E37" s="186"/>
      <c r="F37" s="186"/>
      <c r="G37" s="186"/>
      <c r="H37" s="186"/>
      <c r="I37" s="186"/>
      <c r="J37" s="54"/>
      <c r="K37" s="54"/>
      <c r="L37" s="54"/>
      <c r="M37" s="54"/>
      <c r="N37" s="54"/>
    </row>
    <row r="38" spans="1:14" s="55" customFormat="1" ht="15" customHeight="1">
      <c r="A38" s="186"/>
      <c r="B38" s="186"/>
      <c r="C38" s="186"/>
      <c r="D38" s="186"/>
      <c r="E38" s="186"/>
      <c r="F38" s="186"/>
      <c r="G38" s="186"/>
      <c r="H38" s="186"/>
      <c r="I38" s="186"/>
      <c r="J38" s="54"/>
      <c r="K38" s="54"/>
      <c r="L38" s="54"/>
      <c r="M38" s="54"/>
      <c r="N38" s="54"/>
    </row>
    <row r="39" spans="1:14" s="55" customFormat="1" ht="15" customHeight="1">
      <c r="A39" s="186"/>
      <c r="B39" s="186"/>
      <c r="C39" s="186"/>
      <c r="D39" s="186"/>
      <c r="E39" s="186"/>
      <c r="F39" s="186"/>
      <c r="G39" s="186"/>
      <c r="H39" s="186"/>
      <c r="I39" s="186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8" t="s">
        <v>98</v>
      </c>
      <c r="B44" s="188"/>
      <c r="C44" s="188"/>
      <c r="D44" s="188"/>
      <c r="E44" s="188"/>
      <c r="F44" s="188"/>
      <c r="G44" s="188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3"/>
      <c r="B45" s="183"/>
      <c r="C45" s="183"/>
      <c r="D45" s="183"/>
      <c r="E45" s="183"/>
      <c r="F45" s="183"/>
      <c r="G45" s="183"/>
      <c r="H45" s="35"/>
      <c r="I45" s="22"/>
      <c r="J45" s="22"/>
      <c r="K45" s="22"/>
      <c r="L45" s="22"/>
      <c r="M45" s="22"/>
      <c r="N45" s="22"/>
    </row>
    <row r="46" spans="1:14">
      <c r="A46" s="185" t="s">
        <v>100</v>
      </c>
      <c r="B46" s="185"/>
      <c r="C46" s="185"/>
      <c r="D46" s="185"/>
      <c r="E46" s="185"/>
      <c r="F46" s="185"/>
      <c r="G46" s="185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144</v>
      </c>
    </row>
    <row r="3" spans="1:1" ht="28" customHeight="1" thickBot="1">
      <c r="A3" s="89" t="s">
        <v>145</v>
      </c>
    </row>
    <row r="4" spans="1:1" ht="18">
      <c r="A4" s="90" t="s">
        <v>146</v>
      </c>
    </row>
    <row r="5" spans="1:1" ht="41" customHeight="1">
      <c r="A5" s="91" t="s">
        <v>147</v>
      </c>
    </row>
    <row r="6" spans="1:1" ht="33" customHeight="1" thickBot="1">
      <c r="A6" s="89" t="s">
        <v>149</v>
      </c>
    </row>
    <row r="7" spans="1:1" ht="29" customHeight="1" thickBot="1">
      <c r="A7" s="9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2020-11-03T16:51:42Z</dcterms:modified>
</cp:coreProperties>
</file>