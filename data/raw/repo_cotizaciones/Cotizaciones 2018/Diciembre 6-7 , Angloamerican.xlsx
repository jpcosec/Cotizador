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Eventos cotizados/Cotizaciones 2018 Carmen/"/>
    </mc:Choice>
  </mc:AlternateContent>
  <bookViews>
    <workbookView xWindow="0" yWindow="780" windowWidth="25600" windowHeight="13620" tabRatio="500"/>
  </bookViews>
  <sheets>
    <sheet name="Presupuesto valorizado" sheetId="1" r:id="rId1"/>
    <sheet name="Propuesta de Relatores" sheetId="9" r:id="rId2"/>
    <sheet name="Detalle de alojamiento." sheetId="5" r:id="rId3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4" i="1" l="1"/>
  <c r="F17" i="1"/>
  <c r="F20" i="1"/>
  <c r="F22" i="1"/>
  <c r="F23" i="1"/>
  <c r="F9" i="1"/>
  <c r="F10" i="1"/>
  <c r="F12" i="1"/>
  <c r="F13" i="1"/>
  <c r="F14" i="1"/>
  <c r="E15" i="1"/>
  <c r="F15" i="1"/>
  <c r="F16" i="1"/>
  <c r="F25" i="1"/>
  <c r="F44" i="1"/>
  <c r="F45" i="1"/>
  <c r="F43" i="1"/>
  <c r="F47" i="1"/>
  <c r="F48" i="1"/>
  <c r="F46" i="1"/>
  <c r="F34" i="1"/>
  <c r="F36" i="1"/>
  <c r="F35" i="1"/>
  <c r="F41" i="1"/>
  <c r="F42" i="1"/>
  <c r="F31" i="1"/>
  <c r="F32" i="1"/>
  <c r="F33" i="1"/>
  <c r="F37" i="1"/>
  <c r="F38" i="1"/>
  <c r="F39" i="1"/>
  <c r="F40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<sst xmlns="http://schemas.openxmlformats.org/spreadsheetml/2006/main" count="354" uniqueCount="209">
  <si>
    <t xml:space="preserve">Valor </t>
  </si>
  <si>
    <t>Total</t>
  </si>
  <si>
    <t>Copa de vino reserva</t>
  </si>
  <si>
    <t xml:space="preserve"> </t>
  </si>
  <si>
    <t>Empresa:</t>
  </si>
  <si>
    <t>Nº Pasajeros</t>
  </si>
  <si>
    <t>Fono:</t>
  </si>
  <si>
    <t>Valor</t>
  </si>
  <si>
    <t>Nº Pax</t>
  </si>
  <si>
    <t>Karaoke 4 horas en la noche</t>
  </si>
  <si>
    <t>DJ y Karaoke 4 horas en la noche</t>
  </si>
  <si>
    <t>Detalle de servicios.</t>
  </si>
  <si>
    <t>Copa de vino servida a la mesa por un garzón, dentro de los que haya disponibles.</t>
  </si>
  <si>
    <t>Aperitivo pisco sour, vaina, espumante</t>
  </si>
  <si>
    <t>Pisco Sour preparados en el minuto, se sirve acompañado de guarnición de frutos secos.</t>
  </si>
  <si>
    <t>Desayuno Buffet</t>
  </si>
  <si>
    <t>Descorche por persona</t>
  </si>
  <si>
    <t>Giro:</t>
  </si>
  <si>
    <t xml:space="preserve">Datos de Facturación: </t>
  </si>
  <si>
    <t>Nombre:</t>
  </si>
  <si>
    <t>Dirección:</t>
  </si>
  <si>
    <t>Habitación single hotel</t>
  </si>
  <si>
    <t>Incluye Barman, hielo, cooler, copas y vasos, montaje de bar y derecho a traer bebidas y/o tragos.</t>
  </si>
  <si>
    <t>Bebidas, gaseosas y cervezas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</si>
  <si>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</si>
  <si>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</si>
  <si>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</si>
  <si>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</si>
  <si>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</si>
  <si>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</si>
  <si>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</si>
  <si>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</si>
  <si>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</si>
  <si>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</si>
  <si>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</si>
  <si>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</si>
  <si>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</si>
  <si>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</si>
  <si>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</si>
  <si>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</si>
  <si>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</si>
  <si>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</si>
  <si>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</si>
  <si>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</si>
  <si>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</si>
  <si>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</si>
  <si>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</si>
  <si>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</si>
  <si>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</si>
  <si>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</si>
  <si>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</si>
  <si>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</si>
  <si>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</si>
  <si>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</si>
  <si>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</si>
  <si>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</si>
  <si>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</si>
  <si>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</si>
  <si>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</si>
  <si>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</si>
  <si>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</si>
  <si>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</si>
  <si>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</si>
  <si>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</si>
  <si>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</si>
  <si>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</si>
  <si>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</si>
  <si>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</si>
  <si>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</si>
  <si>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</si>
  <si>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</si>
  <si>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</si>
  <si>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</si>
  <si>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</si>
  <si>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</si>
  <si>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</si>
  <si>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</si>
  <si>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</si>
  <si>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</si>
  <si>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</si>
  <si>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</si>
  <si>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</si>
  <si>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</si>
  <si>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</si>
  <si>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</si>
  <si>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</si>
  <si>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</si>
  <si>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</si>
  <si>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</si>
  <si>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</si>
  <si>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</si>
  <si>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</si>
  <si>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</si>
  <si>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</si>
  <si>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</si>
  <si>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</si>
  <si>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</si>
  <si>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</si>
  <si>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</si>
  <si>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</si>
  <si>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</si>
  <si>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Detalle de la actividad a realizar.</t>
  </si>
  <si>
    <t>(Se agradece llenar todos los datos)</t>
  </si>
  <si>
    <t>Forma de pago.</t>
  </si>
  <si>
    <t>Plazo de pago de factura:</t>
  </si>
  <si>
    <t>Nombre responsable de pago:</t>
  </si>
  <si>
    <t>Telefono responsable del pago:</t>
  </si>
  <si>
    <t>Razón social</t>
  </si>
  <si>
    <t>Rut</t>
  </si>
  <si>
    <t>76.666.800-3</t>
  </si>
  <si>
    <t xml:space="preserve">Dirección </t>
  </si>
  <si>
    <t>Giro</t>
  </si>
  <si>
    <t>Turismo</t>
  </si>
  <si>
    <t>Datos de Cuenta Corriente para abonos y pagos</t>
  </si>
  <si>
    <t>Banco</t>
  </si>
  <si>
    <t>Santander</t>
  </si>
  <si>
    <t>Cuenta nº</t>
  </si>
  <si>
    <t>620024-9</t>
  </si>
  <si>
    <t>Nº Uds</t>
  </si>
  <si>
    <t xml:space="preserve">Total </t>
  </si>
  <si>
    <t>Bar abierto 2 horas</t>
  </si>
  <si>
    <t>Bebidas, cervezas, en vaso, un solo punto a definir entre, piscina, bar, quincho o salón.</t>
  </si>
  <si>
    <t>Total paquete.</t>
  </si>
  <si>
    <t>Bar abierto 4 horas</t>
  </si>
  <si>
    <t>Bar abierto full, 6 horas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</si>
  <si>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</si>
  <si>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</si>
  <si>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</si>
  <si>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</si>
  <si>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Organización Team Building</t>
  </si>
  <si>
    <t>Valor de cada participante, punto de hidratación.</t>
  </si>
  <si>
    <t>Aventuras Andinas Limitada</t>
  </si>
  <si>
    <t>Camino a La canabina s/n, San Esteban, Los Andes</t>
  </si>
  <si>
    <t>Datos de San Francisco Lodge para Ordenes de Compra y pagos.</t>
  </si>
  <si>
    <t>Parrilla pollo, vacuno, cerdo, chorizo, prietas, acompañamientos, salad bar,  postres, líquidos en autoservicio</t>
  </si>
  <si>
    <t>Variados platos de carnes y acompañamientos, salad bar,  postres, líquidos en autoservicio</t>
  </si>
  <si>
    <t>Café, té, leche, yogurt, jamón, queso, huevos, palta, mermeladas, mantequilla, panes, minipastelitos, cereales</t>
  </si>
  <si>
    <t>Bebidas, cervezas, espumante, vino, pisco Mistral, ron Pampero.</t>
  </si>
  <si>
    <t>gaseosas, minerales, jugos de botella, cervezas Cristal o Escudo.</t>
  </si>
  <si>
    <t>Valor de Team Building por pasajero</t>
  </si>
  <si>
    <t>1 noche de alojamiento, 1 desayuno.</t>
  </si>
  <si>
    <t>Tabla para 4 personas</t>
  </si>
  <si>
    <t>Taza de consome de pollo de 250 cc con sandwich de pan amasado con pollo palta o pollo pimiento.</t>
  </si>
  <si>
    <t>Hora adicional de bar abierto</t>
  </si>
  <si>
    <t>Salón de 14.70 por 11.30 metros app, equipado con data, telón papelógrafo, aire acondicionado y calefacción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</si>
  <si>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</si>
  <si>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</si>
  <si>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</si>
  <si>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</si>
  <si>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</si>
  <si>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</si>
  <si>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</si>
  <si>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>Valor no incluye IVA, ni propinas.</t>
  </si>
  <si>
    <t>Incluye Piscina temperada, canopy, kayak, cabalgatas de 30 minutos, sala de pool, ping pong, taca, taca, pesca con mosca, para horarios libres.</t>
  </si>
  <si>
    <t>Habitaciones dobles(valor por personas)</t>
  </si>
  <si>
    <t>Bebidas, ó gaseosas  ó cervezas</t>
  </si>
  <si>
    <t>gaseosas ó minerales  ó  jugos de botella ó cervezas Cristal o Escudo.</t>
  </si>
  <si>
    <t>coffee basico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</si>
  <si>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</si>
  <si>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</si>
  <si>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</si>
  <si>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</si>
  <si>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 xml:space="preserve"> Carmen Rodríguez D.</t>
  </si>
  <si>
    <t>Telefono</t>
  </si>
  <si>
    <t>9 74961403</t>
  </si>
  <si>
    <t>Consome c/tapaditos( solicitar con anticipación)</t>
  </si>
  <si>
    <t>8 empanaditas de queso, 8 de pino, 8 bruzquetas,150 grs. de frutos secos, 150 grs. de queso, galletas de coctail y pasta para untar.</t>
  </si>
  <si>
    <t>Café, té, agua, jugo, 2 facturitas ó 1 muffins y 2 tapaditos.</t>
  </si>
  <si>
    <t>8 h. Día, 4 h Noche</t>
  </si>
  <si>
    <t>Amplificación Full c/operador, 8 horas</t>
  </si>
  <si>
    <t>Persona que brinda este servicio, equipos y salon</t>
  </si>
  <si>
    <t>Patricia Zamora</t>
  </si>
  <si>
    <t>Angloamerican</t>
  </si>
  <si>
    <t>patricia.zamora@angloamerican.com</t>
  </si>
  <si>
    <t xml:space="preserve">Atiende: </t>
  </si>
  <si>
    <t>Salon Fario</t>
  </si>
  <si>
    <t>Diciembre 6-7</t>
  </si>
  <si>
    <t xml:space="preserve">Salon Exclusivo para almuerzo y cena </t>
  </si>
  <si>
    <t>Quincho o bar en el caso de estar disponible</t>
  </si>
  <si>
    <t>Total Sin IVA</t>
  </si>
  <si>
    <t>9 68327950</t>
  </si>
  <si>
    <t>Horario</t>
  </si>
  <si>
    <t>Patricio Pimienta</t>
  </si>
  <si>
    <t>Destacado Director de teatro, actor, productor y comediante Chileno, que se dedica al Stand up Comedy</t>
  </si>
  <si>
    <t>Propuesta:</t>
  </si>
  <si>
    <t xml:space="preserve">Crear un relato a la medida, ameno y entretenido, que aborde el tema de la innovacion desde un perfil ludico, </t>
  </si>
  <si>
    <t>Valor 1,5 hora pp</t>
  </si>
  <si>
    <t>Francisco Correa</t>
  </si>
  <si>
    <t>Logrando con el Stand up,  involucrar a los escucha en el tema.</t>
  </si>
  <si>
    <t>Crear relato a la medida, ameno y dedicado desde el perfil y punto de vista del emprendedor, que ha llorado</t>
  </si>
  <si>
    <t>sus derrotas y disfrutado sus logros, aquel que sabe que el que se para primero, gana la carrera.</t>
  </si>
  <si>
    <t>Cuenta con un lenguaje muy adecuado a quienes escuchan, entretenido, calido y entendible a quien escucha</t>
  </si>
  <si>
    <t>Patricia López</t>
  </si>
  <si>
    <t>en Team Building.</t>
  </si>
  <si>
    <t xml:space="preserve">Destacado Ingeniero Comercial, empresario inmobiliario y turistico, relator con app 20 años de experiencia </t>
  </si>
  <si>
    <t xml:space="preserve">Sicologa - coach con años de experiencia en Recursos Humanos en empresas  mineras, con experiencia en </t>
  </si>
  <si>
    <t>desarrollo organizacional,  Trabajo personalizado tu a tu y con equipos de trabajo, experice en Outplacement</t>
  </si>
  <si>
    <t>$1.200.000+IVA</t>
  </si>
  <si>
    <t>Crear relato a la medida de lo que Angloamerican quiera lograr con el Grupo, desde la mirada de alguien que</t>
  </si>
  <si>
    <t xml:space="preserve">ha sido parte de empresas del rubro, que tuvo que reinventarse, que actualmente ha tenido colaborar con </t>
  </si>
  <si>
    <t>equipos similares al que le toco integrar y ayudar a que estos equipos funcionen de la mejor forma posible.</t>
  </si>
  <si>
    <t>Joyce Velozo</t>
  </si>
  <si>
    <t>$1.350.000+IVA</t>
  </si>
  <si>
    <t xml:space="preserve">Ingeniero Directora para Chile de Escuela internacional The Human Capital Work con 22 de experiencia en </t>
  </si>
  <si>
    <t>desarrollo organizacional con grupos de trabajo, se ha desempeñado en industrias, universidades y en</t>
  </si>
  <si>
    <t xml:space="preserve"> general en grupos humanos a novel directivo, gerencial y operativo, ha integrado dentro de su expertice, </t>
  </si>
  <si>
    <t>habilidades blandas como eneagrama y otros.</t>
  </si>
  <si>
    <t>Crear relato a la medida de lo que necesita el grupo facil de entender y muy entretenido, desde la mirada de</t>
  </si>
  <si>
    <t xml:space="preserve"> una mujer muy academica y que ha dirigido el cambio en diversos grupos 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</si>
</sst>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&quot;$&quot;#,##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1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8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11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9" fillId="4" borderId="28" xfId="0" applyFont="1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6" fillId="4" borderId="12" xfId="0" applyFont="1" applyFill="1" applyBorder="1"/>
    <xf numFmtId="0" fontId="6" fillId="4" borderId="20" xfId="0" applyFont="1" applyFill="1" applyBorder="1"/>
    <xf numFmtId="0" fontId="10" fillId="4" borderId="30" xfId="0" applyFont="1" applyFill="1" applyBorder="1" applyAlignment="1">
      <alignment vertical="center"/>
    </xf>
    <xf numFmtId="0" fontId="6" fillId="4" borderId="0" xfId="0" applyFont="1" applyFill="1"/>
    <xf numFmtId="0" fontId="6" fillId="4" borderId="31" xfId="0" applyFont="1" applyFill="1" applyBorder="1"/>
    <xf numFmtId="0" fontId="10" fillId="4" borderId="22" xfId="0" applyFont="1" applyFill="1" applyBorder="1" applyAlignment="1">
      <alignment vertical="center"/>
    </xf>
    <xf numFmtId="0" fontId="6" fillId="4" borderId="23" xfId="0" applyFont="1" applyFill="1" applyBorder="1"/>
    <xf numFmtId="0" fontId="6" fillId="4" borderId="24" xfId="0" applyFont="1" applyFill="1" applyBorder="1"/>
    <xf numFmtId="0" fontId="10" fillId="4" borderId="10" xfId="0" applyFont="1" applyFill="1" applyBorder="1" applyAlignment="1">
      <alignment vertical="center"/>
    </xf>
    <xf numFmtId="0" fontId="6" fillId="4" borderId="16" xfId="0" applyFont="1" applyFill="1" applyBorder="1"/>
    <xf numFmtId="0" fontId="6" fillId="4" borderId="17" xfId="0" applyFont="1" applyFill="1" applyBorder="1"/>
    <xf numFmtId="0" fontId="9" fillId="5" borderId="0" xfId="0" applyFont="1" applyFill="1" applyAlignment="1">
      <alignment vertical="center"/>
    </xf>
    <xf numFmtId="0" fontId="6" fillId="5" borderId="0" xfId="0" applyFont="1" applyFill="1"/>
    <xf numFmtId="0" fontId="9" fillId="4" borderId="5" xfId="0" applyFont="1" applyFill="1" applyBorder="1" applyAlignment="1">
      <alignment vertical="center"/>
    </xf>
    <xf numFmtId="0" fontId="6" fillId="4" borderId="14" xfId="0" applyFont="1" applyFill="1" applyBorder="1"/>
    <xf numFmtId="0" fontId="6" fillId="4" borderId="6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6" fillId="4" borderId="15" xfId="0" applyFont="1" applyFill="1" applyBorder="1"/>
    <xf numFmtId="0" fontId="10" fillId="4" borderId="7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9" fillId="4" borderId="32" xfId="0" applyFont="1" applyFill="1" applyBorder="1" applyAlignment="1">
      <alignment vertical="center"/>
    </xf>
    <xf numFmtId="0" fontId="6" fillId="4" borderId="33" xfId="0" applyFont="1" applyFill="1" applyBorder="1"/>
    <xf numFmtId="0" fontId="6" fillId="4" borderId="34" xfId="0" applyFont="1" applyFill="1" applyBorder="1"/>
    <xf numFmtId="0" fontId="10" fillId="4" borderId="9" xfId="0" applyFont="1" applyFill="1" applyBorder="1" applyAlignment="1">
      <alignment vertic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35" xfId="0" applyFont="1" applyFill="1" applyBorder="1"/>
    <xf numFmtId="0" fontId="6" fillId="4" borderId="21" xfId="0" applyFont="1" applyFill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11" fillId="0" borderId="0" xfId="0" applyFont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6" fillId="4" borderId="14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41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/>
    </xf>
    <xf numFmtId="6" fontId="6" fillId="7" borderId="2" xfId="0" applyNumberFormat="1" applyFont="1" applyFill="1" applyBorder="1" applyAlignment="1">
      <alignment horizontal="right" vertical="center"/>
    </xf>
    <xf numFmtId="6" fontId="6" fillId="7" borderId="2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left"/>
    </xf>
    <xf numFmtId="0" fontId="6" fillId="7" borderId="9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6" fontId="6" fillId="7" borderId="1" xfId="0" applyNumberFormat="1" applyFont="1" applyFill="1" applyBorder="1" applyAlignment="1">
      <alignment horizontal="right"/>
    </xf>
    <xf numFmtId="0" fontId="6" fillId="7" borderId="19" xfId="0" applyFont="1" applyFill="1" applyBorder="1" applyAlignment="1">
      <alignment horizontal="left"/>
    </xf>
    <xf numFmtId="0" fontId="6" fillId="7" borderId="19" xfId="0" applyFont="1" applyFill="1" applyBorder="1"/>
    <xf numFmtId="6" fontId="6" fillId="7" borderId="2" xfId="0" applyNumberFormat="1" applyFont="1" applyFill="1" applyBorder="1"/>
    <xf numFmtId="0" fontId="2" fillId="6" borderId="13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 vertical="center"/>
    </xf>
    <xf numFmtId="6" fontId="6" fillId="7" borderId="1" xfId="0" applyNumberFormat="1" applyFont="1" applyFill="1" applyBorder="1" applyAlignment="1">
      <alignment horizontal="right" vertical="center"/>
    </xf>
    <xf numFmtId="0" fontId="6" fillId="7" borderId="19" xfId="0" applyFont="1" applyFill="1" applyBorder="1" applyAlignment="1">
      <alignment vertical="center"/>
    </xf>
    <xf numFmtId="0" fontId="0" fillId="8" borderId="39" xfId="0" applyFont="1" applyFill="1" applyBorder="1" applyAlignment="1">
      <alignment horizontal="center"/>
    </xf>
    <xf numFmtId="6" fontId="6" fillId="8" borderId="39" xfId="0" applyNumberFormat="1" applyFont="1" applyFill="1" applyBorder="1" applyAlignment="1">
      <alignment horizontal="right"/>
    </xf>
    <xf numFmtId="0" fontId="6" fillId="7" borderId="40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justify"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horizontal="right"/>
    </xf>
    <xf numFmtId="0" fontId="6" fillId="9" borderId="25" xfId="0" applyFont="1" applyFill="1" applyBorder="1" applyAlignment="1">
      <alignment horizontal="right" vertical="center"/>
    </xf>
    <xf numFmtId="0" fontId="6" fillId="9" borderId="26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right"/>
    </xf>
    <xf numFmtId="6" fontId="6" fillId="9" borderId="27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  <xf numFmtId="0" fontId="6" fillId="7" borderId="2" xfId="0" applyFont="1" applyFill="1" applyBorder="1" applyAlignment="1">
      <alignment horizontal="left" vertical="center"/>
    </xf>
    <xf numFmtId="0" fontId="6" fillId="7" borderId="36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/>
    </xf>
    <xf numFmtId="0" fontId="6" fillId="7" borderId="2" xfId="0" applyFont="1" applyFill="1" applyBorder="1"/>
    <xf numFmtId="0" fontId="6" fillId="9" borderId="26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0" fillId="4" borderId="23" xfId="0" applyFont="1" applyFill="1" applyBorder="1" applyAlignment="1">
      <alignment vertical="center"/>
    </xf>
    <xf numFmtId="0" fontId="10" fillId="4" borderId="16" xfId="0" applyFont="1" applyFill="1" applyBorder="1" applyAlignment="1">
      <alignment vertical="center"/>
    </xf>
    <xf numFmtId="0" fontId="10" fillId="4" borderId="35" xfId="0" applyFont="1" applyFill="1" applyBorder="1" applyAlignment="1">
      <alignment vertical="center"/>
    </xf>
    <xf numFmtId="0" fontId="9" fillId="4" borderId="3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1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2</xdr:col>
      <xdr:colOff>317500</xdr:colOff>
      <xdr:row>7</xdr:row>
      <xdr:rowOff>135391</xdr:rowOff>
    </xdr:to>
    <xdr:pic>
      <xdr:nvPicPr>
        <xdr:cNvPr id="5" name="Imagen 4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0"/>
          <a:ext cx="1981200" cy="15577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H78"/>
  <sheetViews>
    <sheetView tabSelected="1" workbookViewId="0">
      <selection activeCell="B13" sqref="B13"/>
    </sheetView>
  </sheetViews>
  <sheetFormatPr baseColWidth="10" defaultRowHeight="16" x14ac:dyDescent="0.2"/>
  <cols>
    <col min="1" max="1" width="33.6640625" customWidth="1"/>
    <col min="2" max="2" width="17" customWidth="1"/>
    <col min="3" max="3" width="15.33203125" customWidth="1"/>
    <col min="4" max="4" width="11" customWidth="1"/>
    <col min="5" max="5" width="9.1640625" customWidth="1"/>
    <col min="6" max="6" width="11.5" customWidth="1"/>
    <col min="7" max="7" width="86.1640625" customWidth="1"/>
    <col min="8" max="8" width="74.83203125" customWidth="1"/>
    <col min="10" max="10" width="11.33203125" bestFit="1" customWidth="1"/>
    <col min="11" max="11" width="99.83203125" customWidth="1"/>
  </cols>
  <sheetData>
    <row r="1" spans="1:8" ht="64" customHeight="1" x14ac:dyDescent="0.3">
      <c r="A1" s="1" t="s">
        <v>3</v>
      </c>
      <c r="B1" s="1"/>
      <c r="C1" s="61" t="s">
        <v>158</v>
      </c>
    </row>
    <row r="2" spans="1:8" x14ac:dyDescent="0.2">
      <c r="H2" t="s">
        <v>3</v>
      </c>
    </row>
    <row r="3" spans="1:8" x14ac:dyDescent="0.2">
      <c r="A3" s="58" t="s">
        <v>159</v>
      </c>
      <c r="B3" t="s">
        <v>171</v>
      </c>
      <c r="D3" t="s">
        <v>4</v>
      </c>
      <c r="E3" s="57" t="s">
        <v>172</v>
      </c>
      <c r="H3" t="s">
        <v>3</v>
      </c>
    </row>
    <row r="4" spans="1:8" x14ac:dyDescent="0.2">
      <c r="A4" t="s">
        <v>160</v>
      </c>
      <c r="B4" t="s">
        <v>173</v>
      </c>
      <c r="D4" t="s">
        <v>6</v>
      </c>
      <c r="E4" s="94" t="s">
        <v>180</v>
      </c>
      <c r="G4" t="s">
        <v>3</v>
      </c>
    </row>
    <row r="5" spans="1:8" x14ac:dyDescent="0.2">
      <c r="A5" t="s">
        <v>161</v>
      </c>
      <c r="B5" t="s">
        <v>176</v>
      </c>
      <c r="D5" t="s">
        <v>5</v>
      </c>
      <c r="E5" s="94">
        <v>50</v>
      </c>
      <c r="G5" t="s">
        <v>3</v>
      </c>
    </row>
    <row r="6" spans="1:8" x14ac:dyDescent="0.2">
      <c r="A6" s="60" t="s">
        <v>174</v>
      </c>
      <c r="B6" s="59" t="s">
        <v>162</v>
      </c>
      <c r="C6" s="59"/>
      <c r="D6" s="59" t="s">
        <v>163</v>
      </c>
      <c r="E6" s="95" t="s">
        <v>164</v>
      </c>
    </row>
    <row r="7" spans="1:8" ht="17" thickBot="1" x14ac:dyDescent="0.25">
      <c r="A7" s="59"/>
      <c r="B7" s="59"/>
      <c r="C7" s="59"/>
      <c r="D7" s="59"/>
      <c r="E7" s="59"/>
      <c r="F7" s="59"/>
    </row>
    <row r="8" spans="1:8" ht="15.75" customHeight="1" x14ac:dyDescent="0.2">
      <c r="A8" s="64" t="s">
        <v>149</v>
      </c>
      <c r="B8" s="65" t="s">
        <v>181</v>
      </c>
      <c r="C8" s="65" t="s">
        <v>148</v>
      </c>
      <c r="D8" s="65" t="s">
        <v>8</v>
      </c>
      <c r="E8" s="65" t="s">
        <v>0</v>
      </c>
      <c r="F8" s="65" t="s">
        <v>1</v>
      </c>
      <c r="G8" s="66" t="s">
        <v>11</v>
      </c>
    </row>
    <row r="9" spans="1:8" x14ac:dyDescent="0.2">
      <c r="A9" s="67" t="s">
        <v>175</v>
      </c>
      <c r="B9" s="96"/>
      <c r="C9" s="68">
        <v>1</v>
      </c>
      <c r="D9" s="68">
        <v>1</v>
      </c>
      <c r="E9" s="69">
        <v>180000</v>
      </c>
      <c r="F9" s="70">
        <f>C9*D9*E9</f>
        <v>180000</v>
      </c>
      <c r="G9" s="71" t="s">
        <v>144</v>
      </c>
    </row>
    <row r="10" spans="1:8" x14ac:dyDescent="0.2">
      <c r="A10" s="67" t="s">
        <v>145</v>
      </c>
      <c r="B10" s="96"/>
      <c r="C10" s="68">
        <v>1</v>
      </c>
      <c r="D10" s="68">
        <v>50</v>
      </c>
      <c r="E10" s="69">
        <v>15000</v>
      </c>
      <c r="F10" s="70">
        <f>C10*D10*E10</f>
        <v>750000</v>
      </c>
      <c r="G10" s="71" t="s">
        <v>134</v>
      </c>
    </row>
    <row r="11" spans="1:8" x14ac:dyDescent="0.2">
      <c r="A11" s="67" t="s">
        <v>177</v>
      </c>
      <c r="B11" s="96"/>
      <c r="C11" s="68">
        <v>1</v>
      </c>
      <c r="D11" s="68">
        <v>1</v>
      </c>
      <c r="E11" s="69">
        <v>500000</v>
      </c>
      <c r="F11" s="70">
        <v>500000</v>
      </c>
      <c r="G11" s="71" t="s">
        <v>178</v>
      </c>
    </row>
    <row r="12" spans="1:8" x14ac:dyDescent="0.2">
      <c r="A12" s="72" t="s">
        <v>23</v>
      </c>
      <c r="B12" s="97"/>
      <c r="C12" s="73">
        <v>1</v>
      </c>
      <c r="D12" s="73">
        <v>50</v>
      </c>
      <c r="E12" s="74">
        <v>1513</v>
      </c>
      <c r="F12" s="74">
        <f t="shared" ref="F12" si="0">C12*D12*E12</f>
        <v>75650</v>
      </c>
      <c r="G12" s="71" t="s">
        <v>138</v>
      </c>
    </row>
    <row r="13" spans="1:8" x14ac:dyDescent="0.2">
      <c r="A13" s="67" t="s">
        <v>146</v>
      </c>
      <c r="B13" s="96"/>
      <c r="C13" s="68">
        <v>1</v>
      </c>
      <c r="D13" s="68">
        <v>50</v>
      </c>
      <c r="E13" s="69">
        <v>15000</v>
      </c>
      <c r="F13" s="70">
        <f t="shared" ref="F13:F14" si="1">C13*D13*E13</f>
        <v>750000</v>
      </c>
      <c r="G13" s="71" t="s">
        <v>135</v>
      </c>
    </row>
    <row r="14" spans="1:8" x14ac:dyDescent="0.2">
      <c r="A14" s="72" t="s">
        <v>155</v>
      </c>
      <c r="B14" s="97"/>
      <c r="C14" s="73">
        <v>1</v>
      </c>
      <c r="D14" s="73">
        <v>50</v>
      </c>
      <c r="E14" s="74">
        <v>1513</v>
      </c>
      <c r="F14" s="74">
        <f t="shared" si="1"/>
        <v>75650</v>
      </c>
      <c r="G14" s="71" t="s">
        <v>156</v>
      </c>
    </row>
    <row r="15" spans="1:8" ht="15.75" customHeight="1" x14ac:dyDescent="0.2">
      <c r="A15" s="75" t="s">
        <v>21</v>
      </c>
      <c r="B15" s="98"/>
      <c r="C15" s="68">
        <v>0</v>
      </c>
      <c r="D15" s="68">
        <v>0</v>
      </c>
      <c r="E15" s="70">
        <f>117000-30000</f>
        <v>87000</v>
      </c>
      <c r="F15" s="70">
        <f>C15*D15*E15</f>
        <v>0</v>
      </c>
      <c r="G15" s="71" t="s">
        <v>140</v>
      </c>
    </row>
    <row r="16" spans="1:8" x14ac:dyDescent="0.2">
      <c r="A16" s="71" t="s">
        <v>154</v>
      </c>
      <c r="B16" s="71"/>
      <c r="C16" s="73">
        <v>1</v>
      </c>
      <c r="D16" s="73">
        <v>50</v>
      </c>
      <c r="E16" s="74">
        <v>53000</v>
      </c>
      <c r="F16" s="74">
        <f>C16*D16*E16</f>
        <v>2650000</v>
      </c>
      <c r="G16" s="71" t="s">
        <v>140</v>
      </c>
    </row>
    <row r="17" spans="1:7" ht="16.5" customHeight="1" thickBot="1" x14ac:dyDescent="0.25">
      <c r="A17" s="2" t="s">
        <v>122</v>
      </c>
      <c r="B17" s="2"/>
      <c r="C17" s="49"/>
      <c r="D17" s="50"/>
      <c r="E17" s="7"/>
      <c r="F17" s="5">
        <f>SUM(F9:F16)</f>
        <v>4981300</v>
      </c>
      <c r="G17" s="55" t="s">
        <v>153</v>
      </c>
    </row>
    <row r="18" spans="1:7" ht="16.5" customHeight="1" x14ac:dyDescent="0.2">
      <c r="A18" s="64" t="s">
        <v>150</v>
      </c>
      <c r="B18" s="65"/>
      <c r="C18" s="65" t="s">
        <v>148</v>
      </c>
      <c r="D18" s="65" t="s">
        <v>8</v>
      </c>
      <c r="E18" s="65" t="s">
        <v>0</v>
      </c>
      <c r="F18" s="65" t="s">
        <v>1</v>
      </c>
      <c r="G18" s="66" t="s">
        <v>11</v>
      </c>
    </row>
    <row r="19" spans="1:7" ht="16.5" customHeight="1" x14ac:dyDescent="0.2">
      <c r="A19" s="76" t="s">
        <v>15</v>
      </c>
      <c r="B19" s="99"/>
      <c r="C19" s="68">
        <v>1</v>
      </c>
      <c r="D19" s="68">
        <v>50</v>
      </c>
      <c r="E19" s="77">
        <v>8500</v>
      </c>
      <c r="F19" s="70" t="s">
        <v>151</v>
      </c>
      <c r="G19" s="71" t="s">
        <v>136</v>
      </c>
    </row>
    <row r="20" spans="1:7" x14ac:dyDescent="0.2">
      <c r="A20" s="67" t="s">
        <v>175</v>
      </c>
      <c r="B20" s="96"/>
      <c r="C20" s="68">
        <v>1</v>
      </c>
      <c r="D20" s="68">
        <v>1</v>
      </c>
      <c r="E20" s="69">
        <v>150000</v>
      </c>
      <c r="F20" s="70">
        <f>C20*D20*E20</f>
        <v>150000</v>
      </c>
      <c r="G20" s="71" t="s">
        <v>144</v>
      </c>
    </row>
    <row r="21" spans="1:7" x14ac:dyDescent="0.2">
      <c r="A21" s="67" t="s">
        <v>177</v>
      </c>
      <c r="B21" s="96"/>
      <c r="C21" s="68">
        <v>1</v>
      </c>
      <c r="D21" s="68">
        <v>1</v>
      </c>
      <c r="E21" s="69">
        <v>250000</v>
      </c>
      <c r="F21" s="70">
        <v>500000</v>
      </c>
      <c r="G21" s="71" t="s">
        <v>178</v>
      </c>
    </row>
    <row r="22" spans="1:7" ht="16.5" customHeight="1" x14ac:dyDescent="0.2">
      <c r="A22" s="67" t="s">
        <v>145</v>
      </c>
      <c r="B22" s="96"/>
      <c r="C22" s="68">
        <v>1</v>
      </c>
      <c r="D22" s="68">
        <v>50</v>
      </c>
      <c r="E22" s="69">
        <v>15000</v>
      </c>
      <c r="F22" s="70">
        <f>C22*D22*E22</f>
        <v>750000</v>
      </c>
      <c r="G22" s="71" t="s">
        <v>134</v>
      </c>
    </row>
    <row r="23" spans="1:7" ht="16.5" customHeight="1" x14ac:dyDescent="0.2">
      <c r="A23" s="72" t="s">
        <v>23</v>
      </c>
      <c r="B23" s="96"/>
      <c r="C23" s="68">
        <v>1</v>
      </c>
      <c r="D23" s="68">
        <v>50</v>
      </c>
      <c r="E23" s="74">
        <v>1513</v>
      </c>
      <c r="F23" s="74">
        <f t="shared" ref="F23" si="2">C23*D23*E23</f>
        <v>75650</v>
      </c>
      <c r="G23" s="71" t="s">
        <v>138</v>
      </c>
    </row>
    <row r="24" spans="1:7" ht="16.5" customHeight="1" thickBot="1" x14ac:dyDescent="0.25">
      <c r="A24" s="2" t="s">
        <v>122</v>
      </c>
      <c r="B24" s="2"/>
      <c r="C24" s="56"/>
      <c r="D24" s="50"/>
      <c r="E24" s="7"/>
      <c r="F24" s="5">
        <f>SUM(F19:F23)</f>
        <v>1475650</v>
      </c>
      <c r="G24" s="55" t="s">
        <v>153</v>
      </c>
    </row>
    <row r="25" spans="1:7" ht="17" thickBot="1" x14ac:dyDescent="0.25">
      <c r="A25" s="90" t="s">
        <v>179</v>
      </c>
      <c r="B25" s="100"/>
      <c r="C25" s="91"/>
      <c r="D25" s="91"/>
      <c r="E25" s="92"/>
      <c r="F25" s="93">
        <f>F17+F24</f>
        <v>6456950</v>
      </c>
      <c r="G25" s="6" t="s">
        <v>152</v>
      </c>
    </row>
    <row r="26" spans="1:7" x14ac:dyDescent="0.2">
      <c r="A26" s="3" t="s">
        <v>3</v>
      </c>
      <c r="B26" s="3"/>
      <c r="C26" s="53"/>
      <c r="D26" s="50"/>
      <c r="E26" s="7"/>
      <c r="F26" s="5" t="s">
        <v>3</v>
      </c>
      <c r="G26" s="6"/>
    </row>
    <row r="27" spans="1:7" x14ac:dyDescent="0.2">
      <c r="A27" s="3"/>
      <c r="B27" s="3"/>
      <c r="C27" s="53"/>
      <c r="D27" s="50"/>
      <c r="E27" s="7"/>
      <c r="F27" s="5"/>
      <c r="G27" s="6"/>
    </row>
    <row r="28" spans="1:7" x14ac:dyDescent="0.2">
      <c r="A28" s="3"/>
      <c r="B28" s="3"/>
      <c r="C28" s="53"/>
      <c r="D28" s="50"/>
      <c r="E28" s="7"/>
      <c r="F28" s="5"/>
      <c r="G28" s="6"/>
    </row>
    <row r="29" spans="1:7" ht="17" thickBot="1" x14ac:dyDescent="0.25">
      <c r="A29" s="3"/>
      <c r="B29" s="3"/>
      <c r="C29" s="53"/>
      <c r="D29" s="50"/>
      <c r="E29" s="7"/>
      <c r="F29" s="5"/>
      <c r="G29" s="6"/>
    </row>
    <row r="30" spans="1:7" ht="16" customHeight="1" x14ac:dyDescent="0.2">
      <c r="A30" s="78" t="s">
        <v>147</v>
      </c>
      <c r="B30" s="79"/>
      <c r="C30" s="79" t="s">
        <v>118</v>
      </c>
      <c r="D30" s="79" t="s">
        <v>8</v>
      </c>
      <c r="E30" s="79" t="s">
        <v>7</v>
      </c>
      <c r="F30" s="79" t="s">
        <v>119</v>
      </c>
      <c r="G30" s="80" t="s">
        <v>11</v>
      </c>
    </row>
    <row r="31" spans="1:7" x14ac:dyDescent="0.2">
      <c r="A31" s="81" t="s">
        <v>120</v>
      </c>
      <c r="B31" s="81"/>
      <c r="C31" s="73">
        <v>0</v>
      </c>
      <c r="D31" s="73">
        <v>0</v>
      </c>
      <c r="E31" s="74">
        <v>12000</v>
      </c>
      <c r="F31" s="74">
        <f t="shared" ref="F31:F40" si="3">C31*D31*E31</f>
        <v>0</v>
      </c>
      <c r="G31" s="71" t="s">
        <v>121</v>
      </c>
    </row>
    <row r="32" spans="1:7" x14ac:dyDescent="0.2">
      <c r="A32" s="81" t="s">
        <v>123</v>
      </c>
      <c r="B32" s="81"/>
      <c r="C32" s="73">
        <v>0</v>
      </c>
      <c r="D32" s="73">
        <v>0</v>
      </c>
      <c r="E32" s="74">
        <v>26000</v>
      </c>
      <c r="F32" s="74">
        <f t="shared" si="3"/>
        <v>0</v>
      </c>
      <c r="G32" s="71" t="s">
        <v>137</v>
      </c>
    </row>
    <row r="33" spans="1:7" x14ac:dyDescent="0.2">
      <c r="A33" s="81" t="s">
        <v>124</v>
      </c>
      <c r="B33" s="81"/>
      <c r="C33" s="73">
        <v>0</v>
      </c>
      <c r="D33" s="73">
        <v>0</v>
      </c>
      <c r="E33" s="74">
        <v>35000</v>
      </c>
      <c r="F33" s="74">
        <f t="shared" si="3"/>
        <v>0</v>
      </c>
      <c r="G33" s="71" t="s">
        <v>137</v>
      </c>
    </row>
    <row r="34" spans="1:7" x14ac:dyDescent="0.2">
      <c r="A34" s="81" t="s">
        <v>143</v>
      </c>
      <c r="B34" s="81"/>
      <c r="C34" s="73">
        <v>0</v>
      </c>
      <c r="D34" s="73">
        <v>0</v>
      </c>
      <c r="E34" s="74">
        <v>10000</v>
      </c>
      <c r="F34" s="74">
        <f t="shared" si="3"/>
        <v>0</v>
      </c>
      <c r="G34" s="71"/>
    </row>
    <row r="35" spans="1:7" x14ac:dyDescent="0.2">
      <c r="A35" s="81" t="s">
        <v>165</v>
      </c>
      <c r="B35" s="81"/>
      <c r="C35" s="73">
        <v>0</v>
      </c>
      <c r="D35" s="73">
        <v>0</v>
      </c>
      <c r="E35" s="74">
        <v>5500</v>
      </c>
      <c r="F35" s="74">
        <f t="shared" si="3"/>
        <v>0</v>
      </c>
      <c r="G35" s="71" t="s">
        <v>142</v>
      </c>
    </row>
    <row r="36" spans="1:7" x14ac:dyDescent="0.2">
      <c r="A36" s="81" t="s">
        <v>141</v>
      </c>
      <c r="B36" s="81"/>
      <c r="C36" s="73">
        <v>0</v>
      </c>
      <c r="D36" s="73">
        <v>0</v>
      </c>
      <c r="E36" s="74">
        <v>16000</v>
      </c>
      <c r="F36" s="74">
        <f t="shared" si="3"/>
        <v>0</v>
      </c>
      <c r="G36" s="71" t="s">
        <v>166</v>
      </c>
    </row>
    <row r="37" spans="1:7" x14ac:dyDescent="0.2">
      <c r="A37" s="81" t="s">
        <v>16</v>
      </c>
      <c r="B37" s="81"/>
      <c r="C37" s="73">
        <v>0</v>
      </c>
      <c r="D37" s="73">
        <v>0</v>
      </c>
      <c r="E37" s="74">
        <v>7000</v>
      </c>
      <c r="F37" s="74">
        <f t="shared" si="3"/>
        <v>0</v>
      </c>
      <c r="G37" s="71" t="s">
        <v>22</v>
      </c>
    </row>
    <row r="38" spans="1:7" x14ac:dyDescent="0.2">
      <c r="A38" s="81" t="s">
        <v>23</v>
      </c>
      <c r="B38" s="81"/>
      <c r="C38" s="73">
        <v>0</v>
      </c>
      <c r="D38" s="73">
        <v>0</v>
      </c>
      <c r="E38" s="74">
        <v>1800</v>
      </c>
      <c r="F38" s="74">
        <f t="shared" si="3"/>
        <v>0</v>
      </c>
      <c r="G38" s="71" t="s">
        <v>138</v>
      </c>
    </row>
    <row r="39" spans="1:7" x14ac:dyDescent="0.2">
      <c r="A39" s="81" t="s">
        <v>13</v>
      </c>
      <c r="B39" s="81"/>
      <c r="C39" s="73">
        <v>0</v>
      </c>
      <c r="D39" s="73">
        <v>0</v>
      </c>
      <c r="E39" s="74">
        <v>3000</v>
      </c>
      <c r="F39" s="74">
        <f t="shared" si="3"/>
        <v>0</v>
      </c>
      <c r="G39" s="71" t="s">
        <v>14</v>
      </c>
    </row>
    <row r="40" spans="1:7" x14ac:dyDescent="0.2">
      <c r="A40" s="81" t="s">
        <v>2</v>
      </c>
      <c r="B40" s="81"/>
      <c r="C40" s="73">
        <v>0</v>
      </c>
      <c r="D40" s="73">
        <v>0</v>
      </c>
      <c r="E40" s="74">
        <v>3000</v>
      </c>
      <c r="F40" s="74">
        <f t="shared" si="3"/>
        <v>0</v>
      </c>
      <c r="G40" s="71" t="s">
        <v>12</v>
      </c>
    </row>
    <row r="41" spans="1:7" x14ac:dyDescent="0.2">
      <c r="A41" s="81" t="s">
        <v>125</v>
      </c>
      <c r="B41" s="81"/>
      <c r="C41" s="73">
        <v>0</v>
      </c>
      <c r="D41" s="73">
        <v>0</v>
      </c>
      <c r="E41" s="82">
        <v>150000</v>
      </c>
      <c r="F41" s="74">
        <f t="shared" ref="F41:F42" si="4">C41*D41*E41</f>
        <v>0</v>
      </c>
      <c r="G41" s="71" t="s">
        <v>126</v>
      </c>
    </row>
    <row r="42" spans="1:7" x14ac:dyDescent="0.2">
      <c r="A42" s="81" t="s">
        <v>127</v>
      </c>
      <c r="B42" s="81"/>
      <c r="C42" s="73">
        <v>0</v>
      </c>
      <c r="D42" s="73">
        <v>0</v>
      </c>
      <c r="E42" s="82">
        <v>100000</v>
      </c>
      <c r="F42" s="74">
        <f t="shared" si="4"/>
        <v>0</v>
      </c>
      <c r="G42" s="71" t="s">
        <v>128</v>
      </c>
    </row>
    <row r="43" spans="1:7" x14ac:dyDescent="0.2">
      <c r="A43" s="83" t="s">
        <v>157</v>
      </c>
      <c r="B43" s="101"/>
      <c r="C43" s="68">
        <v>0</v>
      </c>
      <c r="D43" s="84">
        <v>0</v>
      </c>
      <c r="E43" s="69">
        <v>3850</v>
      </c>
      <c r="F43" s="85">
        <f>E43*D43*C43</f>
        <v>0</v>
      </c>
      <c r="G43" s="86" t="s">
        <v>167</v>
      </c>
    </row>
    <row r="44" spans="1:7" x14ac:dyDescent="0.2">
      <c r="A44" s="87" t="s">
        <v>169</v>
      </c>
      <c r="B44" s="87"/>
      <c r="C44" s="73">
        <v>0</v>
      </c>
      <c r="D44" s="73">
        <v>0</v>
      </c>
      <c r="E44" s="82">
        <v>120000</v>
      </c>
      <c r="F44" s="74">
        <f t="shared" ref="F44:F45" si="5">C44*D44*E44</f>
        <v>0</v>
      </c>
      <c r="G44" s="71" t="s">
        <v>168</v>
      </c>
    </row>
    <row r="45" spans="1:7" ht="15" customHeight="1" x14ac:dyDescent="0.2">
      <c r="A45" s="88" t="s">
        <v>9</v>
      </c>
      <c r="B45" s="88"/>
      <c r="C45" s="73">
        <v>0</v>
      </c>
      <c r="D45" s="73">
        <v>0</v>
      </c>
      <c r="E45" s="74">
        <v>280000</v>
      </c>
      <c r="F45" s="74">
        <f t="shared" si="5"/>
        <v>0</v>
      </c>
      <c r="G45" s="71" t="s">
        <v>170</v>
      </c>
    </row>
    <row r="46" spans="1:7" ht="15" customHeight="1" x14ac:dyDescent="0.2">
      <c r="A46" s="88" t="s">
        <v>10</v>
      </c>
      <c r="B46" s="88"/>
      <c r="C46" s="73">
        <v>0</v>
      </c>
      <c r="D46" s="73">
        <v>0</v>
      </c>
      <c r="E46" s="74">
        <v>380000</v>
      </c>
      <c r="F46" s="89">
        <f t="shared" ref="F46" si="6">C46*D46*E46</f>
        <v>0</v>
      </c>
      <c r="G46" s="71" t="s">
        <v>170</v>
      </c>
    </row>
    <row r="47" spans="1:7" x14ac:dyDescent="0.2">
      <c r="A47" s="71" t="s">
        <v>129</v>
      </c>
      <c r="B47" s="71"/>
      <c r="C47" s="73">
        <v>0</v>
      </c>
      <c r="D47" s="73">
        <v>0</v>
      </c>
      <c r="E47" s="74">
        <v>400000</v>
      </c>
      <c r="F47" s="74">
        <f>C47*D47*E47</f>
        <v>0</v>
      </c>
      <c r="G47" s="71" t="s">
        <v>101</v>
      </c>
    </row>
    <row r="48" spans="1:7" x14ac:dyDescent="0.2">
      <c r="A48" s="71" t="s">
        <v>139</v>
      </c>
      <c r="B48" s="71"/>
      <c r="C48" s="73">
        <v>0</v>
      </c>
      <c r="D48" s="73">
        <v>0</v>
      </c>
      <c r="E48" s="74">
        <v>9500</v>
      </c>
      <c r="F48" s="74">
        <f>C48*D48*E48</f>
        <v>0</v>
      </c>
      <c r="G48" s="71" t="s">
        <v>130</v>
      </c>
    </row>
    <row r="54" spans="1:7" ht="15" customHeight="1" x14ac:dyDescent="0.2">
      <c r="A54" s="3" t="s">
        <v>3</v>
      </c>
      <c r="B54" s="3"/>
      <c r="C54" s="53"/>
      <c r="D54" s="53"/>
      <c r="E54" s="4"/>
      <c r="F54" s="4" t="s">
        <v>3</v>
      </c>
      <c r="G54" s="54"/>
    </row>
    <row r="55" spans="1:7" ht="15" customHeight="1" x14ac:dyDescent="0.2">
      <c r="G55" s="6"/>
    </row>
    <row r="56" spans="1:7" x14ac:dyDescent="0.2">
      <c r="G56" s="6"/>
    </row>
    <row r="57" spans="1:7" ht="15" customHeight="1" x14ac:dyDescent="0.2">
      <c r="G57" s="6"/>
    </row>
    <row r="58" spans="1:7" ht="15" customHeight="1" x14ac:dyDescent="0.2"/>
    <row r="59" spans="1:7" ht="15" customHeight="1" thickBot="1" x14ac:dyDescent="0.25"/>
    <row r="60" spans="1:7" ht="15" customHeight="1" x14ac:dyDescent="0.2">
      <c r="A60" s="22" t="s">
        <v>18</v>
      </c>
      <c r="B60" s="102"/>
      <c r="C60" s="62" t="s">
        <v>102</v>
      </c>
      <c r="D60" s="62"/>
      <c r="E60" s="62"/>
      <c r="F60" s="62"/>
      <c r="G60" s="63"/>
    </row>
    <row r="61" spans="1:7" ht="15" customHeight="1" x14ac:dyDescent="0.2">
      <c r="A61" s="23" t="s">
        <v>19</v>
      </c>
      <c r="B61" s="103"/>
      <c r="C61" s="24"/>
      <c r="D61" s="24"/>
      <c r="E61" s="24"/>
      <c r="F61" s="24"/>
      <c r="G61" s="25"/>
    </row>
    <row r="62" spans="1:7" ht="17" x14ac:dyDescent="0.2">
      <c r="A62" s="23" t="s">
        <v>20</v>
      </c>
      <c r="B62" s="103"/>
      <c r="C62" s="24"/>
      <c r="D62" s="24"/>
      <c r="E62" s="24"/>
      <c r="F62" s="24"/>
      <c r="G62" s="25"/>
    </row>
    <row r="63" spans="1:7" ht="17" x14ac:dyDescent="0.2">
      <c r="A63" s="23" t="s">
        <v>17</v>
      </c>
      <c r="B63" s="103"/>
      <c r="C63" s="24"/>
      <c r="D63" s="24"/>
      <c r="E63" s="24"/>
      <c r="F63" s="24"/>
      <c r="G63" s="25"/>
    </row>
    <row r="64" spans="1:7" ht="17" x14ac:dyDescent="0.2">
      <c r="A64" s="23" t="s">
        <v>103</v>
      </c>
      <c r="B64" s="103"/>
      <c r="C64" s="24"/>
      <c r="D64" s="24"/>
      <c r="E64" s="24"/>
      <c r="F64" s="24"/>
      <c r="G64" s="25"/>
    </row>
    <row r="65" spans="1:7" ht="17" x14ac:dyDescent="0.2">
      <c r="A65" s="26" t="s">
        <v>104</v>
      </c>
      <c r="B65" s="104"/>
      <c r="C65" s="27"/>
      <c r="D65" s="27"/>
      <c r="E65" s="27"/>
      <c r="F65" s="27"/>
      <c r="G65" s="28"/>
    </row>
    <row r="66" spans="1:7" ht="17" x14ac:dyDescent="0.2">
      <c r="A66" s="29" t="s">
        <v>105</v>
      </c>
      <c r="B66" s="105"/>
      <c r="C66" s="30"/>
      <c r="D66" s="30"/>
      <c r="E66" s="30"/>
      <c r="F66" s="30"/>
      <c r="G66" s="31"/>
    </row>
    <row r="67" spans="1:7" ht="18" thickBot="1" x14ac:dyDescent="0.25">
      <c r="A67" s="32" t="s">
        <v>106</v>
      </c>
      <c r="B67" s="106"/>
      <c r="C67" s="33"/>
      <c r="D67" s="33"/>
      <c r="E67" s="33"/>
      <c r="F67" s="33"/>
      <c r="G67" s="34"/>
    </row>
    <row r="68" spans="1:7" ht="18" thickBot="1" x14ac:dyDescent="0.25">
      <c r="A68" s="35"/>
      <c r="B68" s="35"/>
      <c r="C68" s="36"/>
      <c r="D68" s="36"/>
      <c r="E68" s="36"/>
      <c r="F68" s="36"/>
      <c r="G68" s="36"/>
    </row>
    <row r="69" spans="1:7" ht="17" x14ac:dyDescent="0.2">
      <c r="A69" s="37" t="s">
        <v>133</v>
      </c>
      <c r="B69" s="102"/>
      <c r="C69" s="38"/>
      <c r="D69" s="38"/>
      <c r="E69" s="38"/>
      <c r="F69" s="38"/>
      <c r="G69" s="39"/>
    </row>
    <row r="70" spans="1:7" ht="17" x14ac:dyDescent="0.2">
      <c r="A70" s="23" t="s">
        <v>107</v>
      </c>
      <c r="B70" s="104"/>
      <c r="C70" s="27" t="s">
        <v>131</v>
      </c>
      <c r="D70" s="27"/>
      <c r="E70" s="27"/>
      <c r="F70" s="27"/>
      <c r="G70" s="28"/>
    </row>
    <row r="71" spans="1:7" ht="17" x14ac:dyDescent="0.2">
      <c r="A71" s="23" t="s">
        <v>108</v>
      </c>
      <c r="B71" s="103"/>
      <c r="C71" s="40" t="s">
        <v>109</v>
      </c>
      <c r="D71" s="41"/>
      <c r="E71" s="41"/>
      <c r="F71" s="41"/>
      <c r="G71" s="42"/>
    </row>
    <row r="72" spans="1:7" ht="17" x14ac:dyDescent="0.2">
      <c r="A72" s="23" t="s">
        <v>110</v>
      </c>
      <c r="B72" s="104"/>
      <c r="C72" s="27" t="s">
        <v>132</v>
      </c>
      <c r="D72" s="27"/>
      <c r="E72" s="27"/>
      <c r="F72" s="27"/>
      <c r="G72" s="28"/>
    </row>
    <row r="73" spans="1:7" ht="18" thickBot="1" x14ac:dyDescent="0.25">
      <c r="A73" s="43" t="s">
        <v>111</v>
      </c>
      <c r="B73" s="107"/>
      <c r="C73" s="33" t="s">
        <v>112</v>
      </c>
      <c r="D73" s="33"/>
      <c r="E73" s="33"/>
      <c r="F73" s="33"/>
      <c r="G73" s="34"/>
    </row>
    <row r="74" spans="1:7" ht="18" thickBot="1" x14ac:dyDescent="0.25">
      <c r="A74" s="44"/>
      <c r="B74" s="44"/>
      <c r="C74" s="36"/>
      <c r="D74" s="36"/>
      <c r="E74" s="36"/>
      <c r="F74" s="36"/>
      <c r="G74" s="36"/>
    </row>
    <row r="75" spans="1:7" ht="17" x14ac:dyDescent="0.2">
      <c r="A75" s="45" t="s">
        <v>113</v>
      </c>
      <c r="B75" s="108"/>
      <c r="C75" s="46"/>
      <c r="D75" s="46"/>
      <c r="E75" s="46"/>
      <c r="F75" s="46"/>
      <c r="G75" s="47"/>
    </row>
    <row r="76" spans="1:7" ht="17" x14ac:dyDescent="0.2">
      <c r="A76" s="48" t="s">
        <v>114</v>
      </c>
      <c r="B76" s="109"/>
      <c r="C76" s="41" t="s">
        <v>115</v>
      </c>
      <c r="D76" s="41"/>
      <c r="E76" s="41"/>
      <c r="F76" s="41"/>
      <c r="G76" s="42"/>
    </row>
    <row r="77" spans="1:7" ht="18" thickBot="1" x14ac:dyDescent="0.25">
      <c r="A77" s="43" t="s">
        <v>116</v>
      </c>
      <c r="B77" s="107"/>
      <c r="C77" s="51" t="s">
        <v>117</v>
      </c>
      <c r="D77" s="51"/>
      <c r="E77" s="51"/>
      <c r="F77" s="51"/>
      <c r="G77" s="52"/>
    </row>
    <row r="78" spans="1:7" ht="17" x14ac:dyDescent="0.2">
      <c r="A78" s="44"/>
      <c r="B78" s="44"/>
      <c r="C78" s="6"/>
      <c r="D78" s="6"/>
      <c r="E78" s="6"/>
      <c r="F78" s="6"/>
      <c r="G78" s="6"/>
    </row>
  </sheetData>
  <mergeCells count="1">
    <mergeCell ref="C60:G60"/>
  </mergeCells>
  <phoneticPr fontId="7" type="noConversion"/>
  <pageMargins left="0.75000000000000011" right="0.75000000000000011" top="1" bottom="1" header="0.5" footer="0.5"/>
  <pageSetup paperSize="5" orientation="portrait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8:I40"/>
  <sheetViews>
    <sheetView topLeftCell="A3" workbookViewId="0">
      <selection activeCell="A41" sqref="A41"/>
    </sheetView>
  </sheetViews>
  <sheetFormatPr baseColWidth="10" defaultColWidth="11" defaultRowHeight="16" x14ac:dyDescent="0.2"/>
  <cols>
    <col min="1" max="1" width="11" style="94"/>
    <col min="2" max="2" width="11" style="58"/>
    <col min="6" max="7" width="11" style="58"/>
    <col min="8" max="8" width="10.83203125" style="58" customWidth="1"/>
    <col min="9" max="9" width="24.1640625" customWidth="1"/>
  </cols>
  <sheetData>
    <row r="8" spans="1:9" x14ac:dyDescent="0.2">
      <c r="A8" s="94" t="s">
        <v>3</v>
      </c>
      <c r="I8" s="111" t="s">
        <v>186</v>
      </c>
    </row>
    <row r="9" spans="1:9" x14ac:dyDescent="0.2">
      <c r="A9" s="110" t="s">
        <v>182</v>
      </c>
    </row>
    <row r="10" spans="1:9" x14ac:dyDescent="0.2">
      <c r="A10" s="94" t="s">
        <v>183</v>
      </c>
      <c r="I10" s="57" t="s">
        <v>202</v>
      </c>
    </row>
    <row r="11" spans="1:9" x14ac:dyDescent="0.2">
      <c r="A11" s="110" t="s">
        <v>184</v>
      </c>
    </row>
    <row r="12" spans="1:9" x14ac:dyDescent="0.2">
      <c r="A12" s="94" t="s">
        <v>185</v>
      </c>
    </row>
    <row r="13" spans="1:9" x14ac:dyDescent="0.2">
      <c r="A13" s="94" t="s">
        <v>188</v>
      </c>
    </row>
    <row r="15" spans="1:9" x14ac:dyDescent="0.2">
      <c r="A15" s="110" t="s">
        <v>187</v>
      </c>
      <c r="I15" s="57" t="s">
        <v>197</v>
      </c>
    </row>
    <row r="16" spans="1:9" x14ac:dyDescent="0.2">
      <c r="A16" s="94" t="s">
        <v>194</v>
      </c>
    </row>
    <row r="17" spans="1:9" x14ac:dyDescent="0.2">
      <c r="A17" s="94" t="s">
        <v>193</v>
      </c>
    </row>
    <row r="18" spans="1:9" x14ac:dyDescent="0.2">
      <c r="A18" s="110" t="s">
        <v>184</v>
      </c>
    </row>
    <row r="19" spans="1:9" x14ac:dyDescent="0.2">
      <c r="A19" s="94" t="s">
        <v>189</v>
      </c>
    </row>
    <row r="20" spans="1:9" x14ac:dyDescent="0.2">
      <c r="A20" s="94" t="s">
        <v>190</v>
      </c>
    </row>
    <row r="21" spans="1:9" x14ac:dyDescent="0.2">
      <c r="A21" s="94" t="s">
        <v>191</v>
      </c>
    </row>
    <row r="23" spans="1:9" x14ac:dyDescent="0.2">
      <c r="A23" s="110" t="s">
        <v>192</v>
      </c>
      <c r="I23" s="57" t="s">
        <v>197</v>
      </c>
    </row>
    <row r="24" spans="1:9" x14ac:dyDescent="0.2">
      <c r="A24" s="94" t="s">
        <v>195</v>
      </c>
    </row>
    <row r="25" spans="1:9" x14ac:dyDescent="0.2">
      <c r="A25" s="94" t="s">
        <v>196</v>
      </c>
    </row>
    <row r="26" spans="1:9" x14ac:dyDescent="0.2">
      <c r="A26" s="110" t="s">
        <v>184</v>
      </c>
    </row>
    <row r="27" spans="1:9" x14ac:dyDescent="0.2">
      <c r="A27" s="94" t="s">
        <v>198</v>
      </c>
    </row>
    <row r="28" spans="1:9" x14ac:dyDescent="0.2">
      <c r="A28" s="94" t="s">
        <v>199</v>
      </c>
    </row>
    <row r="29" spans="1:9" x14ac:dyDescent="0.2">
      <c r="A29" s="94" t="s">
        <v>200</v>
      </c>
    </row>
    <row r="32" spans="1:9" x14ac:dyDescent="0.2">
      <c r="A32" s="110" t="s">
        <v>201</v>
      </c>
      <c r="I32" s="57" t="s">
        <v>197</v>
      </c>
    </row>
    <row r="33" spans="1:1" x14ac:dyDescent="0.2">
      <c r="A33" s="94" t="s">
        <v>203</v>
      </c>
    </row>
    <row r="34" spans="1:1" x14ac:dyDescent="0.2">
      <c r="A34" s="94" t="s">
        <v>204</v>
      </c>
    </row>
    <row r="35" spans="1:1" x14ac:dyDescent="0.2">
      <c r="A35" s="94" t="s">
        <v>205</v>
      </c>
    </row>
    <row r="36" spans="1:1" x14ac:dyDescent="0.2">
      <c r="A36" s="94" t="s">
        <v>206</v>
      </c>
    </row>
    <row r="37" spans="1:1" x14ac:dyDescent="0.2">
      <c r="A37" s="110" t="s">
        <v>184</v>
      </c>
    </row>
    <row r="38" spans="1:1" x14ac:dyDescent="0.2">
      <c r="A38" s="94" t="s">
        <v>207</v>
      </c>
    </row>
    <row r="39" spans="1:1" x14ac:dyDescent="0.2">
      <c r="A39" s="94" t="s">
        <v>208</v>
      </c>
    </row>
    <row r="40" spans="1:1" x14ac:dyDescent="0.2">
      <c r="A40" s="94" t="s">
        <v>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24</v>
      </c>
      <c r="L1" s="19" t="s">
        <v>3</v>
      </c>
    </row>
    <row r="2" spans="1:26" x14ac:dyDescent="0.2">
      <c r="A2" t="s">
        <v>25</v>
      </c>
      <c r="J2" t="s">
        <v>26</v>
      </c>
      <c r="P2" t="s">
        <v>3</v>
      </c>
      <c r="U2" t="s">
        <v>27</v>
      </c>
    </row>
    <row r="3" spans="1:26" ht="58" x14ac:dyDescent="0.2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H3" s="11" t="s">
        <v>34</v>
      </c>
      <c r="I3" s="10" t="s">
        <v>29</v>
      </c>
      <c r="J3" s="10" t="s">
        <v>30</v>
      </c>
      <c r="K3" s="10" t="s">
        <v>100</v>
      </c>
      <c r="L3" s="12"/>
      <c r="M3" s="11" t="s">
        <v>35</v>
      </c>
      <c r="N3" s="10" t="s">
        <v>29</v>
      </c>
      <c r="O3" s="10" t="s">
        <v>30</v>
      </c>
      <c r="P3" s="10" t="s">
        <v>31</v>
      </c>
      <c r="R3" s="13" t="s">
        <v>36</v>
      </c>
      <c r="S3" s="14" t="s">
        <v>37</v>
      </c>
      <c r="T3" s="14" t="s">
        <v>38</v>
      </c>
      <c r="U3" s="14" t="s">
        <v>39</v>
      </c>
      <c r="V3" s="14" t="s">
        <v>40</v>
      </c>
      <c r="W3" s="14" t="s">
        <v>41</v>
      </c>
      <c r="X3" s="14" t="s">
        <v>42</v>
      </c>
      <c r="Y3" s="14" t="s">
        <v>43</v>
      </c>
      <c r="Z3" s="15" t="s">
        <v>1</v>
      </c>
    </row>
    <row r="4" spans="1:26" x14ac:dyDescent="0.2">
      <c r="A4" s="9" t="s">
        <v>44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45</v>
      </c>
      <c r="I4" s="9">
        <v>1</v>
      </c>
      <c r="J4" s="9">
        <v>2</v>
      </c>
      <c r="K4" s="20">
        <v>4</v>
      </c>
      <c r="L4" s="16"/>
      <c r="M4" s="9" t="s">
        <v>45</v>
      </c>
      <c r="N4" s="9">
        <v>1</v>
      </c>
      <c r="O4" s="9">
        <v>2</v>
      </c>
      <c r="P4" s="20">
        <v>3</v>
      </c>
      <c r="R4" s="9">
        <v>41</v>
      </c>
      <c r="S4" s="9" t="s">
        <v>46</v>
      </c>
      <c r="T4" s="9" t="s">
        <v>46</v>
      </c>
      <c r="U4" s="9" t="s">
        <v>47</v>
      </c>
      <c r="V4" s="9" t="s">
        <v>47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48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49</v>
      </c>
      <c r="I5" s="9">
        <v>1</v>
      </c>
      <c r="J5" s="9">
        <v>2</v>
      </c>
      <c r="K5" s="20">
        <v>4</v>
      </c>
      <c r="L5" s="16"/>
      <c r="M5" s="9" t="s">
        <v>49</v>
      </c>
      <c r="N5" s="9">
        <v>1</v>
      </c>
      <c r="O5" s="9">
        <v>2</v>
      </c>
      <c r="P5" s="20">
        <v>3</v>
      </c>
      <c r="R5" s="9">
        <v>42</v>
      </c>
      <c r="S5" s="9" t="s">
        <v>46</v>
      </c>
      <c r="T5" s="9" t="s">
        <v>46</v>
      </c>
      <c r="U5" s="9" t="s">
        <v>47</v>
      </c>
      <c r="V5" s="9" t="s">
        <v>47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50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51</v>
      </c>
      <c r="I6" s="9">
        <v>1</v>
      </c>
      <c r="J6" s="9">
        <v>2</v>
      </c>
      <c r="K6" s="20">
        <v>4</v>
      </c>
      <c r="L6" s="16"/>
      <c r="M6" s="9" t="s">
        <v>51</v>
      </c>
      <c r="N6" s="9">
        <v>1</v>
      </c>
      <c r="O6" s="9">
        <v>2</v>
      </c>
      <c r="P6" s="20">
        <v>3</v>
      </c>
      <c r="R6" s="9">
        <v>43</v>
      </c>
      <c r="S6" s="9" t="s">
        <v>46</v>
      </c>
      <c r="T6" s="9" t="s">
        <v>46</v>
      </c>
      <c r="U6" s="9" t="s">
        <v>47</v>
      </c>
      <c r="V6" s="9" t="s">
        <v>47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52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53</v>
      </c>
      <c r="I7" s="9">
        <v>1</v>
      </c>
      <c r="J7" s="9">
        <v>2</v>
      </c>
      <c r="K7" s="20">
        <v>4</v>
      </c>
      <c r="L7" s="16"/>
      <c r="M7" s="9" t="s">
        <v>53</v>
      </c>
      <c r="N7" s="9">
        <v>1</v>
      </c>
      <c r="O7" s="9">
        <v>2</v>
      </c>
      <c r="P7" s="20">
        <v>3</v>
      </c>
      <c r="R7" s="9">
        <v>44</v>
      </c>
      <c r="S7" s="9" t="s">
        <v>46</v>
      </c>
      <c r="T7" s="9" t="s">
        <v>46</v>
      </c>
      <c r="U7" s="9" t="s">
        <v>47</v>
      </c>
      <c r="V7" s="9" t="s">
        <v>54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55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56</v>
      </c>
      <c r="I8" s="9">
        <v>1</v>
      </c>
      <c r="J8" s="9">
        <v>2</v>
      </c>
      <c r="K8" s="20" t="s">
        <v>3</v>
      </c>
      <c r="L8" s="16"/>
      <c r="M8" s="9" t="s">
        <v>56</v>
      </c>
      <c r="N8" s="9">
        <v>1</v>
      </c>
      <c r="O8" s="9">
        <v>2</v>
      </c>
      <c r="P8" s="20">
        <v>3</v>
      </c>
    </row>
    <row r="9" spans="1:26" x14ac:dyDescent="0.2">
      <c r="A9" s="9" t="s">
        <v>57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58</v>
      </c>
      <c r="I9" s="9">
        <v>1</v>
      </c>
      <c r="J9" s="9">
        <v>2</v>
      </c>
      <c r="K9" s="20" t="s">
        <v>3</v>
      </c>
      <c r="L9" s="16"/>
      <c r="M9" s="9" t="s">
        <v>58</v>
      </c>
      <c r="N9" s="9">
        <v>1</v>
      </c>
      <c r="O9" s="9">
        <v>2</v>
      </c>
      <c r="P9" s="20">
        <v>3</v>
      </c>
      <c r="R9" s="9">
        <v>31</v>
      </c>
      <c r="S9" s="9" t="s">
        <v>46</v>
      </c>
      <c r="T9" s="9" t="s">
        <v>59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60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61</v>
      </c>
      <c r="I10" s="9">
        <v>1</v>
      </c>
      <c r="J10" s="9">
        <v>2</v>
      </c>
      <c r="K10" s="20" t="s">
        <v>3</v>
      </c>
      <c r="L10" s="16"/>
      <c r="M10" s="9" t="s">
        <v>61</v>
      </c>
      <c r="N10" s="9">
        <v>1</v>
      </c>
      <c r="O10" s="9">
        <v>2</v>
      </c>
      <c r="P10" s="20">
        <v>3</v>
      </c>
      <c r="R10" s="9">
        <v>32</v>
      </c>
      <c r="S10" s="9" t="s">
        <v>46</v>
      </c>
      <c r="T10" s="9" t="s">
        <v>46</v>
      </c>
      <c r="U10" s="9" t="s">
        <v>47</v>
      </c>
      <c r="V10" s="9" t="s">
        <v>54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62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63</v>
      </c>
      <c r="I11" s="9">
        <v>1</v>
      </c>
      <c r="J11" s="9">
        <v>2</v>
      </c>
      <c r="K11" s="20" t="s">
        <v>3</v>
      </c>
      <c r="L11" s="16"/>
      <c r="M11" s="9" t="s">
        <v>63</v>
      </c>
      <c r="N11" s="9">
        <v>1</v>
      </c>
      <c r="O11" s="9">
        <v>2</v>
      </c>
      <c r="P11" s="20">
        <v>3</v>
      </c>
      <c r="R11" s="9">
        <v>33</v>
      </c>
      <c r="S11" s="9" t="s">
        <v>46</v>
      </c>
      <c r="T11" s="9" t="s">
        <v>46</v>
      </c>
      <c r="U11" s="9" t="s">
        <v>47</v>
      </c>
      <c r="V11" s="9" t="s">
        <v>54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64</v>
      </c>
      <c r="B12">
        <v>0</v>
      </c>
      <c r="C12">
        <v>2</v>
      </c>
      <c r="D12" t="s">
        <v>3</v>
      </c>
      <c r="H12" s="9" t="s">
        <v>65</v>
      </c>
      <c r="I12" s="9">
        <v>1</v>
      </c>
      <c r="J12" s="9">
        <v>2</v>
      </c>
      <c r="K12" s="20" t="s">
        <v>3</v>
      </c>
      <c r="L12" s="16"/>
      <c r="M12" s="9" t="s">
        <v>65</v>
      </c>
      <c r="N12" s="9">
        <v>1</v>
      </c>
      <c r="O12" s="9">
        <v>2</v>
      </c>
      <c r="P12" s="20">
        <v>3</v>
      </c>
      <c r="R12" s="9">
        <v>34</v>
      </c>
      <c r="S12" s="9" t="s">
        <v>46</v>
      </c>
      <c r="T12" s="9" t="s">
        <v>46</v>
      </c>
      <c r="U12" s="9" t="s">
        <v>47</v>
      </c>
      <c r="V12" s="9" t="s">
        <v>54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66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67</v>
      </c>
      <c r="I13" s="9">
        <v>1</v>
      </c>
      <c r="J13" s="9">
        <v>2</v>
      </c>
      <c r="K13" s="20">
        <v>3</v>
      </c>
      <c r="L13" s="16"/>
      <c r="M13" s="9" t="s">
        <v>67</v>
      </c>
      <c r="N13" s="9">
        <v>1</v>
      </c>
      <c r="O13" s="9">
        <v>2</v>
      </c>
      <c r="P13" s="20">
        <v>3</v>
      </c>
    </row>
    <row r="14" spans="1:26" x14ac:dyDescent="0.2">
      <c r="A14" s="9" t="s">
        <v>68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69</v>
      </c>
      <c r="I14" s="9">
        <v>1</v>
      </c>
      <c r="J14" s="9">
        <v>2</v>
      </c>
      <c r="K14" s="20">
        <v>3</v>
      </c>
      <c r="L14" s="16"/>
      <c r="M14" s="9" t="s">
        <v>69</v>
      </c>
      <c r="N14" s="9">
        <v>1</v>
      </c>
      <c r="O14" s="9">
        <v>2</v>
      </c>
      <c r="P14" s="20">
        <v>3</v>
      </c>
      <c r="R14" s="9">
        <v>21</v>
      </c>
      <c r="S14" s="9" t="s">
        <v>46</v>
      </c>
      <c r="T14" s="9" t="s">
        <v>59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70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71</v>
      </c>
      <c r="I15" s="9">
        <v>1</v>
      </c>
      <c r="J15" s="9">
        <v>2</v>
      </c>
      <c r="K15" s="20" t="s">
        <v>3</v>
      </c>
      <c r="L15" s="16"/>
      <c r="M15" s="9" t="s">
        <v>71</v>
      </c>
      <c r="N15" s="9">
        <v>1</v>
      </c>
      <c r="O15" s="9">
        <v>2</v>
      </c>
      <c r="P15" s="20">
        <v>3</v>
      </c>
      <c r="R15" s="9">
        <v>22</v>
      </c>
      <c r="S15" s="9" t="s">
        <v>46</v>
      </c>
      <c r="T15" s="9" t="s">
        <v>46</v>
      </c>
      <c r="U15" s="9" t="s">
        <v>47</v>
      </c>
      <c r="V15" s="9" t="s">
        <v>54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72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73</v>
      </c>
      <c r="I16" s="18" t="s">
        <v>3</v>
      </c>
      <c r="J16" t="s">
        <v>3</v>
      </c>
      <c r="K16" t="s">
        <v>3</v>
      </c>
      <c r="M16" t="s">
        <v>74</v>
      </c>
      <c r="N16" s="18"/>
      <c r="P16" t="s">
        <v>3</v>
      </c>
      <c r="R16" s="9">
        <v>23</v>
      </c>
      <c r="S16" s="9" t="s">
        <v>46</v>
      </c>
      <c r="T16" s="9" t="s">
        <v>46</v>
      </c>
      <c r="U16" s="9" t="s">
        <v>47</v>
      </c>
      <c r="V16" s="9" t="s">
        <v>54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75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76</v>
      </c>
      <c r="I17" s="9">
        <v>1</v>
      </c>
      <c r="J17" s="9">
        <v>2</v>
      </c>
      <c r="K17" s="20">
        <v>4</v>
      </c>
      <c r="L17" s="16"/>
      <c r="M17" s="9" t="s">
        <v>76</v>
      </c>
      <c r="N17" s="9">
        <v>1</v>
      </c>
      <c r="O17" s="9">
        <v>2</v>
      </c>
      <c r="P17" s="20">
        <v>3</v>
      </c>
      <c r="R17" s="9">
        <v>24</v>
      </c>
      <c r="S17" s="9" t="s">
        <v>46</v>
      </c>
      <c r="T17" s="9" t="s">
        <v>46</v>
      </c>
      <c r="U17" s="9" t="s">
        <v>47</v>
      </c>
      <c r="V17" s="9" t="s">
        <v>54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77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78</v>
      </c>
      <c r="I18" s="9">
        <v>1</v>
      </c>
      <c r="J18" s="9">
        <v>2</v>
      </c>
      <c r="K18" s="20">
        <v>4</v>
      </c>
      <c r="L18" s="16"/>
      <c r="M18" s="9" t="s">
        <v>78</v>
      </c>
      <c r="N18" s="9">
        <v>1</v>
      </c>
      <c r="O18" s="9">
        <v>2</v>
      </c>
      <c r="P18" s="20">
        <v>3</v>
      </c>
    </row>
    <row r="19" spans="1:26" x14ac:dyDescent="0.2">
      <c r="A19" s="9" t="s">
        <v>79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80</v>
      </c>
      <c r="I19" s="9">
        <v>1</v>
      </c>
      <c r="J19" s="9">
        <v>2</v>
      </c>
      <c r="K19" s="20">
        <v>4</v>
      </c>
      <c r="L19" s="16"/>
      <c r="M19" s="9" t="s">
        <v>80</v>
      </c>
      <c r="N19" s="9">
        <v>1</v>
      </c>
      <c r="O19" s="9">
        <v>2</v>
      </c>
      <c r="P19" s="20">
        <v>3</v>
      </c>
      <c r="R19" s="9">
        <v>11</v>
      </c>
      <c r="S19" s="9" t="s">
        <v>46</v>
      </c>
      <c r="T19" s="9" t="s">
        <v>59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81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82</v>
      </c>
      <c r="I20" s="9">
        <v>1</v>
      </c>
      <c r="J20" s="9">
        <v>2</v>
      </c>
      <c r="K20" s="20">
        <v>4</v>
      </c>
      <c r="L20" s="16"/>
      <c r="M20" s="9" t="s">
        <v>82</v>
      </c>
      <c r="N20" s="9">
        <v>1</v>
      </c>
      <c r="O20" s="9">
        <v>2</v>
      </c>
      <c r="P20" s="20">
        <v>3</v>
      </c>
      <c r="R20" s="9">
        <v>12</v>
      </c>
      <c r="S20" s="9" t="s">
        <v>46</v>
      </c>
      <c r="T20" s="9" t="s">
        <v>46</v>
      </c>
      <c r="U20" s="9" t="s">
        <v>47</v>
      </c>
      <c r="V20" s="9" t="s">
        <v>54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83</v>
      </c>
      <c r="B21" t="s">
        <v>3</v>
      </c>
      <c r="C21" t="s">
        <v>3</v>
      </c>
      <c r="D21" t="s">
        <v>3</v>
      </c>
      <c r="H21" s="9" t="s">
        <v>84</v>
      </c>
      <c r="I21" s="9">
        <v>1</v>
      </c>
      <c r="J21" s="9">
        <v>2</v>
      </c>
      <c r="K21" s="20" t="s">
        <v>3</v>
      </c>
      <c r="L21" s="16"/>
      <c r="M21" s="9" t="s">
        <v>84</v>
      </c>
      <c r="N21" s="9">
        <v>1</v>
      </c>
      <c r="O21" s="9">
        <v>2</v>
      </c>
      <c r="P21" s="20">
        <v>3</v>
      </c>
      <c r="R21" s="9">
        <v>13</v>
      </c>
      <c r="S21" s="9" t="s">
        <v>46</v>
      </c>
      <c r="T21" s="9" t="s">
        <v>46</v>
      </c>
      <c r="U21" s="9" t="s">
        <v>47</v>
      </c>
      <c r="V21" s="9" t="s">
        <v>54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85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86</v>
      </c>
      <c r="I22" s="9">
        <v>1</v>
      </c>
      <c r="J22" s="9">
        <v>2</v>
      </c>
      <c r="K22" s="20" t="s">
        <v>3</v>
      </c>
      <c r="L22" s="16"/>
      <c r="M22" s="9" t="s">
        <v>86</v>
      </c>
      <c r="N22" s="9">
        <v>1</v>
      </c>
      <c r="O22" s="9">
        <v>2</v>
      </c>
      <c r="P22" s="20">
        <v>3</v>
      </c>
      <c r="R22" s="9">
        <v>14</v>
      </c>
      <c r="S22" s="9" t="s">
        <v>46</v>
      </c>
      <c r="T22" s="9" t="s">
        <v>46</v>
      </c>
      <c r="U22" s="9" t="s">
        <v>47</v>
      </c>
      <c r="V22" s="9" t="s">
        <v>54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87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88</v>
      </c>
      <c r="I23" s="9">
        <v>1</v>
      </c>
      <c r="J23" s="9">
        <v>2</v>
      </c>
      <c r="K23" s="20" t="s">
        <v>3</v>
      </c>
      <c r="L23" s="16"/>
      <c r="M23" s="9" t="s">
        <v>88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89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90</v>
      </c>
      <c r="I24" s="9">
        <v>1</v>
      </c>
      <c r="J24" s="9">
        <v>2</v>
      </c>
      <c r="K24" s="20" t="s">
        <v>3</v>
      </c>
      <c r="L24" s="16"/>
      <c r="M24" s="9" t="s">
        <v>90</v>
      </c>
      <c r="N24" s="9">
        <v>1</v>
      </c>
      <c r="O24" s="9">
        <v>2</v>
      </c>
      <c r="P24" s="20">
        <v>3</v>
      </c>
    </row>
    <row r="25" spans="1:26" x14ac:dyDescent="0.2">
      <c r="A25" s="9" t="s">
        <v>91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92</v>
      </c>
      <c r="I25" s="9">
        <v>1</v>
      </c>
      <c r="J25" s="9">
        <v>2</v>
      </c>
      <c r="K25" s="20" t="s">
        <v>3</v>
      </c>
      <c r="L25" s="16"/>
      <c r="M25" s="9" t="s">
        <v>92</v>
      </c>
      <c r="N25" s="9">
        <v>1</v>
      </c>
      <c r="O25" s="9">
        <v>2</v>
      </c>
      <c r="P25" s="20">
        <v>3</v>
      </c>
      <c r="T25" t="s">
        <v>3</v>
      </c>
    </row>
    <row r="26" spans="1:26" x14ac:dyDescent="0.2">
      <c r="A26" s="9" t="s">
        <v>93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94</v>
      </c>
      <c r="I26" s="9">
        <v>1</v>
      </c>
      <c r="J26" s="9">
        <v>2</v>
      </c>
      <c r="K26" s="20">
        <v>3</v>
      </c>
      <c r="L26" s="16"/>
      <c r="M26" s="9" t="s">
        <v>94</v>
      </c>
      <c r="N26" s="9">
        <v>1</v>
      </c>
      <c r="O26" s="9">
        <v>2</v>
      </c>
      <c r="P26" s="20">
        <v>3</v>
      </c>
    </row>
    <row r="27" spans="1:26" x14ac:dyDescent="0.2">
      <c r="A27" s="9" t="s">
        <v>95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96</v>
      </c>
      <c r="I27" s="9">
        <v>1</v>
      </c>
      <c r="J27" s="9">
        <v>2</v>
      </c>
      <c r="K27" s="20">
        <v>3</v>
      </c>
      <c r="L27" s="16"/>
      <c r="M27" s="9" t="s">
        <v>96</v>
      </c>
      <c r="N27" s="9">
        <v>1</v>
      </c>
      <c r="O27" s="9">
        <v>2</v>
      </c>
      <c r="P27" s="20">
        <v>3</v>
      </c>
    </row>
    <row r="28" spans="1:26" x14ac:dyDescent="0.2">
      <c r="A28" s="9" t="s">
        <v>97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98</v>
      </c>
      <c r="I28" s="9">
        <v>1</v>
      </c>
      <c r="J28" s="9">
        <v>2</v>
      </c>
      <c r="K28" s="20" t="s">
        <v>3</v>
      </c>
      <c r="L28" s="16"/>
      <c r="M28" s="9" t="s">
        <v>98</v>
      </c>
      <c r="N28" s="9">
        <v>1</v>
      </c>
      <c r="O28" s="9">
        <v>2</v>
      </c>
      <c r="P28" s="20">
        <v>3</v>
      </c>
    </row>
    <row r="29" spans="1:26" x14ac:dyDescent="0.2">
      <c r="A29" s="9" t="s">
        <v>99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 valorizado</vt:lpstr>
      <vt:lpstr>Propuesta de Relatores</vt:lpstr>
      <vt:lpstr>Detalle de alojamiento.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2018-11-13T15:47:54Z</dcterms:modified>
</cp:coreProperties>
</file>