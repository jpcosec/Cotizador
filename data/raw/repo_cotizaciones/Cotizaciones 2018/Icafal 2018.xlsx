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9" i="1" l="1"/>
  <c r="F38" i="1"/>
  <c r="F25" i="1"/>
  <c r="F32" i="1"/>
  <c r="F29" i="1"/>
  <c r="F14" i="1"/>
  <c r="F11" i="1"/>
  <c r="F30" i="1"/>
  <c r="F31" i="1"/>
  <c r="F36" i="1"/>
  <c r="F37" i="1"/>
  <c r="F23" i="1"/>
  <c r="F24" i="1"/>
  <c r="F9" i="1"/>
  <c r="F12" i="1"/>
  <c r="F13" i="1"/>
  <c r="F15" i="1"/>
  <c r="F16" i="1"/>
  <c r="F17" i="1"/>
  <c r="F28" i="1"/>
  <c r="F10" i="1"/>
  <c r="F18" i="1"/>
  <c r="F19" i="1"/>
  <c r="F21" i="1"/>
  <c r="F22" i="1"/>
  <c r="F40" i="1"/>
  <c r="F41" i="1"/>
  <c r="F124" i="1"/>
  <c r="F123" i="1"/>
  <c r="F120" i="1"/>
  <c r="F121" i="1"/>
  <c r="F122" i="1"/>
  <c r="F80" i="1"/>
  <c r="F69" i="1"/>
  <c r="F119" i="1"/>
  <c r="F35" i="1"/>
  <c r="F34" i="1"/>
  <c r="F118" i="1"/>
  <c r="F76" i="1"/>
  <c r="F75" i="1"/>
  <c r="F77" i="1"/>
  <c r="F115" i="1"/>
  <c r="F116" i="1"/>
  <c r="F117" i="1"/>
  <c r="F110" i="1"/>
  <c r="F109" i="1"/>
  <c r="F108" i="1"/>
  <c r="F82" i="1"/>
  <c r="F101" i="1"/>
  <c r="F114" i="1"/>
  <c r="F97" i="1"/>
  <c r="F95" i="1"/>
  <c r="F96" i="1"/>
  <c r="F98" i="1"/>
  <c r="F99" i="1"/>
  <c r="F100" i="1"/>
  <c r="F102" i="1"/>
  <c r="F106" i="1"/>
  <c r="F107" i="1"/>
  <c r="F111" i="1"/>
  <c r="F94" i="1"/>
  <c r="F91" i="1"/>
  <c r="F86" i="1"/>
  <c r="F93" i="1"/>
  <c r="F112" i="1"/>
  <c r="F113" i="1"/>
  <c r="F73" i="1"/>
  <c r="F78" i="1"/>
  <c r="F74" i="1"/>
  <c r="F89" i="1"/>
  <c r="F84" i="1"/>
  <c r="F85" i="1"/>
  <c r="F87" i="1"/>
  <c r="F88" i="1"/>
  <c r="F90" i="1"/>
  <c r="F92" i="1"/>
  <c r="F70" i="1"/>
  <c r="F71" i="1"/>
  <c r="F72" i="1"/>
  <c r="F79" i="1"/>
  <c r="F81" i="1"/>
  <c r="F83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<sst xmlns="http://schemas.openxmlformats.org/spreadsheetml/2006/main" count="513" uniqueCount="302">
  <si>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</si>
  <si>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</si>
  <si>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</si>
  <si>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</si>
  <si>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</si>
  <si>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</si>
  <si>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</si>
  <si>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</si>
  <si>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</si>
  <si>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</si>
  <si>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</si>
  <si>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</si>
  <si>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</si>
  <si>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</si>
  <si>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</si>
  <si>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</si>
  <si>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</si>
  <si>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</si>
  <si>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</si>
  <si>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</si>
  <si>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</si>
  <si>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</si>
  <si>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</si>
  <si>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</si>
  <si>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</si>
  <si>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</si>
  <si>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</si>
  <si>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</si>
  <si>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</si>
  <si>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</si>
  <si>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</si>
  <si>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</si>
  <si>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</si>
  <si>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</si>
  <si>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</si>
  <si>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</si>
  <si>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</si>
  <si>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</si>
  <si>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</si>
  <si>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</si>
  <si>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</si>
  <si>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</si>
  <si>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</si>
  <si>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</si>
  <si>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</si>
  <si>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</si>
  <si>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</si>
  <si>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</si>
  <si>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</si>
  <si>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</si>
  <si>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</si>
  <si>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</si>
  <si>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</si>
  <si>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</si>
  <si>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</si>
  <si>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</si>
  <si>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</si>
  <si>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</si>
  <si>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</si>
  <si>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</si>
  <si>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</si>
  <si>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</si>
  <si>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</si>
  <si>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</si>
  <si>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</si>
  <si>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</si>
  <si>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</si>
  <si>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</si>
  <si>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</si>
  <si>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</si>
  <si>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</si>
  <si>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</si>
  <si>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</si>
  <si>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</si>
  <si>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</si>
  <si>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</si>
  <si>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</si>
  <si>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</si>
  <si>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</si>
  <si>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</si>
  <si>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</si>
  <si>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</si>
  <si>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</si>
  <si>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</si>
  <si>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</si>
  <si>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</si>
  <si>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</si>
  <si>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</si>
  <si>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</si>
  <si>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</si>
  <si>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</si>
  <si>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</si>
  <si>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</si>
  <si>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</si>
  <si>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</si>
  <si>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</si>
  <si>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</si>
  <si>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</si>
  <si>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</si>
  <si>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</si>
  <si>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</si>
  <si>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</si>
  <si>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</si>
  <si>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</si>
  <si>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</si>
  <si>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</si>
  <si>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</si>
  <si>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</si>
  <si>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</si>
  <si>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</si>
  <si>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</si>
  <si>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</si>
  <si>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</si>
  <si>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</si>
  <si>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</si>
  <si>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</si>
  <si>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</si>
  <si>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</si>
  <si>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</si>
  <si>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</si>
  <si>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</si>
  <si>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</si>
  <si>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</si>
  <si>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</si>
  <si>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</si>
  <si>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</si>
  <si>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</si>
  <si>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</si>
  <si>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</si>
  <si>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</si>
  <si>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</si>
  <si>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</si>
  <si>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</si>
  <si>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</si>
  <si>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</si>
  <si>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</si>
  <si>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</si>
  <si>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</si>
  <si>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</si>
  <si>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</si>
  <si>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</si>
  <si>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</si>
  <si>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</si>
  <si>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</si>
  <si>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</si>
  <si>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</si>
  <si>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</si>
  <si>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</si>
  <si>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</si>
  <si>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</si>
  <si>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</si>
  <si>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</si>
  <si>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</si>
  <si>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</si>
  <si>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</si>
  <si>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</si>
  <si>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</si>
  <si>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</si>
  <si>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</si>
  <si>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</si>
  <si>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</si>
  <si>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</si>
  <si>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</si>
  <si>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</si>
  <si>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</si>
  <si>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</si>
  <si>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</si>
  <si>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</si>
  <si>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</si>
  <si>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</si>
  <si>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</si>
  <si>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</si>
  <si>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</si>
  <si>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</si>
  <si>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</si>
  <si>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</si>
  <si>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</si>
  <si>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</si>
  <si>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</si>
  <si>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</si>
  <si>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</si>
  <si>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</si>
  <si>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</si>
  <si>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</si>
  <si>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</si>
  <si>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</si>
  <si>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</si>
  <si>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</si>
  <si>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</si>
  <si>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</si>
  <si>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</si>
  <si>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</si>
  <si>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</si>
  <si>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</si>
  <si>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</si>
  <si>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</si>
  <si>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</si>
  <si>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</si>
  <si>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</si>
  <si>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</si>
  <si>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</si>
  <si>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</si>
  <si>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</si>
  <si>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</si>
  <si>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</si>
  <si>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</si>
  <si>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</si>
  <si>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</si>
  <si>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</si>
  <si>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</si>
  <si>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</si>
  <si>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</si>
  <si>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</si>
  <si>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</si>
  <si>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</si>
  <si>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</si>
  <si>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</si>
  <si>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</si>
  <si>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</si>
  <si>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</si>
  <si>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</si>
  <si>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</si>
  <si>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</si>
  <si>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</si>
  <si>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</si>
  <si>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</si>
  <si>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</si>
  <si>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</si>
  <si>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</si>
  <si>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</si>
  <si>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</si>
  <si>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</si>
  <si>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</si>
  <si>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</si>
  <si>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</si>
  <si>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</si>
  <si>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</si>
  <si>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</si>
  <si>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</si>
  <si>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</si>
  <si>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</si>
  <si>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</si>
  <si>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</si>
  <si>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</si>
  <si>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</si>
  <si>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</si>
  <si>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</si>
  <si>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</si>
  <si>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</si>
  <si>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</si>
  <si>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</si>
  <si>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</si>
  <si>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</si>
  <si>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</si>
  <si>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</si>
  <si>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</si>
  <si>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</si>
  <si>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</si>
  <si>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</si>
  <si>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</si>
  <si>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</si>
  <si>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</si>
  <si>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</si>
  <si>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</si>
  <si>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</si>
  <si>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</si>
  <si>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</si>
  <si>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</si>
  <si>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</si>
  <si>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</si>
  <si>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</si>
  <si>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</si>
  <si>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</si>
  <si>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</si>
  <si>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</si>
  <si>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</si>
  <si>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</si>
  <si>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</si>
  <si>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</si>
  <si>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</si>
  <si>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</si>
  <si>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</si>
  <si>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</si>
  <si>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</si>
  <si>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</si>
  <si>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</si>
  <si>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</si>
  <si>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</si>
  <si>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</si>
  <si>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</si>
  <si>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</si>
  <si>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</si>
  <si>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</si>
  <si>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</si>
  <si>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</si>
  <si>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</si>
  <si>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9 74961403</t>
  </si>
  <si>
    <t>Carmen Rodriguez D.</t>
  </si>
  <si>
    <t>Bernardita Zenteno</t>
  </si>
  <si>
    <t>Icafal</t>
  </si>
  <si>
    <t xml:space="preserve">Salón Arcoiris 1 </t>
  </si>
  <si>
    <t xml:space="preserve">Equipado con data, telón papelógrafo, aire acondicionado y calefacción, 8 h Día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</si>
</sst>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4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7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164" fontId="7" fillId="9" borderId="2" xfId="0" applyNumberFormat="1" applyFont="1" applyFill="1" applyBorder="1"/>
    <xf numFmtId="164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7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7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167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7" fontId="0" fillId="0" borderId="0" xfId="0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4"/>
  <sheetViews>
    <sheetView tabSelected="1" topLeftCell="A7" workbookViewId="0">
      <selection activeCell="F40" sqref="F40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3.5" customWidth="1"/>
    <col min="6" max="6" width="12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234</v>
      </c>
    </row>
    <row r="3" spans="1:7" x14ac:dyDescent="0.2">
      <c r="A3" s="71" t="s">
        <v>139</v>
      </c>
      <c r="B3" s="193" t="s">
        <v>298</v>
      </c>
      <c r="E3" t="s">
        <v>3</v>
      </c>
      <c r="F3" s="35" t="s">
        <v>299</v>
      </c>
      <c r="G3" s="94" t="s">
        <v>235</v>
      </c>
    </row>
    <row r="4" spans="1:7" x14ac:dyDescent="0.2">
      <c r="A4" t="s">
        <v>140</v>
      </c>
      <c r="C4" s="75"/>
      <c r="E4" t="s">
        <v>5</v>
      </c>
      <c r="F4">
        <v>223519235</v>
      </c>
      <c r="G4" s="95" t="s">
        <v>236</v>
      </c>
    </row>
    <row r="5" spans="1:7" x14ac:dyDescent="0.2">
      <c r="A5" t="s">
        <v>141</v>
      </c>
      <c r="E5" t="s">
        <v>4</v>
      </c>
      <c r="F5" s="35">
        <v>30</v>
      </c>
      <c r="G5" s="95" t="s">
        <v>237</v>
      </c>
    </row>
    <row r="6" spans="1:7" x14ac:dyDescent="0.2">
      <c r="A6" s="73" t="s">
        <v>143</v>
      </c>
      <c r="B6" s="167" t="s">
        <v>297</v>
      </c>
      <c r="C6" s="168"/>
      <c r="D6" s="168"/>
      <c r="E6" s="72" t="s">
        <v>142</v>
      </c>
      <c r="F6" s="72" t="s">
        <v>296</v>
      </c>
      <c r="G6" s="95" t="s">
        <v>238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125</v>
      </c>
      <c r="B8" s="144" t="s">
        <v>182</v>
      </c>
      <c r="C8" s="145" t="s">
        <v>124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ht="16.5" customHeight="1" x14ac:dyDescent="0.2">
      <c r="A9" s="101" t="s">
        <v>181</v>
      </c>
      <c r="B9" s="102" t="s">
        <v>207</v>
      </c>
      <c r="C9" s="103">
        <v>1</v>
      </c>
      <c r="D9" s="103">
        <v>30</v>
      </c>
      <c r="E9" s="104">
        <v>10500</v>
      </c>
      <c r="F9" s="105">
        <f>C9*D9*E9</f>
        <v>315000</v>
      </c>
      <c r="G9" s="106" t="s">
        <v>268</v>
      </c>
    </row>
    <row r="10" spans="1:7" x14ac:dyDescent="0.2">
      <c r="A10" s="122" t="s">
        <v>300</v>
      </c>
      <c r="B10" s="123"/>
      <c r="C10" s="111">
        <v>1</v>
      </c>
      <c r="D10" s="111">
        <v>1</v>
      </c>
      <c r="E10" s="124">
        <v>180000</v>
      </c>
      <c r="F10" s="109">
        <f t="shared" ref="F10" si="0">C10*D10*E10</f>
        <v>180000</v>
      </c>
      <c r="G10" s="106" t="s">
        <v>301</v>
      </c>
    </row>
    <row r="11" spans="1:7" x14ac:dyDescent="0.2">
      <c r="A11" s="125" t="s">
        <v>277</v>
      </c>
      <c r="B11" s="126">
        <v>0.45833333333333331</v>
      </c>
      <c r="C11" s="103">
        <v>1</v>
      </c>
      <c r="D11" s="127">
        <v>30</v>
      </c>
      <c r="E11" s="113">
        <v>3850</v>
      </c>
      <c r="F11" s="128">
        <f>E11*D11*C11</f>
        <v>115500</v>
      </c>
      <c r="G11" s="129" t="s">
        <v>175</v>
      </c>
    </row>
    <row r="12" spans="1:7" ht="16.5" customHeight="1" x14ac:dyDescent="0.2">
      <c r="A12" s="107" t="s">
        <v>121</v>
      </c>
      <c r="B12" s="108" t="s">
        <v>208</v>
      </c>
      <c r="C12" s="103">
        <v>1</v>
      </c>
      <c r="D12" s="103">
        <v>30</v>
      </c>
      <c r="E12" s="109">
        <v>15000</v>
      </c>
      <c r="F12" s="109">
        <f t="shared" ref="F12:F24" si="1">C12*D12*E12</f>
        <v>450000</v>
      </c>
      <c r="G12" s="106" t="s">
        <v>114</v>
      </c>
    </row>
    <row r="13" spans="1:7" x14ac:dyDescent="0.2">
      <c r="A13" s="107" t="s">
        <v>275</v>
      </c>
      <c r="B13" s="110"/>
      <c r="C13" s="111">
        <v>1</v>
      </c>
      <c r="D13" s="111">
        <v>30</v>
      </c>
      <c r="E13" s="109">
        <v>1500</v>
      </c>
      <c r="F13" s="109">
        <f t="shared" ref="F13" si="2">C13*D13*E13</f>
        <v>45000</v>
      </c>
      <c r="G13" s="106" t="s">
        <v>266</v>
      </c>
    </row>
    <row r="14" spans="1:7" x14ac:dyDescent="0.2">
      <c r="A14" s="125" t="s">
        <v>277</v>
      </c>
      <c r="B14" s="126">
        <v>0.70833333333333337</v>
      </c>
      <c r="C14" s="103">
        <v>1</v>
      </c>
      <c r="D14" s="127">
        <v>30</v>
      </c>
      <c r="E14" s="113">
        <v>3850</v>
      </c>
      <c r="F14" s="128">
        <f>E14*D14*C14</f>
        <v>115500</v>
      </c>
      <c r="G14" s="129" t="s">
        <v>175</v>
      </c>
    </row>
    <row r="15" spans="1:7" x14ac:dyDescent="0.2">
      <c r="A15" s="112" t="s">
        <v>122</v>
      </c>
      <c r="B15" s="108" t="s">
        <v>209</v>
      </c>
      <c r="C15" s="103">
        <v>1</v>
      </c>
      <c r="D15" s="103">
        <v>30</v>
      </c>
      <c r="E15" s="113">
        <v>15000</v>
      </c>
      <c r="F15" s="105">
        <f t="shared" si="1"/>
        <v>450000</v>
      </c>
      <c r="G15" s="106" t="s">
        <v>269</v>
      </c>
    </row>
    <row r="16" spans="1:7" x14ac:dyDescent="0.2">
      <c r="A16" s="107" t="s">
        <v>275</v>
      </c>
      <c r="B16" s="110"/>
      <c r="C16" s="111">
        <v>1</v>
      </c>
      <c r="D16" s="111">
        <v>30</v>
      </c>
      <c r="E16" s="109">
        <v>1500</v>
      </c>
      <c r="F16" s="109">
        <f t="shared" si="1"/>
        <v>45000</v>
      </c>
      <c r="G16" s="106" t="s">
        <v>266</v>
      </c>
    </row>
    <row r="17" spans="1:7" x14ac:dyDescent="0.2">
      <c r="A17" s="114" t="s">
        <v>152</v>
      </c>
      <c r="B17" s="115"/>
      <c r="C17" s="116">
        <v>0</v>
      </c>
      <c r="D17" s="116">
        <v>0</v>
      </c>
      <c r="E17" s="117">
        <v>99000</v>
      </c>
      <c r="F17" s="117">
        <f t="shared" si="1"/>
        <v>0</v>
      </c>
      <c r="G17" s="114" t="s">
        <v>267</v>
      </c>
    </row>
    <row r="18" spans="1:7" x14ac:dyDescent="0.2">
      <c r="A18" s="114" t="s">
        <v>153</v>
      </c>
      <c r="B18" s="115"/>
      <c r="C18" s="116">
        <v>1</v>
      </c>
      <c r="D18" s="116">
        <v>15</v>
      </c>
      <c r="E18" s="117">
        <v>113500</v>
      </c>
      <c r="F18" s="117">
        <f t="shared" si="1"/>
        <v>1702500</v>
      </c>
      <c r="G18" s="114" t="s">
        <v>239</v>
      </c>
    </row>
    <row r="19" spans="1:7" x14ac:dyDescent="0.2">
      <c r="A19" s="114" t="s">
        <v>183</v>
      </c>
      <c r="B19" s="115"/>
      <c r="C19" s="116">
        <v>0</v>
      </c>
      <c r="D19" s="116">
        <v>0</v>
      </c>
      <c r="E19" s="117">
        <v>128000</v>
      </c>
      <c r="F19" s="117">
        <f t="shared" si="1"/>
        <v>0</v>
      </c>
      <c r="G19" s="114" t="s">
        <v>240</v>
      </c>
    </row>
    <row r="20" spans="1:7" x14ac:dyDescent="0.2">
      <c r="A20" s="147" t="s">
        <v>257</v>
      </c>
      <c r="B20" s="148" t="s">
        <v>261</v>
      </c>
      <c r="C20" s="149"/>
      <c r="D20" s="149"/>
      <c r="E20" s="149"/>
      <c r="F20" s="149"/>
      <c r="G20" s="150" t="s">
        <v>258</v>
      </c>
    </row>
    <row r="21" spans="1:7" x14ac:dyDescent="0.2">
      <c r="A21" s="114" t="s">
        <v>251</v>
      </c>
      <c r="B21" s="115" t="s">
        <v>260</v>
      </c>
      <c r="C21" s="116">
        <v>0</v>
      </c>
      <c r="D21" s="116">
        <v>0</v>
      </c>
      <c r="E21" s="117">
        <v>0</v>
      </c>
      <c r="F21" s="117">
        <f t="shared" si="1"/>
        <v>0</v>
      </c>
      <c r="G21" s="118" t="s">
        <v>253</v>
      </c>
    </row>
    <row r="22" spans="1:7" x14ac:dyDescent="0.2">
      <c r="A22" s="114" t="s">
        <v>247</v>
      </c>
      <c r="B22" s="115" t="s">
        <v>260</v>
      </c>
      <c r="C22" s="116">
        <v>0</v>
      </c>
      <c r="D22" s="116">
        <v>0</v>
      </c>
      <c r="E22" s="117">
        <v>0</v>
      </c>
      <c r="F22" s="117">
        <f t="shared" si="1"/>
        <v>0</v>
      </c>
      <c r="G22" s="118" t="s">
        <v>254</v>
      </c>
    </row>
    <row r="23" spans="1:7" x14ac:dyDescent="0.2">
      <c r="A23" s="114" t="s">
        <v>248</v>
      </c>
      <c r="B23" s="115" t="s">
        <v>256</v>
      </c>
      <c r="C23" s="116">
        <v>0</v>
      </c>
      <c r="D23" s="116">
        <v>0</v>
      </c>
      <c r="E23" s="117">
        <v>0</v>
      </c>
      <c r="F23" s="117">
        <f t="shared" si="1"/>
        <v>0</v>
      </c>
      <c r="G23" s="118" t="s">
        <v>252</v>
      </c>
    </row>
    <row r="24" spans="1:7" x14ac:dyDescent="0.2">
      <c r="A24" s="114" t="s">
        <v>249</v>
      </c>
      <c r="B24" s="115" t="s">
        <v>256</v>
      </c>
      <c r="C24" s="116">
        <v>0</v>
      </c>
      <c r="D24" s="116">
        <v>0</v>
      </c>
      <c r="E24" s="117">
        <v>0</v>
      </c>
      <c r="F24" s="117">
        <f t="shared" si="1"/>
        <v>0</v>
      </c>
      <c r="G24" s="114" t="s">
        <v>250</v>
      </c>
    </row>
    <row r="25" spans="1:7" ht="16.5" customHeight="1" thickBot="1" x14ac:dyDescent="0.25">
      <c r="A25" s="2" t="s">
        <v>92</v>
      </c>
      <c r="B25" s="82"/>
      <c r="C25" s="34"/>
      <c r="D25" s="24"/>
      <c r="E25" s="7"/>
      <c r="F25" s="5">
        <f>SUM(F9:F24)</f>
        <v>3418500</v>
      </c>
      <c r="G25" s="33" t="s">
        <v>2</v>
      </c>
    </row>
    <row r="26" spans="1:7" ht="16.5" customHeight="1" x14ac:dyDescent="0.2">
      <c r="A26" s="143" t="s">
        <v>126</v>
      </c>
      <c r="B26" s="144"/>
      <c r="C26" s="145" t="s">
        <v>124</v>
      </c>
      <c r="D26" s="145" t="s">
        <v>7</v>
      </c>
      <c r="E26" s="145" t="s">
        <v>0</v>
      </c>
      <c r="F26" s="145" t="s">
        <v>1</v>
      </c>
      <c r="G26" s="146" t="s">
        <v>8</v>
      </c>
    </row>
    <row r="27" spans="1:7" ht="16.5" customHeight="1" x14ac:dyDescent="0.2">
      <c r="A27" s="101" t="s">
        <v>10</v>
      </c>
      <c r="B27" s="102"/>
      <c r="C27" s="103">
        <v>1</v>
      </c>
      <c r="D27" s="103">
        <v>30</v>
      </c>
      <c r="E27" s="104">
        <v>10500</v>
      </c>
      <c r="F27" s="105" t="s">
        <v>127</v>
      </c>
      <c r="G27" s="106" t="s">
        <v>268</v>
      </c>
    </row>
    <row r="28" spans="1:7" x14ac:dyDescent="0.2">
      <c r="A28" s="122" t="s">
        <v>300</v>
      </c>
      <c r="B28" s="123"/>
      <c r="C28" s="111">
        <v>1</v>
      </c>
      <c r="D28" s="111">
        <v>1</v>
      </c>
      <c r="E28" s="124">
        <v>180000</v>
      </c>
      <c r="F28" s="109">
        <f t="shared" ref="F28" si="3">C28*D28*E28</f>
        <v>180000</v>
      </c>
      <c r="G28" s="106" t="s">
        <v>279</v>
      </c>
    </row>
    <row r="29" spans="1:7" x14ac:dyDescent="0.2">
      <c r="A29" s="125" t="s">
        <v>277</v>
      </c>
      <c r="B29" s="126"/>
      <c r="C29" s="103">
        <v>1</v>
      </c>
      <c r="D29" s="127">
        <v>30</v>
      </c>
      <c r="E29" s="113">
        <v>3850</v>
      </c>
      <c r="F29" s="128">
        <f>E29*D29*C29</f>
        <v>115500</v>
      </c>
      <c r="G29" s="129" t="s">
        <v>175</v>
      </c>
    </row>
    <row r="30" spans="1:7" ht="16.5" customHeight="1" x14ac:dyDescent="0.2">
      <c r="A30" s="107" t="s">
        <v>121</v>
      </c>
      <c r="B30" s="108"/>
      <c r="C30" s="103">
        <v>1</v>
      </c>
      <c r="D30" s="103">
        <v>30</v>
      </c>
      <c r="E30" s="109">
        <v>15000</v>
      </c>
      <c r="F30" s="109">
        <f>C30*D30*E30</f>
        <v>450000</v>
      </c>
      <c r="G30" s="106" t="s">
        <v>114</v>
      </c>
    </row>
    <row r="31" spans="1:7" x14ac:dyDescent="0.2">
      <c r="A31" s="107" t="s">
        <v>275</v>
      </c>
      <c r="B31" s="110"/>
      <c r="C31" s="111">
        <v>1</v>
      </c>
      <c r="D31" s="111">
        <v>30</v>
      </c>
      <c r="E31" s="109">
        <v>1500</v>
      </c>
      <c r="F31" s="109">
        <f t="shared" ref="F31" si="4">C31*D31*E31</f>
        <v>45000</v>
      </c>
      <c r="G31" s="106" t="s">
        <v>266</v>
      </c>
    </row>
    <row r="32" spans="1:7" x14ac:dyDescent="0.2">
      <c r="A32" s="125" t="s">
        <v>277</v>
      </c>
      <c r="B32" s="126"/>
      <c r="C32" s="103">
        <v>1</v>
      </c>
      <c r="D32" s="127">
        <v>30</v>
      </c>
      <c r="E32" s="113">
        <v>3850</v>
      </c>
      <c r="F32" s="128">
        <f>E32*D32*C32</f>
        <v>115500</v>
      </c>
      <c r="G32" s="129" t="s">
        <v>175</v>
      </c>
    </row>
    <row r="33" spans="1:7" x14ac:dyDescent="0.2">
      <c r="A33" s="151" t="s">
        <v>257</v>
      </c>
      <c r="B33" s="152" t="s">
        <v>262</v>
      </c>
      <c r="C33" s="153"/>
      <c r="D33" s="153"/>
      <c r="E33" s="154"/>
      <c r="F33" s="154"/>
      <c r="G33" s="151" t="s">
        <v>258</v>
      </c>
    </row>
    <row r="34" spans="1:7" x14ac:dyDescent="0.2">
      <c r="A34" s="114" t="s">
        <v>251</v>
      </c>
      <c r="B34" s="115" t="s">
        <v>255</v>
      </c>
      <c r="C34" s="116">
        <v>0</v>
      </c>
      <c r="D34" s="116">
        <v>0</v>
      </c>
      <c r="E34" s="117">
        <v>0</v>
      </c>
      <c r="F34" s="117">
        <f t="shared" ref="F34:F37" si="5">C34*D34*E34</f>
        <v>0</v>
      </c>
      <c r="G34" s="118" t="s">
        <v>253</v>
      </c>
    </row>
    <row r="35" spans="1:7" x14ac:dyDescent="0.2">
      <c r="A35" s="114" t="s">
        <v>247</v>
      </c>
      <c r="B35" s="115" t="s">
        <v>255</v>
      </c>
      <c r="C35" s="116">
        <v>0</v>
      </c>
      <c r="D35" s="116">
        <v>0</v>
      </c>
      <c r="E35" s="117">
        <v>0</v>
      </c>
      <c r="F35" s="117">
        <f t="shared" si="5"/>
        <v>0</v>
      </c>
      <c r="G35" s="118" t="s">
        <v>254</v>
      </c>
    </row>
    <row r="36" spans="1:7" x14ac:dyDescent="0.2">
      <c r="A36" s="114" t="s">
        <v>248</v>
      </c>
      <c r="B36" s="115" t="s">
        <v>256</v>
      </c>
      <c r="C36" s="116">
        <v>0</v>
      </c>
      <c r="D36" s="116">
        <v>0</v>
      </c>
      <c r="E36" s="117">
        <v>0</v>
      </c>
      <c r="F36" s="117">
        <f t="shared" si="5"/>
        <v>0</v>
      </c>
      <c r="G36" s="118" t="s">
        <v>252</v>
      </c>
    </row>
    <row r="37" spans="1:7" x14ac:dyDescent="0.2">
      <c r="A37" s="114" t="s">
        <v>249</v>
      </c>
      <c r="B37" s="115" t="s">
        <v>256</v>
      </c>
      <c r="C37" s="116">
        <v>0</v>
      </c>
      <c r="D37" s="116">
        <v>0</v>
      </c>
      <c r="E37" s="117">
        <v>0</v>
      </c>
      <c r="F37" s="117">
        <f t="shared" si="5"/>
        <v>0</v>
      </c>
      <c r="G37" s="114" t="s">
        <v>250</v>
      </c>
    </row>
    <row r="38" spans="1:7" ht="16.5" customHeight="1" thickBot="1" x14ac:dyDescent="0.25">
      <c r="A38" s="2" t="s">
        <v>92</v>
      </c>
      <c r="B38" s="82"/>
      <c r="C38" s="34"/>
      <c r="D38" s="24"/>
      <c r="E38" s="7"/>
      <c r="F38" s="5">
        <f>SUM(F27:F32)</f>
        <v>906000</v>
      </c>
      <c r="G38" s="33" t="s">
        <v>2</v>
      </c>
    </row>
    <row r="39" spans="1:7" ht="17" thickBot="1" x14ac:dyDescent="0.25">
      <c r="A39" s="37" t="s">
        <v>259</v>
      </c>
      <c r="B39" s="84"/>
      <c r="C39" s="38"/>
      <c r="D39" s="38"/>
      <c r="E39" s="39"/>
      <c r="F39" s="40">
        <f>F25+F38</f>
        <v>4324500</v>
      </c>
      <c r="G39" s="6" t="s">
        <v>150</v>
      </c>
    </row>
    <row r="40" spans="1:7" x14ac:dyDescent="0.2">
      <c r="A40" s="3" t="s">
        <v>151</v>
      </c>
      <c r="B40" s="83"/>
      <c r="C40" s="32"/>
      <c r="D40" s="24"/>
      <c r="E40" s="7"/>
      <c r="F40" s="5">
        <f>F39*1.19-F39</f>
        <v>821655</v>
      </c>
      <c r="G40" s="6"/>
    </row>
    <row r="41" spans="1:7" x14ac:dyDescent="0.2">
      <c r="A41" s="86" t="s">
        <v>295</v>
      </c>
      <c r="B41" s="87"/>
      <c r="C41" s="88"/>
      <c r="D41" s="88"/>
      <c r="E41" s="89"/>
      <c r="F41" s="90">
        <f>F39+F40</f>
        <v>5146155</v>
      </c>
      <c r="G41" s="6"/>
    </row>
    <row r="42" spans="1:7" x14ac:dyDescent="0.2">
      <c r="A42" s="3"/>
      <c r="B42" s="83"/>
      <c r="C42" s="32"/>
      <c r="D42" s="24"/>
      <c r="E42" s="7"/>
      <c r="F42" s="4"/>
      <c r="G42" s="6"/>
    </row>
    <row r="43" spans="1:7" ht="19" x14ac:dyDescent="0.2">
      <c r="A43" s="92" t="s">
        <v>212</v>
      </c>
      <c r="B43"/>
      <c r="E43" s="78"/>
      <c r="F43" s="78"/>
      <c r="G43" s="78"/>
    </row>
    <row r="44" spans="1:7" ht="19" x14ac:dyDescent="0.2">
      <c r="A44" s="91" t="s">
        <v>213</v>
      </c>
      <c r="B44"/>
      <c r="E44" s="77"/>
      <c r="F44" s="77"/>
      <c r="G44" s="77"/>
    </row>
    <row r="45" spans="1:7" ht="17" x14ac:dyDescent="0.2">
      <c r="A45" s="78" t="s">
        <v>214</v>
      </c>
      <c r="B45"/>
    </row>
    <row r="46" spans="1:7" ht="17" x14ac:dyDescent="0.2">
      <c r="A46" s="78"/>
      <c r="B46"/>
    </row>
    <row r="47" spans="1:7" ht="19" x14ac:dyDescent="0.2">
      <c r="A47" s="92" t="s">
        <v>154</v>
      </c>
      <c r="B47"/>
    </row>
    <row r="48" spans="1:7" ht="17" x14ac:dyDescent="0.2">
      <c r="A48" s="78" t="s">
        <v>215</v>
      </c>
      <c r="B48"/>
    </row>
    <row r="49" spans="1:6" ht="17" x14ac:dyDescent="0.2">
      <c r="A49" s="78" t="s">
        <v>216</v>
      </c>
      <c r="B49"/>
    </row>
    <row r="50" spans="1:6" ht="17" x14ac:dyDescent="0.2">
      <c r="A50" s="78" t="s">
        <v>217</v>
      </c>
      <c r="B50"/>
    </row>
    <row r="51" spans="1:6" ht="17" x14ac:dyDescent="0.2">
      <c r="A51" s="76" t="s">
        <v>155</v>
      </c>
      <c r="B51"/>
    </row>
    <row r="52" spans="1:6" ht="17" x14ac:dyDescent="0.2">
      <c r="A52" s="78" t="s">
        <v>218</v>
      </c>
      <c r="B52"/>
    </row>
    <row r="53" spans="1:6" ht="17" x14ac:dyDescent="0.2">
      <c r="A53" s="78" t="s">
        <v>156</v>
      </c>
      <c r="B53"/>
    </row>
    <row r="54" spans="1:6" ht="17" x14ac:dyDescent="0.2">
      <c r="A54" s="76" t="s">
        <v>219</v>
      </c>
      <c r="B54"/>
    </row>
    <row r="55" spans="1:6" ht="17" x14ac:dyDescent="0.2">
      <c r="A55" s="78" t="s">
        <v>157</v>
      </c>
      <c r="B55"/>
    </row>
    <row r="56" spans="1:6" ht="17" x14ac:dyDescent="0.2">
      <c r="A56" s="78" t="s">
        <v>158</v>
      </c>
      <c r="B56"/>
    </row>
    <row r="57" spans="1:6" ht="17" x14ac:dyDescent="0.2">
      <c r="A57" s="78" t="s">
        <v>159</v>
      </c>
      <c r="B57"/>
    </row>
    <row r="58" spans="1:6" ht="17" x14ac:dyDescent="0.2">
      <c r="A58" s="78" t="s">
        <v>160</v>
      </c>
      <c r="B58"/>
    </row>
    <row r="59" spans="1:6" ht="17" x14ac:dyDescent="0.2">
      <c r="A59" s="78" t="s">
        <v>161</v>
      </c>
      <c r="B59"/>
    </row>
    <row r="60" spans="1:6" ht="17" x14ac:dyDescent="0.2">
      <c r="A60" s="78" t="s">
        <v>162</v>
      </c>
      <c r="B60"/>
    </row>
    <row r="61" spans="1:6" ht="17" x14ac:dyDescent="0.2">
      <c r="A61" s="78"/>
      <c r="B61"/>
    </row>
    <row r="62" spans="1:6" ht="17" x14ac:dyDescent="0.2">
      <c r="A62" s="119" t="s">
        <v>263</v>
      </c>
      <c r="B62"/>
    </row>
    <row r="63" spans="1:6" ht="17" x14ac:dyDescent="0.2">
      <c r="A63" s="78" t="s">
        <v>220</v>
      </c>
      <c r="B63" s="78" t="s">
        <v>221</v>
      </c>
      <c r="D63" s="78" t="s">
        <v>222</v>
      </c>
      <c r="F63" s="78" t="s">
        <v>223</v>
      </c>
    </row>
    <row r="64" spans="1:6" ht="17" x14ac:dyDescent="0.2">
      <c r="A64" s="78" t="s">
        <v>226</v>
      </c>
      <c r="B64" s="78" t="s">
        <v>227</v>
      </c>
      <c r="D64" s="78" t="s">
        <v>224</v>
      </c>
      <c r="F64" s="78" t="s">
        <v>225</v>
      </c>
    </row>
    <row r="65" spans="1:7" ht="17" x14ac:dyDescent="0.2">
      <c r="A65" s="78" t="s">
        <v>228</v>
      </c>
      <c r="B65" s="78" t="s">
        <v>229</v>
      </c>
      <c r="D65" s="78" t="s">
        <v>230</v>
      </c>
      <c r="F65" s="78" t="s">
        <v>231</v>
      </c>
    </row>
    <row r="66" spans="1:7" ht="17" x14ac:dyDescent="0.2">
      <c r="A66" s="78" t="s">
        <v>5</v>
      </c>
      <c r="B66" s="78" t="s">
        <v>233</v>
      </c>
      <c r="D66" s="93" t="s">
        <v>232</v>
      </c>
    </row>
    <row r="67" spans="1:7" ht="18" thickBot="1" x14ac:dyDescent="0.25">
      <c r="A67" s="78"/>
      <c r="B67"/>
    </row>
    <row r="68" spans="1:7" ht="16" customHeight="1" x14ac:dyDescent="0.2">
      <c r="A68" s="155" t="s">
        <v>123</v>
      </c>
      <c r="B68" s="156" t="s">
        <v>182</v>
      </c>
      <c r="C68" s="157" t="s">
        <v>89</v>
      </c>
      <c r="D68" s="157" t="s">
        <v>7</v>
      </c>
      <c r="E68" s="157" t="s">
        <v>6</v>
      </c>
      <c r="F68" s="157" t="s">
        <v>90</v>
      </c>
      <c r="G68" s="158" t="s">
        <v>8</v>
      </c>
    </row>
    <row r="69" spans="1:7" ht="16" customHeight="1" x14ac:dyDescent="0.2">
      <c r="A69" s="106" t="s">
        <v>211</v>
      </c>
      <c r="B69" s="120"/>
      <c r="C69" s="111">
        <v>0</v>
      </c>
      <c r="D69" s="111">
        <v>0</v>
      </c>
      <c r="E69" s="121">
        <v>200000</v>
      </c>
      <c r="F69" s="121">
        <f>C69*D69*E69</f>
        <v>0</v>
      </c>
      <c r="G69" s="106" t="s">
        <v>264</v>
      </c>
    </row>
    <row r="70" spans="1:7" x14ac:dyDescent="0.2">
      <c r="A70" s="122" t="s">
        <v>91</v>
      </c>
      <c r="B70" s="123"/>
      <c r="C70" s="111">
        <v>0</v>
      </c>
      <c r="D70" s="111">
        <v>0</v>
      </c>
      <c r="E70" s="109">
        <v>12000</v>
      </c>
      <c r="F70" s="109">
        <f t="shared" ref="F70:F83" si="6">C70*D70*E70</f>
        <v>0</v>
      </c>
      <c r="G70" s="106" t="s">
        <v>271</v>
      </c>
    </row>
    <row r="71" spans="1:7" x14ac:dyDescent="0.2">
      <c r="A71" s="122" t="s">
        <v>93</v>
      </c>
      <c r="B71" s="123"/>
      <c r="C71" s="111">
        <v>0</v>
      </c>
      <c r="D71" s="111">
        <v>0</v>
      </c>
      <c r="E71" s="109">
        <v>26000</v>
      </c>
      <c r="F71" s="109">
        <f t="shared" si="6"/>
        <v>0</v>
      </c>
      <c r="G71" s="106" t="s">
        <v>118</v>
      </c>
    </row>
    <row r="72" spans="1:7" x14ac:dyDescent="0.2">
      <c r="A72" s="122" t="s">
        <v>94</v>
      </c>
      <c r="B72" s="123"/>
      <c r="C72" s="111">
        <v>0</v>
      </c>
      <c r="D72" s="111">
        <v>0</v>
      </c>
      <c r="E72" s="109">
        <v>35000</v>
      </c>
      <c r="F72" s="109">
        <f t="shared" si="6"/>
        <v>0</v>
      </c>
      <c r="G72" s="106" t="s">
        <v>118</v>
      </c>
    </row>
    <row r="73" spans="1:7" x14ac:dyDescent="0.2">
      <c r="A73" s="122" t="s">
        <v>120</v>
      </c>
      <c r="B73" s="123"/>
      <c r="C73" s="111">
        <v>0</v>
      </c>
      <c r="D73" s="111">
        <v>0</v>
      </c>
      <c r="E73" s="109">
        <v>10000</v>
      </c>
      <c r="F73" s="109">
        <f t="shared" si="6"/>
        <v>0</v>
      </c>
      <c r="G73" s="106"/>
    </row>
    <row r="74" spans="1:7" x14ac:dyDescent="0.2">
      <c r="A74" s="122" t="s">
        <v>179</v>
      </c>
      <c r="B74" s="123"/>
      <c r="C74" s="111">
        <v>0</v>
      </c>
      <c r="D74" s="111">
        <v>0</v>
      </c>
      <c r="E74" s="109">
        <v>4500</v>
      </c>
      <c r="F74" s="109">
        <f t="shared" si="6"/>
        <v>0</v>
      </c>
      <c r="G74" s="106" t="s">
        <v>180</v>
      </c>
    </row>
    <row r="75" spans="1:7" x14ac:dyDescent="0.2">
      <c r="A75" s="122" t="s">
        <v>204</v>
      </c>
      <c r="B75" s="123"/>
      <c r="C75" s="111">
        <v>0</v>
      </c>
      <c r="D75" s="111">
        <v>0</v>
      </c>
      <c r="E75" s="109">
        <v>5000</v>
      </c>
      <c r="F75" s="109">
        <f t="shared" ref="F75:F76" si="7">C75*D75*E75</f>
        <v>0</v>
      </c>
      <c r="G75" s="106" t="s">
        <v>272</v>
      </c>
    </row>
    <row r="76" spans="1:7" x14ac:dyDescent="0.2">
      <c r="A76" s="122" t="s">
        <v>205</v>
      </c>
      <c r="B76" s="123"/>
      <c r="C76" s="111">
        <v>0</v>
      </c>
      <c r="D76" s="111">
        <v>0</v>
      </c>
      <c r="E76" s="109">
        <v>5000</v>
      </c>
      <c r="F76" s="109">
        <f t="shared" si="7"/>
        <v>0</v>
      </c>
      <c r="G76" s="106" t="s">
        <v>273</v>
      </c>
    </row>
    <row r="77" spans="1:7" x14ac:dyDescent="0.2">
      <c r="A77" s="122" t="s">
        <v>178</v>
      </c>
      <c r="B77" s="123"/>
      <c r="C77" s="111">
        <v>0</v>
      </c>
      <c r="D77" s="111">
        <v>0</v>
      </c>
      <c r="E77" s="109">
        <v>3000</v>
      </c>
      <c r="F77" s="109">
        <f t="shared" ref="F77" si="8">C77*D77*E77</f>
        <v>0</v>
      </c>
      <c r="G77" s="106" t="s">
        <v>274</v>
      </c>
    </row>
    <row r="78" spans="1:7" x14ac:dyDescent="0.2">
      <c r="A78" s="122" t="s">
        <v>119</v>
      </c>
      <c r="B78" s="123"/>
      <c r="C78" s="111">
        <v>0</v>
      </c>
      <c r="D78" s="111">
        <v>0</v>
      </c>
      <c r="E78" s="109">
        <v>16000</v>
      </c>
      <c r="F78" s="109">
        <f t="shared" si="6"/>
        <v>0</v>
      </c>
      <c r="G78" s="106" t="s">
        <v>147</v>
      </c>
    </row>
    <row r="79" spans="1:7" x14ac:dyDescent="0.2">
      <c r="A79" s="122" t="s">
        <v>11</v>
      </c>
      <c r="B79" s="123"/>
      <c r="C79" s="111">
        <v>0</v>
      </c>
      <c r="D79" s="111">
        <v>0</v>
      </c>
      <c r="E79" s="109">
        <v>7000</v>
      </c>
      <c r="F79" s="109">
        <f t="shared" si="6"/>
        <v>0</v>
      </c>
      <c r="G79" s="106" t="s">
        <v>184</v>
      </c>
    </row>
    <row r="80" spans="1:7" x14ac:dyDescent="0.2">
      <c r="A80" s="160" t="s">
        <v>275</v>
      </c>
      <c r="B80" s="161"/>
      <c r="C80" s="116">
        <v>0</v>
      </c>
      <c r="D80" s="116">
        <v>0</v>
      </c>
      <c r="E80" s="117">
        <v>1500</v>
      </c>
      <c r="F80" s="117">
        <f t="shared" si="6"/>
        <v>0</v>
      </c>
      <c r="G80" s="114" t="s">
        <v>266</v>
      </c>
    </row>
    <row r="81" spans="1:7" x14ac:dyDescent="0.2">
      <c r="A81" s="162" t="s">
        <v>185</v>
      </c>
      <c r="B81" s="163"/>
      <c r="C81" s="116">
        <v>0</v>
      </c>
      <c r="D81" s="116">
        <v>0</v>
      </c>
      <c r="E81" s="117">
        <v>3000</v>
      </c>
      <c r="F81" s="117">
        <f t="shared" si="6"/>
        <v>0</v>
      </c>
      <c r="G81" s="114"/>
    </row>
    <row r="82" spans="1:7" x14ac:dyDescent="0.2">
      <c r="A82" s="162" t="s">
        <v>276</v>
      </c>
      <c r="B82" s="163"/>
      <c r="C82" s="116">
        <v>0</v>
      </c>
      <c r="D82" s="116">
        <v>0</v>
      </c>
      <c r="E82" s="117">
        <v>1000</v>
      </c>
      <c r="F82" s="117">
        <f t="shared" ref="F82" si="9">C82*D82*E82</f>
        <v>0</v>
      </c>
      <c r="G82" s="114" t="s">
        <v>186</v>
      </c>
    </row>
    <row r="83" spans="1:7" x14ac:dyDescent="0.2">
      <c r="A83" s="162" t="s">
        <v>283</v>
      </c>
      <c r="B83" s="163"/>
      <c r="C83" s="116">
        <v>0</v>
      </c>
      <c r="D83" s="116">
        <v>0</v>
      </c>
      <c r="E83" s="117">
        <v>3000</v>
      </c>
      <c r="F83" s="117">
        <f t="shared" si="6"/>
        <v>0</v>
      </c>
      <c r="G83" s="114" t="s">
        <v>9</v>
      </c>
    </row>
    <row r="84" spans="1:7" x14ac:dyDescent="0.2">
      <c r="A84" s="162" t="s">
        <v>96</v>
      </c>
      <c r="B84" s="163"/>
      <c r="C84" s="116">
        <v>0</v>
      </c>
      <c r="D84" s="116">
        <v>0</v>
      </c>
      <c r="E84" s="164">
        <v>150000</v>
      </c>
      <c r="F84" s="117">
        <f t="shared" ref="F84:F91" si="10">C84*D84*E84</f>
        <v>0</v>
      </c>
      <c r="G84" s="114" t="s">
        <v>97</v>
      </c>
    </row>
    <row r="85" spans="1:7" x14ac:dyDescent="0.2">
      <c r="A85" s="122" t="s">
        <v>98</v>
      </c>
      <c r="B85" s="123"/>
      <c r="C85" s="111">
        <v>0</v>
      </c>
      <c r="D85" s="111">
        <v>0</v>
      </c>
      <c r="E85" s="124">
        <v>100000</v>
      </c>
      <c r="F85" s="109">
        <f t="shared" si="10"/>
        <v>0</v>
      </c>
      <c r="G85" s="106" t="s">
        <v>99</v>
      </c>
    </row>
    <row r="86" spans="1:7" x14ac:dyDescent="0.2">
      <c r="A86" s="125" t="s">
        <v>277</v>
      </c>
      <c r="B86" s="126"/>
      <c r="C86" s="103">
        <v>0</v>
      </c>
      <c r="D86" s="127">
        <v>0</v>
      </c>
      <c r="E86" s="113">
        <v>3850</v>
      </c>
      <c r="F86" s="128">
        <f>E86*D86*C86</f>
        <v>0</v>
      </c>
      <c r="G86" s="129" t="s">
        <v>175</v>
      </c>
    </row>
    <row r="87" spans="1:7" x14ac:dyDescent="0.2">
      <c r="A87" s="130" t="s">
        <v>115</v>
      </c>
      <c r="B87" s="131"/>
      <c r="C87" s="111">
        <v>0</v>
      </c>
      <c r="D87" s="111">
        <v>0</v>
      </c>
      <c r="E87" s="124">
        <v>4800</v>
      </c>
      <c r="F87" s="109">
        <f>C87*D87*E87</f>
        <v>0</v>
      </c>
      <c r="G87" s="122" t="s">
        <v>278</v>
      </c>
    </row>
    <row r="88" spans="1:7" x14ac:dyDescent="0.2">
      <c r="A88" s="130" t="s">
        <v>116</v>
      </c>
      <c r="B88" s="131"/>
      <c r="C88" s="111">
        <v>0</v>
      </c>
      <c r="D88" s="111">
        <v>0</v>
      </c>
      <c r="E88" s="124">
        <v>5500</v>
      </c>
      <c r="F88" s="109">
        <f>C88*D88*E88</f>
        <v>0</v>
      </c>
      <c r="G88" s="122" t="s">
        <v>177</v>
      </c>
    </row>
    <row r="89" spans="1:7" x14ac:dyDescent="0.2">
      <c r="A89" s="130" t="s">
        <v>117</v>
      </c>
      <c r="B89" s="131"/>
      <c r="C89" s="111">
        <v>0</v>
      </c>
      <c r="D89" s="111">
        <v>0</v>
      </c>
      <c r="E89" s="124">
        <v>7500</v>
      </c>
      <c r="F89" s="109">
        <f t="shared" si="10"/>
        <v>0</v>
      </c>
      <c r="G89" s="122" t="s">
        <v>176</v>
      </c>
    </row>
    <row r="90" spans="1:7" ht="15" customHeight="1" x14ac:dyDescent="0.2">
      <c r="A90" s="122" t="s">
        <v>203</v>
      </c>
      <c r="B90" s="123"/>
      <c r="C90" s="111">
        <v>0</v>
      </c>
      <c r="D90" s="111">
        <v>0</v>
      </c>
      <c r="E90" s="109">
        <v>8500</v>
      </c>
      <c r="F90" s="109">
        <f t="shared" si="10"/>
        <v>0</v>
      </c>
      <c r="G90" s="132" t="s">
        <v>286</v>
      </c>
    </row>
    <row r="91" spans="1:7" ht="15" customHeight="1" x14ac:dyDescent="0.2">
      <c r="A91" s="107" t="s">
        <v>187</v>
      </c>
      <c r="B91" s="110"/>
      <c r="C91" s="111">
        <v>0</v>
      </c>
      <c r="D91" s="111">
        <v>0</v>
      </c>
      <c r="E91" s="109">
        <v>13500</v>
      </c>
      <c r="F91" s="109">
        <f t="shared" si="10"/>
        <v>0</v>
      </c>
      <c r="G91" s="159" t="s">
        <v>148</v>
      </c>
    </row>
    <row r="92" spans="1:7" x14ac:dyDescent="0.2">
      <c r="A92" s="122" t="s">
        <v>95</v>
      </c>
      <c r="B92" s="123"/>
      <c r="C92" s="111">
        <v>0</v>
      </c>
      <c r="D92" s="111">
        <v>0</v>
      </c>
      <c r="E92" s="109">
        <v>2500</v>
      </c>
      <c r="F92" s="109">
        <f>C92*D92*E92</f>
        <v>0</v>
      </c>
      <c r="G92" s="106" t="s">
        <v>284</v>
      </c>
    </row>
    <row r="93" spans="1:7" x14ac:dyDescent="0.2">
      <c r="A93" s="122" t="s">
        <v>188</v>
      </c>
      <c r="B93" s="123"/>
      <c r="C93" s="111">
        <v>0</v>
      </c>
      <c r="D93" s="111">
        <v>0</v>
      </c>
      <c r="E93" s="124">
        <v>300000</v>
      </c>
      <c r="F93" s="109">
        <f>C93*D93*E93</f>
        <v>0</v>
      </c>
      <c r="G93" s="106" t="s">
        <v>279</v>
      </c>
    </row>
    <row r="94" spans="1:7" x14ac:dyDescent="0.2">
      <c r="A94" s="122" t="s">
        <v>189</v>
      </c>
      <c r="B94" s="123"/>
      <c r="C94" s="111">
        <v>0</v>
      </c>
      <c r="D94" s="111">
        <v>0</v>
      </c>
      <c r="E94" s="124">
        <v>250000</v>
      </c>
      <c r="F94" s="109">
        <f>C94*D94*E94</f>
        <v>0</v>
      </c>
      <c r="G94" s="106" t="s">
        <v>279</v>
      </c>
    </row>
    <row r="95" spans="1:7" x14ac:dyDescent="0.2">
      <c r="A95" s="122" t="s">
        <v>145</v>
      </c>
      <c r="B95" s="123"/>
      <c r="C95" s="111">
        <v>0</v>
      </c>
      <c r="D95" s="111">
        <v>0</v>
      </c>
      <c r="E95" s="124">
        <v>210000</v>
      </c>
      <c r="F95" s="109">
        <f t="shared" ref="F95:F111" si="11">C95*D95*E95</f>
        <v>0</v>
      </c>
      <c r="G95" s="106" t="s">
        <v>279</v>
      </c>
    </row>
    <row r="96" spans="1:7" x14ac:dyDescent="0.2">
      <c r="A96" s="122" t="s">
        <v>146</v>
      </c>
      <c r="B96" s="123"/>
      <c r="C96" s="111">
        <v>0</v>
      </c>
      <c r="D96" s="111">
        <v>0</v>
      </c>
      <c r="E96" s="124">
        <v>210000</v>
      </c>
      <c r="F96" s="109">
        <f t="shared" si="11"/>
        <v>0</v>
      </c>
      <c r="G96" s="106" t="s">
        <v>279</v>
      </c>
    </row>
    <row r="97" spans="1:7" x14ac:dyDescent="0.2">
      <c r="A97" s="122" t="s">
        <v>190</v>
      </c>
      <c r="B97" s="123"/>
      <c r="C97" s="111">
        <v>0</v>
      </c>
      <c r="D97" s="111">
        <v>0</v>
      </c>
      <c r="E97" s="124">
        <v>180000</v>
      </c>
      <c r="F97" s="109">
        <f t="shared" si="11"/>
        <v>0</v>
      </c>
      <c r="G97" s="106" t="s">
        <v>279</v>
      </c>
    </row>
    <row r="98" spans="1:7" x14ac:dyDescent="0.2">
      <c r="A98" s="122" t="s">
        <v>144</v>
      </c>
      <c r="B98" s="123"/>
      <c r="C98" s="111">
        <v>0</v>
      </c>
      <c r="D98" s="111">
        <v>0</v>
      </c>
      <c r="E98" s="124">
        <v>180000</v>
      </c>
      <c r="F98" s="109">
        <f t="shared" si="11"/>
        <v>0</v>
      </c>
      <c r="G98" s="106" t="s">
        <v>279</v>
      </c>
    </row>
    <row r="99" spans="1:7" x14ac:dyDescent="0.2">
      <c r="A99" s="122" t="s">
        <v>192</v>
      </c>
      <c r="B99" s="123"/>
      <c r="C99" s="111">
        <v>0</v>
      </c>
      <c r="D99" s="111">
        <v>0</v>
      </c>
      <c r="E99" s="117">
        <v>120000</v>
      </c>
      <c r="F99" s="109">
        <f t="shared" si="11"/>
        <v>0</v>
      </c>
      <c r="G99" s="106" t="s">
        <v>279</v>
      </c>
    </row>
    <row r="100" spans="1:7" x14ac:dyDescent="0.2">
      <c r="A100" s="122" t="s">
        <v>191</v>
      </c>
      <c r="B100" s="123"/>
      <c r="C100" s="111">
        <v>0</v>
      </c>
      <c r="D100" s="111">
        <v>0</v>
      </c>
      <c r="E100" s="117">
        <v>90000</v>
      </c>
      <c r="F100" s="109">
        <f t="shared" si="11"/>
        <v>0</v>
      </c>
      <c r="G100" s="106" t="s">
        <v>279</v>
      </c>
    </row>
    <row r="101" spans="1:7" x14ac:dyDescent="0.2">
      <c r="A101" s="122" t="s">
        <v>210</v>
      </c>
      <c r="B101" s="123"/>
      <c r="C101" s="111">
        <v>0</v>
      </c>
      <c r="D101" s="111">
        <v>0</v>
      </c>
      <c r="E101" s="117">
        <v>100000</v>
      </c>
      <c r="F101" s="109">
        <f t="shared" si="11"/>
        <v>0</v>
      </c>
      <c r="G101" s="106" t="s">
        <v>285</v>
      </c>
    </row>
    <row r="102" spans="1:7" x14ac:dyDescent="0.2">
      <c r="A102" s="122" t="s">
        <v>193</v>
      </c>
      <c r="B102" s="123"/>
      <c r="C102" s="111">
        <v>0</v>
      </c>
      <c r="D102" s="111">
        <v>0</v>
      </c>
      <c r="E102" s="117">
        <v>300000</v>
      </c>
      <c r="F102" s="109">
        <f t="shared" si="11"/>
        <v>0</v>
      </c>
      <c r="G102" s="106" t="s">
        <v>279</v>
      </c>
    </row>
    <row r="103" spans="1:7" x14ac:dyDescent="0.2">
      <c r="A103" s="133" t="s">
        <v>200</v>
      </c>
      <c r="B103" s="135"/>
      <c r="C103" s="111">
        <v>0</v>
      </c>
      <c r="D103" s="111">
        <v>0</v>
      </c>
      <c r="E103" s="165">
        <v>25000</v>
      </c>
      <c r="F103" s="137"/>
      <c r="G103" s="106" t="s">
        <v>201</v>
      </c>
    </row>
    <row r="104" spans="1:7" x14ac:dyDescent="0.2">
      <c r="A104" s="133" t="s">
        <v>280</v>
      </c>
      <c r="B104" s="135"/>
      <c r="C104" s="111">
        <v>0</v>
      </c>
      <c r="D104" s="111">
        <v>0</v>
      </c>
      <c r="E104" s="136">
        <v>15000</v>
      </c>
      <c r="F104" s="137"/>
      <c r="G104" s="106" t="s">
        <v>201</v>
      </c>
    </row>
    <row r="105" spans="1:7" x14ac:dyDescent="0.2">
      <c r="A105" s="133" t="s">
        <v>202</v>
      </c>
      <c r="B105" s="135"/>
      <c r="C105" s="111">
        <v>0</v>
      </c>
      <c r="D105" s="111">
        <v>0</v>
      </c>
      <c r="E105" s="136">
        <v>60000</v>
      </c>
      <c r="F105" s="137"/>
      <c r="G105" s="106"/>
    </row>
    <row r="106" spans="1:7" x14ac:dyDescent="0.2">
      <c r="A106" s="133" t="s">
        <v>149</v>
      </c>
      <c r="B106" s="134"/>
      <c r="C106" s="111">
        <v>0</v>
      </c>
      <c r="D106" s="111">
        <v>0</v>
      </c>
      <c r="E106" s="124">
        <v>150000</v>
      </c>
      <c r="F106" s="109">
        <f t="shared" si="11"/>
        <v>0</v>
      </c>
      <c r="G106" s="106" t="s">
        <v>281</v>
      </c>
    </row>
    <row r="107" spans="1:7" x14ac:dyDescent="0.2">
      <c r="A107" s="106" t="s">
        <v>194</v>
      </c>
      <c r="B107" s="138"/>
      <c r="C107" s="111">
        <v>0</v>
      </c>
      <c r="D107" s="111">
        <v>0</v>
      </c>
      <c r="E107" s="109">
        <v>100000</v>
      </c>
      <c r="F107" s="109">
        <f t="shared" si="11"/>
        <v>0</v>
      </c>
      <c r="G107" s="106" t="s">
        <v>265</v>
      </c>
    </row>
    <row r="108" spans="1:7" x14ac:dyDescent="0.2">
      <c r="A108" s="106" t="s">
        <v>195</v>
      </c>
      <c r="B108" s="138"/>
      <c r="C108" s="111">
        <v>0</v>
      </c>
      <c r="D108" s="111">
        <v>0</v>
      </c>
      <c r="E108" s="117">
        <v>150000</v>
      </c>
      <c r="F108" s="109">
        <f t="shared" si="11"/>
        <v>0</v>
      </c>
      <c r="G108" s="106" t="s">
        <v>196</v>
      </c>
    </row>
    <row r="109" spans="1:7" x14ac:dyDescent="0.2">
      <c r="A109" s="106" t="s">
        <v>197</v>
      </c>
      <c r="B109" s="138"/>
      <c r="C109" s="111">
        <v>0</v>
      </c>
      <c r="D109" s="111">
        <v>0</v>
      </c>
      <c r="E109" s="117">
        <v>380000</v>
      </c>
      <c r="F109" s="109">
        <f t="shared" si="11"/>
        <v>0</v>
      </c>
      <c r="G109" s="106" t="s">
        <v>198</v>
      </c>
    </row>
    <row r="110" spans="1:7" x14ac:dyDescent="0.2">
      <c r="A110" s="106" t="s">
        <v>199</v>
      </c>
      <c r="B110" s="138"/>
      <c r="C110" s="111">
        <v>0</v>
      </c>
      <c r="D110" s="111">
        <v>0</v>
      </c>
      <c r="E110" s="117">
        <v>280000</v>
      </c>
      <c r="F110" s="109">
        <f t="shared" si="11"/>
        <v>0</v>
      </c>
      <c r="G110" s="106" t="s">
        <v>196</v>
      </c>
    </row>
    <row r="111" spans="1:7" x14ac:dyDescent="0.2">
      <c r="A111" s="139" t="s">
        <v>164</v>
      </c>
      <c r="B111" s="140"/>
      <c r="C111" s="111">
        <v>0</v>
      </c>
      <c r="D111" s="111">
        <v>0</v>
      </c>
      <c r="E111" s="117">
        <v>650000</v>
      </c>
      <c r="F111" s="109">
        <f t="shared" si="11"/>
        <v>0</v>
      </c>
      <c r="G111" s="106" t="s">
        <v>170</v>
      </c>
    </row>
    <row r="112" spans="1:7" ht="15" customHeight="1" x14ac:dyDescent="0.2">
      <c r="A112" s="139" t="s">
        <v>163</v>
      </c>
      <c r="B112" s="140"/>
      <c r="C112" s="111">
        <v>0</v>
      </c>
      <c r="D112" s="111">
        <v>0</v>
      </c>
      <c r="E112" s="117">
        <v>450000</v>
      </c>
      <c r="F112" s="121">
        <f t="shared" ref="F112:F113" si="12">C112*D112*E112</f>
        <v>0</v>
      </c>
      <c r="G112" s="106" t="s">
        <v>174</v>
      </c>
    </row>
    <row r="113" spans="1:7" ht="15" customHeight="1" x14ac:dyDescent="0.2">
      <c r="A113" s="139" t="s">
        <v>165</v>
      </c>
      <c r="B113" s="140"/>
      <c r="C113" s="111">
        <v>0</v>
      </c>
      <c r="D113" s="111">
        <v>0</v>
      </c>
      <c r="E113" s="117">
        <v>80000</v>
      </c>
      <c r="F113" s="121">
        <f t="shared" si="12"/>
        <v>0</v>
      </c>
      <c r="G113" s="106"/>
    </row>
    <row r="114" spans="1:7" ht="15" customHeight="1" x14ac:dyDescent="0.2">
      <c r="A114" s="139" t="s">
        <v>169</v>
      </c>
      <c r="B114" s="140"/>
      <c r="C114" s="111">
        <v>0</v>
      </c>
      <c r="D114" s="111">
        <v>0</v>
      </c>
      <c r="E114" s="117">
        <v>300000</v>
      </c>
      <c r="F114" s="121">
        <f t="shared" ref="F114:F117" si="13">C114*D114*E114</f>
        <v>0</v>
      </c>
      <c r="G114" s="106" t="s">
        <v>173</v>
      </c>
    </row>
    <row r="115" spans="1:7" ht="15" customHeight="1" x14ac:dyDescent="0.2">
      <c r="A115" s="139" t="s">
        <v>166</v>
      </c>
      <c r="B115" s="140"/>
      <c r="C115" s="111">
        <v>0</v>
      </c>
      <c r="D115" s="111">
        <v>0</v>
      </c>
      <c r="E115" s="109">
        <v>680000</v>
      </c>
      <c r="F115" s="121">
        <f t="shared" si="13"/>
        <v>0</v>
      </c>
      <c r="G115" s="106" t="s">
        <v>171</v>
      </c>
    </row>
    <row r="116" spans="1:7" ht="15" customHeight="1" x14ac:dyDescent="0.2">
      <c r="A116" s="139" t="s">
        <v>166</v>
      </c>
      <c r="B116" s="140"/>
      <c r="C116" s="111">
        <v>0</v>
      </c>
      <c r="D116" s="111">
        <v>0</v>
      </c>
      <c r="E116" s="109">
        <v>580000</v>
      </c>
      <c r="F116" s="121">
        <f t="shared" si="13"/>
        <v>0</v>
      </c>
      <c r="G116" s="106" t="s">
        <v>172</v>
      </c>
    </row>
    <row r="117" spans="1:7" ht="15" customHeight="1" x14ac:dyDescent="0.2">
      <c r="A117" s="139" t="s">
        <v>168</v>
      </c>
      <c r="B117" s="140"/>
      <c r="C117" s="111">
        <v>0</v>
      </c>
      <c r="D117" s="111">
        <v>0</v>
      </c>
      <c r="E117" s="109">
        <v>580000</v>
      </c>
      <c r="F117" s="121">
        <f t="shared" si="13"/>
        <v>0</v>
      </c>
      <c r="G117" s="106" t="s">
        <v>167</v>
      </c>
    </row>
    <row r="118" spans="1:7" x14ac:dyDescent="0.2">
      <c r="A118" s="106" t="s">
        <v>206</v>
      </c>
      <c r="B118" s="138"/>
      <c r="C118" s="111">
        <v>0</v>
      </c>
      <c r="D118" s="111">
        <v>0</v>
      </c>
      <c r="E118" s="109">
        <v>180000</v>
      </c>
      <c r="F118" s="109">
        <f>C118*D118*E118</f>
        <v>0</v>
      </c>
      <c r="G118" s="106" t="s">
        <v>282</v>
      </c>
    </row>
    <row r="119" spans="1:7" x14ac:dyDescent="0.2">
      <c r="A119" s="114" t="s">
        <v>287</v>
      </c>
      <c r="B119" s="115"/>
      <c r="C119" s="116">
        <v>0</v>
      </c>
      <c r="D119" s="116">
        <v>0</v>
      </c>
      <c r="E119" s="117">
        <v>35000</v>
      </c>
      <c r="F119" s="117">
        <f t="shared" ref="F119" si="14">C119*D119*E119</f>
        <v>0</v>
      </c>
      <c r="G119" s="114" t="s">
        <v>293</v>
      </c>
    </row>
    <row r="120" spans="1:7" x14ac:dyDescent="0.2">
      <c r="A120" s="114" t="s">
        <v>288</v>
      </c>
      <c r="B120" s="115"/>
      <c r="C120" s="116">
        <v>0</v>
      </c>
      <c r="D120" s="116">
        <v>0</v>
      </c>
      <c r="E120" s="117">
        <v>55000</v>
      </c>
      <c r="F120" s="117">
        <f t="shared" ref="F120:F124" si="15">C120*D120*E120</f>
        <v>0</v>
      </c>
      <c r="G120" s="114" t="s">
        <v>293</v>
      </c>
    </row>
    <row r="121" spans="1:7" ht="17" customHeight="1" x14ac:dyDescent="0.2">
      <c r="A121" s="114" t="s">
        <v>289</v>
      </c>
      <c r="B121" s="115"/>
      <c r="C121" s="116">
        <v>0</v>
      </c>
      <c r="D121" s="116">
        <v>0</v>
      </c>
      <c r="E121" s="117">
        <v>35000</v>
      </c>
      <c r="F121" s="117">
        <f t="shared" si="15"/>
        <v>0</v>
      </c>
      <c r="G121" s="114" t="s">
        <v>270</v>
      </c>
    </row>
    <row r="122" spans="1:7" ht="17" customHeight="1" x14ac:dyDescent="0.2">
      <c r="A122" s="114" t="s">
        <v>292</v>
      </c>
      <c r="B122" s="115"/>
      <c r="C122" s="116">
        <v>0</v>
      </c>
      <c r="D122" s="116">
        <v>0</v>
      </c>
      <c r="E122" s="117">
        <v>55000</v>
      </c>
      <c r="F122" s="117">
        <f t="shared" si="15"/>
        <v>0</v>
      </c>
      <c r="G122" s="114" t="s">
        <v>294</v>
      </c>
    </row>
    <row r="123" spans="1:7" x14ac:dyDescent="0.2">
      <c r="A123" s="137" t="s">
        <v>290</v>
      </c>
      <c r="B123" s="135"/>
      <c r="C123" s="137"/>
      <c r="D123" s="137"/>
      <c r="E123" s="166">
        <v>120000</v>
      </c>
      <c r="F123" s="117">
        <f t="shared" si="15"/>
        <v>0</v>
      </c>
      <c r="G123" s="137"/>
    </row>
    <row r="124" spans="1:7" x14ac:dyDescent="0.2">
      <c r="A124" s="137" t="s">
        <v>291</v>
      </c>
      <c r="B124" s="135"/>
      <c r="C124" s="137"/>
      <c r="D124" s="137"/>
      <c r="E124" s="166">
        <v>200000</v>
      </c>
      <c r="F124" s="117">
        <f t="shared" si="15"/>
        <v>0</v>
      </c>
      <c r="G124" s="137"/>
    </row>
    <row r="125" spans="1:7" ht="17" customHeight="1" x14ac:dyDescent="0.2">
      <c r="A125" s="141"/>
      <c r="B125" s="142"/>
      <c r="C125" s="141"/>
      <c r="D125" s="141"/>
      <c r="E125" s="141"/>
      <c r="F125" s="141"/>
      <c r="G125" s="141"/>
    </row>
    <row r="126" spans="1:7" ht="17" customHeight="1" x14ac:dyDescent="0.2">
      <c r="A126" s="141"/>
      <c r="B126" s="142"/>
      <c r="C126" s="141"/>
      <c r="D126" s="141"/>
      <c r="E126" s="141"/>
      <c r="F126" s="141"/>
      <c r="G126" s="141"/>
    </row>
    <row r="127" spans="1:7" x14ac:dyDescent="0.2">
      <c r="A127" s="141"/>
      <c r="B127" s="142"/>
      <c r="C127" s="141"/>
      <c r="D127" s="141"/>
      <c r="E127" s="141"/>
      <c r="F127" s="141"/>
      <c r="G127" s="141"/>
    </row>
    <row r="128" spans="1:7" x14ac:dyDescent="0.2">
      <c r="A128" s="141"/>
      <c r="B128" s="142"/>
      <c r="C128" s="141"/>
      <c r="D128" s="141"/>
      <c r="E128" s="141"/>
      <c r="F128" s="141"/>
      <c r="G128" s="141"/>
    </row>
    <row r="144" spans="1:7" ht="17" x14ac:dyDescent="0.2">
      <c r="A144" s="23"/>
      <c r="B144" s="85"/>
      <c r="C144" s="6"/>
      <c r="D144" s="6"/>
      <c r="E144" s="6"/>
      <c r="F144" s="6"/>
      <c r="G144" s="6"/>
    </row>
  </sheetData>
  <phoneticPr fontId="8" type="noConversion"/>
  <hyperlinks>
    <hyperlink ref="D6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87"/>
      <c r="B1" s="187"/>
      <c r="C1" s="18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87"/>
      <c r="B2" s="187"/>
      <c r="C2" s="18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87"/>
      <c r="B3" s="187"/>
      <c r="C3" s="187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87"/>
      <c r="B4" s="187"/>
      <c r="C4" s="187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88" t="s">
        <v>130</v>
      </c>
      <c r="D6" s="182"/>
      <c r="E6" s="183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9" t="s">
        <v>131</v>
      </c>
      <c r="D7" s="170"/>
      <c r="E7" s="171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9" t="s">
        <v>131</v>
      </c>
      <c r="D8" s="170"/>
      <c r="E8" s="171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2" t="s">
        <v>109</v>
      </c>
      <c r="D9" s="173"/>
      <c r="E9" s="174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9" t="s">
        <v>131</v>
      </c>
      <c r="D10" s="170"/>
      <c r="E10" s="171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9" t="s">
        <v>131</v>
      </c>
      <c r="D11" s="170"/>
      <c r="E11" s="171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5" t="s">
        <v>110</v>
      </c>
      <c r="D12" s="176"/>
      <c r="E12" s="177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78" t="s">
        <v>129</v>
      </c>
      <c r="D13" s="179"/>
      <c r="E13" s="180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1" t="s">
        <v>133</v>
      </c>
      <c r="D15" s="182"/>
      <c r="E15" s="183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4" t="s">
        <v>107</v>
      </c>
      <c r="D16" s="185"/>
      <c r="E16" s="186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9" t="s">
        <v>131</v>
      </c>
      <c r="D17" s="170"/>
      <c r="E17" s="171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9" t="s">
        <v>131</v>
      </c>
      <c r="D18" s="170"/>
      <c r="E18" s="171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2" t="s">
        <v>109</v>
      </c>
      <c r="D19" s="173"/>
      <c r="E19" s="174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9" t="s">
        <v>131</v>
      </c>
      <c r="D20" s="170"/>
      <c r="E20" s="171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9" t="s">
        <v>131</v>
      </c>
      <c r="D21" s="170"/>
      <c r="E21" s="171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5" t="s">
        <v>110</v>
      </c>
      <c r="D22" s="176"/>
      <c r="E22" s="177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78" t="s">
        <v>129</v>
      </c>
      <c r="D23" s="179"/>
      <c r="E23" s="180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1" t="s">
        <v>134</v>
      </c>
      <c r="D25" s="182"/>
      <c r="E25" s="183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4" t="s">
        <v>107</v>
      </c>
      <c r="D26" s="185"/>
      <c r="E26" s="186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9" t="s">
        <v>131</v>
      </c>
      <c r="D27" s="170"/>
      <c r="E27" s="171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9" t="s">
        <v>131</v>
      </c>
      <c r="D28" s="170"/>
      <c r="E28" s="171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2" t="s">
        <v>109</v>
      </c>
      <c r="D29" s="173"/>
      <c r="E29" s="174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9" t="s">
        <v>131</v>
      </c>
      <c r="D30" s="170"/>
      <c r="E30" s="171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9" t="s">
        <v>131</v>
      </c>
      <c r="D31" s="170"/>
      <c r="E31" s="171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90"/>
      <c r="B32" s="190"/>
      <c r="C32" s="190"/>
      <c r="D32" s="190"/>
      <c r="E32" s="190"/>
      <c r="F32" s="190"/>
      <c r="G32" s="190"/>
      <c r="H32" s="190"/>
      <c r="I32" s="190"/>
      <c r="J32" s="55"/>
      <c r="K32" s="55"/>
      <c r="L32" s="55"/>
      <c r="M32" s="55"/>
      <c r="N32" s="55"/>
    </row>
    <row r="33" spans="1:14" s="56" customFormat="1" ht="15" customHeight="1" x14ac:dyDescent="0.2">
      <c r="A33" s="191" t="s">
        <v>135</v>
      </c>
      <c r="B33" s="191"/>
      <c r="C33" s="191"/>
      <c r="D33" s="191"/>
      <c r="E33" s="191"/>
      <c r="F33" s="191"/>
      <c r="G33" s="191"/>
      <c r="H33" s="191"/>
      <c r="I33" s="191"/>
      <c r="J33" s="55"/>
      <c r="K33" s="55"/>
      <c r="L33" s="55"/>
      <c r="M33" s="55"/>
      <c r="N33" s="55"/>
    </row>
    <row r="34" spans="1:14" s="56" customFormat="1" ht="15" customHeight="1" x14ac:dyDescent="0.2">
      <c r="A34" s="190"/>
      <c r="B34" s="190"/>
      <c r="C34" s="190"/>
      <c r="D34" s="190"/>
      <c r="E34" s="190"/>
      <c r="F34" s="190"/>
      <c r="G34" s="190"/>
      <c r="H34" s="190"/>
      <c r="I34" s="190"/>
      <c r="J34" s="55"/>
      <c r="K34" s="55"/>
      <c r="L34" s="55"/>
      <c r="M34" s="55"/>
      <c r="N34" s="55"/>
    </row>
    <row r="35" spans="1:14" s="56" customFormat="1" ht="15" customHeight="1" x14ac:dyDescent="0.2">
      <c r="A35" s="190"/>
      <c r="B35" s="190"/>
      <c r="C35" s="190"/>
      <c r="D35" s="190"/>
      <c r="E35" s="190"/>
      <c r="F35" s="190"/>
      <c r="G35" s="190"/>
      <c r="H35" s="190"/>
      <c r="I35" s="190"/>
      <c r="J35" s="55"/>
      <c r="K35" s="55"/>
      <c r="L35" s="55"/>
      <c r="M35" s="55"/>
      <c r="N35" s="55"/>
    </row>
    <row r="36" spans="1:14" s="56" customFormat="1" ht="15" customHeight="1" x14ac:dyDescent="0.2">
      <c r="A36" s="190"/>
      <c r="B36" s="190"/>
      <c r="C36" s="190"/>
      <c r="D36" s="190"/>
      <c r="E36" s="190"/>
      <c r="F36" s="190"/>
      <c r="G36" s="190"/>
      <c r="H36" s="190"/>
      <c r="I36" s="190"/>
      <c r="J36" s="55"/>
      <c r="K36" s="55"/>
      <c r="L36" s="55"/>
      <c r="M36" s="55"/>
      <c r="N36" s="55"/>
    </row>
    <row r="37" spans="1:14" s="56" customFormat="1" ht="15" customHeight="1" x14ac:dyDescent="0.2">
      <c r="A37" s="190"/>
      <c r="B37" s="190"/>
      <c r="C37" s="190"/>
      <c r="D37" s="190"/>
      <c r="E37" s="190"/>
      <c r="F37" s="190"/>
      <c r="G37" s="190"/>
      <c r="H37" s="190"/>
      <c r="I37" s="190"/>
      <c r="J37" s="55"/>
      <c r="K37" s="55"/>
      <c r="L37" s="55"/>
      <c r="M37" s="55"/>
      <c r="N37" s="55"/>
    </row>
    <row r="38" spans="1:14" s="56" customFormat="1" ht="15" customHeight="1" x14ac:dyDescent="0.2">
      <c r="A38" s="190"/>
      <c r="B38" s="190"/>
      <c r="C38" s="190"/>
      <c r="D38" s="190"/>
      <c r="E38" s="190"/>
      <c r="F38" s="190"/>
      <c r="G38" s="190"/>
      <c r="H38" s="190"/>
      <c r="I38" s="190"/>
      <c r="J38" s="55"/>
      <c r="K38" s="55"/>
      <c r="L38" s="55"/>
      <c r="M38" s="55"/>
      <c r="N38" s="55"/>
    </row>
    <row r="39" spans="1:14" s="56" customFormat="1" ht="15" customHeight="1" x14ac:dyDescent="0.2">
      <c r="A39" s="190"/>
      <c r="B39" s="190"/>
      <c r="C39" s="190"/>
      <c r="D39" s="190"/>
      <c r="E39" s="190"/>
      <c r="F39" s="190"/>
      <c r="G39" s="190"/>
      <c r="H39" s="190"/>
      <c r="I39" s="190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92" t="s">
        <v>111</v>
      </c>
      <c r="B44" s="192"/>
      <c r="C44" s="192"/>
      <c r="D44" s="192"/>
      <c r="E44" s="192"/>
      <c r="F44" s="192"/>
      <c r="G44" s="192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87"/>
      <c r="B45" s="187"/>
      <c r="C45" s="187"/>
      <c r="D45" s="187"/>
      <c r="E45" s="187"/>
      <c r="F45" s="187"/>
      <c r="G45" s="187"/>
      <c r="H45" s="36"/>
      <c r="I45" s="22"/>
      <c r="J45" s="22"/>
      <c r="K45" s="22"/>
      <c r="L45" s="22"/>
      <c r="M45" s="22"/>
      <c r="N45" s="22"/>
    </row>
    <row r="46" spans="1:14" x14ac:dyDescent="0.2">
      <c r="A46" s="189" t="s">
        <v>113</v>
      </c>
      <c r="B46" s="189"/>
      <c r="C46" s="189"/>
      <c r="D46" s="189"/>
      <c r="E46" s="189"/>
      <c r="F46" s="189"/>
      <c r="G46" s="189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241</v>
      </c>
    </row>
    <row r="3" spans="1:1" ht="28" customHeight="1" thickBot="1" x14ac:dyDescent="0.25">
      <c r="A3" s="97" t="s">
        <v>242</v>
      </c>
    </row>
    <row r="4" spans="1:1" ht="17" x14ac:dyDescent="0.2">
      <c r="A4" s="98" t="s">
        <v>243</v>
      </c>
    </row>
    <row r="5" spans="1:1" ht="41" customHeight="1" x14ac:dyDescent="0.25">
      <c r="A5" s="99" t="s">
        <v>244</v>
      </c>
    </row>
    <row r="6" spans="1:1" ht="33" customHeight="1" thickBot="1" x14ac:dyDescent="0.25">
      <c r="A6" s="97" t="s">
        <v>246</v>
      </c>
    </row>
    <row r="7" spans="1:1" ht="29" customHeight="1" thickBot="1" x14ac:dyDescent="0.25">
      <c r="A7" s="10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2018-01-04T19:42:23Z</dcterms:modified>
</cp:coreProperties>
</file>