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80" windowWidth="25600" windowHeight="145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1" i="1" l="1"/>
  <c r="F15" i="1"/>
  <c r="F16" i="1"/>
  <c r="F17" i="1"/>
  <c r="F18" i="1"/>
  <c r="F19" i="1"/>
  <c r="F9" i="1"/>
  <c r="E10" i="1"/>
  <c r="F10" i="1"/>
  <c r="E11" i="1"/>
  <c r="F11" i="1"/>
  <c r="F12" i="1"/>
  <c r="F22" i="1"/>
  <c r="F29" i="1"/>
  <c r="F25" i="1"/>
  <c r="F24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/>
  <c r="F31" i="1"/>
</calcChain>
</file>

<file path=xl/sharedStrings.xml><?xml version="1.0" encoding="utf-8"?>
<sst xmlns="http://schemas.openxmlformats.org/spreadsheetml/2006/main" count="380" uniqueCount="212">
  <si>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</si>
  <si>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</si>
  <si>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</si>
  <si>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</si>
  <si>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</si>
  <si>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</si>
  <si>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</si>
  <si>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</si>
  <si>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</si>
  <si>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</si>
  <si>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</si>
  <si>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</si>
  <si>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</si>
  <si>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</si>
  <si>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</si>
  <si>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</si>
  <si>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</si>
  <si>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</si>
  <si>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</si>
  <si>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</si>
  <si>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</si>
  <si>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</si>
  <si>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</si>
  <si>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</si>
  <si>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</si>
  <si>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</si>
  <si>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</si>
  <si>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</si>
  <si>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</si>
  <si>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</si>
  <si>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</si>
  <si>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</si>
  <si>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</si>
  <si>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</si>
  <si>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</si>
  <si>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</si>
  <si>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</si>
  <si>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</si>
  <si>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</si>
  <si>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</si>
  <si>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</si>
  <si>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</si>
  <si>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</si>
  <si>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</si>
  <si>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</si>
  <si>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</si>
  <si>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</si>
  <si>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</si>
  <si>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</si>
  <si>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</si>
  <si>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</si>
  <si>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</si>
  <si>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</si>
  <si>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</si>
  <si>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</si>
  <si>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</si>
  <si>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</si>
  <si>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</si>
  <si>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</si>
  <si>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</si>
  <si>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</si>
  <si>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</si>
  <si>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</si>
  <si>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</si>
  <si>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</si>
  <si>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</si>
  <si>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</si>
  <si>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</si>
  <si>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</si>
  <si>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</si>
  <si>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</si>
  <si>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</si>
  <si>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</si>
  <si>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</si>
  <si>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</si>
  <si>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</si>
  <si>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</si>
  <si>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</si>
  <si>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</si>
  <si>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</si>
  <si>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</si>
  <si>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</si>
  <si>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</si>
  <si>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</si>
  <si>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</si>
  <si>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</si>
  <si>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</si>
  <si>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</si>
  <si>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</si>
  <si>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</si>
  <si>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</si>
  <si>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</si>
  <si>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</si>
  <si>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</si>
  <si>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</si>
  <si>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</si>
  <si>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</si>
  <si>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</si>
  <si>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</si>
  <si>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</si>
  <si>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</si>
  <si>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</si>
  <si>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</si>
  <si>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</si>
  <si>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</si>
  <si>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</si>
  <si>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</si>
  <si>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</si>
  <si>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</si>
  <si>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</si>
  <si>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</si>
  <si>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</si>
  <si>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</si>
  <si>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</si>
  <si>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</si>
  <si>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</si>
  <si>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</si>
  <si>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</si>
  <si>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</si>
  <si>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</si>
  <si>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</si>
  <si>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</si>
  <si>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</si>
  <si>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</si>
  <si>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</si>
  <si>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</si>
  <si>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</si>
  <si>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</si>
  <si>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</si>
  <si>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</si>
  <si>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</si>
  <si>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</si>
  <si>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</si>
  <si>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</si>
  <si>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</si>
  <si>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</si>
  <si>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</si>
  <si>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</si>
  <si>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</si>
  <si>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</si>
  <si>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</si>
  <si>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</si>
  <si>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</si>
  <si>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</si>
  <si>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</si>
  <si>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</si>
  <si>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</si>
  <si>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</si>
  <si>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</si>
  <si>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</si>
  <si>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</si>
  <si>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</si>
  <si>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</si>
  <si>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</si>
  <si>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</si>
  <si>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</si>
  <si>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</si>
  <si>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</si>
  <si>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</si>
  <si>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</si>
  <si>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</si>
  <si>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</si>
  <si>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</si>
  <si>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</si>
  <si>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</si>
  <si>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</si>
  <si>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</si>
  <si>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</si>
  <si>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</si>
  <si>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</si>
  <si>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</si>
  <si>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</si>
  <si>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</si>
  <si>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</si>
  <si>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</si>
  <si>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</si>
  <si>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</si>
  <si>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</si>
  <si>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</si>
  <si>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</si>
  <si>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</si>
  <si>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</si>
  <si>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</si>
  <si>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</si>
  <si>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</si>
  <si>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</si>
  <si>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</si>
  <si>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</si>
  <si>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</si>
  <si>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</si>
  <si>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</si>
  <si>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Total evento con IVA</t>
  </si>
  <si>
    <t>Alojamiento</t>
  </si>
  <si>
    <t>Alimentos Y bebidas</t>
  </si>
  <si>
    <t>Noches</t>
  </si>
  <si>
    <t>UDS</t>
  </si>
  <si>
    <t>Salon</t>
  </si>
  <si>
    <t>en escuela, data, telón, papelografo, estación permanente de agua, café, te.</t>
  </si>
  <si>
    <t>dias</t>
  </si>
  <si>
    <t>uds</t>
  </si>
  <si>
    <t xml:space="preserve"> Enero 2019</t>
  </si>
  <si>
    <t>1.- Salón en escuela  con mesas.</t>
  </si>
  <si>
    <t>72.124.600 - 0</t>
  </si>
  <si>
    <t>Federación Gremial Nacional de Transporte Escolar y Turismo de Chile Fentetuch.</t>
  </si>
  <si>
    <t>Direccion: Navidad 86, La Florida.</t>
  </si>
  <si>
    <t>Representante Legal:  Verónica Laura Contreras Altamirano</t>
  </si>
  <si>
    <t xml:space="preserve"> German Segura</t>
  </si>
  <si>
    <t>Salón de cortesia</t>
  </si>
  <si>
    <t>Habitación doble hotel, valor por persona</t>
  </si>
  <si>
    <t>Habitación triple hotel, Valor por persona</t>
  </si>
  <si>
    <t>Café, té, agua, jugo de pulpa, 2 facturitas ó 1 muffins y 2 tapaditos, opcional no inc.</t>
  </si>
  <si>
    <t>Valor proprorcional a 1 pasajero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</si>
</sst>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h:mm:ss;@"/>
  </numFmts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7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7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6" fillId="9" borderId="11" xfId="0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8" fillId="0" borderId="0" xfId="0" applyFont="1" applyAlignment="1">
      <alignment vertical="center"/>
    </xf>
    <xf numFmtId="0" fontId="6" fillId="9" borderId="11" xfId="0" applyFont="1" applyFill="1" applyBorder="1" applyAlignment="1">
      <alignment vertical="center"/>
    </xf>
    <xf numFmtId="0" fontId="0" fillId="3" borderId="19" xfId="0" applyFont="1" applyFill="1" applyBorder="1" applyAlignment="1">
      <alignment horizontal="center"/>
    </xf>
    <xf numFmtId="6" fontId="6" fillId="3" borderId="19" xfId="0" applyNumberFormat="1" applyFont="1" applyFill="1" applyBorder="1" applyAlignment="1">
      <alignment horizontal="right"/>
    </xf>
    <xf numFmtId="0" fontId="6" fillId="9" borderId="20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Fill="1" applyAlignment="1">
      <alignment horizontal="left"/>
    </xf>
    <xf numFmtId="164" fontId="2" fillId="10" borderId="10" xfId="0" applyNumberFormat="1" applyFont="1" applyFill="1" applyBorder="1" applyAlignment="1">
      <alignment horizontal="left"/>
    </xf>
    <xf numFmtId="164" fontId="6" fillId="9" borderId="2" xfId="0" applyNumberFormat="1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1"/>
  <sheetViews>
    <sheetView tabSelected="1" workbookViewId="0">
      <selection activeCell="F30" sqref="F30"/>
    </sheetView>
  </sheetViews>
  <sheetFormatPr baseColWidth="10" defaultRowHeight="16" x14ac:dyDescent="0.2"/>
  <cols>
    <col min="1" max="1" width="36.6640625" customWidth="1"/>
    <col min="2" max="2" width="14.1640625" style="123" customWidth="1"/>
    <col min="3" max="3" width="6.5" customWidth="1"/>
    <col min="4" max="4" width="6.33203125" customWidth="1"/>
    <col min="5" max="5" width="13" customWidth="1"/>
    <col min="6" max="6" width="11.83203125" customWidth="1"/>
    <col min="7" max="7" width="81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22"/>
      <c r="C1" s="73" t="s">
        <v>116</v>
      </c>
    </row>
    <row r="2" spans="1:7" x14ac:dyDescent="0.2">
      <c r="G2" t="s">
        <v>158</v>
      </c>
    </row>
    <row r="3" spans="1:7" x14ac:dyDescent="0.2">
      <c r="A3" s="70" t="s">
        <v>117</v>
      </c>
      <c r="B3" s="123" t="s">
        <v>206</v>
      </c>
      <c r="E3" t="s">
        <v>3</v>
      </c>
      <c r="F3" s="34"/>
      <c r="G3" s="85" t="s">
        <v>201</v>
      </c>
    </row>
    <row r="4" spans="1:7" x14ac:dyDescent="0.2">
      <c r="A4" t="s">
        <v>118</v>
      </c>
      <c r="C4" s="74"/>
      <c r="E4" t="s">
        <v>5</v>
      </c>
      <c r="G4" s="86" t="s">
        <v>159</v>
      </c>
    </row>
    <row r="5" spans="1:7" x14ac:dyDescent="0.2">
      <c r="A5" t="s">
        <v>119</v>
      </c>
      <c r="B5" s="123" t="s">
        <v>200</v>
      </c>
      <c r="E5" t="s">
        <v>4</v>
      </c>
      <c r="F5" s="34">
        <v>20</v>
      </c>
      <c r="G5" s="86" t="s">
        <v>160</v>
      </c>
    </row>
    <row r="6" spans="1:7" x14ac:dyDescent="0.2">
      <c r="A6" s="72" t="s">
        <v>121</v>
      </c>
      <c r="B6" s="124"/>
      <c r="C6" s="71"/>
      <c r="D6" s="71"/>
      <c r="E6" s="71" t="s">
        <v>120</v>
      </c>
      <c r="F6" s="71"/>
      <c r="G6" s="86" t="s">
        <v>161</v>
      </c>
    </row>
    <row r="7" spans="1:7" ht="17" thickBot="1" x14ac:dyDescent="0.25">
      <c r="A7" s="71"/>
      <c r="B7" s="124"/>
      <c r="C7" s="71"/>
      <c r="D7" s="71"/>
      <c r="E7" s="71"/>
      <c r="F7" s="71"/>
      <c r="G7" s="86"/>
    </row>
    <row r="8" spans="1:7" ht="15.75" customHeight="1" x14ac:dyDescent="0.2">
      <c r="A8" s="114" t="s">
        <v>192</v>
      </c>
      <c r="B8" s="115" t="s">
        <v>134</v>
      </c>
      <c r="C8" s="116" t="s">
        <v>194</v>
      </c>
      <c r="D8" s="116" t="s">
        <v>195</v>
      </c>
      <c r="E8" s="116" t="s">
        <v>0</v>
      </c>
      <c r="F8" s="116" t="s">
        <v>1</v>
      </c>
      <c r="G8" s="117" t="s">
        <v>7</v>
      </c>
    </row>
    <row r="9" spans="1:7" x14ac:dyDescent="0.2">
      <c r="A9" s="104" t="s">
        <v>124</v>
      </c>
      <c r="B9" s="105"/>
      <c r="C9" s="106">
        <v>0</v>
      </c>
      <c r="D9" s="106">
        <v>0</v>
      </c>
      <c r="E9" s="107">
        <v>99000</v>
      </c>
      <c r="F9" s="107">
        <f t="shared" ref="F9:F11" si="0">C9*D9*E9</f>
        <v>0</v>
      </c>
      <c r="G9" s="104" t="s">
        <v>186</v>
      </c>
    </row>
    <row r="10" spans="1:7" x14ac:dyDescent="0.2">
      <c r="A10" s="104" t="s">
        <v>208</v>
      </c>
      <c r="B10" s="105"/>
      <c r="C10" s="106">
        <v>0</v>
      </c>
      <c r="D10" s="106">
        <v>0</v>
      </c>
      <c r="E10" s="107">
        <f>113500/3</f>
        <v>37833.333333333336</v>
      </c>
      <c r="F10" s="107">
        <f t="shared" si="0"/>
        <v>0</v>
      </c>
      <c r="G10" s="104" t="s">
        <v>162</v>
      </c>
    </row>
    <row r="11" spans="1:7" x14ac:dyDescent="0.2">
      <c r="A11" s="104" t="s">
        <v>209</v>
      </c>
      <c r="B11" s="105"/>
      <c r="C11" s="106">
        <v>0</v>
      </c>
      <c r="D11" s="106">
        <v>0</v>
      </c>
      <c r="E11" s="107">
        <f>128000/3</f>
        <v>42666.666666666664</v>
      </c>
      <c r="F11" s="107">
        <f t="shared" si="0"/>
        <v>0</v>
      </c>
      <c r="G11" s="104" t="s">
        <v>163</v>
      </c>
    </row>
    <row r="12" spans="1:7" ht="16.5" customHeight="1" thickBot="1" x14ac:dyDescent="0.25">
      <c r="A12" s="2" t="s">
        <v>86</v>
      </c>
      <c r="B12" s="127"/>
      <c r="C12" s="33"/>
      <c r="D12" s="23" t="s">
        <v>2</v>
      </c>
      <c r="E12" s="7"/>
      <c r="F12" s="5">
        <f>SUM(F9:F11)</f>
        <v>0</v>
      </c>
      <c r="G12" s="32" t="s">
        <v>2</v>
      </c>
    </row>
    <row r="13" spans="1:7" ht="16.5" customHeight="1" x14ac:dyDescent="0.2">
      <c r="A13" s="114" t="s">
        <v>193</v>
      </c>
      <c r="B13" s="125"/>
      <c r="C13" s="116" t="s">
        <v>104</v>
      </c>
      <c r="D13" s="116" t="s">
        <v>6</v>
      </c>
      <c r="E13" s="116" t="s">
        <v>0</v>
      </c>
      <c r="F13" s="116" t="s">
        <v>1</v>
      </c>
      <c r="G13" s="117" t="s">
        <v>7</v>
      </c>
    </row>
    <row r="14" spans="1:7" ht="16.5" customHeight="1" x14ac:dyDescent="0.2">
      <c r="A14" s="92" t="s">
        <v>8</v>
      </c>
      <c r="B14" s="126"/>
      <c r="C14" s="93">
        <v>0</v>
      </c>
      <c r="D14" s="93">
        <v>0</v>
      </c>
      <c r="E14" s="94">
        <v>9500</v>
      </c>
      <c r="F14" s="95" t="s">
        <v>105</v>
      </c>
      <c r="G14" s="96" t="s">
        <v>187</v>
      </c>
    </row>
    <row r="15" spans="1:7" ht="16.5" customHeight="1" x14ac:dyDescent="0.2">
      <c r="A15" s="97" t="s">
        <v>102</v>
      </c>
      <c r="B15" s="98"/>
      <c r="C15" s="93">
        <v>1</v>
      </c>
      <c r="D15" s="93">
        <v>1</v>
      </c>
      <c r="E15" s="99">
        <v>15000</v>
      </c>
      <c r="F15" s="99">
        <f>C15*D15*E15</f>
        <v>15000</v>
      </c>
      <c r="G15" s="96" t="s">
        <v>101</v>
      </c>
    </row>
    <row r="16" spans="1:7" x14ac:dyDescent="0.2">
      <c r="A16" s="102" t="s">
        <v>103</v>
      </c>
      <c r="B16" s="98" t="s">
        <v>135</v>
      </c>
      <c r="C16" s="93">
        <v>0</v>
      </c>
      <c r="D16" s="93">
        <v>0</v>
      </c>
      <c r="E16" s="103">
        <v>15000</v>
      </c>
      <c r="F16" s="95">
        <f>C16*D16*E16</f>
        <v>0</v>
      </c>
      <c r="G16" s="96" t="s">
        <v>188</v>
      </c>
    </row>
    <row r="17" spans="1:7" x14ac:dyDescent="0.2">
      <c r="A17" s="97" t="s">
        <v>189</v>
      </c>
      <c r="B17" s="100"/>
      <c r="C17" s="101">
        <v>1</v>
      </c>
      <c r="D17" s="101">
        <v>1</v>
      </c>
      <c r="E17" s="99">
        <v>1500</v>
      </c>
      <c r="F17" s="99">
        <f t="shared" ref="F17" si="1">C17*D17*E17</f>
        <v>1500</v>
      </c>
      <c r="G17" s="96" t="s">
        <v>185</v>
      </c>
    </row>
    <row r="18" spans="1:7" x14ac:dyDescent="0.2">
      <c r="A18" s="110" t="s">
        <v>190</v>
      </c>
      <c r="B18" s="98"/>
      <c r="C18" s="93">
        <v>2</v>
      </c>
      <c r="D18" s="111">
        <v>1</v>
      </c>
      <c r="E18" s="103">
        <v>3850</v>
      </c>
      <c r="F18" s="112">
        <f>E18*D18*C18</f>
        <v>7700</v>
      </c>
      <c r="G18" s="113" t="s">
        <v>210</v>
      </c>
    </row>
    <row r="19" spans="1:7" ht="17" thickBot="1" x14ac:dyDescent="0.25">
      <c r="A19" s="2" t="s">
        <v>86</v>
      </c>
      <c r="B19" s="100"/>
      <c r="C19" s="101"/>
      <c r="D19" s="101"/>
      <c r="E19" s="99" t="s">
        <v>2</v>
      </c>
      <c r="F19" s="99">
        <f>SUM(F14:F18)</f>
        <v>24200</v>
      </c>
      <c r="G19" s="96"/>
    </row>
    <row r="20" spans="1:7" x14ac:dyDescent="0.2">
      <c r="A20" s="114" t="s">
        <v>196</v>
      </c>
      <c r="B20" s="125"/>
      <c r="C20" s="116" t="s">
        <v>198</v>
      </c>
      <c r="D20" s="116" t="s">
        <v>199</v>
      </c>
      <c r="E20" s="116" t="s">
        <v>0</v>
      </c>
      <c r="F20" s="116" t="s">
        <v>1</v>
      </c>
      <c r="G20" s="117" t="s">
        <v>7</v>
      </c>
    </row>
    <row r="21" spans="1:7" x14ac:dyDescent="0.2">
      <c r="A21" s="92" t="s">
        <v>207</v>
      </c>
      <c r="B21" s="126"/>
      <c r="C21" s="93">
        <v>1</v>
      </c>
      <c r="D21" s="93">
        <v>1</v>
      </c>
      <c r="E21" s="94">
        <v>200000</v>
      </c>
      <c r="F21" s="95">
        <f>C21*D21*E21/20</f>
        <v>10000</v>
      </c>
      <c r="G21" s="96" t="s">
        <v>197</v>
      </c>
    </row>
    <row r="22" spans="1:7" ht="20" customHeight="1" x14ac:dyDescent="0.2">
      <c r="A22" s="2" t="s">
        <v>86</v>
      </c>
      <c r="B22" s="100"/>
      <c r="C22" s="101"/>
      <c r="D22" s="101"/>
      <c r="E22" s="99"/>
      <c r="F22" s="99">
        <f>SUM(F21:F21)</f>
        <v>10000</v>
      </c>
      <c r="G22" s="96" t="s">
        <v>211</v>
      </c>
    </row>
    <row r="23" spans="1:7" x14ac:dyDescent="0.2">
      <c r="A23" s="118" t="s">
        <v>180</v>
      </c>
      <c r="B23" s="119" t="s">
        <v>183</v>
      </c>
      <c r="C23" s="120"/>
      <c r="D23" s="120"/>
      <c r="E23" s="121"/>
      <c r="F23" s="121"/>
      <c r="G23" s="118" t="s">
        <v>181</v>
      </c>
    </row>
    <row r="24" spans="1:7" x14ac:dyDescent="0.2">
      <c r="A24" s="104" t="s">
        <v>174</v>
      </c>
      <c r="B24" s="105" t="s">
        <v>178</v>
      </c>
      <c r="C24" s="106">
        <v>0</v>
      </c>
      <c r="D24" s="106">
        <v>0</v>
      </c>
      <c r="E24" s="107">
        <v>0</v>
      </c>
      <c r="F24" s="107">
        <f t="shared" ref="F24:F25" si="2">C24*D24*E24</f>
        <v>0</v>
      </c>
      <c r="G24" s="108" t="s">
        <v>176</v>
      </c>
    </row>
    <row r="25" spans="1:7" x14ac:dyDescent="0.2">
      <c r="A25" s="104" t="s">
        <v>170</v>
      </c>
      <c r="B25" s="105" t="s">
        <v>178</v>
      </c>
      <c r="C25" s="106">
        <v>0</v>
      </c>
      <c r="D25" s="106">
        <v>0</v>
      </c>
      <c r="E25" s="107">
        <v>0</v>
      </c>
      <c r="F25" s="107">
        <f t="shared" si="2"/>
        <v>0</v>
      </c>
      <c r="G25" s="108" t="s">
        <v>177</v>
      </c>
    </row>
    <row r="26" spans="1:7" x14ac:dyDescent="0.2">
      <c r="A26" s="104" t="s">
        <v>171</v>
      </c>
      <c r="B26" s="105" t="s">
        <v>179</v>
      </c>
      <c r="C26" s="106">
        <v>0</v>
      </c>
      <c r="D26" s="106">
        <v>0</v>
      </c>
      <c r="E26" s="107">
        <v>0</v>
      </c>
      <c r="F26" s="107"/>
      <c r="G26" s="108" t="s">
        <v>175</v>
      </c>
    </row>
    <row r="27" spans="1:7" x14ac:dyDescent="0.2">
      <c r="A27" s="104" t="s">
        <v>172</v>
      </c>
      <c r="B27" s="105" t="s">
        <v>179</v>
      </c>
      <c r="C27" s="106"/>
      <c r="D27" s="106"/>
      <c r="E27" s="107">
        <v>0</v>
      </c>
      <c r="F27" s="107"/>
      <c r="G27" s="104" t="s">
        <v>173</v>
      </c>
    </row>
    <row r="28" spans="1:7" ht="16.5" customHeight="1" thickBot="1" x14ac:dyDescent="0.25">
      <c r="A28" s="2" t="s">
        <v>86</v>
      </c>
      <c r="B28" s="127"/>
      <c r="C28" s="33"/>
      <c r="D28" s="23"/>
      <c r="E28" s="7"/>
      <c r="F28" s="5">
        <v>0</v>
      </c>
      <c r="G28" s="32" t="s">
        <v>2</v>
      </c>
    </row>
    <row r="29" spans="1:7" ht="17" thickBot="1" x14ac:dyDescent="0.25">
      <c r="A29" s="36" t="s">
        <v>182</v>
      </c>
      <c r="B29" s="128"/>
      <c r="C29" s="37"/>
      <c r="D29" s="37"/>
      <c r="E29" s="38"/>
      <c r="F29" s="39">
        <f>F12+F19+F22</f>
        <v>34200</v>
      </c>
      <c r="G29" s="6" t="s">
        <v>122</v>
      </c>
    </row>
    <row r="30" spans="1:7" x14ac:dyDescent="0.2">
      <c r="A30" s="3" t="s">
        <v>123</v>
      </c>
      <c r="B30" s="129"/>
      <c r="C30" s="31"/>
      <c r="D30" s="23"/>
      <c r="E30" s="7"/>
      <c r="F30" s="5">
        <f>F29*1.19-F29</f>
        <v>6498</v>
      </c>
      <c r="G30" s="6"/>
    </row>
    <row r="31" spans="1:7" x14ac:dyDescent="0.2">
      <c r="A31" s="78" t="s">
        <v>191</v>
      </c>
      <c r="B31" s="130"/>
      <c r="C31" s="79"/>
      <c r="D31" s="79"/>
      <c r="E31" s="80"/>
      <c r="F31" s="81">
        <f>F29+F30</f>
        <v>40698</v>
      </c>
      <c r="G31" s="6"/>
    </row>
    <row r="32" spans="1:7" x14ac:dyDescent="0.2">
      <c r="A32" s="3"/>
      <c r="B32" s="129"/>
      <c r="C32" s="31"/>
      <c r="D32" s="23"/>
      <c r="E32" s="7"/>
      <c r="F32" s="4"/>
      <c r="G32" s="6"/>
    </row>
    <row r="33" spans="1:7" ht="19" x14ac:dyDescent="0.2">
      <c r="A33" s="83" t="s">
        <v>136</v>
      </c>
      <c r="B33" s="131"/>
      <c r="E33" s="77"/>
      <c r="F33" s="77"/>
      <c r="G33" s="77"/>
    </row>
    <row r="34" spans="1:7" ht="19" x14ac:dyDescent="0.2">
      <c r="A34" s="82" t="s">
        <v>137</v>
      </c>
      <c r="B34" s="131"/>
      <c r="E34" s="76"/>
      <c r="F34" s="76"/>
      <c r="G34" s="76"/>
    </row>
    <row r="35" spans="1:7" ht="17" x14ac:dyDescent="0.2">
      <c r="A35" s="77" t="s">
        <v>138</v>
      </c>
      <c r="B35" s="131"/>
    </row>
    <row r="36" spans="1:7" ht="17" x14ac:dyDescent="0.2">
      <c r="A36" s="77"/>
      <c r="B36" s="131"/>
    </row>
    <row r="37" spans="1:7" ht="19" x14ac:dyDescent="0.2">
      <c r="A37" s="83" t="s">
        <v>125</v>
      </c>
      <c r="B37" s="131"/>
    </row>
    <row r="38" spans="1:7" ht="17" x14ac:dyDescent="0.2">
      <c r="A38" s="77" t="s">
        <v>139</v>
      </c>
      <c r="B38" s="131"/>
    </row>
    <row r="39" spans="1:7" ht="17" x14ac:dyDescent="0.2">
      <c r="A39" s="77" t="s">
        <v>140</v>
      </c>
      <c r="B39" s="131"/>
    </row>
    <row r="40" spans="1:7" ht="17" x14ac:dyDescent="0.2">
      <c r="A40" s="77" t="s">
        <v>141</v>
      </c>
      <c r="B40" s="131"/>
    </row>
    <row r="41" spans="1:7" ht="17" x14ac:dyDescent="0.2">
      <c r="A41" s="75" t="s">
        <v>126</v>
      </c>
      <c r="B41" s="131"/>
    </row>
    <row r="42" spans="1:7" ht="17" x14ac:dyDescent="0.2">
      <c r="A42" s="77" t="s">
        <v>142</v>
      </c>
      <c r="B42" s="131"/>
    </row>
    <row r="43" spans="1:7" ht="17" x14ac:dyDescent="0.2">
      <c r="A43" s="77" t="s">
        <v>127</v>
      </c>
      <c r="B43" s="131"/>
    </row>
    <row r="44" spans="1:7" ht="17" x14ac:dyDescent="0.2">
      <c r="A44" s="75" t="s">
        <v>143</v>
      </c>
      <c r="B44" s="131"/>
    </row>
    <row r="45" spans="1:7" ht="17" x14ac:dyDescent="0.2">
      <c r="A45" s="77" t="s">
        <v>128</v>
      </c>
      <c r="B45" s="131"/>
    </row>
    <row r="46" spans="1:7" ht="17" x14ac:dyDescent="0.2">
      <c r="A46" s="77" t="s">
        <v>129</v>
      </c>
      <c r="B46" s="131"/>
    </row>
    <row r="47" spans="1:7" ht="17" x14ac:dyDescent="0.2">
      <c r="A47" s="77" t="s">
        <v>130</v>
      </c>
      <c r="B47" s="131"/>
    </row>
    <row r="48" spans="1:7" ht="17" x14ac:dyDescent="0.2">
      <c r="A48" s="77" t="s">
        <v>131</v>
      </c>
      <c r="B48" s="131"/>
    </row>
    <row r="49" spans="1:6" ht="17" x14ac:dyDescent="0.2">
      <c r="A49" s="77" t="s">
        <v>132</v>
      </c>
      <c r="B49" s="131"/>
    </row>
    <row r="50" spans="1:6" ht="17" x14ac:dyDescent="0.2">
      <c r="A50" s="77" t="s">
        <v>133</v>
      </c>
      <c r="B50" s="131"/>
    </row>
    <row r="51" spans="1:6" ht="17" x14ac:dyDescent="0.2">
      <c r="A51" s="77"/>
      <c r="B51" s="131"/>
    </row>
    <row r="52" spans="1:6" ht="17" x14ac:dyDescent="0.2">
      <c r="A52" s="109" t="s">
        <v>184</v>
      </c>
      <c r="B52" s="131"/>
    </row>
    <row r="53" spans="1:6" ht="17" x14ac:dyDescent="0.2">
      <c r="A53" s="77" t="s">
        <v>144</v>
      </c>
      <c r="B53" s="132" t="s">
        <v>145</v>
      </c>
      <c r="D53" s="77" t="s">
        <v>146</v>
      </c>
      <c r="F53" s="77" t="s">
        <v>147</v>
      </c>
    </row>
    <row r="54" spans="1:6" ht="17" x14ac:dyDescent="0.2">
      <c r="A54" s="77" t="s">
        <v>150</v>
      </c>
      <c r="B54" s="132" t="s">
        <v>151</v>
      </c>
      <c r="D54" s="77" t="s">
        <v>148</v>
      </c>
      <c r="F54" s="77" t="s">
        <v>149</v>
      </c>
    </row>
    <row r="55" spans="1:6" ht="17" x14ac:dyDescent="0.2">
      <c r="A55" s="77" t="s">
        <v>152</v>
      </c>
      <c r="B55" s="132" t="s">
        <v>153</v>
      </c>
      <c r="D55" s="77" t="s">
        <v>154</v>
      </c>
      <c r="F55" s="77" t="s">
        <v>155</v>
      </c>
    </row>
    <row r="56" spans="1:6" ht="17" x14ac:dyDescent="0.2">
      <c r="A56" s="77" t="s">
        <v>5</v>
      </c>
      <c r="B56" s="132" t="s">
        <v>157</v>
      </c>
      <c r="D56" s="84" t="s">
        <v>156</v>
      </c>
    </row>
    <row r="57" spans="1:6" ht="17" x14ac:dyDescent="0.2">
      <c r="A57" s="77"/>
      <c r="B57" s="131"/>
    </row>
    <row r="58" spans="1:6" x14ac:dyDescent="0.2">
      <c r="A58" t="s">
        <v>202</v>
      </c>
    </row>
    <row r="59" spans="1:6" x14ac:dyDescent="0.2">
      <c r="A59" t="s">
        <v>203</v>
      </c>
    </row>
    <row r="60" spans="1:6" x14ac:dyDescent="0.2">
      <c r="A60" t="s">
        <v>204</v>
      </c>
    </row>
    <row r="61" spans="1:6" x14ac:dyDescent="0.2">
      <c r="A61" t="s">
        <v>205</v>
      </c>
    </row>
  </sheetData>
  <phoneticPr fontId="7" type="noConversion"/>
  <hyperlinks>
    <hyperlink ref="D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43"/>
      <c r="B1" s="143"/>
      <c r="C1" s="143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43"/>
      <c r="B2" s="143"/>
      <c r="C2" s="143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43"/>
      <c r="B3" s="143"/>
      <c r="C3" s="143"/>
      <c r="D3" s="24"/>
      <c r="E3" s="24" t="s">
        <v>114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43"/>
      <c r="B4" s="143"/>
      <c r="C4" s="143"/>
      <c r="D4" s="41"/>
      <c r="E4" s="41" t="s">
        <v>115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88</v>
      </c>
      <c r="B6" s="29" t="s">
        <v>89</v>
      </c>
      <c r="C6" s="144" t="s">
        <v>108</v>
      </c>
      <c r="D6" s="145"/>
      <c r="E6" s="146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34" t="s">
        <v>109</v>
      </c>
      <c r="D7" s="135"/>
      <c r="E7" s="136"/>
      <c r="F7" s="52"/>
      <c r="G7" s="52"/>
      <c r="H7" s="52"/>
      <c r="I7" s="53" t="s">
        <v>110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34" t="s">
        <v>109</v>
      </c>
      <c r="D8" s="135"/>
      <c r="E8" s="136"/>
      <c r="F8" s="52"/>
      <c r="G8" s="52"/>
      <c r="H8" s="52"/>
      <c r="I8" s="53" t="s">
        <v>110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37" t="s">
        <v>96</v>
      </c>
      <c r="D9" s="138"/>
      <c r="E9" s="139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34" t="s">
        <v>109</v>
      </c>
      <c r="D10" s="135"/>
      <c r="E10" s="136"/>
      <c r="F10" s="52"/>
      <c r="G10" s="52"/>
      <c r="H10" s="52"/>
      <c r="I10" s="53" t="s">
        <v>110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34" t="s">
        <v>109</v>
      </c>
      <c r="D11" s="135"/>
      <c r="E11" s="136"/>
      <c r="F11" s="52"/>
      <c r="G11" s="52"/>
      <c r="H11" s="52"/>
      <c r="I11" s="53" t="s">
        <v>110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47" t="s">
        <v>97</v>
      </c>
      <c r="D12" s="148"/>
      <c r="E12" s="149"/>
      <c r="F12" s="44"/>
      <c r="G12" s="44"/>
      <c r="H12" s="43"/>
      <c r="I12" s="27" t="s">
        <v>106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50" t="s">
        <v>107</v>
      </c>
      <c r="D13" s="151"/>
      <c r="E13" s="152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88</v>
      </c>
      <c r="B15" s="29" t="s">
        <v>89</v>
      </c>
      <c r="C15" s="153" t="s">
        <v>111</v>
      </c>
      <c r="D15" s="145"/>
      <c r="E15" s="146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54" t="s">
        <v>94</v>
      </c>
      <c r="D16" s="155"/>
      <c r="E16" s="156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34" t="s">
        <v>109</v>
      </c>
      <c r="D17" s="135"/>
      <c r="E17" s="136"/>
      <c r="F17" s="52"/>
      <c r="G17" s="52"/>
      <c r="H17" s="52"/>
      <c r="I17" s="53" t="s">
        <v>110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34" t="s">
        <v>109</v>
      </c>
      <c r="D18" s="135"/>
      <c r="E18" s="136"/>
      <c r="F18" s="52"/>
      <c r="G18" s="52"/>
      <c r="H18" s="52"/>
      <c r="I18" s="53" t="s">
        <v>110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37" t="s">
        <v>96</v>
      </c>
      <c r="D19" s="138"/>
      <c r="E19" s="139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34" t="s">
        <v>109</v>
      </c>
      <c r="D20" s="135"/>
      <c r="E20" s="136"/>
      <c r="F20" s="52"/>
      <c r="G20" s="52"/>
      <c r="H20" s="52"/>
      <c r="I20" s="53" t="s">
        <v>110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34" t="s">
        <v>109</v>
      </c>
      <c r="D21" s="135"/>
      <c r="E21" s="136"/>
      <c r="F21" s="52"/>
      <c r="G21" s="52"/>
      <c r="H21" s="52"/>
      <c r="I21" s="53" t="s">
        <v>110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47" t="s">
        <v>97</v>
      </c>
      <c r="D22" s="148"/>
      <c r="E22" s="149"/>
      <c r="F22" s="44"/>
      <c r="G22" s="44"/>
      <c r="H22" s="43"/>
      <c r="I22" s="27" t="s">
        <v>106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50" t="s">
        <v>107</v>
      </c>
      <c r="D23" s="151"/>
      <c r="E23" s="152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88</v>
      </c>
      <c r="B25" s="29" t="s">
        <v>89</v>
      </c>
      <c r="C25" s="153" t="s">
        <v>112</v>
      </c>
      <c r="D25" s="145"/>
      <c r="E25" s="146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54" t="s">
        <v>94</v>
      </c>
      <c r="D26" s="155"/>
      <c r="E26" s="156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34" t="s">
        <v>109</v>
      </c>
      <c r="D27" s="135"/>
      <c r="E27" s="136"/>
      <c r="F27" s="52"/>
      <c r="G27" s="52"/>
      <c r="H27" s="52"/>
      <c r="I27" s="53" t="s">
        <v>110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34" t="s">
        <v>109</v>
      </c>
      <c r="D28" s="135"/>
      <c r="E28" s="136"/>
      <c r="F28" s="52"/>
      <c r="G28" s="52"/>
      <c r="H28" s="52"/>
      <c r="I28" s="53" t="s">
        <v>110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37" t="s">
        <v>96</v>
      </c>
      <c r="D29" s="138"/>
      <c r="E29" s="139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34" t="s">
        <v>109</v>
      </c>
      <c r="D30" s="135"/>
      <c r="E30" s="136"/>
      <c r="F30" s="52"/>
      <c r="G30" s="52"/>
      <c r="H30" s="52"/>
      <c r="I30" s="53" t="s">
        <v>110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34" t="s">
        <v>109</v>
      </c>
      <c r="D31" s="135"/>
      <c r="E31" s="136"/>
      <c r="F31" s="52"/>
      <c r="G31" s="52"/>
      <c r="H31" s="52"/>
      <c r="I31" s="53" t="s">
        <v>110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40"/>
      <c r="B32" s="140"/>
      <c r="C32" s="140"/>
      <c r="D32" s="140"/>
      <c r="E32" s="140"/>
      <c r="F32" s="140"/>
      <c r="G32" s="140"/>
      <c r="H32" s="140"/>
      <c r="I32" s="140"/>
      <c r="J32" s="54"/>
      <c r="K32" s="54"/>
      <c r="L32" s="54"/>
      <c r="M32" s="54"/>
      <c r="N32" s="54"/>
    </row>
    <row r="33" spans="1:14" s="55" customFormat="1" ht="15" customHeight="1" x14ac:dyDescent="0.2">
      <c r="A33" s="141" t="s">
        <v>113</v>
      </c>
      <c r="B33" s="141"/>
      <c r="C33" s="141"/>
      <c r="D33" s="141"/>
      <c r="E33" s="141"/>
      <c r="F33" s="141"/>
      <c r="G33" s="141"/>
      <c r="H33" s="141"/>
      <c r="I33" s="141"/>
      <c r="J33" s="54"/>
      <c r="K33" s="54"/>
      <c r="L33" s="54"/>
      <c r="M33" s="54"/>
      <c r="N33" s="54"/>
    </row>
    <row r="34" spans="1:14" s="55" customFormat="1" ht="1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54"/>
      <c r="K34" s="54"/>
      <c r="L34" s="54"/>
      <c r="M34" s="54"/>
      <c r="N34" s="54"/>
    </row>
    <row r="35" spans="1:14" s="55" customFormat="1" ht="15" customHeight="1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54"/>
      <c r="K35" s="54"/>
      <c r="L35" s="54"/>
      <c r="M35" s="54"/>
      <c r="N35" s="54"/>
    </row>
    <row r="36" spans="1:14" s="55" customFormat="1" ht="15" customHeight="1" x14ac:dyDescent="0.2">
      <c r="A36" s="140"/>
      <c r="B36" s="140"/>
      <c r="C36" s="140"/>
      <c r="D36" s="140"/>
      <c r="E36" s="140"/>
      <c r="F36" s="140"/>
      <c r="G36" s="140"/>
      <c r="H36" s="140"/>
      <c r="I36" s="140"/>
      <c r="J36" s="54"/>
      <c r="K36" s="54"/>
      <c r="L36" s="54"/>
      <c r="M36" s="54"/>
      <c r="N36" s="54"/>
    </row>
    <row r="37" spans="1:14" s="55" customFormat="1" ht="15" customHeight="1" x14ac:dyDescent="0.2">
      <c r="A37" s="140"/>
      <c r="B37" s="140"/>
      <c r="C37" s="140"/>
      <c r="D37" s="140"/>
      <c r="E37" s="140"/>
      <c r="F37" s="140"/>
      <c r="G37" s="140"/>
      <c r="H37" s="140"/>
      <c r="I37" s="140"/>
      <c r="J37" s="54"/>
      <c r="K37" s="54"/>
      <c r="L37" s="54"/>
      <c r="M37" s="54"/>
      <c r="N37" s="54"/>
    </row>
    <row r="38" spans="1:14" s="55" customFormat="1" ht="15" customHeight="1" x14ac:dyDescent="0.2">
      <c r="A38" s="140"/>
      <c r="B38" s="140"/>
      <c r="C38" s="140"/>
      <c r="D38" s="140"/>
      <c r="E38" s="140"/>
      <c r="F38" s="140"/>
      <c r="G38" s="140"/>
      <c r="H38" s="140"/>
      <c r="I38" s="140"/>
      <c r="J38" s="54"/>
      <c r="K38" s="54"/>
      <c r="L38" s="54"/>
      <c r="M38" s="54"/>
      <c r="N38" s="54"/>
    </row>
    <row r="39" spans="1:14" s="55" customFormat="1" ht="15" customHeight="1" x14ac:dyDescent="0.2">
      <c r="A39" s="140"/>
      <c r="B39" s="140"/>
      <c r="C39" s="140"/>
      <c r="D39" s="140"/>
      <c r="E39" s="140"/>
      <c r="F39" s="140"/>
      <c r="G39" s="140"/>
      <c r="H39" s="140"/>
      <c r="I39" s="140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42" t="s">
        <v>98</v>
      </c>
      <c r="B44" s="142"/>
      <c r="C44" s="142"/>
      <c r="D44" s="142"/>
      <c r="E44" s="142"/>
      <c r="F44" s="142"/>
      <c r="G44" s="142"/>
      <c r="H44" s="35"/>
      <c r="I44" s="30" t="s">
        <v>99</v>
      </c>
      <c r="J44" s="22"/>
      <c r="K44" s="22"/>
      <c r="L44" s="22"/>
      <c r="M44" s="22"/>
      <c r="N44" s="22"/>
    </row>
    <row r="45" spans="1:14" x14ac:dyDescent="0.2">
      <c r="A45" s="143"/>
      <c r="B45" s="143"/>
      <c r="C45" s="143"/>
      <c r="D45" s="143"/>
      <c r="E45" s="143"/>
      <c r="F45" s="143"/>
      <c r="G45" s="143"/>
      <c r="H45" s="35"/>
      <c r="I45" s="22"/>
      <c r="J45" s="22"/>
      <c r="K45" s="22"/>
      <c r="L45" s="22"/>
      <c r="M45" s="22"/>
      <c r="N45" s="22"/>
    </row>
    <row r="46" spans="1:14" x14ac:dyDescent="0.2">
      <c r="A46" s="133" t="s">
        <v>100</v>
      </c>
      <c r="B46" s="133"/>
      <c r="C46" s="133"/>
      <c r="D46" s="133"/>
      <c r="E46" s="133"/>
      <c r="F46" s="133"/>
      <c r="G46" s="133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9</v>
      </c>
      <c r="L1" s="19" t="s">
        <v>2</v>
      </c>
    </row>
    <row r="2" spans="1:26" x14ac:dyDescent="0.2">
      <c r="A2" t="s">
        <v>10</v>
      </c>
      <c r="J2" t="s">
        <v>11</v>
      </c>
      <c r="P2" t="s">
        <v>2</v>
      </c>
      <c r="U2" t="s">
        <v>12</v>
      </c>
    </row>
    <row r="3" spans="1:26" ht="5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 x14ac:dyDescent="0.2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 x14ac:dyDescent="0.2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 x14ac:dyDescent="0.2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 x14ac:dyDescent="0.2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 x14ac:dyDescent="0.2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 x14ac:dyDescent="0.2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 x14ac:dyDescent="0.2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 x14ac:dyDescent="0.2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7" t="s">
        <v>164</v>
      </c>
    </row>
    <row r="3" spans="1:1" ht="28" customHeight="1" thickBot="1" x14ac:dyDescent="0.25">
      <c r="A3" s="88" t="s">
        <v>165</v>
      </c>
    </row>
    <row r="4" spans="1:1" ht="17" x14ac:dyDescent="0.2">
      <c r="A4" s="89" t="s">
        <v>166</v>
      </c>
    </row>
    <row r="5" spans="1:1" ht="41" customHeight="1" x14ac:dyDescent="0.25">
      <c r="A5" s="90" t="s">
        <v>167</v>
      </c>
    </row>
    <row r="6" spans="1:1" ht="33" customHeight="1" thickBot="1" x14ac:dyDescent="0.25">
      <c r="A6" s="88" t="s">
        <v>169</v>
      </c>
    </row>
    <row r="7" spans="1:1" ht="29" customHeight="1" thickBot="1" x14ac:dyDescent="0.25">
      <c r="A7" s="9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2018-03-16T12:25:50Z</dcterms:modified>
</cp:coreProperties>
</file>