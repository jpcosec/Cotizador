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4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17" i="1"/>
  <c r="F18" i="1"/>
  <c r="F19" i="1"/>
  <c r="F26" i="1"/>
  <c r="F25" i="1"/>
  <c r="F13" i="1"/>
  <c r="F9" i="1"/>
  <c r="F10" i="1"/>
  <c r="F12" i="1"/>
  <c r="F11" i="1"/>
  <c r="F16" i="1"/>
  <c r="F102" i="1"/>
  <c r="F101" i="1"/>
  <c r="F98" i="1"/>
  <c r="F99" i="1"/>
  <c r="F100" i="1"/>
  <c r="F70" i="1"/>
  <c r="F59" i="1"/>
  <c r="F97" i="1"/>
  <c r="F96" i="1"/>
  <c r="F66" i="1"/>
  <c r="F65" i="1"/>
  <c r="F67" i="1"/>
  <c r="F93" i="1"/>
  <c r="F94" i="1"/>
  <c r="F95" i="1"/>
  <c r="F72" i="1"/>
  <c r="F91" i="1"/>
  <c r="F87" i="1"/>
  <c r="F85" i="1"/>
  <c r="F86" i="1"/>
  <c r="F88" i="1"/>
  <c r="F89" i="1"/>
  <c r="F90" i="1"/>
  <c r="F92" i="1"/>
  <c r="F84" i="1"/>
  <c r="F81" i="1"/>
  <c r="F76" i="1"/>
  <c r="F83" i="1"/>
  <c r="F63" i="1"/>
  <c r="F68" i="1"/>
  <c r="F64" i="1"/>
  <c r="F79" i="1"/>
  <c r="F74" i="1"/>
  <c r="F75" i="1"/>
  <c r="F77" i="1"/>
  <c r="F78" i="1"/>
  <c r="F80" i="1"/>
  <c r="F82" i="1"/>
  <c r="F60" i="1"/>
  <c r="F61" i="1"/>
  <c r="F62" i="1"/>
  <c r="F69" i="1"/>
  <c r="F71" i="1"/>
  <c r="F73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<sst xmlns="http://schemas.openxmlformats.org/spreadsheetml/2006/main" count="460" uniqueCount="269">
  <si>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</si>
  <si>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</si>
  <si>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</si>
  <si>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</si>
  <si>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</si>
  <si>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</si>
  <si>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</si>
  <si>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</si>
  <si>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</si>
  <si>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</si>
  <si>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</si>
  <si>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</si>
  <si>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</si>
  <si>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</si>
  <si>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</si>
  <si>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</si>
  <si>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</si>
  <si>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</si>
  <si>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</si>
  <si>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</si>
  <si>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</si>
  <si>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</si>
  <si>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</si>
  <si>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</si>
  <si>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</si>
  <si>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</si>
  <si>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</si>
  <si>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</si>
  <si>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</si>
  <si>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</si>
  <si>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</si>
  <si>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</si>
  <si>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</si>
  <si>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</si>
  <si>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</si>
  <si>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</si>
  <si>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</si>
  <si>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</si>
  <si>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</si>
  <si>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</si>
  <si>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</si>
  <si>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</si>
  <si>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</si>
  <si>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</si>
  <si>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</si>
  <si>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</si>
  <si>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</si>
  <si>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</si>
  <si>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</si>
  <si>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</si>
  <si>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</si>
  <si>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</si>
  <si>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</si>
  <si>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</si>
  <si>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</si>
  <si>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</si>
  <si>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</si>
  <si>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</si>
  <si>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</si>
  <si>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</si>
  <si>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</si>
  <si>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</si>
  <si>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</si>
  <si>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</si>
  <si>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</si>
  <si>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</si>
  <si>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</si>
  <si>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</si>
  <si>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</si>
  <si>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</si>
  <si>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</si>
  <si>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</si>
  <si>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</si>
  <si>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</si>
  <si>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</si>
  <si>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</si>
  <si>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</si>
  <si>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</si>
  <si>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</si>
  <si>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</si>
  <si>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</si>
  <si>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</si>
  <si>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</si>
  <si>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</si>
  <si>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</si>
  <si>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</si>
  <si>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</si>
  <si>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</si>
  <si>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</si>
  <si>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</si>
  <si>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</si>
  <si>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</si>
  <si>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</si>
  <si>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</si>
  <si>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</si>
  <si>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</si>
  <si>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</si>
  <si>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</si>
  <si>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</si>
  <si>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</si>
  <si>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</si>
  <si>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</si>
  <si>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</si>
  <si>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</si>
  <si>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</si>
  <si>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</si>
  <si>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</si>
  <si>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</si>
  <si>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</si>
  <si>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</si>
  <si>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</si>
  <si>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</si>
  <si>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</si>
  <si>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</si>
  <si>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</si>
  <si>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</si>
  <si>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</si>
  <si>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</si>
  <si>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</si>
  <si>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</si>
  <si>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</si>
  <si>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</si>
  <si>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</si>
  <si>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</si>
  <si>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</si>
  <si>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</si>
  <si>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</si>
  <si>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</si>
  <si>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</si>
  <si>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</si>
  <si>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</si>
  <si>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</si>
  <si>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</si>
  <si>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</si>
  <si>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</si>
  <si>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</si>
  <si>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</si>
  <si>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</si>
  <si>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</si>
  <si>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</si>
  <si>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</si>
  <si>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</si>
  <si>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</si>
  <si>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</si>
  <si>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</si>
  <si>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</si>
  <si>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</si>
  <si>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</si>
  <si>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</si>
  <si>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</si>
  <si>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</si>
  <si>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</si>
  <si>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</si>
  <si>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</si>
  <si>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</si>
  <si>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</si>
  <si>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</si>
  <si>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David Azan</t>
  </si>
  <si>
    <t>Enzo Massardo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</si>
  <si>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</si>
  <si>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</si>
  <si>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</si>
  <si>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</si>
  <si>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</si>
  <si>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</si>
  <si>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</si>
  <si>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</si>
  <si>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</si>
  <si>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</si>
  <si>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</si>
  <si>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</si>
  <si>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</si>
  <si>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</si>
  <si>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</si>
  <si>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</si>
  <si>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</si>
  <si>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</si>
  <si>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</si>
  <si>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</si>
  <si>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</si>
  <si>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</si>
  <si>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</si>
  <si>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</si>
  <si>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</si>
  <si>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</si>
  <si>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</si>
  <si>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</si>
  <si>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</si>
  <si>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</si>
  <si>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</si>
  <si>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</si>
  <si>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</si>
  <si>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</si>
  <si>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</si>
  <si>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</si>
  <si>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</si>
  <si>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</si>
  <si>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</si>
  <si>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</si>
  <si>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</si>
  <si>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</si>
  <si>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</si>
  <si>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</si>
  <si>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</si>
  <si>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</si>
  <si>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</si>
  <si>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</si>
  <si>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</si>
  <si>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</si>
  <si>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</si>
  <si>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</si>
  <si>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</si>
  <si>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</si>
  <si>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</si>
  <si>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</si>
  <si>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</si>
  <si>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</si>
  <si>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</si>
  <si>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</si>
  <si>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</si>
  <si>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</si>
  <si>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</si>
  <si>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</si>
  <si>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</si>
  <si>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</si>
  <si>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</si>
  <si>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</si>
  <si>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</si>
  <si>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</si>
  <si>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</si>
  <si>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</si>
  <si>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</si>
  <si>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</si>
  <si>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</si>
  <si>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</si>
  <si>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</si>
  <si>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</si>
  <si>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</si>
  <si>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</si>
  <si>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</si>
  <si>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</si>
  <si>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</si>
  <si>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</si>
  <si>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</si>
  <si>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</si>
  <si>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</si>
  <si>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</si>
  <si>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</si>
  <si>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</si>
  <si>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</si>
  <si>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</si>
  <si>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</si>
  <si>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</si>
  <si>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</si>
  <si>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</si>
  <si>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</si>
  <si>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</si>
  <si>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</si>
  <si>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Carmen Rodriguez</t>
  </si>
  <si>
    <t>9 74961403</t>
  </si>
  <si>
    <t>incluido</t>
  </si>
  <si>
    <t>?</t>
  </si>
  <si>
    <t>Sandra Contreras</t>
  </si>
  <si>
    <t>Pepsico</t>
  </si>
  <si>
    <t>Habitación triple hotel</t>
  </si>
  <si>
    <t>Valor por persona</t>
  </si>
  <si>
    <t>Valor menos descuento</t>
  </si>
  <si>
    <t>con Iva, pueden traer bebidas pepsico para comidas.</t>
  </si>
  <si>
    <t>Descuento 25% por fidelización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</si>
</sst>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  <font>
      <sz val="14"/>
      <color rgb="FF1D2129"/>
      <name val="Helvetica Neue"/>
    </font>
    <font>
      <sz val="14"/>
      <color rgb="FF1D2129"/>
      <name val="Inherit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2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6" fillId="4" borderId="13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4" xfId="0" applyFont="1" applyBorder="1" applyAlignment="1">
      <alignment horizontal="right" vertic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6" fontId="6" fillId="0" borderId="16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9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9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5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116" applyFont="1" applyAlignment="1">
      <alignment vertical="center"/>
    </xf>
    <xf numFmtId="20" fontId="18" fillId="0" borderId="0" xfId="0" applyNumberFormat="1" applyFont="1"/>
    <xf numFmtId="0" fontId="18" fillId="0" borderId="0" xfId="0" applyFont="1"/>
    <xf numFmtId="0" fontId="14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6" fillId="9" borderId="12" xfId="0" applyFont="1" applyFill="1" applyBorder="1"/>
    <xf numFmtId="165" fontId="6" fillId="9" borderId="2" xfId="0" applyNumberFormat="1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5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5" fontId="6" fillId="9" borderId="18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9" fillId="0" borderId="0" xfId="0" applyFont="1" applyAlignment="1">
      <alignment vertical="center"/>
    </xf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vertical="center"/>
    </xf>
    <xf numFmtId="165" fontId="6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6" fillId="3" borderId="22" xfId="0" applyNumberFormat="1" applyFont="1" applyFill="1" applyBorder="1" applyAlignment="1">
      <alignment horizontal="right"/>
    </xf>
    <xf numFmtId="0" fontId="6" fillId="9" borderId="23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165" fontId="0" fillId="3" borderId="1" xfId="0" applyNumberFormat="1" applyFill="1" applyBorder="1"/>
    <xf numFmtId="0" fontId="0" fillId="3" borderId="1" xfId="0" applyFill="1" applyBorder="1"/>
    <xf numFmtId="165" fontId="6" fillId="9" borderId="1" xfId="0" applyNumberFormat="1" applyFont="1" applyFill="1" applyBorder="1" applyAlignment="1">
      <alignment horizontal="left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11" xfId="0" applyNumberFormat="1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2" fillId="10" borderId="10" xfId="0" applyFont="1" applyFill="1" applyBorder="1" applyAlignment="1">
      <alignment horizontal="center"/>
    </xf>
    <xf numFmtId="165" fontId="2" fillId="10" borderId="20" xfId="0" applyNumberFormat="1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left" vertical="center"/>
    </xf>
    <xf numFmtId="165" fontId="15" fillId="9" borderId="18" xfId="0" applyNumberFormat="1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0" fontId="0" fillId="9" borderId="23" xfId="0" applyFont="1" applyFill="1" applyBorder="1" applyAlignment="1">
      <alignment horizontal="left" wrapText="1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21" fillId="0" borderId="0" xfId="0" applyFont="1"/>
    <xf numFmtId="0" fontId="22" fillId="0" borderId="0" xfId="0" applyFont="1"/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7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7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7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165" fontId="15" fillId="9" borderId="1" xfId="0" applyNumberFormat="1" applyFont="1" applyFill="1" applyBorder="1" applyAlignment="1">
      <alignment horizontal="center"/>
    </xf>
    <xf numFmtId="16" fontId="0" fillId="0" borderId="0" xfId="0" applyNumberFormat="1"/>
    <xf numFmtId="6" fontId="0" fillId="0" borderId="0" xfId="0" applyNumberFormat="1"/>
    <xf numFmtId="0" fontId="11" fillId="0" borderId="0" xfId="0" applyFont="1" applyBorder="1" applyAlignment="1">
      <alignment horizontal="right" vertical="center"/>
    </xf>
    <xf numFmtId="165" fontId="11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6" fontId="1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6" fontId="1" fillId="0" borderId="0" xfId="0" applyNumberFormat="1" applyFont="1" applyBorder="1" applyAlignment="1">
      <alignment horizontal="right"/>
    </xf>
    <xf numFmtId="0" fontId="2" fillId="11" borderId="3" xfId="0" applyFont="1" applyFill="1" applyBorder="1" applyAlignment="1">
      <alignment horizontal="right"/>
    </xf>
    <xf numFmtId="165" fontId="2" fillId="11" borderId="4" xfId="0" applyNumberFormat="1" applyFont="1" applyFill="1" applyBorder="1" applyAlignment="1">
      <alignment horizontal="right"/>
    </xf>
    <xf numFmtId="0" fontId="2" fillId="11" borderId="4" xfId="0" applyFont="1" applyFill="1" applyBorder="1" applyAlignment="1">
      <alignment horizontal="center"/>
    </xf>
    <xf numFmtId="6" fontId="2" fillId="11" borderId="4" xfId="0" applyNumberFormat="1" applyFont="1" applyFill="1" applyBorder="1" applyAlignment="1">
      <alignment horizontal="right"/>
    </xf>
    <xf numFmtId="6" fontId="2" fillId="11" borderId="18" xfId="0" applyNumberFormat="1" applyFont="1" applyFill="1" applyBorder="1" applyAlignment="1">
      <alignment horizontal="righ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20"/>
  <sheetViews>
    <sheetView tabSelected="1" topLeftCell="A5" zoomScale="109" zoomScaleNormal="109" zoomScalePageLayoutView="109" workbookViewId="0">
      <selection activeCell="F31" sqref="F31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1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256</v>
      </c>
    </row>
    <row r="2" spans="1:7" x14ac:dyDescent="0.2">
      <c r="G2" t="s">
        <v>206</v>
      </c>
    </row>
    <row r="3" spans="1:7" x14ac:dyDescent="0.2">
      <c r="A3" s="71" t="s">
        <v>136</v>
      </c>
      <c r="B3" s="156" t="s">
        <v>262</v>
      </c>
      <c r="E3" t="s">
        <v>3</v>
      </c>
      <c r="F3" s="35" t="s">
        <v>263</v>
      </c>
      <c r="G3" s="88" t="s">
        <v>207</v>
      </c>
    </row>
    <row r="4" spans="1:7" x14ac:dyDescent="0.2">
      <c r="A4" t="s">
        <v>137</v>
      </c>
      <c r="B4" s="156"/>
      <c r="C4" s="75"/>
      <c r="E4" t="s">
        <v>5</v>
      </c>
      <c r="F4">
        <v>224498601</v>
      </c>
      <c r="G4" s="89" t="s">
        <v>208</v>
      </c>
    </row>
    <row r="5" spans="1:7" x14ac:dyDescent="0.2">
      <c r="A5" t="s">
        <v>138</v>
      </c>
      <c r="B5" s="185">
        <v>43263</v>
      </c>
      <c r="E5" t="s">
        <v>4</v>
      </c>
      <c r="F5" s="35">
        <v>22</v>
      </c>
      <c r="G5" s="89" t="s">
        <v>209</v>
      </c>
    </row>
    <row r="6" spans="1:7" x14ac:dyDescent="0.2">
      <c r="A6" s="73" t="s">
        <v>140</v>
      </c>
      <c r="B6" s="157" t="s">
        <v>258</v>
      </c>
      <c r="C6" s="72"/>
      <c r="D6" s="72"/>
      <c r="E6" s="72" t="s">
        <v>139</v>
      </c>
      <c r="F6" s="72" t="s">
        <v>259</v>
      </c>
      <c r="G6" s="89" t="s">
        <v>210</v>
      </c>
    </row>
    <row r="7" spans="1:7" ht="17" thickBot="1" x14ac:dyDescent="0.25">
      <c r="A7" s="72"/>
      <c r="B7" s="157"/>
      <c r="C7" s="72"/>
      <c r="D7" s="72"/>
      <c r="E7" s="72"/>
      <c r="F7" s="72"/>
      <c r="G7" s="89"/>
    </row>
    <row r="8" spans="1:7" ht="15.75" customHeight="1" x14ac:dyDescent="0.2">
      <c r="A8" s="134" t="s">
        <v>124</v>
      </c>
      <c r="B8" s="135" t="s">
        <v>165</v>
      </c>
      <c r="C8" s="136" t="s">
        <v>123</v>
      </c>
      <c r="D8" s="136" t="s">
        <v>7</v>
      </c>
      <c r="E8" s="136" t="s">
        <v>0</v>
      </c>
      <c r="F8" s="136" t="s">
        <v>1</v>
      </c>
      <c r="G8" s="137" t="s">
        <v>8</v>
      </c>
    </row>
    <row r="9" spans="1:7" x14ac:dyDescent="0.2">
      <c r="A9" s="106" t="s">
        <v>121</v>
      </c>
      <c r="B9" s="102" t="s">
        <v>181</v>
      </c>
      <c r="C9" s="97">
        <v>1</v>
      </c>
      <c r="D9" s="97">
        <v>22</v>
      </c>
      <c r="E9" s="107">
        <v>15000</v>
      </c>
      <c r="F9" s="99">
        <f>C9*D9*E9</f>
        <v>330000</v>
      </c>
      <c r="G9" s="100" t="s">
        <v>232</v>
      </c>
    </row>
    <row r="10" spans="1:7" x14ac:dyDescent="0.2">
      <c r="A10" s="101" t="s">
        <v>237</v>
      </c>
      <c r="B10" s="104"/>
      <c r="C10" s="105">
        <v>1</v>
      </c>
      <c r="D10" s="105">
        <v>0</v>
      </c>
      <c r="E10" s="103">
        <v>1500</v>
      </c>
      <c r="F10" s="99">
        <f t="shared" ref="F10:F12" si="0">C10*D10*E10</f>
        <v>0</v>
      </c>
      <c r="G10" s="100" t="s">
        <v>230</v>
      </c>
    </row>
    <row r="11" spans="1:7" ht="16.5" customHeight="1" x14ac:dyDescent="0.2">
      <c r="A11" s="152" t="s">
        <v>253</v>
      </c>
      <c r="B11" s="153"/>
      <c r="C11" s="105">
        <v>0</v>
      </c>
      <c r="D11" s="105">
        <v>0</v>
      </c>
      <c r="E11" s="154">
        <v>99000</v>
      </c>
      <c r="F11" s="99">
        <f t="shared" si="0"/>
        <v>0</v>
      </c>
      <c r="G11" s="152" t="s">
        <v>254</v>
      </c>
    </row>
    <row r="12" spans="1:7" ht="16.5" customHeight="1" x14ac:dyDescent="0.2">
      <c r="A12" s="152" t="s">
        <v>264</v>
      </c>
      <c r="B12" s="153"/>
      <c r="C12" s="105">
        <v>1</v>
      </c>
      <c r="D12" s="105">
        <v>7</v>
      </c>
      <c r="E12" s="154">
        <v>139000</v>
      </c>
      <c r="F12" s="99">
        <f t="shared" si="0"/>
        <v>973000</v>
      </c>
      <c r="G12" s="152" t="s">
        <v>255</v>
      </c>
    </row>
    <row r="13" spans="1:7" ht="16.5" customHeight="1" thickBot="1" x14ac:dyDescent="0.25">
      <c r="A13" s="2" t="s">
        <v>91</v>
      </c>
      <c r="B13" s="81"/>
      <c r="C13" s="34"/>
      <c r="D13" s="24"/>
      <c r="E13" s="7"/>
      <c r="F13" s="5">
        <f>SUM(F9:F12)</f>
        <v>1303000</v>
      </c>
      <c r="G13" s="33" t="s">
        <v>2</v>
      </c>
    </row>
    <row r="14" spans="1:7" ht="15.75" customHeight="1" x14ac:dyDescent="0.2">
      <c r="A14" s="134" t="s">
        <v>125</v>
      </c>
      <c r="B14" s="135" t="s">
        <v>165</v>
      </c>
      <c r="C14" s="136" t="s">
        <v>123</v>
      </c>
      <c r="D14" s="136" t="s">
        <v>7</v>
      </c>
      <c r="E14" s="136" t="s">
        <v>0</v>
      </c>
      <c r="F14" s="136" t="s">
        <v>1</v>
      </c>
      <c r="G14" s="137" t="s">
        <v>8</v>
      </c>
    </row>
    <row r="15" spans="1:7" ht="15.75" customHeight="1" x14ac:dyDescent="0.2">
      <c r="A15" s="95" t="s">
        <v>10</v>
      </c>
      <c r="B15" s="96"/>
      <c r="C15" s="97">
        <v>1</v>
      </c>
      <c r="D15" s="97">
        <v>22</v>
      </c>
      <c r="E15" s="98">
        <v>10500</v>
      </c>
      <c r="F15" s="99" t="s">
        <v>260</v>
      </c>
      <c r="G15" s="100" t="s">
        <v>231</v>
      </c>
    </row>
    <row r="16" spans="1:7" x14ac:dyDescent="0.2">
      <c r="A16" s="116" t="s">
        <v>172</v>
      </c>
      <c r="B16" s="117"/>
      <c r="C16" s="105">
        <v>1</v>
      </c>
      <c r="D16" s="105">
        <v>1</v>
      </c>
      <c r="E16" s="118">
        <v>180000</v>
      </c>
      <c r="F16" s="103">
        <f>C16*D16*E16</f>
        <v>180000</v>
      </c>
      <c r="G16" s="100" t="s">
        <v>241</v>
      </c>
    </row>
    <row r="17" spans="1:7" x14ac:dyDescent="0.2">
      <c r="A17" s="119" t="s">
        <v>239</v>
      </c>
      <c r="B17" s="120"/>
      <c r="C17" s="97">
        <v>1</v>
      </c>
      <c r="D17" s="121">
        <v>0</v>
      </c>
      <c r="E17" s="107">
        <v>3850</v>
      </c>
      <c r="F17" s="103">
        <f t="shared" ref="F17:F18" si="1">C17*D17*E17</f>
        <v>0</v>
      </c>
      <c r="G17" s="123" t="s">
        <v>159</v>
      </c>
    </row>
    <row r="18" spans="1:7" ht="16.5" customHeight="1" x14ac:dyDescent="0.2">
      <c r="A18" s="101" t="s">
        <v>120</v>
      </c>
      <c r="B18" s="102" t="s">
        <v>180</v>
      </c>
      <c r="C18" s="97">
        <v>1</v>
      </c>
      <c r="D18" s="121">
        <v>22</v>
      </c>
      <c r="E18" s="103">
        <v>15000</v>
      </c>
      <c r="F18" s="103">
        <f t="shared" si="1"/>
        <v>330000</v>
      </c>
      <c r="G18" s="100" t="s">
        <v>113</v>
      </c>
    </row>
    <row r="19" spans="1:7" ht="16.5" customHeight="1" x14ac:dyDescent="0.2">
      <c r="A19" s="2" t="s">
        <v>91</v>
      </c>
      <c r="B19" s="81"/>
      <c r="C19" s="34"/>
      <c r="D19" s="24"/>
      <c r="E19" s="7"/>
      <c r="F19" s="5">
        <f>SUM(F15:F18)</f>
        <v>510000</v>
      </c>
      <c r="G19" s="33" t="s">
        <v>2</v>
      </c>
    </row>
    <row r="20" spans="1:7" x14ac:dyDescent="0.2">
      <c r="A20" s="138" t="s">
        <v>225</v>
      </c>
      <c r="B20" s="139" t="s">
        <v>257</v>
      </c>
      <c r="C20" s="140"/>
      <c r="D20" s="140"/>
      <c r="E20" s="141"/>
      <c r="F20" s="141" t="s">
        <v>2</v>
      </c>
      <c r="G20" s="138" t="s">
        <v>226</v>
      </c>
    </row>
    <row r="21" spans="1:7" x14ac:dyDescent="0.2">
      <c r="A21" s="108" t="s">
        <v>221</v>
      </c>
      <c r="B21" s="184" t="s">
        <v>261</v>
      </c>
      <c r="C21" s="110">
        <v>0</v>
      </c>
      <c r="D21" s="110">
        <v>0</v>
      </c>
      <c r="E21" s="111">
        <v>0</v>
      </c>
      <c r="F21" s="111" t="s">
        <v>260</v>
      </c>
      <c r="G21" s="112" t="s">
        <v>223</v>
      </c>
    </row>
    <row r="22" spans="1:7" x14ac:dyDescent="0.2">
      <c r="A22" s="108" t="s">
        <v>217</v>
      </c>
      <c r="B22" s="184" t="s">
        <v>261</v>
      </c>
      <c r="C22" s="110">
        <v>0</v>
      </c>
      <c r="D22" s="110">
        <v>0</v>
      </c>
      <c r="E22" s="111">
        <v>0</v>
      </c>
      <c r="F22" s="111" t="s">
        <v>260</v>
      </c>
      <c r="G22" s="112" t="s">
        <v>224</v>
      </c>
    </row>
    <row r="23" spans="1:7" ht="16.5" customHeight="1" x14ac:dyDescent="0.2">
      <c r="A23" s="108" t="s">
        <v>218</v>
      </c>
      <c r="B23" s="184" t="s">
        <v>261</v>
      </c>
      <c r="C23" s="110">
        <v>0</v>
      </c>
      <c r="D23" s="110">
        <v>0</v>
      </c>
      <c r="E23" s="111">
        <v>0</v>
      </c>
      <c r="F23" s="111" t="s">
        <v>260</v>
      </c>
      <c r="G23" s="112" t="s">
        <v>222</v>
      </c>
    </row>
    <row r="24" spans="1:7" x14ac:dyDescent="0.2">
      <c r="A24" s="108" t="s">
        <v>219</v>
      </c>
      <c r="B24" s="184" t="s">
        <v>261</v>
      </c>
      <c r="C24" s="110">
        <v>0</v>
      </c>
      <c r="D24" s="110">
        <v>0</v>
      </c>
      <c r="E24" s="111">
        <v>0</v>
      </c>
      <c r="F24" s="111" t="s">
        <v>260</v>
      </c>
      <c r="G24" s="108" t="s">
        <v>220</v>
      </c>
    </row>
    <row r="25" spans="1:7" ht="17" thickBot="1" x14ac:dyDescent="0.25">
      <c r="A25" s="2" t="s">
        <v>91</v>
      </c>
      <c r="B25" s="81"/>
      <c r="C25" s="34"/>
      <c r="D25" s="24"/>
      <c r="E25" s="7"/>
      <c r="F25" s="5">
        <f>SUM(F21:F24)</f>
        <v>0</v>
      </c>
      <c r="G25" s="33" t="s">
        <v>2</v>
      </c>
    </row>
    <row r="26" spans="1:7" ht="17" thickBot="1" x14ac:dyDescent="0.25">
      <c r="A26" s="37" t="s">
        <v>227</v>
      </c>
      <c r="B26" s="83"/>
      <c r="C26" s="38"/>
      <c r="D26" s="38"/>
      <c r="E26" s="39"/>
      <c r="F26" s="40">
        <f>F13+F19</f>
        <v>1813000</v>
      </c>
      <c r="G26" s="6" t="s">
        <v>146</v>
      </c>
    </row>
    <row r="27" spans="1:7" x14ac:dyDescent="0.2">
      <c r="A27" s="187" t="s">
        <v>268</v>
      </c>
      <c r="B27" s="188"/>
      <c r="C27" s="189"/>
      <c r="D27" s="189"/>
      <c r="E27" s="190"/>
      <c r="F27" s="191">
        <f>-F26*0.75+F26</f>
        <v>453250</v>
      </c>
      <c r="G27" s="6"/>
    </row>
    <row r="28" spans="1:7" x14ac:dyDescent="0.2">
      <c r="A28" s="192" t="s">
        <v>266</v>
      </c>
      <c r="B28" s="193"/>
      <c r="C28" s="194"/>
      <c r="D28" s="194"/>
      <c r="E28" s="195"/>
      <c r="F28" s="196">
        <f>F26-F27</f>
        <v>1359750</v>
      </c>
      <c r="G28" s="6"/>
    </row>
    <row r="29" spans="1:7" x14ac:dyDescent="0.2">
      <c r="A29" s="3" t="s">
        <v>147</v>
      </c>
      <c r="B29" s="82"/>
      <c r="C29" s="32"/>
      <c r="D29" s="24"/>
      <c r="E29" s="7"/>
      <c r="F29" s="5">
        <f>F28*1.19-F28</f>
        <v>258352.5</v>
      </c>
      <c r="G29" s="6"/>
    </row>
    <row r="30" spans="1:7" x14ac:dyDescent="0.2">
      <c r="A30" s="197" t="s">
        <v>252</v>
      </c>
      <c r="B30" s="198"/>
      <c r="C30" s="199"/>
      <c r="D30" s="199"/>
      <c r="E30" s="200"/>
      <c r="F30" s="201">
        <f>F28+F29</f>
        <v>1618102.5</v>
      </c>
      <c r="G30" s="6"/>
    </row>
    <row r="31" spans="1:7" x14ac:dyDescent="0.2">
      <c r="A31" s="3"/>
      <c r="B31" s="82"/>
      <c r="C31" s="32"/>
      <c r="D31" s="24"/>
      <c r="E31" s="4" t="s">
        <v>265</v>
      </c>
      <c r="F31" s="186">
        <f>F30/22</f>
        <v>73550.113636363632</v>
      </c>
      <c r="G31" s="6" t="s">
        <v>267</v>
      </c>
    </row>
    <row r="32" spans="1:7" x14ac:dyDescent="0.2">
      <c r="A32" s="3"/>
      <c r="B32" s="82"/>
      <c r="C32" s="32"/>
      <c r="D32" s="24"/>
      <c r="E32" s="4"/>
      <c r="F32" s="186"/>
      <c r="G32" s="6"/>
    </row>
    <row r="33" spans="1:7" ht="19" x14ac:dyDescent="0.2">
      <c r="A33" s="86" t="s">
        <v>184</v>
      </c>
      <c r="B33"/>
      <c r="E33" s="78"/>
      <c r="F33" s="78"/>
      <c r="G33" s="78"/>
    </row>
    <row r="34" spans="1:7" ht="19" x14ac:dyDescent="0.2">
      <c r="A34" s="85" t="s">
        <v>185</v>
      </c>
      <c r="B34"/>
      <c r="E34" s="77"/>
      <c r="F34" s="77"/>
      <c r="G34" s="77"/>
    </row>
    <row r="35" spans="1:7" ht="17" x14ac:dyDescent="0.2">
      <c r="A35" s="78" t="s">
        <v>186</v>
      </c>
      <c r="B35"/>
    </row>
    <row r="36" spans="1:7" ht="17" x14ac:dyDescent="0.2">
      <c r="A36" s="78"/>
      <c r="B36"/>
    </row>
    <row r="37" spans="1:7" ht="19" x14ac:dyDescent="0.2">
      <c r="A37" s="86" t="s">
        <v>148</v>
      </c>
      <c r="B37"/>
    </row>
    <row r="38" spans="1:7" ht="17" x14ac:dyDescent="0.2">
      <c r="A38" s="78" t="s">
        <v>187</v>
      </c>
      <c r="B38"/>
    </row>
    <row r="39" spans="1:7" ht="17" x14ac:dyDescent="0.2">
      <c r="A39" s="78" t="s">
        <v>188</v>
      </c>
      <c r="B39"/>
    </row>
    <row r="40" spans="1:7" ht="17" x14ac:dyDescent="0.2">
      <c r="A40" s="78" t="s">
        <v>189</v>
      </c>
      <c r="B40"/>
    </row>
    <row r="41" spans="1:7" ht="17" x14ac:dyDescent="0.2">
      <c r="A41" s="76" t="s">
        <v>149</v>
      </c>
      <c r="B41"/>
    </row>
    <row r="42" spans="1:7" ht="17" x14ac:dyDescent="0.2">
      <c r="A42" s="78" t="s">
        <v>190</v>
      </c>
      <c r="B42"/>
    </row>
    <row r="43" spans="1:7" ht="17" x14ac:dyDescent="0.2">
      <c r="A43" s="78" t="s">
        <v>150</v>
      </c>
      <c r="B43"/>
    </row>
    <row r="44" spans="1:7" ht="17" x14ac:dyDescent="0.2">
      <c r="A44" s="76" t="s">
        <v>191</v>
      </c>
      <c r="B44"/>
    </row>
    <row r="45" spans="1:7" ht="17" x14ac:dyDescent="0.2">
      <c r="A45" s="78" t="s">
        <v>151</v>
      </c>
      <c r="B45"/>
    </row>
    <row r="46" spans="1:7" ht="17" x14ac:dyDescent="0.2">
      <c r="A46" s="78" t="s">
        <v>152</v>
      </c>
      <c r="B46"/>
    </row>
    <row r="47" spans="1:7" ht="17" x14ac:dyDescent="0.2">
      <c r="A47" s="78" t="s">
        <v>153</v>
      </c>
      <c r="B47"/>
    </row>
    <row r="48" spans="1:7" ht="17" x14ac:dyDescent="0.2">
      <c r="A48" s="78" t="s">
        <v>154</v>
      </c>
      <c r="B48"/>
    </row>
    <row r="49" spans="1:7" ht="17" x14ac:dyDescent="0.2">
      <c r="A49" s="78" t="s">
        <v>155</v>
      </c>
      <c r="B49"/>
    </row>
    <row r="50" spans="1:7" ht="17" x14ac:dyDescent="0.2">
      <c r="A50" s="78" t="s">
        <v>156</v>
      </c>
      <c r="B50"/>
    </row>
    <row r="51" spans="1:7" ht="17" x14ac:dyDescent="0.2">
      <c r="A51" s="78"/>
      <c r="B51"/>
    </row>
    <row r="52" spans="1:7" ht="17" x14ac:dyDescent="0.2">
      <c r="A52" s="113" t="s">
        <v>228</v>
      </c>
      <c r="B52"/>
    </row>
    <row r="53" spans="1:7" ht="17" x14ac:dyDescent="0.2">
      <c r="A53" s="78" t="s">
        <v>192</v>
      </c>
      <c r="B53" s="78" t="s">
        <v>193</v>
      </c>
      <c r="D53" s="78" t="s">
        <v>194</v>
      </c>
      <c r="F53" s="78" t="s">
        <v>195</v>
      </c>
    </row>
    <row r="54" spans="1:7" ht="17" x14ac:dyDescent="0.2">
      <c r="A54" s="78" t="s">
        <v>198</v>
      </c>
      <c r="B54" s="78" t="s">
        <v>199</v>
      </c>
      <c r="D54" s="78" t="s">
        <v>196</v>
      </c>
      <c r="F54" s="78" t="s">
        <v>197</v>
      </c>
    </row>
    <row r="55" spans="1:7" ht="17" x14ac:dyDescent="0.2">
      <c r="A55" s="78" t="s">
        <v>200</v>
      </c>
      <c r="B55" s="78" t="s">
        <v>201</v>
      </c>
      <c r="D55" s="78" t="s">
        <v>202</v>
      </c>
      <c r="F55" s="78" t="s">
        <v>203</v>
      </c>
    </row>
    <row r="56" spans="1:7" ht="16" customHeight="1" x14ac:dyDescent="0.2">
      <c r="A56" s="78" t="s">
        <v>5</v>
      </c>
      <c r="B56" s="78" t="s">
        <v>205</v>
      </c>
      <c r="D56" s="87" t="s">
        <v>204</v>
      </c>
    </row>
    <row r="57" spans="1:7" ht="16" customHeight="1" thickBot="1" x14ac:dyDescent="0.25">
      <c r="A57" s="78"/>
      <c r="B57"/>
    </row>
    <row r="58" spans="1:7" x14ac:dyDescent="0.2">
      <c r="A58" s="142" t="s">
        <v>122</v>
      </c>
      <c r="B58" s="143" t="s">
        <v>165</v>
      </c>
      <c r="C58" s="144" t="s">
        <v>88</v>
      </c>
      <c r="D58" s="144" t="s">
        <v>7</v>
      </c>
      <c r="E58" s="144" t="s">
        <v>6</v>
      </c>
      <c r="F58" s="144" t="s">
        <v>89</v>
      </c>
      <c r="G58" s="145" t="s">
        <v>8</v>
      </c>
    </row>
    <row r="59" spans="1:7" x14ac:dyDescent="0.2">
      <c r="A59" s="100" t="s">
        <v>183</v>
      </c>
      <c r="B59" s="114"/>
      <c r="C59" s="105">
        <v>0</v>
      </c>
      <c r="D59" s="105">
        <v>0</v>
      </c>
      <c r="E59" s="115">
        <v>200000</v>
      </c>
      <c r="F59" s="115">
        <f>C59*D59*E59</f>
        <v>0</v>
      </c>
      <c r="G59" s="100" t="s">
        <v>229</v>
      </c>
    </row>
    <row r="60" spans="1:7" x14ac:dyDescent="0.2">
      <c r="A60" s="116" t="s">
        <v>90</v>
      </c>
      <c r="B60" s="117"/>
      <c r="C60" s="105">
        <v>0</v>
      </c>
      <c r="D60" s="105">
        <v>0</v>
      </c>
      <c r="E60" s="103">
        <v>12000</v>
      </c>
      <c r="F60" s="103">
        <f t="shared" ref="F60:F73" si="2">C60*D60*E60</f>
        <v>0</v>
      </c>
      <c r="G60" s="100" t="s">
        <v>233</v>
      </c>
    </row>
    <row r="61" spans="1:7" x14ac:dyDescent="0.2">
      <c r="A61" s="116" t="s">
        <v>92</v>
      </c>
      <c r="B61" s="117"/>
      <c r="C61" s="105">
        <v>0</v>
      </c>
      <c r="D61" s="105">
        <v>0</v>
      </c>
      <c r="E61" s="103">
        <v>26000</v>
      </c>
      <c r="F61" s="103">
        <f t="shared" si="2"/>
        <v>0</v>
      </c>
      <c r="G61" s="100" t="s">
        <v>117</v>
      </c>
    </row>
    <row r="62" spans="1:7" x14ac:dyDescent="0.2">
      <c r="A62" s="116" t="s">
        <v>93</v>
      </c>
      <c r="B62" s="117"/>
      <c r="C62" s="105">
        <v>0</v>
      </c>
      <c r="D62" s="105">
        <v>0</v>
      </c>
      <c r="E62" s="103">
        <v>35000</v>
      </c>
      <c r="F62" s="103">
        <f t="shared" si="2"/>
        <v>0</v>
      </c>
      <c r="G62" s="100" t="s">
        <v>117</v>
      </c>
    </row>
    <row r="63" spans="1:7" x14ac:dyDescent="0.2">
      <c r="A63" s="116" t="s">
        <v>119</v>
      </c>
      <c r="B63" s="117"/>
      <c r="C63" s="105">
        <v>0</v>
      </c>
      <c r="D63" s="105">
        <v>0</v>
      </c>
      <c r="E63" s="103">
        <v>10000</v>
      </c>
      <c r="F63" s="103">
        <f t="shared" si="2"/>
        <v>0</v>
      </c>
      <c r="G63" s="100"/>
    </row>
    <row r="64" spans="1:7" x14ac:dyDescent="0.2">
      <c r="A64" s="116" t="s">
        <v>163</v>
      </c>
      <c r="B64" s="117"/>
      <c r="C64" s="105">
        <v>0</v>
      </c>
      <c r="D64" s="105">
        <v>0</v>
      </c>
      <c r="E64" s="103">
        <v>4500</v>
      </c>
      <c r="F64" s="103">
        <f t="shared" si="2"/>
        <v>0</v>
      </c>
      <c r="G64" s="100" t="s">
        <v>164</v>
      </c>
    </row>
    <row r="65" spans="1:7" x14ac:dyDescent="0.2">
      <c r="A65" s="116" t="s">
        <v>177</v>
      </c>
      <c r="B65" s="117"/>
      <c r="C65" s="105">
        <v>0</v>
      </c>
      <c r="D65" s="105">
        <v>0</v>
      </c>
      <c r="E65" s="103">
        <v>5000</v>
      </c>
      <c r="F65" s="103">
        <f t="shared" ref="F65:F66" si="3">C65*D65*E65</f>
        <v>0</v>
      </c>
      <c r="G65" s="100" t="s">
        <v>234</v>
      </c>
    </row>
    <row r="66" spans="1:7" x14ac:dyDescent="0.2">
      <c r="A66" s="116" t="s">
        <v>178</v>
      </c>
      <c r="B66" s="117"/>
      <c r="C66" s="105">
        <v>0</v>
      </c>
      <c r="D66" s="105">
        <v>0</v>
      </c>
      <c r="E66" s="103">
        <v>5000</v>
      </c>
      <c r="F66" s="103">
        <f t="shared" si="3"/>
        <v>0</v>
      </c>
      <c r="G66" s="100" t="s">
        <v>235</v>
      </c>
    </row>
    <row r="67" spans="1:7" x14ac:dyDescent="0.2">
      <c r="A67" s="116" t="s">
        <v>162</v>
      </c>
      <c r="B67" s="117"/>
      <c r="C67" s="105">
        <v>0</v>
      </c>
      <c r="D67" s="105">
        <v>0</v>
      </c>
      <c r="E67" s="103">
        <v>3000</v>
      </c>
      <c r="F67" s="103">
        <f t="shared" ref="F67" si="4">C67*D67*E67</f>
        <v>0</v>
      </c>
      <c r="G67" s="100" t="s">
        <v>236</v>
      </c>
    </row>
    <row r="68" spans="1:7" x14ac:dyDescent="0.2">
      <c r="A68" s="116" t="s">
        <v>118</v>
      </c>
      <c r="B68" s="117"/>
      <c r="C68" s="105">
        <v>0</v>
      </c>
      <c r="D68" s="105">
        <v>0</v>
      </c>
      <c r="E68" s="103">
        <v>16000</v>
      </c>
      <c r="F68" s="103">
        <f t="shared" si="2"/>
        <v>0</v>
      </c>
      <c r="G68" s="100" t="s">
        <v>144</v>
      </c>
    </row>
    <row r="69" spans="1:7" x14ac:dyDescent="0.2">
      <c r="A69" s="116" t="s">
        <v>11</v>
      </c>
      <c r="B69" s="117"/>
      <c r="C69" s="105">
        <v>0</v>
      </c>
      <c r="D69" s="105">
        <v>0</v>
      </c>
      <c r="E69" s="103">
        <v>7000</v>
      </c>
      <c r="F69" s="103">
        <f t="shared" si="2"/>
        <v>0</v>
      </c>
      <c r="G69" s="100" t="s">
        <v>166</v>
      </c>
    </row>
    <row r="70" spans="1:7" x14ac:dyDescent="0.2">
      <c r="A70" s="146" t="s">
        <v>237</v>
      </c>
      <c r="B70" s="147"/>
      <c r="C70" s="110">
        <v>0</v>
      </c>
      <c r="D70" s="110">
        <v>0</v>
      </c>
      <c r="E70" s="111">
        <v>1500</v>
      </c>
      <c r="F70" s="111">
        <f t="shared" si="2"/>
        <v>0</v>
      </c>
      <c r="G70" s="108" t="s">
        <v>230</v>
      </c>
    </row>
    <row r="71" spans="1:7" x14ac:dyDescent="0.2">
      <c r="A71" s="148" t="s">
        <v>167</v>
      </c>
      <c r="B71" s="149"/>
      <c r="C71" s="110">
        <v>0</v>
      </c>
      <c r="D71" s="110">
        <v>0</v>
      </c>
      <c r="E71" s="111">
        <v>3000</v>
      </c>
      <c r="F71" s="111">
        <f t="shared" si="2"/>
        <v>0</v>
      </c>
      <c r="G71" s="108"/>
    </row>
    <row r="72" spans="1:7" x14ac:dyDescent="0.2">
      <c r="A72" s="148" t="s">
        <v>238</v>
      </c>
      <c r="B72" s="149"/>
      <c r="C72" s="110">
        <v>0</v>
      </c>
      <c r="D72" s="110">
        <v>0</v>
      </c>
      <c r="E72" s="111">
        <v>1000</v>
      </c>
      <c r="F72" s="111">
        <f t="shared" ref="F72" si="5">C72*D72*E72</f>
        <v>0</v>
      </c>
      <c r="G72" s="108" t="s">
        <v>168</v>
      </c>
    </row>
    <row r="73" spans="1:7" x14ac:dyDescent="0.2">
      <c r="A73" s="148" t="s">
        <v>242</v>
      </c>
      <c r="B73" s="149"/>
      <c r="C73" s="110">
        <v>0</v>
      </c>
      <c r="D73" s="110">
        <v>0</v>
      </c>
      <c r="E73" s="111">
        <v>3000</v>
      </c>
      <c r="F73" s="111">
        <f t="shared" si="2"/>
        <v>0</v>
      </c>
      <c r="G73" s="108" t="s">
        <v>9</v>
      </c>
    </row>
    <row r="74" spans="1:7" x14ac:dyDescent="0.2">
      <c r="A74" s="148" t="s">
        <v>95</v>
      </c>
      <c r="B74" s="149"/>
      <c r="C74" s="110">
        <v>0</v>
      </c>
      <c r="D74" s="110">
        <v>0</v>
      </c>
      <c r="E74" s="150">
        <v>150000</v>
      </c>
      <c r="F74" s="111">
        <f t="shared" ref="F74:F81" si="6">C74*D74*E74</f>
        <v>0</v>
      </c>
      <c r="G74" s="108" t="s">
        <v>96</v>
      </c>
    </row>
    <row r="75" spans="1:7" x14ac:dyDescent="0.2">
      <c r="A75" s="116" t="s">
        <v>97</v>
      </c>
      <c r="B75" s="117"/>
      <c r="C75" s="105">
        <v>0</v>
      </c>
      <c r="D75" s="105">
        <v>0</v>
      </c>
      <c r="E75" s="118">
        <v>100000</v>
      </c>
      <c r="F75" s="103">
        <f t="shared" si="6"/>
        <v>0</v>
      </c>
      <c r="G75" s="100" t="s">
        <v>98</v>
      </c>
    </row>
    <row r="76" spans="1:7" x14ac:dyDescent="0.2">
      <c r="A76" s="119" t="s">
        <v>239</v>
      </c>
      <c r="B76" s="120"/>
      <c r="C76" s="97">
        <v>0</v>
      </c>
      <c r="D76" s="121">
        <v>0</v>
      </c>
      <c r="E76" s="107">
        <v>3850</v>
      </c>
      <c r="F76" s="122">
        <f>E76*D76*C76</f>
        <v>0</v>
      </c>
      <c r="G76" s="123" t="s">
        <v>159</v>
      </c>
    </row>
    <row r="77" spans="1:7" x14ac:dyDescent="0.2">
      <c r="A77" s="124" t="s">
        <v>114</v>
      </c>
      <c r="B77" s="125"/>
      <c r="C77" s="105">
        <v>0</v>
      </c>
      <c r="D77" s="105">
        <v>0</v>
      </c>
      <c r="E77" s="118">
        <v>4800</v>
      </c>
      <c r="F77" s="103">
        <f>C77*D77*E77</f>
        <v>0</v>
      </c>
      <c r="G77" s="116" t="s">
        <v>240</v>
      </c>
    </row>
    <row r="78" spans="1:7" ht="15" customHeight="1" x14ac:dyDescent="0.2">
      <c r="A78" s="124" t="s">
        <v>115</v>
      </c>
      <c r="B78" s="125"/>
      <c r="C78" s="105">
        <v>0</v>
      </c>
      <c r="D78" s="105">
        <v>0</v>
      </c>
      <c r="E78" s="118">
        <v>5500</v>
      </c>
      <c r="F78" s="103">
        <f>C78*D78*E78</f>
        <v>0</v>
      </c>
      <c r="G78" s="116" t="s">
        <v>161</v>
      </c>
    </row>
    <row r="79" spans="1:7" ht="15" customHeight="1" x14ac:dyDescent="0.2">
      <c r="A79" s="124" t="s">
        <v>116</v>
      </c>
      <c r="B79" s="125"/>
      <c r="C79" s="105">
        <v>0</v>
      </c>
      <c r="D79" s="105">
        <v>0</v>
      </c>
      <c r="E79" s="118">
        <v>7500</v>
      </c>
      <c r="F79" s="103">
        <f t="shared" si="6"/>
        <v>0</v>
      </c>
      <c r="G79" s="116" t="s">
        <v>160</v>
      </c>
    </row>
    <row r="80" spans="1:7" x14ac:dyDescent="0.2">
      <c r="A80" s="116" t="s">
        <v>176</v>
      </c>
      <c r="B80" s="117"/>
      <c r="C80" s="105">
        <v>0</v>
      </c>
      <c r="D80" s="105">
        <v>0</v>
      </c>
      <c r="E80" s="103">
        <v>8500</v>
      </c>
      <c r="F80" s="103">
        <f t="shared" si="6"/>
        <v>0</v>
      </c>
      <c r="G80" s="126" t="s">
        <v>245</v>
      </c>
    </row>
    <row r="81" spans="1:7" ht="32" x14ac:dyDescent="0.2">
      <c r="A81" s="101" t="s">
        <v>169</v>
      </c>
      <c r="B81" s="104"/>
      <c r="C81" s="105">
        <v>0</v>
      </c>
      <c r="D81" s="105">
        <v>0</v>
      </c>
      <c r="E81" s="103">
        <v>13500</v>
      </c>
      <c r="F81" s="103">
        <f t="shared" si="6"/>
        <v>0</v>
      </c>
      <c r="G81" s="155" t="s">
        <v>145</v>
      </c>
    </row>
    <row r="82" spans="1:7" x14ac:dyDescent="0.2">
      <c r="A82" s="116" t="s">
        <v>94</v>
      </c>
      <c r="B82" s="117"/>
      <c r="C82" s="105">
        <v>0</v>
      </c>
      <c r="D82" s="105">
        <v>0</v>
      </c>
      <c r="E82" s="103">
        <v>2500</v>
      </c>
      <c r="F82" s="103">
        <f>C82*D82*E82</f>
        <v>0</v>
      </c>
      <c r="G82" s="100" t="s">
        <v>243</v>
      </c>
    </row>
    <row r="83" spans="1:7" x14ac:dyDescent="0.2">
      <c r="A83" s="116" t="s">
        <v>170</v>
      </c>
      <c r="B83" s="117"/>
      <c r="C83" s="105">
        <v>0</v>
      </c>
      <c r="D83" s="105">
        <v>0</v>
      </c>
      <c r="E83" s="118">
        <v>300000</v>
      </c>
      <c r="F83" s="103">
        <f>C83*D83*E83</f>
        <v>0</v>
      </c>
      <c r="G83" s="100" t="s">
        <v>241</v>
      </c>
    </row>
    <row r="84" spans="1:7" x14ac:dyDescent="0.2">
      <c r="A84" s="116" t="s">
        <v>171</v>
      </c>
      <c r="B84" s="117"/>
      <c r="C84" s="105">
        <v>0</v>
      </c>
      <c r="D84" s="105">
        <v>0</v>
      </c>
      <c r="E84" s="118">
        <v>250000</v>
      </c>
      <c r="F84" s="103">
        <f>C84*D84*E84</f>
        <v>0</v>
      </c>
      <c r="G84" s="100" t="s">
        <v>241</v>
      </c>
    </row>
    <row r="85" spans="1:7" x14ac:dyDescent="0.2">
      <c r="A85" s="116" t="s">
        <v>142</v>
      </c>
      <c r="B85" s="117"/>
      <c r="C85" s="105">
        <v>0</v>
      </c>
      <c r="D85" s="105">
        <v>0</v>
      </c>
      <c r="E85" s="118">
        <v>210000</v>
      </c>
      <c r="F85" s="103">
        <f t="shared" ref="F85:F92" si="7">C85*D85*E85</f>
        <v>0</v>
      </c>
      <c r="G85" s="100" t="s">
        <v>241</v>
      </c>
    </row>
    <row r="86" spans="1:7" x14ac:dyDescent="0.2">
      <c r="A86" s="116" t="s">
        <v>143</v>
      </c>
      <c r="B86" s="117"/>
      <c r="C86" s="105">
        <v>0</v>
      </c>
      <c r="D86" s="105">
        <v>0</v>
      </c>
      <c r="E86" s="118">
        <v>210000</v>
      </c>
      <c r="F86" s="103">
        <f t="shared" si="7"/>
        <v>0</v>
      </c>
      <c r="G86" s="100" t="s">
        <v>241</v>
      </c>
    </row>
    <row r="87" spans="1:7" x14ac:dyDescent="0.2">
      <c r="A87" s="116" t="s">
        <v>172</v>
      </c>
      <c r="B87" s="117"/>
      <c r="C87" s="105">
        <v>0</v>
      </c>
      <c r="D87" s="105">
        <v>0</v>
      </c>
      <c r="E87" s="118">
        <v>180000</v>
      </c>
      <c r="F87" s="103">
        <f t="shared" si="7"/>
        <v>0</v>
      </c>
      <c r="G87" s="100" t="s">
        <v>241</v>
      </c>
    </row>
    <row r="88" spans="1:7" x14ac:dyDescent="0.2">
      <c r="A88" s="116" t="s">
        <v>141</v>
      </c>
      <c r="B88" s="117"/>
      <c r="C88" s="105">
        <v>0</v>
      </c>
      <c r="D88" s="105">
        <v>0</v>
      </c>
      <c r="E88" s="118">
        <v>180000</v>
      </c>
      <c r="F88" s="103">
        <f t="shared" si="7"/>
        <v>0</v>
      </c>
      <c r="G88" s="100" t="s">
        <v>241</v>
      </c>
    </row>
    <row r="89" spans="1:7" x14ac:dyDescent="0.2">
      <c r="A89" s="116" t="s">
        <v>174</v>
      </c>
      <c r="B89" s="117"/>
      <c r="C89" s="105">
        <v>0</v>
      </c>
      <c r="D89" s="105">
        <v>0</v>
      </c>
      <c r="E89" s="111">
        <v>120000</v>
      </c>
      <c r="F89" s="103">
        <f t="shared" si="7"/>
        <v>0</v>
      </c>
      <c r="G89" s="100" t="s">
        <v>241</v>
      </c>
    </row>
    <row r="90" spans="1:7" x14ac:dyDescent="0.2">
      <c r="A90" s="116" t="s">
        <v>173</v>
      </c>
      <c r="B90" s="117"/>
      <c r="C90" s="105">
        <v>0</v>
      </c>
      <c r="D90" s="105">
        <v>0</v>
      </c>
      <c r="E90" s="111">
        <v>90000</v>
      </c>
      <c r="F90" s="103">
        <f t="shared" si="7"/>
        <v>0</v>
      </c>
      <c r="G90" s="100" t="s">
        <v>241</v>
      </c>
    </row>
    <row r="91" spans="1:7" x14ac:dyDescent="0.2">
      <c r="A91" s="116" t="s">
        <v>182</v>
      </c>
      <c r="B91" s="117"/>
      <c r="C91" s="105">
        <v>0</v>
      </c>
      <c r="D91" s="105">
        <v>0</v>
      </c>
      <c r="E91" s="111">
        <v>100000</v>
      </c>
      <c r="F91" s="103">
        <f t="shared" si="7"/>
        <v>0</v>
      </c>
      <c r="G91" s="100" t="s">
        <v>244</v>
      </c>
    </row>
    <row r="92" spans="1:7" x14ac:dyDescent="0.2">
      <c r="A92" s="116" t="s">
        <v>175</v>
      </c>
      <c r="B92" s="117"/>
      <c r="C92" s="105">
        <v>0</v>
      </c>
      <c r="D92" s="105">
        <v>0</v>
      </c>
      <c r="E92" s="111">
        <v>300000</v>
      </c>
      <c r="F92" s="103">
        <f t="shared" si="7"/>
        <v>0</v>
      </c>
      <c r="G92" s="100" t="s">
        <v>241</v>
      </c>
    </row>
    <row r="93" spans="1:7" ht="15" customHeight="1" x14ac:dyDescent="0.2">
      <c r="A93" s="130" t="s">
        <v>157</v>
      </c>
      <c r="B93" s="131"/>
      <c r="C93" s="105">
        <v>0</v>
      </c>
      <c r="D93" s="105">
        <v>0</v>
      </c>
      <c r="E93" s="103">
        <v>680000</v>
      </c>
      <c r="F93" s="115">
        <f t="shared" ref="F93:F95" si="8">C93*D93*E93</f>
        <v>0</v>
      </c>
      <c r="G93" s="158"/>
    </row>
    <row r="94" spans="1:7" ht="18" x14ac:dyDescent="0.2">
      <c r="A94" s="130" t="s">
        <v>157</v>
      </c>
      <c r="B94" s="131"/>
      <c r="C94" s="105">
        <v>0</v>
      </c>
      <c r="D94" s="105">
        <v>0</v>
      </c>
      <c r="E94" s="103">
        <v>580000</v>
      </c>
      <c r="F94" s="115">
        <f t="shared" si="8"/>
        <v>0</v>
      </c>
      <c r="G94" s="159"/>
    </row>
    <row r="95" spans="1:7" x14ac:dyDescent="0.2">
      <c r="A95" s="130" t="s">
        <v>158</v>
      </c>
      <c r="B95" s="131"/>
      <c r="C95" s="105">
        <v>0</v>
      </c>
      <c r="D95" s="105">
        <v>0</v>
      </c>
      <c r="E95" s="103">
        <v>580000</v>
      </c>
      <c r="F95" s="115">
        <f t="shared" si="8"/>
        <v>0</v>
      </c>
      <c r="G95" s="75"/>
    </row>
    <row r="96" spans="1:7" ht="18" x14ac:dyDescent="0.2">
      <c r="A96" s="100" t="s">
        <v>179</v>
      </c>
      <c r="B96" s="129"/>
      <c r="C96" s="105">
        <v>0</v>
      </c>
      <c r="D96" s="105">
        <v>0</v>
      </c>
      <c r="E96" s="103">
        <v>180000</v>
      </c>
      <c r="F96" s="103">
        <f>C96*D96*E96</f>
        <v>0</v>
      </c>
      <c r="G96" s="159"/>
    </row>
    <row r="97" spans="1:7" ht="17" customHeight="1" x14ac:dyDescent="0.2">
      <c r="A97" s="108" t="s">
        <v>246</v>
      </c>
      <c r="B97" s="109"/>
      <c r="C97" s="110">
        <v>0</v>
      </c>
      <c r="D97" s="110">
        <v>0</v>
      </c>
      <c r="E97" s="111">
        <v>35000</v>
      </c>
      <c r="F97" s="111">
        <f t="shared" ref="F97" si="9">C97*D97*E97</f>
        <v>0</v>
      </c>
      <c r="G97" s="159"/>
    </row>
    <row r="98" spans="1:7" ht="17" customHeight="1" x14ac:dyDescent="0.2">
      <c r="A98" s="108" t="s">
        <v>247</v>
      </c>
      <c r="B98" s="109"/>
      <c r="C98" s="110">
        <v>0</v>
      </c>
      <c r="D98" s="110">
        <v>0</v>
      </c>
      <c r="E98" s="111">
        <v>55000</v>
      </c>
      <c r="F98" s="111">
        <f t="shared" ref="F98:F102" si="10">C98*D98*E98</f>
        <v>0</v>
      </c>
    </row>
    <row r="99" spans="1:7" x14ac:dyDescent="0.2">
      <c r="A99" s="108" t="s">
        <v>248</v>
      </c>
      <c r="B99" s="109"/>
      <c r="C99" s="110">
        <v>0</v>
      </c>
      <c r="D99" s="110">
        <v>0</v>
      </c>
      <c r="E99" s="111">
        <v>35000</v>
      </c>
      <c r="F99" s="111">
        <f t="shared" si="10"/>
        <v>0</v>
      </c>
    </row>
    <row r="100" spans="1:7" x14ac:dyDescent="0.2">
      <c r="A100" s="108" t="s">
        <v>251</v>
      </c>
      <c r="B100" s="109"/>
      <c r="C100" s="110">
        <v>0</v>
      </c>
      <c r="D100" s="110">
        <v>0</v>
      </c>
      <c r="E100" s="111">
        <v>55000</v>
      </c>
      <c r="F100" s="111">
        <f t="shared" si="10"/>
        <v>0</v>
      </c>
    </row>
    <row r="101" spans="1:7" ht="17" customHeight="1" x14ac:dyDescent="0.2">
      <c r="A101" s="128" t="s">
        <v>249</v>
      </c>
      <c r="B101" s="127"/>
      <c r="C101" s="128"/>
      <c r="D101" s="128"/>
      <c r="E101" s="151">
        <v>120000</v>
      </c>
      <c r="F101" s="111">
        <f t="shared" si="10"/>
        <v>0</v>
      </c>
    </row>
    <row r="102" spans="1:7" ht="17" customHeight="1" x14ac:dyDescent="0.2">
      <c r="A102" s="128" t="s">
        <v>250</v>
      </c>
      <c r="B102" s="127"/>
      <c r="C102" s="128"/>
      <c r="D102" s="128"/>
      <c r="E102" s="151">
        <v>200000</v>
      </c>
      <c r="F102" s="111">
        <f t="shared" si="10"/>
        <v>0</v>
      </c>
    </row>
    <row r="103" spans="1:7" x14ac:dyDescent="0.2">
      <c r="A103" s="132"/>
      <c r="B103" s="133"/>
      <c r="C103" s="132"/>
      <c r="D103" s="132"/>
      <c r="E103" s="132"/>
      <c r="F103" s="132"/>
    </row>
    <row r="104" spans="1:7" x14ac:dyDescent="0.2">
      <c r="A104" s="132"/>
      <c r="B104" s="133"/>
      <c r="C104" s="132"/>
      <c r="D104" s="132"/>
      <c r="E104" s="132"/>
      <c r="F104" s="132"/>
    </row>
    <row r="120" spans="1:7" ht="17" x14ac:dyDescent="0.2">
      <c r="A120" s="23"/>
      <c r="B120" s="84"/>
      <c r="C120" s="6"/>
      <c r="D120" s="6"/>
      <c r="E120" s="6"/>
      <c r="F120" s="6"/>
      <c r="G120" s="6"/>
    </row>
  </sheetData>
  <phoneticPr fontId="7" type="noConversion"/>
  <hyperlinks>
    <hyperlink ref="D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8"/>
      <c r="B1" s="178"/>
      <c r="C1" s="178"/>
      <c r="D1" s="25"/>
      <c r="E1" s="25" t="s">
        <v>99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8"/>
      <c r="B2" s="178"/>
      <c r="C2" s="178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8"/>
      <c r="B3" s="178"/>
      <c r="C3" s="178"/>
      <c r="D3" s="25"/>
      <c r="E3" s="25" t="s">
        <v>134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8"/>
      <c r="B4" s="178"/>
      <c r="C4" s="178"/>
      <c r="D4" s="42"/>
      <c r="E4" s="42" t="s">
        <v>135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179" t="s">
        <v>128</v>
      </c>
      <c r="D6" s="173"/>
      <c r="E6" s="174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0" t="s">
        <v>129</v>
      </c>
      <c r="D7" s="161"/>
      <c r="E7" s="162"/>
      <c r="F7" s="53"/>
      <c r="G7" s="53"/>
      <c r="H7" s="53"/>
      <c r="I7" s="54" t="s">
        <v>130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0" t="s">
        <v>129</v>
      </c>
      <c r="D8" s="161"/>
      <c r="E8" s="162"/>
      <c r="F8" s="53"/>
      <c r="G8" s="53"/>
      <c r="H8" s="53"/>
      <c r="I8" s="54" t="s">
        <v>130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3" t="s">
        <v>108</v>
      </c>
      <c r="D9" s="164"/>
      <c r="E9" s="165"/>
      <c r="F9" s="48"/>
      <c r="G9" s="48">
        <v>60</v>
      </c>
      <c r="H9" s="49" t="s">
        <v>107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0" t="s">
        <v>129</v>
      </c>
      <c r="D10" s="161"/>
      <c r="E10" s="162"/>
      <c r="F10" s="53"/>
      <c r="G10" s="53"/>
      <c r="H10" s="53"/>
      <c r="I10" s="54" t="s">
        <v>130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0" t="s">
        <v>129</v>
      </c>
      <c r="D11" s="161"/>
      <c r="E11" s="162"/>
      <c r="F11" s="53"/>
      <c r="G11" s="53"/>
      <c r="H11" s="53"/>
      <c r="I11" s="54" t="s">
        <v>130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6" t="s">
        <v>109</v>
      </c>
      <c r="D12" s="167"/>
      <c r="E12" s="168"/>
      <c r="F12" s="45"/>
      <c r="G12" s="45"/>
      <c r="H12" s="44"/>
      <c r="I12" s="28" t="s">
        <v>126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9" t="s">
        <v>127</v>
      </c>
      <c r="D13" s="170"/>
      <c r="E13" s="171"/>
      <c r="F13" s="59"/>
      <c r="G13" s="59">
        <v>60</v>
      </c>
      <c r="H13" s="49" t="s">
        <v>107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72" t="s">
        <v>131</v>
      </c>
      <c r="D15" s="173"/>
      <c r="E15" s="174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75" t="s">
        <v>106</v>
      </c>
      <c r="D16" s="176"/>
      <c r="E16" s="177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0" t="s">
        <v>129</v>
      </c>
      <c r="D17" s="161"/>
      <c r="E17" s="162"/>
      <c r="F17" s="53"/>
      <c r="G17" s="53"/>
      <c r="H17" s="53"/>
      <c r="I17" s="54" t="s">
        <v>130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0" t="s">
        <v>129</v>
      </c>
      <c r="D18" s="161"/>
      <c r="E18" s="162"/>
      <c r="F18" s="53"/>
      <c r="G18" s="53"/>
      <c r="H18" s="53"/>
      <c r="I18" s="54" t="s">
        <v>130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3" t="s">
        <v>108</v>
      </c>
      <c r="D19" s="164"/>
      <c r="E19" s="165"/>
      <c r="F19" s="48"/>
      <c r="G19" s="48">
        <v>60</v>
      </c>
      <c r="H19" s="49" t="s">
        <v>107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0" t="s">
        <v>129</v>
      </c>
      <c r="D20" s="161"/>
      <c r="E20" s="162"/>
      <c r="F20" s="53"/>
      <c r="G20" s="53"/>
      <c r="H20" s="53"/>
      <c r="I20" s="54" t="s">
        <v>130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0" t="s">
        <v>129</v>
      </c>
      <c r="D21" s="161"/>
      <c r="E21" s="162"/>
      <c r="F21" s="53"/>
      <c r="G21" s="53"/>
      <c r="H21" s="53"/>
      <c r="I21" s="54" t="s">
        <v>130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6" t="s">
        <v>109</v>
      </c>
      <c r="D22" s="167"/>
      <c r="E22" s="168"/>
      <c r="F22" s="45"/>
      <c r="G22" s="45"/>
      <c r="H22" s="44"/>
      <c r="I22" s="28" t="s">
        <v>126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9" t="s">
        <v>127</v>
      </c>
      <c r="D23" s="170"/>
      <c r="E23" s="171"/>
      <c r="F23" s="59"/>
      <c r="G23" s="59">
        <v>60</v>
      </c>
      <c r="H23" s="49" t="s">
        <v>107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100</v>
      </c>
      <c r="B25" s="30" t="s">
        <v>101</v>
      </c>
      <c r="C25" s="172" t="s">
        <v>132</v>
      </c>
      <c r="D25" s="173"/>
      <c r="E25" s="174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75" t="s">
        <v>106</v>
      </c>
      <c r="D26" s="176"/>
      <c r="E26" s="177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0" t="s">
        <v>129</v>
      </c>
      <c r="D27" s="161"/>
      <c r="E27" s="162"/>
      <c r="F27" s="53"/>
      <c r="G27" s="53"/>
      <c r="H27" s="53"/>
      <c r="I27" s="54" t="s">
        <v>130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0" t="s">
        <v>129</v>
      </c>
      <c r="D28" s="161"/>
      <c r="E28" s="162"/>
      <c r="F28" s="53"/>
      <c r="G28" s="53"/>
      <c r="H28" s="53"/>
      <c r="I28" s="54" t="s">
        <v>130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3" t="s">
        <v>108</v>
      </c>
      <c r="D29" s="164"/>
      <c r="E29" s="165"/>
      <c r="F29" s="48"/>
      <c r="G29" s="48">
        <v>60</v>
      </c>
      <c r="H29" s="49" t="s">
        <v>107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0" t="s">
        <v>129</v>
      </c>
      <c r="D30" s="161"/>
      <c r="E30" s="162"/>
      <c r="F30" s="53"/>
      <c r="G30" s="53"/>
      <c r="H30" s="53"/>
      <c r="I30" s="54" t="s">
        <v>130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0" t="s">
        <v>129</v>
      </c>
      <c r="D31" s="161"/>
      <c r="E31" s="162"/>
      <c r="F31" s="53"/>
      <c r="G31" s="53"/>
      <c r="H31" s="53"/>
      <c r="I31" s="54" t="s">
        <v>130</v>
      </c>
      <c r="J31" s="22"/>
      <c r="K31" s="22"/>
      <c r="L31" s="22"/>
      <c r="M31" s="22"/>
      <c r="N31" s="22"/>
    </row>
    <row r="32" spans="1:14" s="56" customFormat="1" ht="15" customHeight="1" x14ac:dyDescent="0.2">
      <c r="A32" s="181"/>
      <c r="B32" s="181"/>
      <c r="C32" s="181"/>
      <c r="D32" s="181"/>
      <c r="E32" s="181"/>
      <c r="F32" s="181"/>
      <c r="G32" s="181"/>
      <c r="H32" s="181"/>
      <c r="I32" s="181"/>
      <c r="J32" s="55"/>
      <c r="K32" s="55"/>
      <c r="L32" s="55"/>
      <c r="M32" s="55"/>
      <c r="N32" s="55"/>
    </row>
    <row r="33" spans="1:14" s="56" customFormat="1" ht="15" customHeight="1" x14ac:dyDescent="0.2">
      <c r="A33" s="182" t="s">
        <v>133</v>
      </c>
      <c r="B33" s="182"/>
      <c r="C33" s="182"/>
      <c r="D33" s="182"/>
      <c r="E33" s="182"/>
      <c r="F33" s="182"/>
      <c r="G33" s="182"/>
      <c r="H33" s="182"/>
      <c r="I33" s="182"/>
      <c r="J33" s="55"/>
      <c r="K33" s="55"/>
      <c r="L33" s="55"/>
      <c r="M33" s="55"/>
      <c r="N33" s="55"/>
    </row>
    <row r="34" spans="1:14" s="56" customFormat="1" ht="15" customHeight="1" x14ac:dyDescent="0.2">
      <c r="A34" s="181"/>
      <c r="B34" s="181"/>
      <c r="C34" s="181"/>
      <c r="D34" s="181"/>
      <c r="E34" s="181"/>
      <c r="F34" s="181"/>
      <c r="G34" s="181"/>
      <c r="H34" s="181"/>
      <c r="I34" s="181"/>
      <c r="J34" s="55"/>
      <c r="K34" s="55"/>
      <c r="L34" s="55"/>
      <c r="M34" s="55"/>
      <c r="N34" s="55"/>
    </row>
    <row r="35" spans="1:14" s="56" customFormat="1" ht="15" customHeight="1" x14ac:dyDescent="0.2">
      <c r="A35" s="181"/>
      <c r="B35" s="181"/>
      <c r="C35" s="181"/>
      <c r="D35" s="181"/>
      <c r="E35" s="181"/>
      <c r="F35" s="181"/>
      <c r="G35" s="181"/>
      <c r="H35" s="181"/>
      <c r="I35" s="181"/>
      <c r="J35" s="55"/>
      <c r="K35" s="55"/>
      <c r="L35" s="55"/>
      <c r="M35" s="55"/>
      <c r="N35" s="55"/>
    </row>
    <row r="36" spans="1:14" s="56" customFormat="1" ht="15" customHeight="1" x14ac:dyDescent="0.2">
      <c r="A36" s="181"/>
      <c r="B36" s="181"/>
      <c r="C36" s="181"/>
      <c r="D36" s="181"/>
      <c r="E36" s="181"/>
      <c r="F36" s="181"/>
      <c r="G36" s="181"/>
      <c r="H36" s="181"/>
      <c r="I36" s="181"/>
      <c r="J36" s="55"/>
      <c r="K36" s="55"/>
      <c r="L36" s="55"/>
      <c r="M36" s="55"/>
      <c r="N36" s="55"/>
    </row>
    <row r="37" spans="1:14" s="56" customFormat="1" ht="15" customHeight="1" x14ac:dyDescent="0.2">
      <c r="A37" s="181"/>
      <c r="B37" s="181"/>
      <c r="C37" s="181"/>
      <c r="D37" s="181"/>
      <c r="E37" s="181"/>
      <c r="F37" s="181"/>
      <c r="G37" s="181"/>
      <c r="H37" s="181"/>
      <c r="I37" s="181"/>
      <c r="J37" s="55"/>
      <c r="K37" s="55"/>
      <c r="L37" s="55"/>
      <c r="M37" s="55"/>
      <c r="N37" s="55"/>
    </row>
    <row r="38" spans="1:14" s="56" customFormat="1" ht="15" customHeight="1" x14ac:dyDescent="0.2">
      <c r="A38" s="181"/>
      <c r="B38" s="181"/>
      <c r="C38" s="181"/>
      <c r="D38" s="181"/>
      <c r="E38" s="181"/>
      <c r="F38" s="181"/>
      <c r="G38" s="181"/>
      <c r="H38" s="181"/>
      <c r="I38" s="181"/>
      <c r="J38" s="55"/>
      <c r="K38" s="55"/>
      <c r="L38" s="55"/>
      <c r="M38" s="55"/>
      <c r="N38" s="55"/>
    </row>
    <row r="39" spans="1:14" s="56" customFormat="1" ht="15" customHeight="1" x14ac:dyDescent="0.2">
      <c r="A39" s="181"/>
      <c r="B39" s="181"/>
      <c r="C39" s="181"/>
      <c r="D39" s="181"/>
      <c r="E39" s="181"/>
      <c r="F39" s="181"/>
      <c r="G39" s="181"/>
      <c r="H39" s="181"/>
      <c r="I39" s="181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83" t="s">
        <v>110</v>
      </c>
      <c r="B44" s="183"/>
      <c r="C44" s="183"/>
      <c r="D44" s="183"/>
      <c r="E44" s="183"/>
      <c r="F44" s="183"/>
      <c r="G44" s="183"/>
      <c r="H44" s="36"/>
      <c r="I44" s="31" t="s">
        <v>111</v>
      </c>
      <c r="J44" s="22"/>
      <c r="K44" s="22"/>
      <c r="L44" s="22"/>
      <c r="M44" s="22"/>
      <c r="N44" s="22"/>
    </row>
    <row r="45" spans="1:14" x14ac:dyDescent="0.2">
      <c r="A45" s="178"/>
      <c r="B45" s="178"/>
      <c r="C45" s="178"/>
      <c r="D45" s="178"/>
      <c r="E45" s="178"/>
      <c r="F45" s="178"/>
      <c r="G45" s="178"/>
      <c r="H45" s="36"/>
      <c r="I45" s="22"/>
      <c r="J45" s="22"/>
      <c r="K45" s="22"/>
      <c r="L45" s="22"/>
      <c r="M45" s="22"/>
      <c r="N45" s="22"/>
    </row>
    <row r="46" spans="1:14" x14ac:dyDescent="0.2">
      <c r="A46" s="180" t="s">
        <v>112</v>
      </c>
      <c r="B46" s="180"/>
      <c r="C46" s="180"/>
      <c r="D46" s="180"/>
      <c r="E46" s="180"/>
      <c r="F46" s="180"/>
      <c r="G46" s="180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workbookViewId="0">
      <selection activeCell="J3" sqref="J3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opLeftCell="A23"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211</v>
      </c>
    </row>
    <row r="3" spans="1:1" ht="28" customHeight="1" thickBot="1" x14ac:dyDescent="0.25">
      <c r="A3" s="91" t="s">
        <v>212</v>
      </c>
    </row>
    <row r="4" spans="1:1" ht="17" x14ac:dyDescent="0.2">
      <c r="A4" s="92" t="s">
        <v>213</v>
      </c>
    </row>
    <row r="5" spans="1:1" ht="41" customHeight="1" x14ac:dyDescent="0.2">
      <c r="A5" s="93" t="s">
        <v>214</v>
      </c>
    </row>
    <row r="6" spans="1:1" ht="33" customHeight="1" thickBot="1" x14ac:dyDescent="0.25">
      <c r="A6" s="91" t="s">
        <v>216</v>
      </c>
    </row>
    <row r="7" spans="1:1" ht="29" customHeight="1" thickBot="1" x14ac:dyDescent="0.25">
      <c r="A7" s="9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2018-05-04T14:25:22Z</dcterms:modified>
</cp:coreProperties>
</file>