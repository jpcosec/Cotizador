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0" yWindow="460" windowWidth="25600" windowHeight="1176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7" i="1" l="1"/>
  <c r="F25" i="1"/>
  <c r="F40" i="1"/>
  <c r="F38" i="1"/>
  <c r="F10" i="1"/>
  <c r="F11" i="1"/>
  <c r="F12" i="1"/>
  <c r="F13" i="1"/>
  <c r="F14" i="1"/>
  <c r="F15" i="1"/>
  <c r="F16" i="1"/>
  <c r="F17" i="1"/>
  <c r="F28" i="1"/>
  <c r="F78" i="1"/>
  <c r="F30" i="1"/>
  <c r="F67" i="1"/>
  <c r="F29" i="1"/>
  <c r="F36" i="1"/>
  <c r="F116" i="1"/>
  <c r="F74" i="1"/>
  <c r="F73" i="1"/>
  <c r="F75" i="1"/>
  <c r="F113" i="1"/>
  <c r="F114" i="1"/>
  <c r="F115" i="1"/>
  <c r="F108" i="1"/>
  <c r="F107" i="1"/>
  <c r="F106" i="1"/>
  <c r="F80" i="1"/>
  <c r="F99" i="1"/>
  <c r="F112" i="1"/>
  <c r="F95" i="1"/>
  <c r="F93" i="1"/>
  <c r="F94" i="1"/>
  <c r="F96" i="1"/>
  <c r="F97" i="1"/>
  <c r="F98" i="1"/>
  <c r="F100" i="1"/>
  <c r="F104" i="1"/>
  <c r="F105" i="1"/>
  <c r="F109" i="1"/>
  <c r="F92" i="1"/>
  <c r="F89" i="1"/>
  <c r="F84" i="1"/>
  <c r="F91" i="1"/>
  <c r="F110" i="1"/>
  <c r="F111" i="1"/>
  <c r="F71" i="1"/>
  <c r="F76" i="1"/>
  <c r="F72" i="1"/>
  <c r="F87" i="1"/>
  <c r="F82" i="1"/>
  <c r="F83" i="1"/>
  <c r="F85" i="1"/>
  <c r="F86" i="1"/>
  <c r="F88" i="1"/>
  <c r="F90" i="1"/>
  <c r="F68" i="1"/>
  <c r="F69" i="1"/>
  <c r="F70" i="1"/>
  <c r="F77" i="1"/>
  <c r="F79" i="1"/>
  <c r="F81" i="1"/>
  <c r="F30" i="5"/>
  <c r="E30" i="5"/>
  <c r="D30" i="5"/>
  <c r="C30" i="5"/>
  <c r="B30" i="5"/>
  <c r="P29" i="5"/>
  <c r="O29" i="5"/>
  <c r="N29" i="5"/>
  <c r="K29" i="5"/>
  <c r="J29" i="5"/>
  <c r="I29" i="5"/>
  <c r="Z23" i="5"/>
  <c r="F39" i="1"/>
</calcChain>
</file>

<file path=xl/sharedStrings.xml><?xml version="1.0" encoding="utf-8"?>
<sst xmlns="http://schemas.openxmlformats.org/spreadsheetml/2006/main" count="512" uniqueCount="296">
  <si>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</si>
  <si>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</si>
  <si>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</si>
  <si>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</si>
  <si>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</si>
  <si>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</si>
  <si>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</si>
  <si>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</si>
  <si>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</si>
  <si>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</si>
  <si>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</si>
  <si>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</si>
  <si>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</si>
  <si>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</si>
  <si>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</si>
  <si>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</si>
  <si>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</si>
  <si>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</si>
  <si>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</si>
  <si>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</si>
  <si>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</si>
  <si>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</si>
  <si>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</si>
  <si>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</si>
  <si>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</si>
  <si>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</si>
  <si>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</si>
  <si>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</si>
  <si>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</si>
  <si>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</si>
  <si>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</si>
  <si>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</si>
  <si>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</si>
  <si>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</si>
  <si>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</si>
  <si>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</si>
  <si>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</si>
  <si>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</si>
  <si>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</si>
  <si>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</si>
  <si>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</si>
  <si>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</si>
  <si>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</si>
  <si>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</si>
  <si>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</si>
  <si>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</si>
  <si>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</si>
  <si>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</si>
  <si>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</si>
  <si>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</si>
  <si>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</si>
  <si>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</si>
  <si>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</si>
  <si>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</si>
  <si>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</si>
  <si>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</si>
  <si>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</si>
  <si>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</si>
  <si>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</si>
  <si>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</si>
  <si>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</si>
  <si>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</si>
  <si>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</si>
  <si>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</si>
  <si>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</si>
  <si>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</si>
  <si>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</si>
  <si>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</si>
  <si>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</si>
  <si>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</si>
  <si>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</si>
  <si>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</si>
  <si>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</si>
  <si>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</si>
  <si>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</si>
  <si>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</si>
  <si>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</si>
  <si>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</si>
  <si>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</si>
  <si>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</si>
  <si>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</si>
  <si>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</si>
  <si>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</si>
  <si>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</si>
  <si>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</si>
  <si>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</si>
  <si>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</si>
  <si>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</si>
  <si>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</si>
  <si>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</si>
  <si>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</si>
  <si>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</si>
  <si>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</si>
  <si>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</si>
  <si>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</si>
  <si>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</si>
  <si>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</si>
  <si>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</si>
  <si>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</si>
  <si>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</si>
  <si>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</si>
  <si>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</si>
  <si>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</si>
  <si>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</si>
  <si>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</si>
  <si>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</si>
  <si>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</si>
  <si>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</si>
  <si>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</si>
  <si>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</si>
  <si>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</si>
  <si>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</si>
  <si>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</si>
  <si>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</si>
  <si>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</si>
  <si>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</si>
  <si>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</si>
  <si>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</si>
  <si>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</si>
  <si>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</si>
  <si>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</si>
  <si>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</si>
  <si>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</si>
  <si>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</si>
  <si>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</si>
  <si>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</si>
  <si>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</si>
  <si>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</si>
  <si>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</si>
  <si>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</si>
  <si>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</si>
  <si>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</si>
  <si>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</si>
  <si>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</si>
  <si>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</si>
  <si>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</si>
  <si>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</si>
  <si>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</si>
  <si>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</si>
  <si>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</si>
  <si>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</si>
  <si>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</si>
  <si>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</si>
  <si>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</si>
  <si>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</si>
  <si>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</si>
  <si>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</si>
  <si>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Amplificación Full c/operador, 8 horas</t>
  </si>
  <si>
    <t>Valor no incluye propinas.</t>
  </si>
  <si>
    <t>IVA</t>
  </si>
  <si>
    <t>Habitación single hotel</t>
  </si>
  <si>
    <t>Habitación doble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</si>
  <si>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</si>
  <si>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</si>
  <si>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</si>
  <si>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</si>
  <si>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</si>
  <si>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</si>
  <si>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</si>
  <si>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</si>
  <si>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</si>
  <si>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DJ y Animador 4 horas en la noche</t>
  </si>
  <si>
    <t>Vg Karaoke y animador 4 horas en la noche</t>
  </si>
  <si>
    <t xml:space="preserve">Hora adicional de DJ o VG karaoke en la noche </t>
  </si>
  <si>
    <t>David Azan</t>
  </si>
  <si>
    <t>Incluye salon, amplificación e iluminación.</t>
  </si>
  <si>
    <t>Enzo Massardo</t>
  </si>
  <si>
    <t>Iluminación y humo, audio</t>
  </si>
  <si>
    <t>DJ que se encarga de la música, animador para fiesta</t>
  </si>
  <si>
    <t>Incluye salon, amplificación e iluminación con Karaoke en vivo</t>
  </si>
  <si>
    <t>Incluye salon, amplificación e iluminación Concierto.</t>
  </si>
  <si>
    <t>Equipos de fiesta robotizado, fiesta top.</t>
  </si>
  <si>
    <t>VG que se encarga de la música, animador para fiesta equipos.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</si>
  <si>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</si>
  <si>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</si>
  <si>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</si>
  <si>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</si>
  <si>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</si>
  <si>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</si>
  <si>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 xml:space="preserve">Desayuno Buffet 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</si>
  <si>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</si>
  <si>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</si>
  <si>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</si>
  <si>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</si>
  <si>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</si>
  <si>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</si>
  <si>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</si>
  <si>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</si>
  <si>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</si>
  <si>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</si>
  <si>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</si>
  <si>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Punto de amplificación exterior estática</t>
  </si>
  <si>
    <t xml:space="preserve">Animador para fiesta </t>
  </si>
  <si>
    <t>4 horas, Marcelo o Fabian.</t>
  </si>
  <si>
    <t>Dj + Salón</t>
  </si>
  <si>
    <t xml:space="preserve">4 horas, Marcelo </t>
  </si>
  <si>
    <t>Karaoke + Salón</t>
  </si>
  <si>
    <t>Micrófono Inalámbrico solapa.</t>
  </si>
  <si>
    <t>Micrófono disponible y conectado</t>
  </si>
  <si>
    <t>Data adicional</t>
  </si>
  <si>
    <t>Coctail Básico.</t>
  </si>
  <si>
    <t>Servicio en comedor exclusivo</t>
  </si>
  <si>
    <t>Cambio de hora Alimentacion</t>
  </si>
  <si>
    <t>Masajista exclusiva,  hasta 1 a 8 horas</t>
  </si>
  <si>
    <t>08:30-11:00</t>
  </si>
  <si>
    <t>13:00-15:00</t>
  </si>
  <si>
    <t>20:00- 21:00</t>
  </si>
  <si>
    <t>Pergola uso exclusivo 8 horas</t>
  </si>
  <si>
    <t>horarios entre las 10:00 y 14:00 y 15:00 a 19:00, adjuntar ficha de horarios de masajes.</t>
  </si>
  <si>
    <t>Coordinador de evento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</si>
  <si>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</si>
  <si>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</si>
  <si>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</si>
  <si>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</si>
  <si>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</si>
  <si>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</si>
  <si>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</si>
  <si>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</si>
  <si>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</si>
  <si>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</si>
  <si>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</si>
  <si>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</si>
  <si>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</si>
  <si>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</si>
  <si>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</si>
  <si>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</si>
  <si>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</si>
  <si>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</si>
  <si>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</si>
  <si>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</si>
  <si>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</si>
  <si>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</si>
  <si>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1 noche de alojamiento, 2 desayunos, valor por  2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</si>
  <si>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</si>
  <si>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</si>
  <si>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</si>
  <si>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</si>
  <si>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</si>
  <si>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</si>
  <si>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</si>
  <si>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</si>
  <si>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</si>
  <si>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</si>
  <si>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</si>
  <si>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</si>
  <si>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</si>
  <si>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</si>
  <si>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Confirmar uso</t>
  </si>
  <si>
    <t>Todo el dia</t>
  </si>
  <si>
    <t>Incluido sin costo</t>
  </si>
  <si>
    <t>Siempre que se usen en horarios establecidos y en forma no exclusiva, indicando hora de uso.</t>
  </si>
  <si>
    <t>Total  Evento</t>
  </si>
  <si>
    <t>Horario</t>
  </si>
  <si>
    <t>Confirmar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</si>
  <si>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</si>
  <si>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</si>
  <si>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12 horas, persona a cargo de recibir al grupo y coordinar cada una de las actividades.</t>
  </si>
  <si>
    <t>Amplificación y 1 micrófono inalambrico, 4 horas.</t>
  </si>
  <si>
    <t>Gaseosa ó mineral ó  jugo de botella ó cerveza Cristal o Escudo.</t>
  </si>
  <si>
    <t>1 noche de alojamiento, 1 desayuno, valor por persona.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</si>
  <si>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</si>
  <si>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</si>
  <si>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</si>
  <si>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</si>
  <si>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</si>
  <si>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</si>
  <si>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</si>
  <si>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</si>
  <si>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</si>
  <si>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</si>
  <si>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</si>
  <si>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Micrófono normal adicional</t>
  </si>
  <si>
    <t>8 h Día o 4 h Noche</t>
  </si>
  <si>
    <t xml:space="preserve">Realiza hasta 10 pasajes de relajación de 1/2 hora + salón y aceites, hay que considerar entre masaje 15 minutos app. 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</si>
  <si>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</si>
  <si>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</si>
  <si>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</si>
  <si>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</si>
  <si>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HCUCH</t>
  </si>
  <si>
    <t xml:space="preserve">      Detalles Importantes:</t>
  </si>
  <si>
    <t xml:space="preserve">      1.-</t>
  </si>
  <si>
    <t xml:space="preserve">      2.-</t>
  </si>
  <si>
    <t xml:space="preserve">      3.-</t>
  </si>
  <si>
    <t xml:space="preserve">      4.-</t>
  </si>
  <si>
    <t>Marcela Soto</t>
  </si>
  <si>
    <t xml:space="preserve">                                                        Atiende:</t>
  </si>
  <si>
    <t>sin costo</t>
  </si>
  <si>
    <t>Total a Facturar</t>
  </si>
  <si>
    <t xml:space="preserve">Salón Arcoiris 1, hasta 80 pasajeros </t>
  </si>
  <si>
    <t>Karaoke hasta 4 hora</t>
  </si>
  <si>
    <t>trago de cortesía</t>
  </si>
  <si>
    <t>incluye salon, equipos, y persona a cargo</t>
  </si>
  <si>
    <t>piscola, ó roncola, ó  pisco sour, ó cerveza, ó copa de vino.</t>
  </si>
  <si>
    <t xml:space="preserve">   $125.750+IVA</t>
  </si>
  <si>
    <t xml:space="preserve">                                                        Nombre: </t>
  </si>
  <si>
    <t xml:space="preserve">                                                 Valor por pasajero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</si>
</sst>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;[Red]&quot;$&quot;\-#,##0"/>
    <numFmt numFmtId="42" formatCode="_ &quot;$&quot;* #,##0_ ;_ &quot;$&quot;* \-#,##0_ ;_ &quot;$&quot;* &quot;-&quot;_ ;_ @_ "/>
    <numFmt numFmtId="164" formatCode="&quot;$&quot;#,##0"/>
    <numFmt numFmtId="165" formatCode="h:mm:ss;@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18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1" fillId="0" borderId="0" applyFont="0" applyFill="0" applyBorder="0" applyAlignment="0" applyProtection="0"/>
  </cellStyleXfs>
  <cellXfs count="199">
    <xf numFmtId="0" fontId="0" fillId="0" borderId="0" xfId="0"/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6" fontId="7" fillId="0" borderId="0" xfId="0" applyNumberFormat="1" applyFont="1" applyBorder="1" applyAlignment="1">
      <alignment horizontal="right"/>
    </xf>
    <xf numFmtId="6" fontId="7" fillId="0" borderId="6" xfId="0" applyNumberFormat="1" applyFont="1" applyBorder="1" applyAlignment="1">
      <alignment horizontal="right"/>
    </xf>
    <xf numFmtId="0" fontId="7" fillId="0" borderId="0" xfId="0" applyFont="1"/>
    <xf numFmtId="6" fontId="7" fillId="0" borderId="0" xfId="0" applyNumberFormat="1" applyFont="1" applyAlignment="1">
      <alignment horizontal="right"/>
    </xf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2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7" fillId="4" borderId="0" xfId="0" applyFont="1" applyFill="1"/>
    <xf numFmtId="0" fontId="10" fillId="4" borderId="0" xfId="0" applyFont="1" applyFill="1" applyAlignment="1">
      <alignment vertical="center"/>
    </xf>
    <xf numFmtId="0" fontId="7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20" fontId="7" fillId="4" borderId="8" xfId="0" applyNumberFormat="1" applyFont="1" applyFill="1" applyBorder="1" applyAlignment="1">
      <alignment horizontal="center"/>
    </xf>
    <xf numFmtId="20" fontId="7" fillId="4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3" fillId="5" borderId="1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7" fillId="4" borderId="13" xfId="0" applyFont="1" applyFill="1" applyBorder="1"/>
    <xf numFmtId="0" fontId="7" fillId="0" borderId="0" xfId="0" applyFont="1" applyBorder="1" applyAlignment="1">
      <alignment horizontal="center"/>
    </xf>
    <xf numFmtId="0" fontId="12" fillId="0" borderId="0" xfId="0" applyFont="1"/>
    <xf numFmtId="0" fontId="7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7" fillId="4" borderId="0" xfId="0" applyFont="1" applyFill="1" applyAlignment="1">
      <alignment horizont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right"/>
    </xf>
    <xf numFmtId="6" fontId="7" fillId="0" borderId="16" xfId="0" applyNumberFormat="1" applyFont="1" applyBorder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20" fontId="7" fillId="6" borderId="8" xfId="0" applyNumberFormat="1" applyFont="1" applyFill="1" applyBorder="1" applyAlignment="1">
      <alignment horizontal="center"/>
    </xf>
    <xf numFmtId="20" fontId="7" fillId="6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20" fontId="7" fillId="0" borderId="8" xfId="0" applyNumberFormat="1" applyFont="1" applyFill="1" applyBorder="1" applyAlignment="1">
      <alignment horizontal="center"/>
    </xf>
    <xf numFmtId="20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0" xfId="0" applyFont="1" applyFill="1"/>
    <xf numFmtId="0" fontId="0" fillId="0" borderId="0" xfId="0" applyFill="1"/>
    <xf numFmtId="20" fontId="7" fillId="6" borderId="8" xfId="0" applyNumberFormat="1" applyFont="1" applyFill="1" applyBorder="1" applyAlignment="1">
      <alignment horizontal="center" vertical="center"/>
    </xf>
    <xf numFmtId="20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wrapText="1" shrinkToFi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7" fillId="0" borderId="9" xfId="0" applyFont="1" applyBorder="1" applyAlignment="1"/>
    <xf numFmtId="0" fontId="7" fillId="0" borderId="0" xfId="0" applyFont="1" applyBorder="1" applyAlignment="1"/>
    <xf numFmtId="0" fontId="7" fillId="0" borderId="19" xfId="0" applyFont="1" applyBorder="1" applyAlignment="1"/>
    <xf numFmtId="2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wrapText="1" shrinkToFit="1"/>
    </xf>
    <xf numFmtId="0" fontId="7" fillId="0" borderId="0" xfId="0" applyFont="1" applyFill="1" applyBorder="1" applyAlignment="1">
      <alignment horizontal="center" wrapText="1" shrinkToFi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Fill="1"/>
    <xf numFmtId="0" fontId="13" fillId="0" borderId="0" xfId="0" applyFont="1"/>
    <xf numFmtId="0" fontId="5" fillId="0" borderId="0" xfId="116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165" fontId="4" fillId="0" borderId="0" xfId="0" applyNumberFormat="1" applyFont="1" applyAlignment="1">
      <alignment horizontal="right"/>
    </xf>
    <xf numFmtId="165" fontId="0" fillId="0" borderId="0" xfId="0" applyNumberFormat="1"/>
    <xf numFmtId="165" fontId="7" fillId="0" borderId="9" xfId="0" applyNumberFormat="1" applyFont="1" applyBorder="1" applyAlignment="1">
      <alignment horizontal="right"/>
    </xf>
    <xf numFmtId="165" fontId="7" fillId="0" borderId="0" xfId="0" applyNumberFormat="1" applyFont="1" applyBorder="1" applyAlignment="1">
      <alignment horizontal="right"/>
    </xf>
    <xf numFmtId="165" fontId="7" fillId="0" borderId="15" xfId="0" applyNumberFormat="1" applyFont="1" applyBorder="1" applyAlignment="1">
      <alignment horizontal="right" vertical="center"/>
    </xf>
    <xf numFmtId="165" fontId="10" fillId="4" borderId="0" xfId="0" applyNumberFormat="1" applyFont="1" applyFill="1" applyAlignment="1">
      <alignment vertical="center"/>
    </xf>
    <xf numFmtId="0" fontId="7" fillId="0" borderId="3" xfId="0" applyFont="1" applyBorder="1" applyAlignment="1">
      <alignment horizontal="right"/>
    </xf>
    <xf numFmtId="165" fontId="7" fillId="0" borderId="4" xfId="0" applyNumberFormat="1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6" fontId="7" fillId="0" borderId="4" xfId="0" applyNumberFormat="1" applyFont="1" applyBorder="1" applyAlignment="1">
      <alignment horizontal="right"/>
    </xf>
    <xf numFmtId="6" fontId="7" fillId="0" borderId="18" xfId="0" applyNumberFormat="1" applyFont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116" applyFont="1" applyAlignment="1">
      <alignment vertical="center"/>
    </xf>
    <xf numFmtId="20" fontId="19" fillId="0" borderId="0" xfId="0" applyNumberFormat="1" applyFont="1"/>
    <xf numFmtId="0" fontId="19" fillId="0" borderId="0" xfId="0" applyFont="1"/>
    <xf numFmtId="0" fontId="15" fillId="0" borderId="26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5" fillId="0" borderId="28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7" fillId="9" borderId="12" xfId="0" applyFont="1" applyFill="1" applyBorder="1"/>
    <xf numFmtId="165" fontId="7" fillId="9" borderId="2" xfId="0" applyNumberFormat="1" applyFont="1" applyFill="1" applyBorder="1"/>
    <xf numFmtId="0" fontId="7" fillId="9" borderId="2" xfId="0" applyFont="1" applyFill="1" applyBorder="1" applyAlignment="1">
      <alignment horizontal="center"/>
    </xf>
    <xf numFmtId="6" fontId="7" fillId="9" borderId="2" xfId="0" applyNumberFormat="1" applyFont="1" applyFill="1" applyBorder="1"/>
    <xf numFmtId="6" fontId="7" fillId="9" borderId="2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 vertical="center"/>
    </xf>
    <xf numFmtId="165" fontId="7" fillId="9" borderId="2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/>
    </xf>
    <xf numFmtId="165" fontId="7" fillId="9" borderId="18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left" vertical="center"/>
    </xf>
    <xf numFmtId="6" fontId="7" fillId="9" borderId="2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left"/>
    </xf>
    <xf numFmtId="165" fontId="16" fillId="9" borderId="1" xfId="0" applyNumberFormat="1" applyFont="1" applyFill="1" applyBorder="1" applyAlignment="1">
      <alignment horizontal="left"/>
    </xf>
    <xf numFmtId="0" fontId="16" fillId="9" borderId="1" xfId="0" applyFont="1" applyFill="1" applyBorder="1" applyAlignment="1">
      <alignment horizontal="center"/>
    </xf>
    <xf numFmtId="6" fontId="16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21" fillId="0" borderId="0" xfId="0" applyFont="1" applyAlignment="1">
      <alignment vertical="center"/>
    </xf>
    <xf numFmtId="165" fontId="7" fillId="9" borderId="1" xfId="0" applyNumberFormat="1" applyFont="1" applyFill="1" applyBorder="1" applyAlignment="1">
      <alignment horizontal="center"/>
    </xf>
    <xf numFmtId="164" fontId="7" fillId="9" borderId="1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 vertical="center"/>
    </xf>
    <xf numFmtId="165" fontId="7" fillId="9" borderId="1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 vertical="center"/>
    </xf>
    <xf numFmtId="0" fontId="7" fillId="9" borderId="12" xfId="0" applyFont="1" applyFill="1" applyBorder="1" applyAlignment="1">
      <alignment vertical="center"/>
    </xf>
    <xf numFmtId="165" fontId="7" fillId="9" borderId="2" xfId="0" applyNumberFormat="1" applyFont="1" applyFill="1" applyBorder="1" applyAlignment="1">
      <alignment vertical="center"/>
    </xf>
    <xf numFmtId="0" fontId="0" fillId="3" borderId="22" xfId="0" applyFont="1" applyFill="1" applyBorder="1" applyAlignment="1">
      <alignment horizontal="center"/>
    </xf>
    <xf numFmtId="6" fontId="7" fillId="3" borderId="22" xfId="0" applyNumberFormat="1" applyFont="1" applyFill="1" applyBorder="1" applyAlignment="1">
      <alignment horizontal="right"/>
    </xf>
    <xf numFmtId="0" fontId="7" fillId="9" borderId="23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vertical="center"/>
    </xf>
    <xf numFmtId="165" fontId="7" fillId="9" borderId="1" xfId="0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justify" vertical="center"/>
    </xf>
    <xf numFmtId="165" fontId="7" fillId="9" borderId="1" xfId="0" applyNumberFormat="1" applyFont="1" applyFill="1" applyBorder="1" applyAlignment="1">
      <alignment horizontal="justify" vertical="center"/>
    </xf>
    <xf numFmtId="165" fontId="0" fillId="3" borderId="1" xfId="0" applyNumberFormat="1" applyFill="1" applyBorder="1"/>
    <xf numFmtId="42" fontId="7" fillId="9" borderId="1" xfId="117" applyFont="1" applyFill="1" applyBorder="1" applyAlignment="1">
      <alignment horizontal="right" vertical="center"/>
    </xf>
    <xf numFmtId="0" fontId="0" fillId="3" borderId="1" xfId="0" applyFill="1" applyBorder="1"/>
    <xf numFmtId="165" fontId="7" fillId="9" borderId="1" xfId="0" applyNumberFormat="1" applyFont="1" applyFill="1" applyBorder="1" applyAlignment="1">
      <alignment horizontal="left"/>
    </xf>
    <xf numFmtId="0" fontId="7" fillId="9" borderId="1" xfId="0" applyFont="1" applyFill="1" applyBorder="1"/>
    <xf numFmtId="165" fontId="7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7" fillId="9" borderId="25" xfId="0" applyFont="1" applyFill="1" applyBorder="1" applyAlignment="1">
      <alignment horizontal="left"/>
    </xf>
    <xf numFmtId="0" fontId="3" fillId="10" borderId="5" xfId="0" applyFont="1" applyFill="1" applyBorder="1" applyAlignment="1">
      <alignment horizontal="center"/>
    </xf>
    <xf numFmtId="165" fontId="3" fillId="10" borderId="11" xfId="0" applyNumberFormat="1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24" xfId="0" applyFont="1" applyFill="1" applyBorder="1" applyAlignment="1">
      <alignment horizontal="center"/>
    </xf>
    <xf numFmtId="0" fontId="20" fillId="10" borderId="1" xfId="0" applyFont="1" applyFill="1" applyBorder="1" applyAlignment="1">
      <alignment horizontal="left"/>
    </xf>
    <xf numFmtId="165" fontId="2" fillId="8" borderId="0" xfId="0" applyNumberFormat="1" applyFont="1" applyFill="1" applyAlignment="1">
      <alignment horizontal="center"/>
    </xf>
    <xf numFmtId="0" fontId="20" fillId="10" borderId="4" xfId="0" applyFont="1" applyFill="1" applyBorder="1" applyAlignment="1"/>
    <xf numFmtId="0" fontId="20" fillId="10" borderId="3" xfId="0" applyFont="1" applyFill="1" applyBorder="1" applyAlignment="1"/>
    <xf numFmtId="0" fontId="2" fillId="10" borderId="1" xfId="0" applyFont="1" applyFill="1" applyBorder="1" applyAlignment="1">
      <alignment horizontal="left"/>
    </xf>
    <xf numFmtId="165" fontId="2" fillId="10" borderId="1" xfId="0" applyNumberFormat="1" applyFont="1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6" fontId="2" fillId="10" borderId="1" xfId="0" applyNumberFormat="1" applyFont="1" applyFill="1" applyBorder="1" applyAlignment="1">
      <alignment horizontal="right"/>
    </xf>
    <xf numFmtId="0" fontId="3" fillId="10" borderId="10" xfId="0" applyFont="1" applyFill="1" applyBorder="1" applyAlignment="1">
      <alignment horizontal="center"/>
    </xf>
    <xf numFmtId="165" fontId="3" fillId="10" borderId="20" xfId="0" applyNumberFormat="1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/>
    </xf>
    <xf numFmtId="0" fontId="12" fillId="9" borderId="23" xfId="0" applyFont="1" applyFill="1" applyBorder="1" applyAlignment="1">
      <alignment horizontal="left" wrapText="1"/>
    </xf>
    <xf numFmtId="0" fontId="16" fillId="9" borderId="7" xfId="0" applyFont="1" applyFill="1" applyBorder="1" applyAlignment="1">
      <alignment horizontal="left" vertical="center"/>
    </xf>
    <xf numFmtId="165" fontId="16" fillId="9" borderId="18" xfId="0" applyNumberFormat="1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165" fontId="16" fillId="9" borderId="1" xfId="0" applyNumberFormat="1" applyFont="1" applyFill="1" applyBorder="1" applyAlignment="1">
      <alignment horizontal="left" vertical="center"/>
    </xf>
    <xf numFmtId="6" fontId="16" fillId="9" borderId="1" xfId="0" applyNumberFormat="1" applyFont="1" applyFill="1" applyBorder="1" applyAlignment="1">
      <alignment horizontal="right" vertical="center"/>
    </xf>
    <xf numFmtId="42" fontId="16" fillId="9" borderId="1" xfId="117" applyFont="1" applyFill="1" applyBorder="1" applyAlignment="1">
      <alignment horizontal="right" vertical="center"/>
    </xf>
    <xf numFmtId="6" fontId="16" fillId="9" borderId="1" xfId="0" applyNumberFormat="1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7" fillId="0" borderId="3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20" fontId="7" fillId="0" borderId="1" xfId="0" applyNumberFormat="1" applyFont="1" applyFill="1" applyBorder="1" applyAlignment="1">
      <alignment horizontal="center" vertical="center"/>
    </xf>
    <xf numFmtId="20" fontId="7" fillId="8" borderId="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6" borderId="3" xfId="0" applyFont="1" applyFill="1" applyBorder="1" applyAlignment="1">
      <alignment horizontal="left" wrapText="1" shrinkToFit="1"/>
    </xf>
    <xf numFmtId="0" fontId="7" fillId="6" borderId="4" xfId="0" applyFont="1" applyFill="1" applyBorder="1" applyAlignment="1">
      <alignment horizontal="left" wrapText="1" shrinkToFit="1"/>
    </xf>
    <xf numFmtId="0" fontId="7" fillId="6" borderId="17" xfId="0" applyFont="1" applyFill="1" applyBorder="1" applyAlignment="1">
      <alignment horizontal="left" wrapText="1" shrinkToFit="1"/>
    </xf>
    <xf numFmtId="17" fontId="3" fillId="5" borderId="3" xfId="0" applyNumberFormat="1" applyFont="1" applyFill="1" applyBorder="1" applyAlignment="1">
      <alignment horizontal="center"/>
    </xf>
    <xf numFmtId="0" fontId="7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  <xf numFmtId="0" fontId="2" fillId="0" borderId="0" xfId="0" applyFont="1" applyFill="1" applyAlignment="1">
      <alignment horizontal="right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2" fillId="0" borderId="0" xfId="0" applyNumberFormat="1" applyFont="1" applyFill="1" applyAlignment="1">
      <alignment horizontal="left"/>
    </xf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165" fontId="0" fillId="0" borderId="0" xfId="0" applyNumberFormat="1" applyFont="1" applyFill="1" applyAlignment="1">
      <alignment horizontal="right"/>
    </xf>
    <xf numFmtId="0" fontId="0" fillId="0" borderId="0" xfId="0" applyFont="1" applyFill="1"/>
  </cellXfs>
  <cellStyles count="118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Moneda [0]" xfId="117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42"/>
  <sheetViews>
    <sheetView tabSelected="1" zoomScale="117" zoomScaleNormal="117" zoomScalePageLayoutView="117" workbookViewId="0">
      <selection activeCell="C7" sqref="C7"/>
    </sheetView>
  </sheetViews>
  <sheetFormatPr baseColWidth="10" defaultRowHeight="16" x14ac:dyDescent="0.2"/>
  <cols>
    <col min="1" max="1" width="33.6640625" customWidth="1"/>
    <col min="2" max="2" width="10.83203125" style="79" customWidth="1"/>
    <col min="3" max="4" width="6.33203125" customWidth="1"/>
    <col min="5" max="5" width="10" customWidth="1"/>
    <col min="6" max="6" width="10.1640625" customWidth="1"/>
    <col min="7" max="7" width="89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78"/>
      <c r="C1" s="73" t="s">
        <v>138</v>
      </c>
    </row>
    <row r="2" spans="1:7" x14ac:dyDescent="0.2">
      <c r="G2" t="s">
        <v>279</v>
      </c>
    </row>
    <row r="3" spans="1:7" x14ac:dyDescent="0.2">
      <c r="A3" s="71" t="s">
        <v>294</v>
      </c>
      <c r="B3" s="191" t="s">
        <v>284</v>
      </c>
      <c r="C3" s="192"/>
      <c r="E3" t="s">
        <v>3</v>
      </c>
      <c r="F3" s="35" t="s">
        <v>278</v>
      </c>
      <c r="G3" s="92" t="s">
        <v>280</v>
      </c>
    </row>
    <row r="4" spans="1:7" x14ac:dyDescent="0.2">
      <c r="A4" t="s">
        <v>139</v>
      </c>
      <c r="C4" s="74"/>
      <c r="E4" t="s">
        <v>5</v>
      </c>
      <c r="F4">
        <v>90827788</v>
      </c>
      <c r="G4" s="93" t="s">
        <v>281</v>
      </c>
    </row>
    <row r="5" spans="1:7" x14ac:dyDescent="0.2">
      <c r="A5" t="s">
        <v>140</v>
      </c>
      <c r="E5" t="s">
        <v>4</v>
      </c>
      <c r="F5" s="35">
        <v>30</v>
      </c>
      <c r="G5" s="93" t="s">
        <v>282</v>
      </c>
    </row>
    <row r="6" spans="1:7" x14ac:dyDescent="0.2">
      <c r="A6" s="196" t="s">
        <v>285</v>
      </c>
      <c r="B6" s="197"/>
      <c r="C6" s="198"/>
      <c r="D6" s="198"/>
      <c r="E6" s="198" t="s">
        <v>141</v>
      </c>
      <c r="F6" s="198">
        <v>74961403</v>
      </c>
      <c r="G6" s="93" t="s">
        <v>283</v>
      </c>
    </row>
    <row r="7" spans="1:7" x14ac:dyDescent="0.2">
      <c r="A7" s="195" t="s">
        <v>295</v>
      </c>
      <c r="B7" s="195"/>
      <c r="C7" s="193" t="s">
        <v>293</v>
      </c>
      <c r="E7" s="72"/>
      <c r="F7" s="72" t="s">
        <v>2</v>
      </c>
      <c r="G7" s="93"/>
    </row>
    <row r="8" spans="1:7" ht="17" thickBot="1" x14ac:dyDescent="0.25">
      <c r="A8" s="190"/>
      <c r="B8" s="193"/>
      <c r="C8" s="194"/>
      <c r="D8" s="72"/>
      <c r="E8" s="72"/>
      <c r="F8" s="72"/>
      <c r="G8" s="93"/>
    </row>
    <row r="9" spans="1:7" ht="15.75" customHeight="1" x14ac:dyDescent="0.2">
      <c r="A9" s="142" t="s">
        <v>125</v>
      </c>
      <c r="B9" s="143" t="s">
        <v>180</v>
      </c>
      <c r="C9" s="144" t="s">
        <v>124</v>
      </c>
      <c r="D9" s="144" t="s">
        <v>7</v>
      </c>
      <c r="E9" s="144" t="s">
        <v>0</v>
      </c>
      <c r="F9" s="144" t="s">
        <v>1</v>
      </c>
      <c r="G9" s="145" t="s">
        <v>8</v>
      </c>
    </row>
    <row r="10" spans="1:7" ht="16.5" customHeight="1" x14ac:dyDescent="0.2">
      <c r="A10" s="99" t="s">
        <v>179</v>
      </c>
      <c r="B10" s="100" t="s">
        <v>204</v>
      </c>
      <c r="C10" s="101">
        <v>1</v>
      </c>
      <c r="D10" s="101">
        <v>30</v>
      </c>
      <c r="E10" s="102">
        <v>8500</v>
      </c>
      <c r="F10" s="103">
        <f>C10*D10*E10</f>
        <v>255000</v>
      </c>
      <c r="G10" s="104" t="s">
        <v>260</v>
      </c>
    </row>
    <row r="11" spans="1:7" x14ac:dyDescent="0.2">
      <c r="A11" s="120" t="s">
        <v>142</v>
      </c>
      <c r="B11" s="121"/>
      <c r="C11" s="109">
        <v>1</v>
      </c>
      <c r="D11" s="109">
        <v>1</v>
      </c>
      <c r="E11" s="122">
        <v>180000</v>
      </c>
      <c r="F11" s="107">
        <f t="shared" ref="F11" si="0">C11*D11*E11</f>
        <v>180000</v>
      </c>
      <c r="G11" s="104" t="s">
        <v>270</v>
      </c>
    </row>
    <row r="12" spans="1:7" ht="16.5" customHeight="1" x14ac:dyDescent="0.2">
      <c r="A12" s="105" t="s">
        <v>121</v>
      </c>
      <c r="B12" s="106" t="s">
        <v>205</v>
      </c>
      <c r="C12" s="101">
        <v>1</v>
      </c>
      <c r="D12" s="101">
        <v>30</v>
      </c>
      <c r="E12" s="107">
        <v>15000</v>
      </c>
      <c r="F12" s="107">
        <f t="shared" ref="F12:F17" si="1">C12*D12*E12</f>
        <v>450000</v>
      </c>
      <c r="G12" s="104" t="s">
        <v>114</v>
      </c>
    </row>
    <row r="13" spans="1:7" x14ac:dyDescent="0.2">
      <c r="A13" s="105" t="s">
        <v>266</v>
      </c>
      <c r="B13" s="108"/>
      <c r="C13" s="109">
        <v>1</v>
      </c>
      <c r="D13" s="109">
        <v>30</v>
      </c>
      <c r="E13" s="107">
        <v>1500</v>
      </c>
      <c r="F13" s="107">
        <f t="shared" ref="F13" si="2">C13*D13*E13</f>
        <v>45000</v>
      </c>
      <c r="G13" s="104" t="s">
        <v>258</v>
      </c>
    </row>
    <row r="14" spans="1:7" x14ac:dyDescent="0.2">
      <c r="A14" s="110" t="s">
        <v>122</v>
      </c>
      <c r="B14" s="106" t="s">
        <v>206</v>
      </c>
      <c r="C14" s="101">
        <v>1</v>
      </c>
      <c r="D14" s="101">
        <v>30</v>
      </c>
      <c r="E14" s="111">
        <v>15000</v>
      </c>
      <c r="F14" s="103">
        <f t="shared" si="1"/>
        <v>450000</v>
      </c>
      <c r="G14" s="104" t="s">
        <v>261</v>
      </c>
    </row>
    <row r="15" spans="1:7" x14ac:dyDescent="0.2">
      <c r="A15" s="105" t="s">
        <v>266</v>
      </c>
      <c r="B15" s="108"/>
      <c r="C15" s="109">
        <v>1</v>
      </c>
      <c r="D15" s="109">
        <v>30</v>
      </c>
      <c r="E15" s="107">
        <v>1500</v>
      </c>
      <c r="F15" s="107">
        <f t="shared" si="1"/>
        <v>45000</v>
      </c>
      <c r="G15" s="104" t="s">
        <v>258</v>
      </c>
    </row>
    <row r="16" spans="1:7" x14ac:dyDescent="0.2">
      <c r="A16" s="112" t="s">
        <v>150</v>
      </c>
      <c r="B16" s="113"/>
      <c r="C16" s="114">
        <v>0</v>
      </c>
      <c r="D16" s="114">
        <v>0</v>
      </c>
      <c r="E16" s="115">
        <v>99000</v>
      </c>
      <c r="F16" s="115">
        <f t="shared" si="1"/>
        <v>0</v>
      </c>
      <c r="G16" s="112" t="s">
        <v>259</v>
      </c>
    </row>
    <row r="17" spans="1:7" x14ac:dyDescent="0.2">
      <c r="A17" s="112" t="s">
        <v>151</v>
      </c>
      <c r="B17" s="113"/>
      <c r="C17" s="114">
        <v>1</v>
      </c>
      <c r="D17" s="114">
        <v>15</v>
      </c>
      <c r="E17" s="115">
        <v>113500</v>
      </c>
      <c r="F17" s="115">
        <f t="shared" si="1"/>
        <v>1702500</v>
      </c>
      <c r="G17" s="112" t="s">
        <v>232</v>
      </c>
    </row>
    <row r="18" spans="1:7" x14ac:dyDescent="0.2">
      <c r="A18" s="146" t="s">
        <v>249</v>
      </c>
      <c r="B18" s="147" t="s">
        <v>253</v>
      </c>
      <c r="C18" s="148"/>
      <c r="D18" s="148"/>
      <c r="E18" s="148"/>
      <c r="F18" s="148"/>
      <c r="G18" s="149" t="s">
        <v>250</v>
      </c>
    </row>
    <row r="19" spans="1:7" x14ac:dyDescent="0.2">
      <c r="A19" s="112" t="s">
        <v>243</v>
      </c>
      <c r="B19" s="113" t="s">
        <v>252</v>
      </c>
      <c r="C19" s="114">
        <v>1</v>
      </c>
      <c r="D19" s="114">
        <v>30</v>
      </c>
      <c r="E19" s="115">
        <v>0</v>
      </c>
      <c r="F19" s="165" t="s">
        <v>286</v>
      </c>
      <c r="G19" s="116" t="s">
        <v>245</v>
      </c>
    </row>
    <row r="20" spans="1:7" x14ac:dyDescent="0.2">
      <c r="A20" s="112" t="s">
        <v>239</v>
      </c>
      <c r="B20" s="113" t="s">
        <v>252</v>
      </c>
      <c r="C20" s="114">
        <v>1</v>
      </c>
      <c r="D20" s="114">
        <v>30</v>
      </c>
      <c r="E20" s="115">
        <v>0</v>
      </c>
      <c r="F20" s="165" t="s">
        <v>286</v>
      </c>
      <c r="G20" s="116" t="s">
        <v>246</v>
      </c>
    </row>
    <row r="21" spans="1:7" x14ac:dyDescent="0.2">
      <c r="A21" s="112" t="s">
        <v>240</v>
      </c>
      <c r="B21" s="113" t="s">
        <v>248</v>
      </c>
      <c r="C21" s="114">
        <v>1</v>
      </c>
      <c r="D21" s="114">
        <v>30</v>
      </c>
      <c r="E21" s="115">
        <v>0</v>
      </c>
      <c r="F21" s="165" t="s">
        <v>286</v>
      </c>
      <c r="G21" s="116" t="s">
        <v>244</v>
      </c>
    </row>
    <row r="22" spans="1:7" x14ac:dyDescent="0.2">
      <c r="A22" s="112" t="s">
        <v>241</v>
      </c>
      <c r="B22" s="113" t="s">
        <v>248</v>
      </c>
      <c r="C22" s="114">
        <v>1</v>
      </c>
      <c r="D22" s="114">
        <v>30</v>
      </c>
      <c r="E22" s="115">
        <v>0</v>
      </c>
      <c r="F22" s="165" t="s">
        <v>286</v>
      </c>
      <c r="G22" s="112" t="s">
        <v>242</v>
      </c>
    </row>
    <row r="23" spans="1:7" x14ac:dyDescent="0.2">
      <c r="A23" s="112" t="s">
        <v>289</v>
      </c>
      <c r="B23" s="113"/>
      <c r="C23" s="114">
        <v>1</v>
      </c>
      <c r="D23" s="114">
        <v>1</v>
      </c>
      <c r="E23" s="115">
        <v>280000</v>
      </c>
      <c r="F23" s="165" t="s">
        <v>286</v>
      </c>
      <c r="G23" s="112" t="s">
        <v>291</v>
      </c>
    </row>
    <row r="24" spans="1:7" x14ac:dyDescent="0.2">
      <c r="A24" s="112" t="s">
        <v>290</v>
      </c>
      <c r="B24" s="113"/>
      <c r="C24" s="114">
        <v>1</v>
      </c>
      <c r="D24" s="114">
        <v>30</v>
      </c>
      <c r="E24" s="115"/>
      <c r="F24" s="165" t="s">
        <v>286</v>
      </c>
      <c r="G24" s="112" t="s">
        <v>292</v>
      </c>
    </row>
    <row r="25" spans="1:7" ht="16.5" customHeight="1" thickBot="1" x14ac:dyDescent="0.25">
      <c r="A25" s="2" t="s">
        <v>92</v>
      </c>
      <c r="B25" s="80"/>
      <c r="C25" s="34"/>
      <c r="D25" s="24"/>
      <c r="E25" s="7"/>
      <c r="F25" s="5">
        <f>SUM(F10:F22)</f>
        <v>3127500</v>
      </c>
      <c r="G25" s="33" t="s">
        <v>2</v>
      </c>
    </row>
    <row r="26" spans="1:7" ht="16.5" customHeight="1" x14ac:dyDescent="0.2">
      <c r="A26" s="142" t="s">
        <v>126</v>
      </c>
      <c r="B26" s="143"/>
      <c r="C26" s="144" t="s">
        <v>124</v>
      </c>
      <c r="D26" s="144" t="s">
        <v>7</v>
      </c>
      <c r="E26" s="144" t="s">
        <v>0</v>
      </c>
      <c r="F26" s="144" t="s">
        <v>1</v>
      </c>
      <c r="G26" s="145" t="s">
        <v>8</v>
      </c>
    </row>
    <row r="27" spans="1:7" ht="16.5" customHeight="1" x14ac:dyDescent="0.2">
      <c r="A27" s="99" t="s">
        <v>10</v>
      </c>
      <c r="B27" s="100"/>
      <c r="C27" s="101">
        <v>1</v>
      </c>
      <c r="D27" s="101">
        <v>30</v>
      </c>
      <c r="E27" s="102">
        <v>9500</v>
      </c>
      <c r="F27" s="103" t="s">
        <v>127</v>
      </c>
      <c r="G27" s="104" t="s">
        <v>260</v>
      </c>
    </row>
    <row r="28" spans="1:7" x14ac:dyDescent="0.2">
      <c r="A28" s="120" t="s">
        <v>288</v>
      </c>
      <c r="B28" s="121"/>
      <c r="C28" s="109">
        <v>1</v>
      </c>
      <c r="D28" s="109">
        <v>1</v>
      </c>
      <c r="E28" s="122">
        <v>180000</v>
      </c>
      <c r="F28" s="107">
        <f t="shared" ref="F28" si="3">C28*D28*E28</f>
        <v>180000</v>
      </c>
      <c r="G28" s="104" t="s">
        <v>270</v>
      </c>
    </row>
    <row r="29" spans="1:7" ht="16.5" customHeight="1" x14ac:dyDescent="0.2">
      <c r="A29" s="105" t="s">
        <v>121</v>
      </c>
      <c r="B29" s="106"/>
      <c r="C29" s="101">
        <v>1</v>
      </c>
      <c r="D29" s="101">
        <v>30</v>
      </c>
      <c r="E29" s="107">
        <v>15000</v>
      </c>
      <c r="F29" s="107">
        <f>C29*D29*E29</f>
        <v>450000</v>
      </c>
      <c r="G29" s="104" t="s">
        <v>114</v>
      </c>
    </row>
    <row r="30" spans="1:7" x14ac:dyDescent="0.2">
      <c r="A30" s="105" t="s">
        <v>266</v>
      </c>
      <c r="B30" s="108"/>
      <c r="C30" s="109">
        <v>1</v>
      </c>
      <c r="D30" s="109">
        <v>30</v>
      </c>
      <c r="E30" s="107">
        <v>1500</v>
      </c>
      <c r="F30" s="107">
        <f t="shared" ref="F30" si="4">C30*D30*E30</f>
        <v>45000</v>
      </c>
      <c r="G30" s="104" t="s">
        <v>258</v>
      </c>
    </row>
    <row r="31" spans="1:7" x14ac:dyDescent="0.2">
      <c r="A31" s="150" t="s">
        <v>249</v>
      </c>
      <c r="B31" s="151" t="s">
        <v>254</v>
      </c>
      <c r="C31" s="152"/>
      <c r="D31" s="152"/>
      <c r="E31" s="153"/>
      <c r="F31" s="153"/>
      <c r="G31" s="150" t="s">
        <v>250</v>
      </c>
    </row>
    <row r="32" spans="1:7" x14ac:dyDescent="0.2">
      <c r="A32" s="112" t="s">
        <v>243</v>
      </c>
      <c r="B32" s="113" t="s">
        <v>247</v>
      </c>
      <c r="C32" s="114">
        <v>1</v>
      </c>
      <c r="D32" s="114">
        <v>30</v>
      </c>
      <c r="E32" s="115">
        <v>0</v>
      </c>
      <c r="F32" s="165" t="s">
        <v>286</v>
      </c>
      <c r="G32" s="116" t="s">
        <v>245</v>
      </c>
    </row>
    <row r="33" spans="1:7" x14ac:dyDescent="0.2">
      <c r="A33" s="112" t="s">
        <v>239</v>
      </c>
      <c r="B33" s="113" t="s">
        <v>247</v>
      </c>
      <c r="C33" s="114">
        <v>1</v>
      </c>
      <c r="D33" s="114">
        <v>30</v>
      </c>
      <c r="E33" s="115">
        <v>0</v>
      </c>
      <c r="F33" s="165" t="s">
        <v>286</v>
      </c>
      <c r="G33" s="116" t="s">
        <v>246</v>
      </c>
    </row>
    <row r="34" spans="1:7" x14ac:dyDescent="0.2">
      <c r="A34" s="112" t="s">
        <v>240</v>
      </c>
      <c r="B34" s="113" t="s">
        <v>248</v>
      </c>
      <c r="C34" s="114">
        <v>1</v>
      </c>
      <c r="D34" s="114">
        <v>30</v>
      </c>
      <c r="E34" s="115">
        <v>0</v>
      </c>
      <c r="F34" s="165" t="s">
        <v>286</v>
      </c>
      <c r="G34" s="116" t="s">
        <v>244</v>
      </c>
    </row>
    <row r="35" spans="1:7" x14ac:dyDescent="0.2">
      <c r="A35" s="112" t="s">
        <v>241</v>
      </c>
      <c r="B35" s="113" t="s">
        <v>248</v>
      </c>
      <c r="C35" s="114">
        <v>1</v>
      </c>
      <c r="D35" s="114">
        <v>30</v>
      </c>
      <c r="E35" s="115">
        <v>0</v>
      </c>
      <c r="F35" s="165" t="s">
        <v>286</v>
      </c>
      <c r="G35" s="112" t="s">
        <v>242</v>
      </c>
    </row>
    <row r="36" spans="1:7" ht="16.5" customHeight="1" thickBot="1" x14ac:dyDescent="0.25">
      <c r="A36" s="2" t="s">
        <v>92</v>
      </c>
      <c r="B36" s="80"/>
      <c r="C36" s="34"/>
      <c r="D36" s="24"/>
      <c r="E36" s="7"/>
      <c r="F36" s="5">
        <f>SUM(F27:F30)</f>
        <v>675000</v>
      </c>
      <c r="G36" s="33" t="s">
        <v>2</v>
      </c>
    </row>
    <row r="37" spans="1:7" ht="17" thickBot="1" x14ac:dyDescent="0.25">
      <c r="A37" s="37" t="s">
        <v>251</v>
      </c>
      <c r="B37" s="82"/>
      <c r="C37" s="38"/>
      <c r="D37" s="38"/>
      <c r="E37" s="39"/>
      <c r="F37" s="40">
        <f>F25+F36</f>
        <v>3802500</v>
      </c>
      <c r="G37" s="6" t="s">
        <v>148</v>
      </c>
    </row>
    <row r="38" spans="1:7" x14ac:dyDescent="0.2">
      <c r="A38" s="3" t="s">
        <v>149</v>
      </c>
      <c r="B38" s="81"/>
      <c r="C38" s="32"/>
      <c r="D38" s="24"/>
      <c r="E38" s="7"/>
      <c r="F38" s="5">
        <f>F37*1.19-F37</f>
        <v>722475</v>
      </c>
      <c r="G38" s="6"/>
    </row>
    <row r="39" spans="1:7" x14ac:dyDescent="0.2">
      <c r="A39" s="84" t="s">
        <v>287</v>
      </c>
      <c r="B39" s="85"/>
      <c r="C39" s="86"/>
      <c r="D39" s="86"/>
      <c r="E39" s="87"/>
      <c r="F39" s="88">
        <f>F37+F38</f>
        <v>4524975</v>
      </c>
      <c r="G39" s="6"/>
    </row>
    <row r="40" spans="1:7" x14ac:dyDescent="0.2">
      <c r="A40" s="3"/>
      <c r="B40" s="81"/>
      <c r="C40" s="32"/>
      <c r="D40" s="24"/>
      <c r="E40" s="7"/>
      <c r="F40" s="4">
        <f>F39/30</f>
        <v>150832.5</v>
      </c>
      <c r="G40" s="6"/>
    </row>
    <row r="41" spans="1:7" ht="19" x14ac:dyDescent="0.2">
      <c r="A41" s="90" t="s">
        <v>210</v>
      </c>
      <c r="B41"/>
      <c r="E41" s="77"/>
      <c r="F41" s="77"/>
      <c r="G41" s="77"/>
    </row>
    <row r="42" spans="1:7" ht="19" x14ac:dyDescent="0.2">
      <c r="A42" s="89" t="s">
        <v>211</v>
      </c>
      <c r="B42"/>
      <c r="E42" s="76"/>
      <c r="F42" s="76"/>
      <c r="G42" s="76"/>
    </row>
    <row r="43" spans="1:7" ht="17" x14ac:dyDescent="0.2">
      <c r="A43" s="77" t="s">
        <v>212</v>
      </c>
      <c r="B43"/>
    </row>
    <row r="44" spans="1:7" ht="17" x14ac:dyDescent="0.2">
      <c r="A44" s="77"/>
      <c r="B44"/>
    </row>
    <row r="45" spans="1:7" ht="19" x14ac:dyDescent="0.2">
      <c r="A45" s="90" t="s">
        <v>152</v>
      </c>
      <c r="B45"/>
    </row>
    <row r="46" spans="1:7" ht="17" x14ac:dyDescent="0.2">
      <c r="A46" s="77" t="s">
        <v>213</v>
      </c>
      <c r="B46"/>
    </row>
    <row r="47" spans="1:7" ht="17" x14ac:dyDescent="0.2">
      <c r="A47" s="77" t="s">
        <v>214</v>
      </c>
      <c r="B47"/>
    </row>
    <row r="48" spans="1:7" ht="17" x14ac:dyDescent="0.2">
      <c r="A48" s="77" t="s">
        <v>215</v>
      </c>
      <c r="B48"/>
    </row>
    <row r="49" spans="1:6" ht="17" x14ac:dyDescent="0.2">
      <c r="A49" s="75" t="s">
        <v>153</v>
      </c>
      <c r="B49"/>
    </row>
    <row r="50" spans="1:6" ht="17" x14ac:dyDescent="0.2">
      <c r="A50" s="77" t="s">
        <v>216</v>
      </c>
      <c r="B50"/>
    </row>
    <row r="51" spans="1:6" ht="17" x14ac:dyDescent="0.2">
      <c r="A51" s="77" t="s">
        <v>154</v>
      </c>
      <c r="B51"/>
    </row>
    <row r="52" spans="1:6" ht="17" x14ac:dyDescent="0.2">
      <c r="A52" s="75" t="s">
        <v>217</v>
      </c>
      <c r="B52"/>
    </row>
    <row r="53" spans="1:6" ht="17" x14ac:dyDescent="0.2">
      <c r="A53" s="77" t="s">
        <v>155</v>
      </c>
      <c r="B53"/>
    </row>
    <row r="54" spans="1:6" ht="17" x14ac:dyDescent="0.2">
      <c r="A54" s="77" t="s">
        <v>156</v>
      </c>
      <c r="B54"/>
    </row>
    <row r="55" spans="1:6" ht="17" x14ac:dyDescent="0.2">
      <c r="A55" s="77" t="s">
        <v>157</v>
      </c>
      <c r="B55"/>
    </row>
    <row r="56" spans="1:6" ht="17" x14ac:dyDescent="0.2">
      <c r="A56" s="77" t="s">
        <v>158</v>
      </c>
      <c r="B56"/>
    </row>
    <row r="57" spans="1:6" ht="17" x14ac:dyDescent="0.2">
      <c r="A57" s="77" t="s">
        <v>159</v>
      </c>
      <c r="B57"/>
    </row>
    <row r="58" spans="1:6" ht="17" x14ac:dyDescent="0.2">
      <c r="A58" s="77" t="s">
        <v>160</v>
      </c>
      <c r="B58"/>
    </row>
    <row r="59" spans="1:6" ht="17" x14ac:dyDescent="0.2">
      <c r="A59" s="77"/>
      <c r="B59"/>
    </row>
    <row r="60" spans="1:6" ht="17" x14ac:dyDescent="0.2">
      <c r="A60" s="117" t="s">
        <v>255</v>
      </c>
      <c r="B60"/>
    </row>
    <row r="61" spans="1:6" ht="17" x14ac:dyDescent="0.2">
      <c r="A61" s="77" t="s">
        <v>218</v>
      </c>
      <c r="B61" s="77" t="s">
        <v>219</v>
      </c>
      <c r="D61" s="77" t="s">
        <v>220</v>
      </c>
      <c r="F61" s="77" t="s">
        <v>221</v>
      </c>
    </row>
    <row r="62" spans="1:6" ht="17" x14ac:dyDescent="0.2">
      <c r="A62" s="77" t="s">
        <v>224</v>
      </c>
      <c r="B62" s="77" t="s">
        <v>225</v>
      </c>
      <c r="D62" s="77" t="s">
        <v>222</v>
      </c>
      <c r="F62" s="77" t="s">
        <v>223</v>
      </c>
    </row>
    <row r="63" spans="1:6" ht="17" x14ac:dyDescent="0.2">
      <c r="A63" s="77" t="s">
        <v>226</v>
      </c>
      <c r="B63" s="77" t="s">
        <v>227</v>
      </c>
      <c r="D63" s="77" t="s">
        <v>228</v>
      </c>
      <c r="F63" s="77" t="s">
        <v>229</v>
      </c>
    </row>
    <row r="64" spans="1:6" ht="17" x14ac:dyDescent="0.2">
      <c r="A64" s="77" t="s">
        <v>5</v>
      </c>
      <c r="B64" s="77" t="s">
        <v>231</v>
      </c>
      <c r="D64" s="91" t="s">
        <v>230</v>
      </c>
    </row>
    <row r="65" spans="1:7" ht="18" thickBot="1" x14ac:dyDescent="0.25">
      <c r="A65" s="77"/>
      <c r="B65"/>
    </row>
    <row r="66" spans="1:7" ht="16" customHeight="1" x14ac:dyDescent="0.2">
      <c r="A66" s="154" t="s">
        <v>123</v>
      </c>
      <c r="B66" s="155" t="s">
        <v>180</v>
      </c>
      <c r="C66" s="156" t="s">
        <v>89</v>
      </c>
      <c r="D66" s="156" t="s">
        <v>7</v>
      </c>
      <c r="E66" s="156" t="s">
        <v>6</v>
      </c>
      <c r="F66" s="156" t="s">
        <v>90</v>
      </c>
      <c r="G66" s="157" t="s">
        <v>8</v>
      </c>
    </row>
    <row r="67" spans="1:7" ht="16" customHeight="1" x14ac:dyDescent="0.2">
      <c r="A67" s="104" t="s">
        <v>209</v>
      </c>
      <c r="B67" s="118"/>
      <c r="C67" s="109">
        <v>0</v>
      </c>
      <c r="D67" s="109">
        <v>0</v>
      </c>
      <c r="E67" s="119">
        <v>200000</v>
      </c>
      <c r="F67" s="119">
        <f>C67*D67*E67</f>
        <v>0</v>
      </c>
      <c r="G67" s="104" t="s">
        <v>256</v>
      </c>
    </row>
    <row r="68" spans="1:7" x14ac:dyDescent="0.2">
      <c r="A68" s="120" t="s">
        <v>91</v>
      </c>
      <c r="B68" s="121"/>
      <c r="C68" s="109">
        <v>0</v>
      </c>
      <c r="D68" s="109">
        <v>0</v>
      </c>
      <c r="E68" s="107">
        <v>12000</v>
      </c>
      <c r="F68" s="107">
        <f t="shared" ref="F68:F81" si="5">C68*D68*E68</f>
        <v>0</v>
      </c>
      <c r="G68" s="104" t="s">
        <v>262</v>
      </c>
    </row>
    <row r="69" spans="1:7" x14ac:dyDescent="0.2">
      <c r="A69" s="120" t="s">
        <v>93</v>
      </c>
      <c r="B69" s="121"/>
      <c r="C69" s="109">
        <v>0</v>
      </c>
      <c r="D69" s="109">
        <v>0</v>
      </c>
      <c r="E69" s="107">
        <v>26000</v>
      </c>
      <c r="F69" s="107">
        <f t="shared" si="5"/>
        <v>0</v>
      </c>
      <c r="G69" s="104" t="s">
        <v>118</v>
      </c>
    </row>
    <row r="70" spans="1:7" x14ac:dyDescent="0.2">
      <c r="A70" s="120" t="s">
        <v>94</v>
      </c>
      <c r="B70" s="121"/>
      <c r="C70" s="109">
        <v>0</v>
      </c>
      <c r="D70" s="109">
        <v>0</v>
      </c>
      <c r="E70" s="107">
        <v>35000</v>
      </c>
      <c r="F70" s="107">
        <f t="shared" si="5"/>
        <v>0</v>
      </c>
      <c r="G70" s="104" t="s">
        <v>118</v>
      </c>
    </row>
    <row r="71" spans="1:7" x14ac:dyDescent="0.2">
      <c r="A71" s="120" t="s">
        <v>120</v>
      </c>
      <c r="B71" s="121"/>
      <c r="C71" s="109">
        <v>0</v>
      </c>
      <c r="D71" s="109">
        <v>0</v>
      </c>
      <c r="E71" s="107">
        <v>10000</v>
      </c>
      <c r="F71" s="107">
        <f t="shared" si="5"/>
        <v>0</v>
      </c>
      <c r="G71" s="104"/>
    </row>
    <row r="72" spans="1:7" x14ac:dyDescent="0.2">
      <c r="A72" s="120" t="s">
        <v>177</v>
      </c>
      <c r="B72" s="121"/>
      <c r="C72" s="109">
        <v>0</v>
      </c>
      <c r="D72" s="109">
        <v>0</v>
      </c>
      <c r="E72" s="107">
        <v>4500</v>
      </c>
      <c r="F72" s="107">
        <f t="shared" si="5"/>
        <v>0</v>
      </c>
      <c r="G72" s="104" t="s">
        <v>178</v>
      </c>
    </row>
    <row r="73" spans="1:7" x14ac:dyDescent="0.2">
      <c r="A73" s="120" t="s">
        <v>201</v>
      </c>
      <c r="B73" s="121"/>
      <c r="C73" s="109">
        <v>0</v>
      </c>
      <c r="D73" s="109">
        <v>0</v>
      </c>
      <c r="E73" s="107">
        <v>5000</v>
      </c>
      <c r="F73" s="107">
        <f t="shared" ref="F73:F74" si="6">C73*D73*E73</f>
        <v>0</v>
      </c>
      <c r="G73" s="104" t="s">
        <v>263</v>
      </c>
    </row>
    <row r="74" spans="1:7" x14ac:dyDescent="0.2">
      <c r="A74" s="120" t="s">
        <v>202</v>
      </c>
      <c r="B74" s="121"/>
      <c r="C74" s="109">
        <v>0</v>
      </c>
      <c r="D74" s="109">
        <v>0</v>
      </c>
      <c r="E74" s="107">
        <v>5000</v>
      </c>
      <c r="F74" s="107">
        <f t="shared" si="6"/>
        <v>0</v>
      </c>
      <c r="G74" s="104" t="s">
        <v>264</v>
      </c>
    </row>
    <row r="75" spans="1:7" x14ac:dyDescent="0.2">
      <c r="A75" s="120" t="s">
        <v>176</v>
      </c>
      <c r="B75" s="121"/>
      <c r="C75" s="109">
        <v>0</v>
      </c>
      <c r="D75" s="109">
        <v>0</v>
      </c>
      <c r="E75" s="107">
        <v>3000</v>
      </c>
      <c r="F75" s="107">
        <f t="shared" ref="F75" si="7">C75*D75*E75</f>
        <v>0</v>
      </c>
      <c r="G75" s="104" t="s">
        <v>265</v>
      </c>
    </row>
    <row r="76" spans="1:7" x14ac:dyDescent="0.2">
      <c r="A76" s="120" t="s">
        <v>119</v>
      </c>
      <c r="B76" s="121"/>
      <c r="C76" s="109">
        <v>0</v>
      </c>
      <c r="D76" s="109">
        <v>0</v>
      </c>
      <c r="E76" s="107">
        <v>16000</v>
      </c>
      <c r="F76" s="107">
        <f t="shared" si="5"/>
        <v>0</v>
      </c>
      <c r="G76" s="104" t="s">
        <v>145</v>
      </c>
    </row>
    <row r="77" spans="1:7" x14ac:dyDescent="0.2">
      <c r="A77" s="120" t="s">
        <v>11</v>
      </c>
      <c r="B77" s="121"/>
      <c r="C77" s="109">
        <v>0</v>
      </c>
      <c r="D77" s="109">
        <v>0</v>
      </c>
      <c r="E77" s="107">
        <v>7000</v>
      </c>
      <c r="F77" s="107">
        <f t="shared" si="5"/>
        <v>0</v>
      </c>
      <c r="G77" s="104" t="s">
        <v>181</v>
      </c>
    </row>
    <row r="78" spans="1:7" x14ac:dyDescent="0.2">
      <c r="A78" s="159" t="s">
        <v>266</v>
      </c>
      <c r="B78" s="160"/>
      <c r="C78" s="114">
        <v>0</v>
      </c>
      <c r="D78" s="114">
        <v>0</v>
      </c>
      <c r="E78" s="115">
        <v>1500</v>
      </c>
      <c r="F78" s="115">
        <f t="shared" si="5"/>
        <v>0</v>
      </c>
      <c r="G78" s="112" t="s">
        <v>258</v>
      </c>
    </row>
    <row r="79" spans="1:7" x14ac:dyDescent="0.2">
      <c r="A79" s="161" t="s">
        <v>182</v>
      </c>
      <c r="B79" s="162"/>
      <c r="C79" s="114">
        <v>0</v>
      </c>
      <c r="D79" s="114">
        <v>0</v>
      </c>
      <c r="E79" s="115">
        <v>3000</v>
      </c>
      <c r="F79" s="115">
        <f t="shared" si="5"/>
        <v>0</v>
      </c>
      <c r="G79" s="112"/>
    </row>
    <row r="80" spans="1:7" x14ac:dyDescent="0.2">
      <c r="A80" s="161" t="s">
        <v>267</v>
      </c>
      <c r="B80" s="162"/>
      <c r="C80" s="114">
        <v>0</v>
      </c>
      <c r="D80" s="114">
        <v>0</v>
      </c>
      <c r="E80" s="115">
        <v>1000</v>
      </c>
      <c r="F80" s="115">
        <f t="shared" ref="F80" si="8">C80*D80*E80</f>
        <v>0</v>
      </c>
      <c r="G80" s="112" t="s">
        <v>183</v>
      </c>
    </row>
    <row r="81" spans="1:7" x14ac:dyDescent="0.2">
      <c r="A81" s="161" t="s">
        <v>274</v>
      </c>
      <c r="B81" s="162"/>
      <c r="C81" s="114">
        <v>0</v>
      </c>
      <c r="D81" s="114">
        <v>0</v>
      </c>
      <c r="E81" s="115">
        <v>3000</v>
      </c>
      <c r="F81" s="115">
        <f t="shared" si="5"/>
        <v>0</v>
      </c>
      <c r="G81" s="112" t="s">
        <v>9</v>
      </c>
    </row>
    <row r="82" spans="1:7" x14ac:dyDescent="0.2">
      <c r="A82" s="161" t="s">
        <v>96</v>
      </c>
      <c r="B82" s="162"/>
      <c r="C82" s="114">
        <v>0</v>
      </c>
      <c r="D82" s="114">
        <v>0</v>
      </c>
      <c r="E82" s="163">
        <v>150000</v>
      </c>
      <c r="F82" s="115">
        <f t="shared" ref="F82:F89" si="9">C82*D82*E82</f>
        <v>0</v>
      </c>
      <c r="G82" s="112" t="s">
        <v>97</v>
      </c>
    </row>
    <row r="83" spans="1:7" x14ac:dyDescent="0.2">
      <c r="A83" s="120" t="s">
        <v>98</v>
      </c>
      <c r="B83" s="121"/>
      <c r="C83" s="109">
        <v>0</v>
      </c>
      <c r="D83" s="109">
        <v>0</v>
      </c>
      <c r="E83" s="122">
        <v>100000</v>
      </c>
      <c r="F83" s="107">
        <f t="shared" si="9"/>
        <v>0</v>
      </c>
      <c r="G83" s="104" t="s">
        <v>99</v>
      </c>
    </row>
    <row r="84" spans="1:7" x14ac:dyDescent="0.2">
      <c r="A84" s="123" t="s">
        <v>268</v>
      </c>
      <c r="B84" s="124"/>
      <c r="C84" s="101">
        <v>0</v>
      </c>
      <c r="D84" s="125">
        <v>0</v>
      </c>
      <c r="E84" s="111">
        <v>3850</v>
      </c>
      <c r="F84" s="126">
        <f>E84*D84*C84</f>
        <v>0</v>
      </c>
      <c r="G84" s="127" t="s">
        <v>173</v>
      </c>
    </row>
    <row r="85" spans="1:7" x14ac:dyDescent="0.2">
      <c r="A85" s="128" t="s">
        <v>115</v>
      </c>
      <c r="B85" s="129"/>
      <c r="C85" s="109">
        <v>0</v>
      </c>
      <c r="D85" s="109">
        <v>0</v>
      </c>
      <c r="E85" s="122">
        <v>4800</v>
      </c>
      <c r="F85" s="107">
        <f>C85*D85*E85</f>
        <v>0</v>
      </c>
      <c r="G85" s="120" t="s">
        <v>269</v>
      </c>
    </row>
    <row r="86" spans="1:7" x14ac:dyDescent="0.2">
      <c r="A86" s="128" t="s">
        <v>116</v>
      </c>
      <c r="B86" s="129"/>
      <c r="C86" s="109">
        <v>0</v>
      </c>
      <c r="D86" s="109">
        <v>0</v>
      </c>
      <c r="E86" s="122">
        <v>5500</v>
      </c>
      <c r="F86" s="107">
        <f>C86*D86*E86</f>
        <v>0</v>
      </c>
      <c r="G86" s="120" t="s">
        <v>175</v>
      </c>
    </row>
    <row r="87" spans="1:7" x14ac:dyDescent="0.2">
      <c r="A87" s="128" t="s">
        <v>117</v>
      </c>
      <c r="B87" s="129"/>
      <c r="C87" s="109">
        <v>0</v>
      </c>
      <c r="D87" s="109">
        <v>0</v>
      </c>
      <c r="E87" s="122">
        <v>7500</v>
      </c>
      <c r="F87" s="107">
        <f t="shared" si="9"/>
        <v>0</v>
      </c>
      <c r="G87" s="120" t="s">
        <v>174</v>
      </c>
    </row>
    <row r="88" spans="1:7" ht="15" customHeight="1" x14ac:dyDescent="0.2">
      <c r="A88" s="120" t="s">
        <v>200</v>
      </c>
      <c r="B88" s="121"/>
      <c r="C88" s="109">
        <v>0</v>
      </c>
      <c r="D88" s="109">
        <v>0</v>
      </c>
      <c r="E88" s="107">
        <v>8500</v>
      </c>
      <c r="F88" s="107">
        <f t="shared" si="9"/>
        <v>0</v>
      </c>
      <c r="G88" s="130" t="s">
        <v>277</v>
      </c>
    </row>
    <row r="89" spans="1:7" ht="15" customHeight="1" x14ac:dyDescent="0.2">
      <c r="A89" s="105" t="s">
        <v>184</v>
      </c>
      <c r="B89" s="108"/>
      <c r="C89" s="109">
        <v>0</v>
      </c>
      <c r="D89" s="109">
        <v>0</v>
      </c>
      <c r="E89" s="107">
        <v>13500</v>
      </c>
      <c r="F89" s="107">
        <f t="shared" si="9"/>
        <v>0</v>
      </c>
      <c r="G89" s="158" t="s">
        <v>146</v>
      </c>
    </row>
    <row r="90" spans="1:7" x14ac:dyDescent="0.2">
      <c r="A90" s="120" t="s">
        <v>95</v>
      </c>
      <c r="B90" s="121"/>
      <c r="C90" s="109">
        <v>0</v>
      </c>
      <c r="D90" s="109">
        <v>0</v>
      </c>
      <c r="E90" s="107">
        <v>2500</v>
      </c>
      <c r="F90" s="107">
        <f>C90*D90*E90</f>
        <v>0</v>
      </c>
      <c r="G90" s="104" t="s">
        <v>275</v>
      </c>
    </row>
    <row r="91" spans="1:7" x14ac:dyDescent="0.2">
      <c r="A91" s="120" t="s">
        <v>185</v>
      </c>
      <c r="B91" s="121"/>
      <c r="C91" s="109">
        <v>0</v>
      </c>
      <c r="D91" s="109">
        <v>0</v>
      </c>
      <c r="E91" s="122">
        <v>300000</v>
      </c>
      <c r="F91" s="107">
        <f>C91*D91*E91</f>
        <v>0</v>
      </c>
      <c r="G91" s="104" t="s">
        <v>270</v>
      </c>
    </row>
    <row r="92" spans="1:7" x14ac:dyDescent="0.2">
      <c r="A92" s="120" t="s">
        <v>186</v>
      </c>
      <c r="B92" s="121"/>
      <c r="C92" s="109">
        <v>0</v>
      </c>
      <c r="D92" s="109">
        <v>0</v>
      </c>
      <c r="E92" s="122">
        <v>250000</v>
      </c>
      <c r="F92" s="107">
        <f>C92*D92*E92</f>
        <v>0</v>
      </c>
      <c r="G92" s="104" t="s">
        <v>270</v>
      </c>
    </row>
    <row r="93" spans="1:7" x14ac:dyDescent="0.2">
      <c r="A93" s="120" t="s">
        <v>143</v>
      </c>
      <c r="B93" s="121"/>
      <c r="C93" s="109">
        <v>0</v>
      </c>
      <c r="D93" s="109">
        <v>0</v>
      </c>
      <c r="E93" s="122">
        <v>210000</v>
      </c>
      <c r="F93" s="107">
        <f t="shared" ref="F93:F109" si="10">C93*D93*E93</f>
        <v>0</v>
      </c>
      <c r="G93" s="104" t="s">
        <v>270</v>
      </c>
    </row>
    <row r="94" spans="1:7" x14ac:dyDescent="0.2">
      <c r="A94" s="120" t="s">
        <v>144</v>
      </c>
      <c r="B94" s="121"/>
      <c r="C94" s="109">
        <v>0</v>
      </c>
      <c r="D94" s="109">
        <v>0</v>
      </c>
      <c r="E94" s="122">
        <v>210000</v>
      </c>
      <c r="F94" s="107">
        <f t="shared" si="10"/>
        <v>0</v>
      </c>
      <c r="G94" s="104" t="s">
        <v>270</v>
      </c>
    </row>
    <row r="95" spans="1:7" x14ac:dyDescent="0.2">
      <c r="A95" s="120" t="s">
        <v>187</v>
      </c>
      <c r="B95" s="121"/>
      <c r="C95" s="109">
        <v>0</v>
      </c>
      <c r="D95" s="109">
        <v>0</v>
      </c>
      <c r="E95" s="122">
        <v>180000</v>
      </c>
      <c r="F95" s="107">
        <f t="shared" si="10"/>
        <v>0</v>
      </c>
      <c r="G95" s="104" t="s">
        <v>270</v>
      </c>
    </row>
    <row r="96" spans="1:7" x14ac:dyDescent="0.2">
      <c r="A96" s="120" t="s">
        <v>142</v>
      </c>
      <c r="B96" s="121"/>
      <c r="C96" s="109">
        <v>0</v>
      </c>
      <c r="D96" s="109">
        <v>0</v>
      </c>
      <c r="E96" s="122">
        <v>180000</v>
      </c>
      <c r="F96" s="107">
        <f t="shared" si="10"/>
        <v>0</v>
      </c>
      <c r="G96" s="104" t="s">
        <v>270</v>
      </c>
    </row>
    <row r="97" spans="1:7" x14ac:dyDescent="0.2">
      <c r="A97" s="120" t="s">
        <v>189</v>
      </c>
      <c r="B97" s="121"/>
      <c r="C97" s="109">
        <v>0</v>
      </c>
      <c r="D97" s="109">
        <v>0</v>
      </c>
      <c r="E97" s="115">
        <v>120000</v>
      </c>
      <c r="F97" s="107">
        <f t="shared" si="10"/>
        <v>0</v>
      </c>
      <c r="G97" s="104" t="s">
        <v>270</v>
      </c>
    </row>
    <row r="98" spans="1:7" x14ac:dyDescent="0.2">
      <c r="A98" s="120" t="s">
        <v>188</v>
      </c>
      <c r="B98" s="121"/>
      <c r="C98" s="109">
        <v>0</v>
      </c>
      <c r="D98" s="109">
        <v>0</v>
      </c>
      <c r="E98" s="115">
        <v>90000</v>
      </c>
      <c r="F98" s="107">
        <f t="shared" si="10"/>
        <v>0</v>
      </c>
      <c r="G98" s="104" t="s">
        <v>270</v>
      </c>
    </row>
    <row r="99" spans="1:7" x14ac:dyDescent="0.2">
      <c r="A99" s="120" t="s">
        <v>207</v>
      </c>
      <c r="B99" s="121"/>
      <c r="C99" s="109">
        <v>0</v>
      </c>
      <c r="D99" s="109">
        <v>0</v>
      </c>
      <c r="E99" s="115">
        <v>100000</v>
      </c>
      <c r="F99" s="107">
        <f t="shared" si="10"/>
        <v>0</v>
      </c>
      <c r="G99" s="104" t="s">
        <v>276</v>
      </c>
    </row>
    <row r="100" spans="1:7" x14ac:dyDescent="0.2">
      <c r="A100" s="120" t="s">
        <v>190</v>
      </c>
      <c r="B100" s="121"/>
      <c r="C100" s="109">
        <v>0</v>
      </c>
      <c r="D100" s="109">
        <v>0</v>
      </c>
      <c r="E100" s="115">
        <v>300000</v>
      </c>
      <c r="F100" s="107">
        <f t="shared" si="10"/>
        <v>0</v>
      </c>
      <c r="G100" s="104" t="s">
        <v>270</v>
      </c>
    </row>
    <row r="101" spans="1:7" x14ac:dyDescent="0.2">
      <c r="A101" s="131" t="s">
        <v>197</v>
      </c>
      <c r="B101" s="133"/>
      <c r="C101" s="109">
        <v>0</v>
      </c>
      <c r="D101" s="109">
        <v>0</v>
      </c>
      <c r="E101" s="164">
        <v>25000</v>
      </c>
      <c r="F101" s="135"/>
      <c r="G101" s="104" t="s">
        <v>198</v>
      </c>
    </row>
    <row r="102" spans="1:7" x14ac:dyDescent="0.2">
      <c r="A102" s="131" t="s">
        <v>271</v>
      </c>
      <c r="B102" s="133"/>
      <c r="C102" s="109">
        <v>0</v>
      </c>
      <c r="D102" s="109">
        <v>0</v>
      </c>
      <c r="E102" s="134">
        <v>15000</v>
      </c>
      <c r="F102" s="135"/>
      <c r="G102" s="104" t="s">
        <v>198</v>
      </c>
    </row>
    <row r="103" spans="1:7" x14ac:dyDescent="0.2">
      <c r="A103" s="131" t="s">
        <v>199</v>
      </c>
      <c r="B103" s="133"/>
      <c r="C103" s="109">
        <v>0</v>
      </c>
      <c r="D103" s="109">
        <v>0</v>
      </c>
      <c r="E103" s="134">
        <v>60000</v>
      </c>
      <c r="F103" s="135"/>
      <c r="G103" s="104"/>
    </row>
    <row r="104" spans="1:7" x14ac:dyDescent="0.2">
      <c r="A104" s="131" t="s">
        <v>147</v>
      </c>
      <c r="B104" s="132"/>
      <c r="C104" s="109">
        <v>0</v>
      </c>
      <c r="D104" s="109">
        <v>0</v>
      </c>
      <c r="E104" s="122">
        <v>150000</v>
      </c>
      <c r="F104" s="107">
        <f t="shared" si="10"/>
        <v>0</v>
      </c>
      <c r="G104" s="104" t="s">
        <v>272</v>
      </c>
    </row>
    <row r="105" spans="1:7" x14ac:dyDescent="0.2">
      <c r="A105" s="104" t="s">
        <v>191</v>
      </c>
      <c r="B105" s="136"/>
      <c r="C105" s="109">
        <v>0</v>
      </c>
      <c r="D105" s="109">
        <v>0</v>
      </c>
      <c r="E105" s="107">
        <v>100000</v>
      </c>
      <c r="F105" s="107">
        <f t="shared" si="10"/>
        <v>0</v>
      </c>
      <c r="G105" s="104" t="s">
        <v>257</v>
      </c>
    </row>
    <row r="106" spans="1:7" x14ac:dyDescent="0.2">
      <c r="A106" s="104" t="s">
        <v>192</v>
      </c>
      <c r="B106" s="136"/>
      <c r="C106" s="109">
        <v>0</v>
      </c>
      <c r="D106" s="109">
        <v>0</v>
      </c>
      <c r="E106" s="115">
        <v>150000</v>
      </c>
      <c r="F106" s="107">
        <f t="shared" si="10"/>
        <v>0</v>
      </c>
      <c r="G106" s="104" t="s">
        <v>193</v>
      </c>
    </row>
    <row r="107" spans="1:7" x14ac:dyDescent="0.2">
      <c r="A107" s="104" t="s">
        <v>194</v>
      </c>
      <c r="B107" s="136"/>
      <c r="C107" s="109">
        <v>0</v>
      </c>
      <c r="D107" s="109">
        <v>0</v>
      </c>
      <c r="E107" s="115">
        <v>380000</v>
      </c>
      <c r="F107" s="107">
        <f t="shared" si="10"/>
        <v>0</v>
      </c>
      <c r="G107" s="104" t="s">
        <v>195</v>
      </c>
    </row>
    <row r="108" spans="1:7" x14ac:dyDescent="0.2">
      <c r="A108" s="104" t="s">
        <v>196</v>
      </c>
      <c r="B108" s="136"/>
      <c r="C108" s="109">
        <v>0</v>
      </c>
      <c r="D108" s="109">
        <v>0</v>
      </c>
      <c r="E108" s="115">
        <v>280000</v>
      </c>
      <c r="F108" s="107">
        <f t="shared" si="10"/>
        <v>0</v>
      </c>
      <c r="G108" s="104" t="s">
        <v>193</v>
      </c>
    </row>
    <row r="109" spans="1:7" x14ac:dyDescent="0.2">
      <c r="A109" s="137" t="s">
        <v>162</v>
      </c>
      <c r="B109" s="138"/>
      <c r="C109" s="109">
        <v>0</v>
      </c>
      <c r="D109" s="109">
        <v>0</v>
      </c>
      <c r="E109" s="115">
        <v>650000</v>
      </c>
      <c r="F109" s="107">
        <f t="shared" si="10"/>
        <v>0</v>
      </c>
      <c r="G109" s="104" t="s">
        <v>168</v>
      </c>
    </row>
    <row r="110" spans="1:7" ht="15" customHeight="1" x14ac:dyDescent="0.2">
      <c r="A110" s="137" t="s">
        <v>161</v>
      </c>
      <c r="B110" s="138"/>
      <c r="C110" s="109">
        <v>0</v>
      </c>
      <c r="D110" s="109">
        <v>0</v>
      </c>
      <c r="E110" s="115">
        <v>450000</v>
      </c>
      <c r="F110" s="119">
        <f t="shared" ref="F110:F111" si="11">C110*D110*E110</f>
        <v>0</v>
      </c>
      <c r="G110" s="104" t="s">
        <v>172</v>
      </c>
    </row>
    <row r="111" spans="1:7" ht="15" customHeight="1" x14ac:dyDescent="0.2">
      <c r="A111" s="137" t="s">
        <v>163</v>
      </c>
      <c r="B111" s="138"/>
      <c r="C111" s="109">
        <v>0</v>
      </c>
      <c r="D111" s="109">
        <v>0</v>
      </c>
      <c r="E111" s="115">
        <v>80000</v>
      </c>
      <c r="F111" s="119">
        <f t="shared" si="11"/>
        <v>0</v>
      </c>
      <c r="G111" s="104"/>
    </row>
    <row r="112" spans="1:7" ht="15" customHeight="1" x14ac:dyDescent="0.2">
      <c r="A112" s="137" t="s">
        <v>167</v>
      </c>
      <c r="B112" s="138"/>
      <c r="C112" s="109">
        <v>0</v>
      </c>
      <c r="D112" s="109">
        <v>0</v>
      </c>
      <c r="E112" s="115">
        <v>300000</v>
      </c>
      <c r="F112" s="119">
        <f t="shared" ref="F112:F115" si="12">C112*D112*E112</f>
        <v>0</v>
      </c>
      <c r="G112" s="104" t="s">
        <v>171</v>
      </c>
    </row>
    <row r="113" spans="1:7" ht="15" customHeight="1" x14ac:dyDescent="0.2">
      <c r="A113" s="137" t="s">
        <v>164</v>
      </c>
      <c r="B113" s="138"/>
      <c r="C113" s="109">
        <v>0</v>
      </c>
      <c r="D113" s="109">
        <v>0</v>
      </c>
      <c r="E113" s="107">
        <v>680000</v>
      </c>
      <c r="F113" s="119">
        <f t="shared" si="12"/>
        <v>0</v>
      </c>
      <c r="G113" s="104" t="s">
        <v>169</v>
      </c>
    </row>
    <row r="114" spans="1:7" ht="15" customHeight="1" x14ac:dyDescent="0.2">
      <c r="A114" s="137" t="s">
        <v>164</v>
      </c>
      <c r="B114" s="138"/>
      <c r="C114" s="109">
        <v>0</v>
      </c>
      <c r="D114" s="109">
        <v>0</v>
      </c>
      <c r="E114" s="107">
        <v>580000</v>
      </c>
      <c r="F114" s="119">
        <f t="shared" si="12"/>
        <v>0</v>
      </c>
      <c r="G114" s="104" t="s">
        <v>170</v>
      </c>
    </row>
    <row r="115" spans="1:7" ht="15" customHeight="1" x14ac:dyDescent="0.2">
      <c r="A115" s="137" t="s">
        <v>166</v>
      </c>
      <c r="B115" s="138"/>
      <c r="C115" s="109">
        <v>0</v>
      </c>
      <c r="D115" s="109">
        <v>0</v>
      </c>
      <c r="E115" s="107">
        <v>580000</v>
      </c>
      <c r="F115" s="119">
        <f t="shared" si="12"/>
        <v>0</v>
      </c>
      <c r="G115" s="104" t="s">
        <v>165</v>
      </c>
    </row>
    <row r="116" spans="1:7" x14ac:dyDescent="0.2">
      <c r="A116" s="104" t="s">
        <v>203</v>
      </c>
      <c r="B116" s="136"/>
      <c r="C116" s="109">
        <v>0</v>
      </c>
      <c r="D116" s="109">
        <v>0</v>
      </c>
      <c r="E116" s="107">
        <v>180000</v>
      </c>
      <c r="F116" s="107">
        <f>C116*D116*E116</f>
        <v>0</v>
      </c>
      <c r="G116" s="104" t="s">
        <v>273</v>
      </c>
    </row>
    <row r="117" spans="1:7" x14ac:dyDescent="0.2">
      <c r="A117" s="139"/>
      <c r="B117" s="140"/>
      <c r="C117" s="139"/>
      <c r="D117" s="139"/>
      <c r="E117" s="139"/>
      <c r="F117" s="139"/>
      <c r="G117" s="141" t="s">
        <v>208</v>
      </c>
    </row>
    <row r="118" spans="1:7" x14ac:dyDescent="0.2">
      <c r="A118" s="139"/>
      <c r="B118" s="140"/>
      <c r="C118" s="139"/>
      <c r="D118" s="139"/>
      <c r="E118" s="139" t="s">
        <v>2</v>
      </c>
      <c r="F118" s="139" t="s">
        <v>2</v>
      </c>
      <c r="G118" s="139"/>
    </row>
    <row r="119" spans="1:7" ht="17" customHeight="1" x14ac:dyDescent="0.2">
      <c r="A119" s="139"/>
      <c r="B119" s="140"/>
      <c r="C119" s="139"/>
      <c r="D119" s="139"/>
      <c r="E119" s="139" t="s">
        <v>2</v>
      </c>
      <c r="F119" s="139"/>
      <c r="G119" s="139"/>
    </row>
    <row r="120" spans="1:7" ht="17" customHeight="1" x14ac:dyDescent="0.2">
      <c r="A120" s="139"/>
      <c r="B120" s="140"/>
      <c r="C120" s="139"/>
      <c r="D120" s="139"/>
      <c r="E120" s="139"/>
      <c r="F120" s="139"/>
      <c r="G120" s="139"/>
    </row>
    <row r="121" spans="1:7" x14ac:dyDescent="0.2">
      <c r="A121" s="139"/>
      <c r="B121" s="140"/>
      <c r="C121" s="139"/>
      <c r="D121" s="139"/>
      <c r="E121" s="139"/>
      <c r="F121" s="139"/>
      <c r="G121" s="139"/>
    </row>
    <row r="122" spans="1:7" x14ac:dyDescent="0.2">
      <c r="A122" s="139"/>
      <c r="B122" s="140"/>
      <c r="C122" s="139"/>
      <c r="D122" s="139"/>
      <c r="E122" s="139"/>
      <c r="F122" s="139"/>
      <c r="G122" s="139"/>
    </row>
    <row r="123" spans="1:7" ht="17" customHeight="1" x14ac:dyDescent="0.2">
      <c r="A123" s="139"/>
      <c r="B123" s="140"/>
      <c r="C123" s="139"/>
      <c r="D123" s="139"/>
      <c r="E123" s="139"/>
      <c r="F123" s="139"/>
      <c r="G123" s="139"/>
    </row>
    <row r="124" spans="1:7" ht="17" customHeight="1" x14ac:dyDescent="0.2">
      <c r="A124" s="139"/>
      <c r="B124" s="140"/>
      <c r="C124" s="139"/>
      <c r="D124" s="139"/>
      <c r="E124" s="139"/>
      <c r="F124" s="139"/>
      <c r="G124" s="139"/>
    </row>
    <row r="125" spans="1:7" x14ac:dyDescent="0.2">
      <c r="A125" s="139"/>
      <c r="B125" s="140"/>
      <c r="C125" s="139"/>
      <c r="D125" s="139"/>
      <c r="E125" s="139"/>
      <c r="F125" s="139"/>
      <c r="G125" s="139"/>
    </row>
    <row r="126" spans="1:7" x14ac:dyDescent="0.2">
      <c r="A126" s="139"/>
      <c r="B126" s="140"/>
      <c r="C126" s="139"/>
      <c r="D126" s="139"/>
      <c r="E126" s="139"/>
      <c r="F126" s="139"/>
      <c r="G126" s="139"/>
    </row>
    <row r="142" spans="1:7" ht="17" x14ac:dyDescent="0.2">
      <c r="A142" s="23"/>
      <c r="B142" s="83"/>
      <c r="C142" s="6"/>
      <c r="D142" s="6"/>
      <c r="E142" s="6"/>
      <c r="F142" s="6"/>
      <c r="G142" s="6"/>
    </row>
  </sheetData>
  <mergeCells count="1">
    <mergeCell ref="A7:B7"/>
  </mergeCells>
  <phoneticPr fontId="8" type="noConversion"/>
  <hyperlinks>
    <hyperlink ref="D64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1"/>
    <col min="6" max="8" width="11" style="71"/>
    <col min="9" max="9" width="31" customWidth="1"/>
  </cols>
  <sheetData>
    <row r="1" spans="1:14" x14ac:dyDescent="0.2">
      <c r="A1" s="176"/>
      <c r="B1" s="176"/>
      <c r="C1" s="176"/>
      <c r="D1" s="25"/>
      <c r="E1" s="25" t="s">
        <v>100</v>
      </c>
      <c r="F1" s="41"/>
      <c r="G1" s="41"/>
      <c r="H1" s="41"/>
      <c r="I1" s="25"/>
      <c r="J1" s="22"/>
      <c r="K1" s="22"/>
      <c r="L1" s="22"/>
      <c r="M1" s="22"/>
      <c r="N1" s="22"/>
    </row>
    <row r="2" spans="1:14" x14ac:dyDescent="0.2">
      <c r="A2" s="176"/>
      <c r="B2" s="176"/>
      <c r="C2" s="176"/>
      <c r="D2" s="25"/>
      <c r="E2" s="25"/>
      <c r="F2" s="41"/>
      <c r="G2" s="41"/>
      <c r="H2" s="41"/>
      <c r="I2" s="25"/>
      <c r="J2" s="22"/>
      <c r="K2" s="22"/>
      <c r="L2" s="22"/>
      <c r="M2" s="22"/>
      <c r="N2" s="22"/>
    </row>
    <row r="3" spans="1:14" x14ac:dyDescent="0.2">
      <c r="A3" s="176"/>
      <c r="B3" s="176"/>
      <c r="C3" s="176"/>
      <c r="D3" s="25"/>
      <c r="E3" s="25" t="s">
        <v>136</v>
      </c>
      <c r="F3" s="41"/>
      <c r="G3" s="41"/>
      <c r="H3" s="41"/>
      <c r="I3" s="25"/>
      <c r="J3" s="22"/>
      <c r="K3" s="22"/>
      <c r="L3" s="22"/>
      <c r="M3" s="22"/>
      <c r="N3" s="22"/>
    </row>
    <row r="4" spans="1:14" x14ac:dyDescent="0.2">
      <c r="A4" s="176"/>
      <c r="B4" s="176"/>
      <c r="C4" s="176"/>
      <c r="D4" s="42"/>
      <c r="E4" s="42" t="s">
        <v>137</v>
      </c>
      <c r="F4" s="43"/>
      <c r="G4" s="43"/>
      <c r="H4" s="43"/>
      <c r="I4" s="42"/>
      <c r="J4" s="22"/>
      <c r="K4" s="22"/>
      <c r="L4" s="22"/>
      <c r="M4" s="22"/>
      <c r="N4" s="22"/>
    </row>
    <row r="5" spans="1:14" x14ac:dyDescent="0.2">
      <c r="A5" s="36"/>
      <c r="B5" s="36"/>
      <c r="C5" s="36"/>
      <c r="D5" s="42"/>
      <c r="E5" s="42"/>
      <c r="F5" s="43"/>
      <c r="G5" s="43"/>
      <c r="H5" s="43"/>
      <c r="I5" s="42"/>
      <c r="J5" s="22"/>
      <c r="K5" s="22"/>
      <c r="L5" s="22"/>
      <c r="M5" s="22"/>
      <c r="N5" s="22"/>
    </row>
    <row r="6" spans="1:14" x14ac:dyDescent="0.2">
      <c r="A6" s="29" t="s">
        <v>101</v>
      </c>
      <c r="B6" s="30" t="s">
        <v>102</v>
      </c>
      <c r="C6" s="177" t="s">
        <v>130</v>
      </c>
      <c r="D6" s="178"/>
      <c r="E6" s="179"/>
      <c r="F6" s="30" t="s">
        <v>103</v>
      </c>
      <c r="G6" s="30" t="s">
        <v>104</v>
      </c>
      <c r="H6" s="30" t="s">
        <v>105</v>
      </c>
      <c r="I6" s="30" t="s">
        <v>106</v>
      </c>
      <c r="J6" s="22"/>
      <c r="K6" s="22"/>
      <c r="L6" s="22"/>
      <c r="M6" s="22"/>
      <c r="N6" s="22"/>
    </row>
    <row r="7" spans="1:14" x14ac:dyDescent="0.2">
      <c r="A7" s="51">
        <v>0.375</v>
      </c>
      <c r="B7" s="52">
        <v>0.45833333333333331</v>
      </c>
      <c r="C7" s="167" t="s">
        <v>131</v>
      </c>
      <c r="D7" s="168"/>
      <c r="E7" s="169"/>
      <c r="F7" s="53"/>
      <c r="G7" s="53"/>
      <c r="H7" s="53"/>
      <c r="I7" s="54" t="s">
        <v>132</v>
      </c>
      <c r="J7" s="22"/>
      <c r="K7" s="22"/>
      <c r="L7" s="22"/>
      <c r="M7" s="22"/>
      <c r="N7" s="22"/>
    </row>
    <row r="8" spans="1:14" x14ac:dyDescent="0.2">
      <c r="A8" s="51">
        <v>0.46875</v>
      </c>
      <c r="B8" s="52">
        <v>0.5625</v>
      </c>
      <c r="C8" s="167" t="s">
        <v>131</v>
      </c>
      <c r="D8" s="168"/>
      <c r="E8" s="169"/>
      <c r="F8" s="53"/>
      <c r="G8" s="53"/>
      <c r="H8" s="53"/>
      <c r="I8" s="54" t="s">
        <v>132</v>
      </c>
      <c r="J8" s="22"/>
      <c r="K8" s="22"/>
      <c r="L8" s="22"/>
      <c r="M8" s="22"/>
      <c r="N8" s="22"/>
    </row>
    <row r="9" spans="1:14" x14ac:dyDescent="0.2">
      <c r="A9" s="46">
        <v>0.5625</v>
      </c>
      <c r="B9" s="47">
        <v>0.60416666666666663</v>
      </c>
      <c r="C9" s="170" t="s">
        <v>109</v>
      </c>
      <c r="D9" s="171"/>
      <c r="E9" s="172"/>
      <c r="F9" s="48"/>
      <c r="G9" s="48">
        <v>60</v>
      </c>
      <c r="H9" s="49" t="s">
        <v>108</v>
      </c>
      <c r="I9" s="50"/>
      <c r="J9" s="22"/>
      <c r="K9" s="22"/>
      <c r="L9" s="22"/>
      <c r="M9" s="22"/>
      <c r="N9" s="22"/>
    </row>
    <row r="10" spans="1:14" x14ac:dyDescent="0.2">
      <c r="A10" s="51">
        <v>0.625</v>
      </c>
      <c r="B10" s="52">
        <v>0.70833333333333337</v>
      </c>
      <c r="C10" s="167" t="s">
        <v>131</v>
      </c>
      <c r="D10" s="168"/>
      <c r="E10" s="169"/>
      <c r="F10" s="53"/>
      <c r="G10" s="53"/>
      <c r="H10" s="53"/>
      <c r="I10" s="54" t="s">
        <v>132</v>
      </c>
      <c r="J10" s="22"/>
      <c r="K10" s="22"/>
      <c r="L10" s="22"/>
      <c r="M10" s="22"/>
      <c r="N10" s="22"/>
    </row>
    <row r="11" spans="1:14" x14ac:dyDescent="0.2">
      <c r="A11" s="51">
        <v>0.71875</v>
      </c>
      <c r="B11" s="52">
        <v>0.75</v>
      </c>
      <c r="C11" s="167" t="s">
        <v>131</v>
      </c>
      <c r="D11" s="168"/>
      <c r="E11" s="169"/>
      <c r="F11" s="53"/>
      <c r="G11" s="53"/>
      <c r="H11" s="53"/>
      <c r="I11" s="54" t="s">
        <v>132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80" t="s">
        <v>110</v>
      </c>
      <c r="D12" s="181"/>
      <c r="E12" s="182"/>
      <c r="F12" s="45"/>
      <c r="G12" s="45"/>
      <c r="H12" s="44"/>
      <c r="I12" s="28" t="s">
        <v>128</v>
      </c>
      <c r="J12" s="22"/>
      <c r="K12" s="22"/>
      <c r="L12" s="22"/>
      <c r="M12" s="22"/>
      <c r="N12" s="22"/>
    </row>
    <row r="13" spans="1:14" ht="15" customHeight="1" x14ac:dyDescent="0.2">
      <c r="A13" s="57">
        <v>0.83333333333333337</v>
      </c>
      <c r="B13" s="58">
        <v>0.875</v>
      </c>
      <c r="C13" s="183" t="s">
        <v>129</v>
      </c>
      <c r="D13" s="184"/>
      <c r="E13" s="185"/>
      <c r="F13" s="59"/>
      <c r="G13" s="59">
        <v>60</v>
      </c>
      <c r="H13" s="49" t="s">
        <v>108</v>
      </c>
      <c r="I13" s="60"/>
      <c r="J13" s="22"/>
      <c r="K13" s="22"/>
      <c r="L13" s="22"/>
      <c r="M13" s="22"/>
      <c r="N13" s="22"/>
    </row>
    <row r="14" spans="1:14" x14ac:dyDescent="0.2">
      <c r="A14" s="63"/>
      <c r="B14" s="64"/>
      <c r="C14" s="64"/>
      <c r="D14" s="64"/>
      <c r="E14" s="64"/>
      <c r="F14" s="64"/>
      <c r="G14" s="64"/>
      <c r="H14" s="64"/>
      <c r="I14" s="65"/>
      <c r="J14" s="22"/>
      <c r="K14" s="22"/>
      <c r="L14" s="22"/>
      <c r="M14" s="22"/>
      <c r="N14" s="22"/>
    </row>
    <row r="15" spans="1:14" x14ac:dyDescent="0.2">
      <c r="A15" s="29" t="s">
        <v>101</v>
      </c>
      <c r="B15" s="30" t="s">
        <v>102</v>
      </c>
      <c r="C15" s="186" t="s">
        <v>133</v>
      </c>
      <c r="D15" s="178"/>
      <c r="E15" s="179"/>
      <c r="F15" s="30" t="s">
        <v>103</v>
      </c>
      <c r="G15" s="30" t="s">
        <v>104</v>
      </c>
      <c r="H15" s="30" t="s">
        <v>105</v>
      </c>
      <c r="I15" s="30" t="s">
        <v>106</v>
      </c>
      <c r="J15" s="22"/>
      <c r="K15" s="22"/>
      <c r="L15" s="22"/>
      <c r="M15" s="22"/>
      <c r="N15" s="22"/>
    </row>
    <row r="16" spans="1:14" x14ac:dyDescent="0.2">
      <c r="A16" s="46">
        <v>0.33333333333333331</v>
      </c>
      <c r="B16" s="47">
        <v>0.375</v>
      </c>
      <c r="C16" s="187" t="s">
        <v>107</v>
      </c>
      <c r="D16" s="188"/>
      <c r="E16" s="189"/>
      <c r="F16" s="61"/>
      <c r="G16" s="61">
        <v>60</v>
      </c>
      <c r="H16" s="61"/>
      <c r="I16" s="62"/>
      <c r="J16" s="22"/>
      <c r="K16" s="22"/>
      <c r="L16" s="22"/>
      <c r="M16" s="22"/>
      <c r="N16" s="22"/>
    </row>
    <row r="17" spans="1:14" x14ac:dyDescent="0.2">
      <c r="A17" s="51">
        <v>0.375</v>
      </c>
      <c r="B17" s="52">
        <v>0.45833333333333331</v>
      </c>
      <c r="C17" s="167" t="s">
        <v>131</v>
      </c>
      <c r="D17" s="168"/>
      <c r="E17" s="169"/>
      <c r="F17" s="53"/>
      <c r="G17" s="53"/>
      <c r="H17" s="53"/>
      <c r="I17" s="54" t="s">
        <v>132</v>
      </c>
      <c r="J17" s="22"/>
      <c r="K17" s="22"/>
      <c r="L17" s="22"/>
      <c r="M17" s="22"/>
      <c r="N17" s="22"/>
    </row>
    <row r="18" spans="1:14" x14ac:dyDescent="0.2">
      <c r="A18" s="51">
        <v>0.46875</v>
      </c>
      <c r="B18" s="52">
        <v>0.5625</v>
      </c>
      <c r="C18" s="167" t="s">
        <v>131</v>
      </c>
      <c r="D18" s="168"/>
      <c r="E18" s="169"/>
      <c r="F18" s="53"/>
      <c r="G18" s="53"/>
      <c r="H18" s="53"/>
      <c r="I18" s="54" t="s">
        <v>132</v>
      </c>
      <c r="J18" s="22"/>
      <c r="K18" s="22"/>
      <c r="L18" s="22"/>
      <c r="M18" s="22"/>
      <c r="N18" s="22"/>
    </row>
    <row r="19" spans="1:14" x14ac:dyDescent="0.2">
      <c r="A19" s="46">
        <v>0.5625</v>
      </c>
      <c r="B19" s="47">
        <v>0.60416666666666663</v>
      </c>
      <c r="C19" s="170" t="s">
        <v>109</v>
      </c>
      <c r="D19" s="171"/>
      <c r="E19" s="172"/>
      <c r="F19" s="48"/>
      <c r="G19" s="48">
        <v>60</v>
      </c>
      <c r="H19" s="49" t="s">
        <v>108</v>
      </c>
      <c r="I19" s="50"/>
      <c r="J19" s="22"/>
      <c r="K19" s="22"/>
      <c r="L19" s="22"/>
      <c r="M19" s="22"/>
      <c r="N19" s="22"/>
    </row>
    <row r="20" spans="1:14" x14ac:dyDescent="0.2">
      <c r="A20" s="51">
        <v>0.625</v>
      </c>
      <c r="B20" s="52">
        <v>0.70833333333333337</v>
      </c>
      <c r="C20" s="167" t="s">
        <v>131</v>
      </c>
      <c r="D20" s="168"/>
      <c r="E20" s="169"/>
      <c r="F20" s="53"/>
      <c r="G20" s="53"/>
      <c r="H20" s="53"/>
      <c r="I20" s="54" t="s">
        <v>132</v>
      </c>
      <c r="J20" s="22"/>
      <c r="K20" s="22"/>
      <c r="L20" s="22"/>
      <c r="M20" s="22"/>
      <c r="N20" s="22"/>
    </row>
    <row r="21" spans="1:14" x14ac:dyDescent="0.2">
      <c r="A21" s="51">
        <v>0.71875</v>
      </c>
      <c r="B21" s="52">
        <v>0.75</v>
      </c>
      <c r="C21" s="167" t="s">
        <v>131</v>
      </c>
      <c r="D21" s="168"/>
      <c r="E21" s="169"/>
      <c r="F21" s="53"/>
      <c r="G21" s="53"/>
      <c r="H21" s="53"/>
      <c r="I21" s="54" t="s">
        <v>132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80" t="s">
        <v>110</v>
      </c>
      <c r="D22" s="181"/>
      <c r="E22" s="182"/>
      <c r="F22" s="45"/>
      <c r="G22" s="45"/>
      <c r="H22" s="44"/>
      <c r="I22" s="28" t="s">
        <v>128</v>
      </c>
      <c r="J22" s="22"/>
      <c r="K22" s="22"/>
      <c r="L22" s="22"/>
      <c r="M22" s="22"/>
      <c r="N22" s="22"/>
    </row>
    <row r="23" spans="1:14" ht="15" customHeight="1" x14ac:dyDescent="0.2">
      <c r="A23" s="57">
        <v>0.83333333333333337</v>
      </c>
      <c r="B23" s="58">
        <v>0.875</v>
      </c>
      <c r="C23" s="183" t="s">
        <v>129</v>
      </c>
      <c r="D23" s="184"/>
      <c r="E23" s="185"/>
      <c r="F23" s="59"/>
      <c r="G23" s="59">
        <v>60</v>
      </c>
      <c r="H23" s="49" t="s">
        <v>108</v>
      </c>
      <c r="I23" s="60"/>
      <c r="J23" s="22"/>
      <c r="K23" s="22"/>
      <c r="L23" s="22"/>
      <c r="M23" s="22"/>
      <c r="N23" s="22"/>
    </row>
    <row r="24" spans="1:14" s="56" customFormat="1" ht="15" customHeight="1" x14ac:dyDescent="0.2">
      <c r="A24" s="66"/>
      <c r="B24" s="66"/>
      <c r="C24" s="67"/>
      <c r="D24" s="67"/>
      <c r="E24" s="67"/>
      <c r="F24" s="68"/>
      <c r="G24" s="68"/>
      <c r="H24" s="69"/>
      <c r="I24" s="70"/>
      <c r="J24" s="55"/>
      <c r="K24" s="55"/>
      <c r="L24" s="55"/>
      <c r="M24" s="55"/>
      <c r="N24" s="55"/>
    </row>
    <row r="25" spans="1:14" x14ac:dyDescent="0.2">
      <c r="A25" s="29" t="s">
        <v>101</v>
      </c>
      <c r="B25" s="30" t="s">
        <v>102</v>
      </c>
      <c r="C25" s="186" t="s">
        <v>134</v>
      </c>
      <c r="D25" s="178"/>
      <c r="E25" s="179"/>
      <c r="F25" s="30" t="s">
        <v>103</v>
      </c>
      <c r="G25" s="30" t="s">
        <v>104</v>
      </c>
      <c r="H25" s="30" t="s">
        <v>105</v>
      </c>
      <c r="I25" s="30" t="s">
        <v>106</v>
      </c>
      <c r="J25" s="22"/>
      <c r="K25" s="22"/>
      <c r="L25" s="22"/>
      <c r="M25" s="22"/>
      <c r="N25" s="22"/>
    </row>
    <row r="26" spans="1:14" x14ac:dyDescent="0.2">
      <c r="A26" s="46">
        <v>0.33333333333333331</v>
      </c>
      <c r="B26" s="47">
        <v>0.375</v>
      </c>
      <c r="C26" s="187" t="s">
        <v>107</v>
      </c>
      <c r="D26" s="188"/>
      <c r="E26" s="189"/>
      <c r="F26" s="61"/>
      <c r="G26" s="61">
        <v>60</v>
      </c>
      <c r="H26" s="61"/>
      <c r="I26" s="62"/>
      <c r="J26" s="22"/>
      <c r="K26" s="22"/>
      <c r="L26" s="22"/>
      <c r="M26" s="22"/>
      <c r="N26" s="22"/>
    </row>
    <row r="27" spans="1:14" x14ac:dyDescent="0.2">
      <c r="A27" s="51">
        <v>0.375</v>
      </c>
      <c r="B27" s="52">
        <v>0.45833333333333331</v>
      </c>
      <c r="C27" s="167" t="s">
        <v>131</v>
      </c>
      <c r="D27" s="168"/>
      <c r="E27" s="169"/>
      <c r="F27" s="53"/>
      <c r="G27" s="53"/>
      <c r="H27" s="53"/>
      <c r="I27" s="54" t="s">
        <v>132</v>
      </c>
      <c r="J27" s="22"/>
      <c r="K27" s="22"/>
      <c r="L27" s="22"/>
      <c r="M27" s="22"/>
      <c r="N27" s="22"/>
    </row>
    <row r="28" spans="1:14" x14ac:dyDescent="0.2">
      <c r="A28" s="51">
        <v>0.46875</v>
      </c>
      <c r="B28" s="52">
        <v>0.5625</v>
      </c>
      <c r="C28" s="167" t="s">
        <v>131</v>
      </c>
      <c r="D28" s="168"/>
      <c r="E28" s="169"/>
      <c r="F28" s="53"/>
      <c r="G28" s="53"/>
      <c r="H28" s="53"/>
      <c r="I28" s="54" t="s">
        <v>132</v>
      </c>
      <c r="J28" s="22"/>
      <c r="K28" s="22"/>
      <c r="L28" s="22"/>
      <c r="M28" s="22"/>
      <c r="N28" s="22"/>
    </row>
    <row r="29" spans="1:14" x14ac:dyDescent="0.2">
      <c r="A29" s="46">
        <v>0.5625</v>
      </c>
      <c r="B29" s="47">
        <v>0.60416666666666663</v>
      </c>
      <c r="C29" s="170" t="s">
        <v>109</v>
      </c>
      <c r="D29" s="171"/>
      <c r="E29" s="172"/>
      <c r="F29" s="48"/>
      <c r="G29" s="48">
        <v>60</v>
      </c>
      <c r="H29" s="49" t="s">
        <v>108</v>
      </c>
      <c r="I29" s="50"/>
      <c r="J29" s="22"/>
      <c r="K29" s="22"/>
      <c r="L29" s="22"/>
      <c r="M29" s="22"/>
      <c r="N29" s="22"/>
    </row>
    <row r="30" spans="1:14" x14ac:dyDescent="0.2">
      <c r="A30" s="51">
        <v>0.625</v>
      </c>
      <c r="B30" s="52">
        <v>0.70833333333333337</v>
      </c>
      <c r="C30" s="167" t="s">
        <v>131</v>
      </c>
      <c r="D30" s="168"/>
      <c r="E30" s="169"/>
      <c r="F30" s="53"/>
      <c r="G30" s="53"/>
      <c r="H30" s="53"/>
      <c r="I30" s="54" t="s">
        <v>132</v>
      </c>
      <c r="J30" s="22"/>
      <c r="K30" s="22"/>
      <c r="L30" s="22"/>
      <c r="M30" s="22"/>
      <c r="N30" s="22"/>
    </row>
    <row r="31" spans="1:14" x14ac:dyDescent="0.2">
      <c r="A31" s="51">
        <v>0.71875</v>
      </c>
      <c r="B31" s="52">
        <v>0.75</v>
      </c>
      <c r="C31" s="167" t="s">
        <v>131</v>
      </c>
      <c r="D31" s="168"/>
      <c r="E31" s="169"/>
      <c r="F31" s="53"/>
      <c r="G31" s="53"/>
      <c r="H31" s="53"/>
      <c r="I31" s="54" t="s">
        <v>132</v>
      </c>
      <c r="J31" s="22"/>
      <c r="K31" s="22"/>
      <c r="L31" s="22"/>
      <c r="M31" s="22"/>
      <c r="N31" s="22"/>
    </row>
    <row r="32" spans="1:14" s="56" customFormat="1" ht="15" customHeight="1" x14ac:dyDescent="0.2">
      <c r="A32" s="173"/>
      <c r="B32" s="173"/>
      <c r="C32" s="173"/>
      <c r="D32" s="173"/>
      <c r="E32" s="173"/>
      <c r="F32" s="173"/>
      <c r="G32" s="173"/>
      <c r="H32" s="173"/>
      <c r="I32" s="173"/>
      <c r="J32" s="55"/>
      <c r="K32" s="55"/>
      <c r="L32" s="55"/>
      <c r="M32" s="55"/>
      <c r="N32" s="55"/>
    </row>
    <row r="33" spans="1:14" s="56" customFormat="1" ht="15" customHeight="1" x14ac:dyDescent="0.2">
      <c r="A33" s="174" t="s">
        <v>135</v>
      </c>
      <c r="B33" s="174"/>
      <c r="C33" s="174"/>
      <c r="D33" s="174"/>
      <c r="E33" s="174"/>
      <c r="F33" s="174"/>
      <c r="G33" s="174"/>
      <c r="H33" s="174"/>
      <c r="I33" s="174"/>
      <c r="J33" s="55"/>
      <c r="K33" s="55"/>
      <c r="L33" s="55"/>
      <c r="M33" s="55"/>
      <c r="N33" s="55"/>
    </row>
    <row r="34" spans="1:14" s="56" customFormat="1" ht="15" customHeight="1" x14ac:dyDescent="0.2">
      <c r="A34" s="173"/>
      <c r="B34" s="173"/>
      <c r="C34" s="173"/>
      <c r="D34" s="173"/>
      <c r="E34" s="173"/>
      <c r="F34" s="173"/>
      <c r="G34" s="173"/>
      <c r="H34" s="173"/>
      <c r="I34" s="173"/>
      <c r="J34" s="55"/>
      <c r="K34" s="55"/>
      <c r="L34" s="55"/>
      <c r="M34" s="55"/>
      <c r="N34" s="55"/>
    </row>
    <row r="35" spans="1:14" s="56" customFormat="1" ht="15" customHeight="1" x14ac:dyDescent="0.2">
      <c r="A35" s="173"/>
      <c r="B35" s="173"/>
      <c r="C35" s="173"/>
      <c r="D35" s="173"/>
      <c r="E35" s="173"/>
      <c r="F35" s="173"/>
      <c r="G35" s="173"/>
      <c r="H35" s="173"/>
      <c r="I35" s="173"/>
      <c r="J35" s="55"/>
      <c r="K35" s="55"/>
      <c r="L35" s="55"/>
      <c r="M35" s="55"/>
      <c r="N35" s="55"/>
    </row>
    <row r="36" spans="1:14" s="56" customFormat="1" ht="15" customHeight="1" x14ac:dyDescent="0.2">
      <c r="A36" s="173"/>
      <c r="B36" s="173"/>
      <c r="C36" s="173"/>
      <c r="D36" s="173"/>
      <c r="E36" s="173"/>
      <c r="F36" s="173"/>
      <c r="G36" s="173"/>
      <c r="H36" s="173"/>
      <c r="I36" s="173"/>
      <c r="J36" s="55"/>
      <c r="K36" s="55"/>
      <c r="L36" s="55"/>
      <c r="M36" s="55"/>
      <c r="N36" s="55"/>
    </row>
    <row r="37" spans="1:14" s="56" customFormat="1" ht="15" customHeight="1" x14ac:dyDescent="0.2">
      <c r="A37" s="173"/>
      <c r="B37" s="173"/>
      <c r="C37" s="173"/>
      <c r="D37" s="173"/>
      <c r="E37" s="173"/>
      <c r="F37" s="173"/>
      <c r="G37" s="173"/>
      <c r="H37" s="173"/>
      <c r="I37" s="173"/>
      <c r="J37" s="55"/>
      <c r="K37" s="55"/>
      <c r="L37" s="55"/>
      <c r="M37" s="55"/>
      <c r="N37" s="55"/>
    </row>
    <row r="38" spans="1:14" s="56" customFormat="1" ht="15" customHeight="1" x14ac:dyDescent="0.2">
      <c r="A38" s="173"/>
      <c r="B38" s="173"/>
      <c r="C38" s="173"/>
      <c r="D38" s="173"/>
      <c r="E38" s="173"/>
      <c r="F38" s="173"/>
      <c r="G38" s="173"/>
      <c r="H38" s="173"/>
      <c r="I38" s="173"/>
      <c r="J38" s="55"/>
      <c r="K38" s="55"/>
      <c r="L38" s="55"/>
      <c r="M38" s="55"/>
      <c r="N38" s="55"/>
    </row>
    <row r="39" spans="1:14" s="56" customFormat="1" ht="15" customHeight="1" x14ac:dyDescent="0.2">
      <c r="A39" s="173"/>
      <c r="B39" s="173"/>
      <c r="C39" s="173"/>
      <c r="D39" s="173"/>
      <c r="E39" s="173"/>
      <c r="F39" s="173"/>
      <c r="G39" s="173"/>
      <c r="H39" s="173"/>
      <c r="I39" s="173"/>
      <c r="J39" s="55"/>
      <c r="K39" s="55"/>
      <c r="L39" s="55"/>
      <c r="M39" s="55"/>
      <c r="N39" s="55"/>
    </row>
    <row r="40" spans="1:14" s="56" customFormat="1" ht="15" customHeight="1" x14ac:dyDescent="0.2">
      <c r="A40" s="66"/>
      <c r="B40" s="66"/>
      <c r="C40" s="67"/>
      <c r="D40" s="67"/>
      <c r="E40" s="67"/>
      <c r="F40" s="68"/>
      <c r="G40" s="68"/>
      <c r="H40" s="69"/>
      <c r="I40" s="70"/>
      <c r="J40" s="55"/>
      <c r="K40" s="55"/>
      <c r="L40" s="55"/>
      <c r="M40" s="55"/>
      <c r="N40" s="55"/>
    </row>
    <row r="41" spans="1:14" s="56" customFormat="1" ht="15" customHeight="1" x14ac:dyDescent="0.2">
      <c r="A41" s="66"/>
      <c r="B41" s="66"/>
      <c r="C41" s="67"/>
      <c r="D41" s="67"/>
      <c r="E41" s="67"/>
      <c r="F41" s="68"/>
      <c r="G41" s="68"/>
      <c r="H41" s="69"/>
      <c r="I41" s="70"/>
      <c r="J41" s="55"/>
      <c r="K41" s="55"/>
      <c r="L41" s="55"/>
      <c r="M41" s="55"/>
      <c r="N41" s="55"/>
    </row>
    <row r="42" spans="1:14" s="56" customFormat="1" ht="15" customHeight="1" x14ac:dyDescent="0.2">
      <c r="A42" s="66"/>
      <c r="B42" s="66"/>
      <c r="C42" s="67"/>
      <c r="D42" s="67"/>
      <c r="E42" s="67"/>
      <c r="F42" s="68"/>
      <c r="G42" s="68"/>
      <c r="H42" s="69"/>
      <c r="I42" s="70"/>
      <c r="J42" s="55"/>
      <c r="K42" s="55"/>
      <c r="L42" s="55"/>
      <c r="M42" s="55"/>
      <c r="N42" s="55"/>
    </row>
    <row r="43" spans="1:14" x14ac:dyDescent="0.2">
      <c r="A43" s="36"/>
      <c r="B43" s="36"/>
      <c r="C43" s="22"/>
      <c r="D43" s="36"/>
      <c r="E43" s="22"/>
      <c r="F43" s="36"/>
      <c r="G43" s="36"/>
      <c r="H43" s="36"/>
      <c r="I43" s="22"/>
      <c r="J43" s="22"/>
      <c r="K43" s="22"/>
      <c r="L43" s="22"/>
      <c r="M43" s="22"/>
      <c r="N43" s="22"/>
    </row>
    <row r="44" spans="1:14" ht="24" customHeight="1" x14ac:dyDescent="0.2">
      <c r="A44" s="175" t="s">
        <v>111</v>
      </c>
      <c r="B44" s="175"/>
      <c r="C44" s="175"/>
      <c r="D44" s="175"/>
      <c r="E44" s="175"/>
      <c r="F44" s="175"/>
      <c r="G44" s="175"/>
      <c r="H44" s="36"/>
      <c r="I44" s="31" t="s">
        <v>112</v>
      </c>
      <c r="J44" s="22"/>
      <c r="K44" s="22"/>
      <c r="L44" s="22"/>
      <c r="M44" s="22"/>
      <c r="N44" s="22"/>
    </row>
    <row r="45" spans="1:14" x14ac:dyDescent="0.2">
      <c r="A45" s="176"/>
      <c r="B45" s="176"/>
      <c r="C45" s="176"/>
      <c r="D45" s="176"/>
      <c r="E45" s="176"/>
      <c r="F45" s="176"/>
      <c r="G45" s="176"/>
      <c r="H45" s="36"/>
      <c r="I45" s="22"/>
      <c r="J45" s="22"/>
      <c r="K45" s="22"/>
      <c r="L45" s="22"/>
      <c r="M45" s="22"/>
      <c r="N45" s="22"/>
    </row>
    <row r="46" spans="1:14" x14ac:dyDescent="0.2">
      <c r="A46" s="166" t="s">
        <v>113</v>
      </c>
      <c r="B46" s="166"/>
      <c r="C46" s="166"/>
      <c r="D46" s="166"/>
      <c r="E46" s="166"/>
      <c r="F46" s="166"/>
      <c r="G46" s="166"/>
      <c r="H46" s="36"/>
      <c r="I46" s="22"/>
      <c r="J46" s="22"/>
      <c r="K46" s="22"/>
      <c r="L46" s="22"/>
      <c r="M46" s="22"/>
      <c r="N46" s="22"/>
    </row>
    <row r="47" spans="1:14" x14ac:dyDescent="0.2">
      <c r="A47" s="36"/>
      <c r="B47" s="36"/>
      <c r="C47" s="22"/>
      <c r="D47" s="22"/>
      <c r="E47" s="22"/>
      <c r="F47" s="36"/>
      <c r="G47" s="36"/>
      <c r="H47" s="36"/>
      <c r="I47" s="22"/>
      <c r="J47" s="22"/>
      <c r="K47" s="22"/>
      <c r="L47" s="22"/>
      <c r="M47" s="22"/>
      <c r="N47" s="22"/>
    </row>
    <row r="48" spans="1:14" x14ac:dyDescent="0.2">
      <c r="A48" s="36"/>
      <c r="B48" s="36"/>
      <c r="C48" s="22"/>
      <c r="D48" s="22"/>
      <c r="E48" s="22"/>
      <c r="F48" s="36"/>
      <c r="G48" s="36"/>
      <c r="H48" s="36"/>
      <c r="I48" s="22"/>
      <c r="J48" s="22"/>
      <c r="K48" s="22"/>
      <c r="L48" s="22"/>
      <c r="M48" s="22"/>
      <c r="N48" s="22"/>
    </row>
    <row r="49" spans="1:14" x14ac:dyDescent="0.2">
      <c r="A49" s="36"/>
      <c r="B49" s="36"/>
      <c r="C49" s="22"/>
      <c r="D49" s="22"/>
      <c r="E49" s="22"/>
      <c r="F49" s="36"/>
      <c r="G49" s="36"/>
      <c r="H49" s="36"/>
      <c r="I49" s="22"/>
      <c r="J49" s="22"/>
      <c r="K49" s="22"/>
      <c r="L49" s="22"/>
      <c r="M49" s="22"/>
      <c r="N49" s="22"/>
    </row>
    <row r="50" spans="1:14" x14ac:dyDescent="0.2">
      <c r="A50" s="36"/>
      <c r="B50" s="36"/>
      <c r="C50" s="22"/>
      <c r="D50" s="22"/>
      <c r="E50" s="22"/>
      <c r="F50" s="36"/>
      <c r="G50" s="36"/>
      <c r="H50" s="36"/>
      <c r="I50" s="22"/>
      <c r="J50" s="22"/>
      <c r="K50" s="22"/>
      <c r="L50" s="22"/>
      <c r="M50" s="22"/>
      <c r="N50" s="22"/>
    </row>
    <row r="51" spans="1:14" x14ac:dyDescent="0.2">
      <c r="A51" s="36"/>
      <c r="B51" s="36"/>
      <c r="C51" s="22"/>
      <c r="D51" s="22"/>
      <c r="E51" s="22"/>
      <c r="F51" s="36"/>
      <c r="G51" s="36"/>
      <c r="H51" s="36"/>
      <c r="I51" s="22"/>
      <c r="J51" s="22"/>
      <c r="K51" s="22"/>
      <c r="L51" s="22"/>
      <c r="M51" s="22"/>
      <c r="N51" s="22"/>
    </row>
    <row r="52" spans="1:14" x14ac:dyDescent="0.2">
      <c r="A52" s="36"/>
      <c r="B52" s="36"/>
      <c r="C52" s="22"/>
      <c r="D52" s="22"/>
      <c r="E52" s="22"/>
      <c r="F52" s="36"/>
      <c r="G52" s="36"/>
      <c r="H52" s="36"/>
      <c r="I52" s="22"/>
      <c r="J52" s="22"/>
      <c r="K52" s="22"/>
      <c r="L52" s="22"/>
      <c r="M52" s="22"/>
      <c r="N52" s="22"/>
    </row>
    <row r="53" spans="1:14" x14ac:dyDescent="0.2">
      <c r="A53" s="36"/>
      <c r="B53" s="36"/>
      <c r="C53" s="22"/>
      <c r="D53" s="22"/>
      <c r="E53" s="22"/>
      <c r="F53" s="36"/>
      <c r="G53" s="36"/>
      <c r="H53" s="36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8" t="s">
        <v>12</v>
      </c>
      <c r="L1" s="19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H3" s="11" t="s">
        <v>22</v>
      </c>
      <c r="I3" s="10" t="s">
        <v>17</v>
      </c>
      <c r="J3" s="10" t="s">
        <v>18</v>
      </c>
      <c r="K3" s="10" t="s">
        <v>88</v>
      </c>
      <c r="L3" s="12"/>
      <c r="M3" s="11" t="s">
        <v>23</v>
      </c>
      <c r="N3" s="10" t="s">
        <v>17</v>
      </c>
      <c r="O3" s="10" t="s">
        <v>18</v>
      </c>
      <c r="P3" s="10" t="s">
        <v>19</v>
      </c>
      <c r="R3" s="13" t="s">
        <v>24</v>
      </c>
      <c r="S3" s="14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5" t="s">
        <v>1</v>
      </c>
    </row>
    <row r="4" spans="1:26" x14ac:dyDescent="0.2">
      <c r="A4" s="9" t="s">
        <v>32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33</v>
      </c>
      <c r="I4" s="9">
        <v>1</v>
      </c>
      <c r="J4" s="9">
        <v>2</v>
      </c>
      <c r="K4" s="20">
        <v>4</v>
      </c>
      <c r="L4" s="16"/>
      <c r="M4" s="9" t="s">
        <v>33</v>
      </c>
      <c r="N4" s="9">
        <v>1</v>
      </c>
      <c r="O4" s="9">
        <v>2</v>
      </c>
      <c r="P4" s="20">
        <v>3</v>
      </c>
      <c r="R4" s="9">
        <v>41</v>
      </c>
      <c r="S4" s="9" t="s">
        <v>34</v>
      </c>
      <c r="T4" s="9" t="s">
        <v>34</v>
      </c>
      <c r="U4" s="9" t="s">
        <v>35</v>
      </c>
      <c r="V4" s="9" t="s">
        <v>35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36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37</v>
      </c>
      <c r="I5" s="9">
        <v>1</v>
      </c>
      <c r="J5" s="9">
        <v>2</v>
      </c>
      <c r="K5" s="20">
        <v>4</v>
      </c>
      <c r="L5" s="16"/>
      <c r="M5" s="9" t="s">
        <v>37</v>
      </c>
      <c r="N5" s="9">
        <v>1</v>
      </c>
      <c r="O5" s="9">
        <v>2</v>
      </c>
      <c r="P5" s="20">
        <v>3</v>
      </c>
      <c r="R5" s="9">
        <v>42</v>
      </c>
      <c r="S5" s="9" t="s">
        <v>34</v>
      </c>
      <c r="T5" s="9" t="s">
        <v>34</v>
      </c>
      <c r="U5" s="9" t="s">
        <v>35</v>
      </c>
      <c r="V5" s="9" t="s">
        <v>35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38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39</v>
      </c>
      <c r="I6" s="9">
        <v>1</v>
      </c>
      <c r="J6" s="9">
        <v>2</v>
      </c>
      <c r="K6" s="20">
        <v>4</v>
      </c>
      <c r="L6" s="16"/>
      <c r="M6" s="9" t="s">
        <v>39</v>
      </c>
      <c r="N6" s="9">
        <v>1</v>
      </c>
      <c r="O6" s="9">
        <v>2</v>
      </c>
      <c r="P6" s="20">
        <v>3</v>
      </c>
      <c r="R6" s="9">
        <v>43</v>
      </c>
      <c r="S6" s="9" t="s">
        <v>34</v>
      </c>
      <c r="T6" s="9" t="s">
        <v>34</v>
      </c>
      <c r="U6" s="9" t="s">
        <v>35</v>
      </c>
      <c r="V6" s="9" t="s">
        <v>35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40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41</v>
      </c>
      <c r="I7" s="9">
        <v>1</v>
      </c>
      <c r="J7" s="9">
        <v>2</v>
      </c>
      <c r="K7" s="20">
        <v>4</v>
      </c>
      <c r="L7" s="16"/>
      <c r="M7" s="9" t="s">
        <v>41</v>
      </c>
      <c r="N7" s="9">
        <v>1</v>
      </c>
      <c r="O7" s="9">
        <v>2</v>
      </c>
      <c r="P7" s="20">
        <v>3</v>
      </c>
      <c r="R7" s="9">
        <v>44</v>
      </c>
      <c r="S7" s="9" t="s">
        <v>34</v>
      </c>
      <c r="T7" s="9" t="s">
        <v>34</v>
      </c>
      <c r="U7" s="9" t="s">
        <v>35</v>
      </c>
      <c r="V7" s="9" t="s">
        <v>42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43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44</v>
      </c>
      <c r="I8" s="9">
        <v>1</v>
      </c>
      <c r="J8" s="9">
        <v>2</v>
      </c>
      <c r="K8" s="20" t="s">
        <v>2</v>
      </c>
      <c r="L8" s="16"/>
      <c r="M8" s="9" t="s">
        <v>44</v>
      </c>
      <c r="N8" s="9">
        <v>1</v>
      </c>
      <c r="O8" s="9">
        <v>2</v>
      </c>
      <c r="P8" s="20">
        <v>3</v>
      </c>
    </row>
    <row r="9" spans="1:26" x14ac:dyDescent="0.2">
      <c r="A9" s="9" t="s">
        <v>45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46</v>
      </c>
      <c r="I9" s="9">
        <v>1</v>
      </c>
      <c r="J9" s="9">
        <v>2</v>
      </c>
      <c r="K9" s="20" t="s">
        <v>2</v>
      </c>
      <c r="L9" s="16"/>
      <c r="M9" s="9" t="s">
        <v>46</v>
      </c>
      <c r="N9" s="9">
        <v>1</v>
      </c>
      <c r="O9" s="9">
        <v>2</v>
      </c>
      <c r="P9" s="20">
        <v>3</v>
      </c>
      <c r="R9" s="9">
        <v>31</v>
      </c>
      <c r="S9" s="9" t="s">
        <v>34</v>
      </c>
      <c r="T9" s="9" t="s">
        <v>47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48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49</v>
      </c>
      <c r="I10" s="9">
        <v>1</v>
      </c>
      <c r="J10" s="9">
        <v>2</v>
      </c>
      <c r="K10" s="20" t="s">
        <v>2</v>
      </c>
      <c r="L10" s="16"/>
      <c r="M10" s="9" t="s">
        <v>49</v>
      </c>
      <c r="N10" s="9">
        <v>1</v>
      </c>
      <c r="O10" s="9">
        <v>2</v>
      </c>
      <c r="P10" s="20">
        <v>3</v>
      </c>
      <c r="R10" s="9">
        <v>32</v>
      </c>
      <c r="S10" s="9" t="s">
        <v>34</v>
      </c>
      <c r="T10" s="9" t="s">
        <v>34</v>
      </c>
      <c r="U10" s="9" t="s">
        <v>35</v>
      </c>
      <c r="V10" s="9" t="s">
        <v>42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50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51</v>
      </c>
      <c r="I11" s="9">
        <v>1</v>
      </c>
      <c r="J11" s="9">
        <v>2</v>
      </c>
      <c r="K11" s="20" t="s">
        <v>2</v>
      </c>
      <c r="L11" s="16"/>
      <c r="M11" s="9" t="s">
        <v>51</v>
      </c>
      <c r="N11" s="9">
        <v>1</v>
      </c>
      <c r="O11" s="9">
        <v>2</v>
      </c>
      <c r="P11" s="20">
        <v>3</v>
      </c>
      <c r="R11" s="9">
        <v>33</v>
      </c>
      <c r="S11" s="9" t="s">
        <v>34</v>
      </c>
      <c r="T11" s="9" t="s">
        <v>34</v>
      </c>
      <c r="U11" s="9" t="s">
        <v>35</v>
      </c>
      <c r="V11" s="9" t="s">
        <v>42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9" t="s">
        <v>53</v>
      </c>
      <c r="I12" s="9">
        <v>1</v>
      </c>
      <c r="J12" s="9">
        <v>2</v>
      </c>
      <c r="K12" s="20" t="s">
        <v>2</v>
      </c>
      <c r="L12" s="16"/>
      <c r="M12" s="9" t="s">
        <v>53</v>
      </c>
      <c r="N12" s="9">
        <v>1</v>
      </c>
      <c r="O12" s="9">
        <v>2</v>
      </c>
      <c r="P12" s="20">
        <v>3</v>
      </c>
      <c r="R12" s="9">
        <v>34</v>
      </c>
      <c r="S12" s="9" t="s">
        <v>34</v>
      </c>
      <c r="T12" s="9" t="s">
        <v>34</v>
      </c>
      <c r="U12" s="9" t="s">
        <v>35</v>
      </c>
      <c r="V12" s="9" t="s">
        <v>42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54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55</v>
      </c>
      <c r="I13" s="9">
        <v>1</v>
      </c>
      <c r="J13" s="9">
        <v>2</v>
      </c>
      <c r="K13" s="20">
        <v>3</v>
      </c>
      <c r="L13" s="16"/>
      <c r="M13" s="9" t="s">
        <v>55</v>
      </c>
      <c r="N13" s="9">
        <v>1</v>
      </c>
      <c r="O13" s="9">
        <v>2</v>
      </c>
      <c r="P13" s="20">
        <v>3</v>
      </c>
    </row>
    <row r="14" spans="1:26" x14ac:dyDescent="0.2">
      <c r="A14" s="9" t="s">
        <v>56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57</v>
      </c>
      <c r="I14" s="9">
        <v>1</v>
      </c>
      <c r="J14" s="9">
        <v>2</v>
      </c>
      <c r="K14" s="20">
        <v>3</v>
      </c>
      <c r="L14" s="16"/>
      <c r="M14" s="9" t="s">
        <v>57</v>
      </c>
      <c r="N14" s="9">
        <v>1</v>
      </c>
      <c r="O14" s="9">
        <v>2</v>
      </c>
      <c r="P14" s="20">
        <v>3</v>
      </c>
      <c r="R14" s="9">
        <v>21</v>
      </c>
      <c r="S14" s="9" t="s">
        <v>34</v>
      </c>
      <c r="T14" s="9" t="s">
        <v>47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58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59</v>
      </c>
      <c r="I15" s="9">
        <v>1</v>
      </c>
      <c r="J15" s="9">
        <v>2</v>
      </c>
      <c r="K15" s="20" t="s">
        <v>2</v>
      </c>
      <c r="L15" s="16"/>
      <c r="M15" s="9" t="s">
        <v>59</v>
      </c>
      <c r="N15" s="9">
        <v>1</v>
      </c>
      <c r="O15" s="9">
        <v>2</v>
      </c>
      <c r="P15" s="20">
        <v>3</v>
      </c>
      <c r="R15" s="9">
        <v>22</v>
      </c>
      <c r="S15" s="9" t="s">
        <v>34</v>
      </c>
      <c r="T15" s="9" t="s">
        <v>34</v>
      </c>
      <c r="U15" s="9" t="s">
        <v>35</v>
      </c>
      <c r="V15" s="9" t="s">
        <v>42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60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61</v>
      </c>
      <c r="I16" s="18" t="s">
        <v>2</v>
      </c>
      <c r="J16" t="s">
        <v>2</v>
      </c>
      <c r="K16" t="s">
        <v>2</v>
      </c>
      <c r="M16" t="s">
        <v>62</v>
      </c>
      <c r="N16" s="18"/>
      <c r="P16" t="s">
        <v>2</v>
      </c>
      <c r="R16" s="9">
        <v>23</v>
      </c>
      <c r="S16" s="9" t="s">
        <v>34</v>
      </c>
      <c r="T16" s="9" t="s">
        <v>34</v>
      </c>
      <c r="U16" s="9" t="s">
        <v>35</v>
      </c>
      <c r="V16" s="9" t="s">
        <v>42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63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64</v>
      </c>
      <c r="I17" s="9">
        <v>1</v>
      </c>
      <c r="J17" s="9">
        <v>2</v>
      </c>
      <c r="K17" s="20">
        <v>4</v>
      </c>
      <c r="L17" s="16"/>
      <c r="M17" s="9" t="s">
        <v>64</v>
      </c>
      <c r="N17" s="9">
        <v>1</v>
      </c>
      <c r="O17" s="9">
        <v>2</v>
      </c>
      <c r="P17" s="20">
        <v>3</v>
      </c>
      <c r="R17" s="9">
        <v>24</v>
      </c>
      <c r="S17" s="9" t="s">
        <v>34</v>
      </c>
      <c r="T17" s="9" t="s">
        <v>34</v>
      </c>
      <c r="U17" s="9" t="s">
        <v>35</v>
      </c>
      <c r="V17" s="9" t="s">
        <v>42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65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66</v>
      </c>
      <c r="I18" s="9">
        <v>1</v>
      </c>
      <c r="J18" s="9">
        <v>2</v>
      </c>
      <c r="K18" s="20">
        <v>4</v>
      </c>
      <c r="L18" s="16"/>
      <c r="M18" s="9" t="s">
        <v>66</v>
      </c>
      <c r="N18" s="9">
        <v>1</v>
      </c>
      <c r="O18" s="9">
        <v>2</v>
      </c>
      <c r="P18" s="20">
        <v>3</v>
      </c>
    </row>
    <row r="19" spans="1:26" x14ac:dyDescent="0.2">
      <c r="A19" s="9" t="s">
        <v>67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68</v>
      </c>
      <c r="I19" s="9">
        <v>1</v>
      </c>
      <c r="J19" s="9">
        <v>2</v>
      </c>
      <c r="K19" s="20">
        <v>4</v>
      </c>
      <c r="L19" s="16"/>
      <c r="M19" s="9" t="s">
        <v>68</v>
      </c>
      <c r="N19" s="9">
        <v>1</v>
      </c>
      <c r="O19" s="9">
        <v>2</v>
      </c>
      <c r="P19" s="20">
        <v>3</v>
      </c>
      <c r="R19" s="9">
        <v>11</v>
      </c>
      <c r="S19" s="9" t="s">
        <v>34</v>
      </c>
      <c r="T19" s="9" t="s">
        <v>47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69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70</v>
      </c>
      <c r="I20" s="9">
        <v>1</v>
      </c>
      <c r="J20" s="9">
        <v>2</v>
      </c>
      <c r="K20" s="20">
        <v>4</v>
      </c>
      <c r="L20" s="16"/>
      <c r="M20" s="9" t="s">
        <v>70</v>
      </c>
      <c r="N20" s="9">
        <v>1</v>
      </c>
      <c r="O20" s="9">
        <v>2</v>
      </c>
      <c r="P20" s="20">
        <v>3</v>
      </c>
      <c r="R20" s="9">
        <v>12</v>
      </c>
      <c r="S20" s="9" t="s">
        <v>34</v>
      </c>
      <c r="T20" s="9" t="s">
        <v>34</v>
      </c>
      <c r="U20" s="9" t="s">
        <v>35</v>
      </c>
      <c r="V20" s="9" t="s">
        <v>42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9" t="s">
        <v>72</v>
      </c>
      <c r="I21" s="9">
        <v>1</v>
      </c>
      <c r="J21" s="9">
        <v>2</v>
      </c>
      <c r="K21" s="20" t="s">
        <v>2</v>
      </c>
      <c r="L21" s="16"/>
      <c r="M21" s="9" t="s">
        <v>72</v>
      </c>
      <c r="N21" s="9">
        <v>1</v>
      </c>
      <c r="O21" s="9">
        <v>2</v>
      </c>
      <c r="P21" s="20">
        <v>3</v>
      </c>
      <c r="R21" s="9">
        <v>13</v>
      </c>
      <c r="S21" s="9" t="s">
        <v>34</v>
      </c>
      <c r="T21" s="9" t="s">
        <v>34</v>
      </c>
      <c r="U21" s="9" t="s">
        <v>35</v>
      </c>
      <c r="V21" s="9" t="s">
        <v>42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73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74</v>
      </c>
      <c r="I22" s="9">
        <v>1</v>
      </c>
      <c r="J22" s="9">
        <v>2</v>
      </c>
      <c r="K22" s="20" t="s">
        <v>2</v>
      </c>
      <c r="L22" s="16"/>
      <c r="M22" s="9" t="s">
        <v>74</v>
      </c>
      <c r="N22" s="9">
        <v>1</v>
      </c>
      <c r="O22" s="9">
        <v>2</v>
      </c>
      <c r="P22" s="20">
        <v>3</v>
      </c>
      <c r="R22" s="9">
        <v>14</v>
      </c>
      <c r="S22" s="9" t="s">
        <v>34</v>
      </c>
      <c r="T22" s="9" t="s">
        <v>34</v>
      </c>
      <c r="U22" s="9" t="s">
        <v>35</v>
      </c>
      <c r="V22" s="9" t="s">
        <v>42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75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76</v>
      </c>
      <c r="I23" s="9">
        <v>1</v>
      </c>
      <c r="J23" s="9">
        <v>2</v>
      </c>
      <c r="K23" s="20" t="s">
        <v>2</v>
      </c>
      <c r="L23" s="16"/>
      <c r="M23" s="9" t="s">
        <v>76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77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78</v>
      </c>
      <c r="I24" s="9">
        <v>1</v>
      </c>
      <c r="J24" s="9">
        <v>2</v>
      </c>
      <c r="K24" s="20" t="s">
        <v>2</v>
      </c>
      <c r="L24" s="16"/>
      <c r="M24" s="9" t="s">
        <v>78</v>
      </c>
      <c r="N24" s="9">
        <v>1</v>
      </c>
      <c r="O24" s="9">
        <v>2</v>
      </c>
      <c r="P24" s="20">
        <v>3</v>
      </c>
    </row>
    <row r="25" spans="1:26" x14ac:dyDescent="0.2">
      <c r="A25" s="9" t="s">
        <v>79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80</v>
      </c>
      <c r="I25" s="9">
        <v>1</v>
      </c>
      <c r="J25" s="9">
        <v>2</v>
      </c>
      <c r="K25" s="20" t="s">
        <v>2</v>
      </c>
      <c r="L25" s="16"/>
      <c r="M25" s="9" t="s">
        <v>80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81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82</v>
      </c>
      <c r="I26" s="9">
        <v>1</v>
      </c>
      <c r="J26" s="9">
        <v>2</v>
      </c>
      <c r="K26" s="20">
        <v>3</v>
      </c>
      <c r="L26" s="16"/>
      <c r="M26" s="9" t="s">
        <v>82</v>
      </c>
      <c r="N26" s="9">
        <v>1</v>
      </c>
      <c r="O26" s="9">
        <v>2</v>
      </c>
      <c r="P26" s="20">
        <v>3</v>
      </c>
    </row>
    <row r="27" spans="1:26" x14ac:dyDescent="0.2">
      <c r="A27" s="9" t="s">
        <v>83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84</v>
      </c>
      <c r="I27" s="9">
        <v>1</v>
      </c>
      <c r="J27" s="9">
        <v>2</v>
      </c>
      <c r="K27" s="20">
        <v>3</v>
      </c>
      <c r="L27" s="16"/>
      <c r="M27" s="9" t="s">
        <v>84</v>
      </c>
      <c r="N27" s="9">
        <v>1</v>
      </c>
      <c r="O27" s="9">
        <v>2</v>
      </c>
      <c r="P27" s="20">
        <v>3</v>
      </c>
    </row>
    <row r="28" spans="1:26" x14ac:dyDescent="0.2">
      <c r="A28" s="9" t="s">
        <v>85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86</v>
      </c>
      <c r="I28" s="9">
        <v>1</v>
      </c>
      <c r="J28" s="9">
        <v>2</v>
      </c>
      <c r="K28" s="20" t="s">
        <v>2</v>
      </c>
      <c r="L28" s="16"/>
      <c r="M28" s="9" t="s">
        <v>86</v>
      </c>
      <c r="N28" s="9">
        <v>1</v>
      </c>
      <c r="O28" s="9">
        <v>2</v>
      </c>
      <c r="P28" s="20">
        <v>3</v>
      </c>
    </row>
    <row r="29" spans="1:26" x14ac:dyDescent="0.2">
      <c r="A29" s="9" t="s">
        <v>87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94" t="s">
        <v>233</v>
      </c>
    </row>
    <row r="3" spans="1:1" ht="28" customHeight="1" thickBot="1" x14ac:dyDescent="0.25">
      <c r="A3" s="95" t="s">
        <v>234</v>
      </c>
    </row>
    <row r="4" spans="1:1" ht="17" x14ac:dyDescent="0.2">
      <c r="A4" s="96" t="s">
        <v>235</v>
      </c>
    </row>
    <row r="5" spans="1:1" ht="41" customHeight="1" x14ac:dyDescent="0.25">
      <c r="A5" s="97" t="s">
        <v>236</v>
      </c>
    </row>
    <row r="6" spans="1:1" ht="33" customHeight="1" thickBot="1" x14ac:dyDescent="0.25">
      <c r="A6" s="95" t="s">
        <v>238</v>
      </c>
    </row>
    <row r="7" spans="1:1" ht="29" customHeight="1" thickBot="1" x14ac:dyDescent="0.25">
      <c r="A7" s="98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2018-02-14T15:26:51Z</dcterms:modified>
</cp:coreProperties>
</file>