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9A0FF8DC-6161-2F49-A3DC-4C80F77BEEDB}" xr6:coauthVersionLast="47" xr6:coauthVersionMax="47" xr10:uidLastSave="{00000000-0000-0000-0000-000000000000}"/>
  <bookViews>
    <workbookView xWindow="4740" yWindow="500" windowWidth="28660" windowHeight="16100" tabRatio="500" xr2:uid="{00000000-000D-0000-FFFF-FFFF00000000}"/>
  </bookViews>
  <sheets>
    <sheet name="Programa por dia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8" i="9" l="1"/>
  <c r="E17" i="9"/>
  <c r="E11" i="9"/>
  <c r="F11" i="9" s="1"/>
  <c r="F13" i="9"/>
  <c r="F19" i="9" l="1"/>
  <c r="F18" i="9"/>
  <c r="F17" i="9"/>
  <c r="F16" i="9"/>
  <c r="F15" i="9"/>
  <c r="E20" i="9" l="1"/>
  <c r="F9" i="9" l="1"/>
  <c r="F20" i="9" l="1"/>
  <c r="F14" i="9"/>
  <c r="F21" i="9" s="1"/>
  <c r="F22" i="9" l="1"/>
  <c r="F23" i="9" l="1"/>
</calcChain>
</file>

<file path=xl/sharedStrings.xml><?xml version="1.0" encoding="utf-8"?>
<sst xmlns="http://schemas.openxmlformats.org/spreadsheetml/2006/main" count="116" uniqueCount="89">
  <si>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</si>
  <si>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</si>
  <si>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</si>
  <si>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</si>
  <si>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</si>
  <si>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1.-</t>
  </si>
  <si>
    <t>Fono:</t>
  </si>
  <si>
    <t>2.-</t>
  </si>
  <si>
    <t>Nº Pasajeros</t>
  </si>
  <si>
    <t>3.-</t>
  </si>
  <si>
    <t>Atiende:</t>
  </si>
  <si>
    <t>Telefono</t>
  </si>
  <si>
    <t>4.-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</si>
  <si>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</si>
  <si>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</si>
  <si>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</si>
  <si>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</si>
  <si>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</si>
  <si>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</si>
  <si>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</si>
  <si>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</si>
  <si>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Coffee Intermedio</t>
  </si>
  <si>
    <t xml:space="preserve">Once </t>
  </si>
  <si>
    <t>Bebida o Jugo con Hamburguesa o lomito(elegir antes) y helado.</t>
  </si>
  <si>
    <t>Coctail basico, minimo 15 pasajeros.</t>
  </si>
  <si>
    <t xml:space="preserve"> Tragos(1 p/p entre) Pisco sour o espumante, vino,  bebida, cerveza, 1 empanadita, 1 bruscheta, quesos, frutos secos, galletas.</t>
  </si>
  <si>
    <t>Coctail Intermedio,                            Minimo 15 pasajeros.</t>
  </si>
  <si>
    <t>Tragos(2 p/p entre)Vino tinto, Blanco, espumante, pisco sour, bebidas,  cerveza, 1 empanaditas de Pino, 1empanadita de queso, queso crema /aceitunas,  1 bruschetas jamón serrano, 1 bruschetas de Salmón, 1 brocheta mediterranea,  frutos secos o quesos.</t>
  </si>
  <si>
    <t>Tragos con ticket</t>
  </si>
  <si>
    <t>Total  Evento</t>
  </si>
  <si>
    <t>IVA</t>
  </si>
  <si>
    <t>Total evento con IVA</t>
  </si>
  <si>
    <t>Valor no incluye propinas.</t>
  </si>
  <si>
    <r>
      <t>Para órdenes de Compra y pagos</t>
    </r>
    <r>
      <rPr>
        <sz val="11"/>
        <color rgb="FF000000"/>
        <rFont val="Calibri"/>
        <family val="2"/>
      </rPr>
      <t>.</t>
    </r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</si>
  <si>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</si>
  <si>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</si>
  <si>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</si>
  <si>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</si>
  <si>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</si>
  <si>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</si>
  <si>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</si>
  <si>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</si>
  <si>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</si>
  <si>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</si>
  <si>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</si>
  <si>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</si>
  <si>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</si>
  <si>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</si>
  <si>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</si>
  <si>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</si>
  <si>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</si>
  <si>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</si>
  <si>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</si>
  <si>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</si>
  <si>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</si>
  <si>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</si>
  <si>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</si>
  <si>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</si>
  <si>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</si>
  <si>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</si>
  <si>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</si>
  <si>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</si>
  <si>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</si>
  <si>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Carmen Rodriguez D.</t>
  </si>
  <si>
    <t>08:30-10:00</t>
  </si>
  <si>
    <t>Bebida gaseosa</t>
  </si>
  <si>
    <t>Actividades libres</t>
  </si>
  <si>
    <t>Botella de Vino Castillo Molina. Recomendación  1 botella cada 5 personas  (una por mesa)</t>
  </si>
  <si>
    <t>Café, té, agua, jugo de pulpa, 1 muffins, 1 facturitas, 1 fruta y 2  tapaditos.</t>
  </si>
  <si>
    <t>Gaseosa ó mineral.</t>
  </si>
  <si>
    <t>importante:</t>
  </si>
  <si>
    <r>
      <t>·</t>
    </r>
    <r>
      <rPr>
        <sz val="7"/>
        <color rgb="FFFF0000"/>
        <rFont val="Times New Roman"/>
        <family val="1"/>
      </rPr>
      <t xml:space="preserve">         </t>
    </r>
    <r>
      <rPr>
        <sz val="11"/>
        <color rgb="FFFF0000"/>
        <rFont val="Calibri"/>
        <family val="2"/>
      </rPr>
      <t>Confirmar asistentes con 72 hrs, luego se paga por lo reservado.</t>
    </r>
  </si>
  <si>
    <r>
      <t>·</t>
    </r>
    <r>
      <rPr>
        <sz val="7"/>
        <color rgb="FFFF0000"/>
        <rFont val="Times New Roman"/>
        <family val="1"/>
      </rPr>
      <t>         </t>
    </r>
    <r>
      <rPr>
        <sz val="11"/>
        <color rgb="FFFF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</si>
  <si>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·      Se Prohibe ingresar bebidas y alcohol a las areas comunes y restoran estas  podran ser consumidas solamente en las habitaciones.</t>
  </si>
  <si>
    <t>Botella de vino reserva.</t>
  </si>
  <si>
    <t>.         Se prohiben las fiestas en la habitaciones o en áreas comunes sin autorizacion de la Gerencia o Vendedora a Cargo.</t>
  </si>
  <si>
    <t>Se entiende que la empresa contratante, conoce y acepta cada uno de estos Itemes.</t>
  </si>
  <si>
    <t>Piscina temperada, cabalgatas, canopy, kayak, botes, standup paddle, mesas de pool, trekking actividades con Los Guias.</t>
  </si>
  <si>
    <t>Buffet Sugerencias del chef, Almuerzo.</t>
  </si>
  <si>
    <r>
      <t>1 trago pp. entre:</t>
    </r>
    <r>
      <rPr>
        <sz val="12"/>
        <color rgb="FF000000"/>
        <rFont val="Calibri"/>
        <family val="2"/>
        <scheme val="minor"/>
      </rPr>
      <t xml:space="preserve"> Piscola ( Mistral o 3R),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Kunstmann, bebidas  de marcas CCU.</t>
    </r>
  </si>
  <si>
    <t xml:space="preserve">Adicional coffe dentro del Salon </t>
  </si>
  <si>
    <t>Valor por persona</t>
  </si>
  <si>
    <t>Café, té, agua, jugo de pulpa, 2 facturitas ó 1 muffin y 1 tapadito.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</si>
  <si>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</si>
  <si>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.         La empresa contratante, debera pagar por daños a las habitaciones, o mobiliario, esto es valor de la reparacion o reposicion, mas los dias de no uso o no arriendo del bien o locacion.</t>
  </si>
  <si>
    <t>Almuerzo don distintas estaciones de comida, postres, café</t>
  </si>
  <si>
    <t>kamayaeventours@gmail.com</t>
  </si>
  <si>
    <t>Karina Amaya</t>
  </si>
  <si>
    <t>no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</si>
</sst>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164" formatCode="&quot;$&quot;#,##0;[Red]&quot;$&quot;\-#,##0"/>
    <numFmt numFmtId="165" formatCode="&quot;$&quot;#,##0"/>
    <numFmt numFmtId="166" formatCode="h:mm:ss;@"/>
  </numFmts>
  <fonts count="2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3C444F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 (Cuerpo)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Noto Sans Symbols"/>
    </font>
    <font>
      <sz val="7"/>
      <color rgb="FFFF0000"/>
      <name val="Times New Roman"/>
      <family val="1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6" fillId="0" borderId="5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0" fillId="0" borderId="1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4" fillId="0" borderId="0" xfId="116"/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20" fontId="9" fillId="0" borderId="0" xfId="0" applyNumberFormat="1" applyFont="1"/>
    <xf numFmtId="0" fontId="9" fillId="0" borderId="0" xfId="0" applyFont="1"/>
    <xf numFmtId="164" fontId="6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164" fontId="6" fillId="3" borderId="1" xfId="0" applyNumberFormat="1" applyFont="1" applyFill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indent="4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4" fontId="0" fillId="0" borderId="0" xfId="0" applyNumberFormat="1"/>
    <xf numFmtId="0" fontId="0" fillId="2" borderId="0" xfId="0" applyFill="1"/>
    <xf numFmtId="164" fontId="7" fillId="0" borderId="0" xfId="0" applyNumberFormat="1" applyFont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20" fontId="2" fillId="4" borderId="6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20" fontId="0" fillId="0" borderId="1" xfId="0" applyNumberFormat="1" applyBorder="1" applyAlignment="1">
      <alignment horizontal="center"/>
    </xf>
    <xf numFmtId="20" fontId="6" fillId="3" borderId="1" xfId="0" applyNumberFormat="1" applyFont="1" applyFill="1" applyBorder="1" applyAlignment="1">
      <alignment horizontal="center"/>
    </xf>
    <xf numFmtId="20" fontId="6" fillId="0" borderId="8" xfId="0" applyNumberFormat="1" applyFont="1" applyBorder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164" fontId="6" fillId="2" borderId="12" xfId="0" applyNumberFormat="1" applyFont="1" applyFill="1" applyBorder="1" applyAlignment="1">
      <alignment horizontal="right"/>
    </xf>
    <xf numFmtId="0" fontId="14" fillId="0" borderId="0" xfId="0" applyFont="1"/>
    <xf numFmtId="6" fontId="0" fillId="0" borderId="1" xfId="0" applyNumberFormat="1" applyBorder="1"/>
    <xf numFmtId="20" fontId="16" fillId="5" borderId="13" xfId="0" applyNumberFormat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5" borderId="13" xfId="0" applyFont="1" applyFill="1" applyBorder="1" applyAlignment="1">
      <alignment horizontal="left" vertical="center" wrapText="1"/>
    </xf>
    <xf numFmtId="0" fontId="17" fillId="5" borderId="13" xfId="0" applyFont="1" applyFill="1" applyBorder="1" applyAlignment="1">
      <alignment horizontal="left" vertical="center"/>
    </xf>
    <xf numFmtId="164" fontId="17" fillId="5" borderId="13" xfId="0" applyNumberFormat="1" applyFont="1" applyFill="1" applyBorder="1" applyAlignment="1">
      <alignment horizontal="right"/>
    </xf>
    <xf numFmtId="164" fontId="17" fillId="6" borderId="13" xfId="0" applyNumberFormat="1" applyFont="1" applyFill="1" applyBorder="1"/>
    <xf numFmtId="0" fontId="17" fillId="2" borderId="0" xfId="0" applyFont="1" applyFill="1"/>
    <xf numFmtId="0" fontId="16" fillId="5" borderId="13" xfId="0" applyFont="1" applyFill="1" applyBorder="1" applyAlignment="1">
      <alignment vertical="center"/>
    </xf>
    <xf numFmtId="164" fontId="16" fillId="5" borderId="13" xfId="0" applyNumberFormat="1" applyFont="1" applyFill="1" applyBorder="1" applyAlignment="1">
      <alignment horizontal="right" vertical="center"/>
    </xf>
    <xf numFmtId="164" fontId="16" fillId="5" borderId="13" xfId="0" applyNumberFormat="1" applyFont="1" applyFill="1" applyBorder="1" applyAlignment="1">
      <alignment horizontal="right"/>
    </xf>
    <xf numFmtId="0" fontId="16" fillId="5" borderId="13" xfId="0" applyFont="1" applyFill="1" applyBorder="1" applyAlignment="1">
      <alignment horizontal="left" vertical="center"/>
    </xf>
    <xf numFmtId="165" fontId="16" fillId="5" borderId="13" xfId="0" applyNumberFormat="1" applyFont="1" applyFill="1" applyBorder="1" applyAlignment="1">
      <alignment vertical="center"/>
    </xf>
    <xf numFmtId="0" fontId="16" fillId="5" borderId="13" xfId="0" applyFont="1" applyFill="1" applyBorder="1" applyAlignment="1">
      <alignment horizontal="left" wrapText="1"/>
    </xf>
    <xf numFmtId="0" fontId="15" fillId="5" borderId="13" xfId="0" applyFont="1" applyFill="1" applyBorder="1" applyAlignment="1">
      <alignment horizontal="left" wrapText="1"/>
    </xf>
    <xf numFmtId="0" fontId="16" fillId="0" borderId="15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164" fontId="16" fillId="0" borderId="16" xfId="0" applyNumberFormat="1" applyFont="1" applyBorder="1" applyAlignment="1">
      <alignment horizontal="right"/>
    </xf>
    <xf numFmtId="0" fontId="16" fillId="5" borderId="1" xfId="0" applyFont="1" applyFill="1" applyBorder="1"/>
    <xf numFmtId="0" fontId="16" fillId="5" borderId="1" xfId="0" applyFont="1" applyFill="1" applyBorder="1" applyAlignment="1">
      <alignment horizontal="center"/>
    </xf>
    <xf numFmtId="164" fontId="16" fillId="5" borderId="1" xfId="0" applyNumberFormat="1" applyFont="1" applyFill="1" applyBorder="1"/>
    <xf numFmtId="164" fontId="16" fillId="5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0" xfId="0" applyFont="1"/>
    <xf numFmtId="165" fontId="15" fillId="0" borderId="0" xfId="0" applyNumberFormat="1" applyFont="1"/>
    <xf numFmtId="165" fontId="15" fillId="0" borderId="0" xfId="0" applyNumberFormat="1" applyFont="1" applyAlignment="1">
      <alignment horizontal="center"/>
    </xf>
    <xf numFmtId="0" fontId="24" fillId="0" borderId="0" xfId="0" applyFont="1"/>
    <xf numFmtId="0" fontId="6" fillId="8" borderId="17" xfId="0" applyFont="1" applyFill="1" applyBorder="1" applyAlignment="1">
      <alignment horizontal="left"/>
    </xf>
    <xf numFmtId="0" fontId="16" fillId="5" borderId="16" xfId="0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16" fillId="5" borderId="18" xfId="0" applyFont="1" applyFill="1" applyBorder="1" applyAlignment="1">
      <alignment horizontal="left"/>
    </xf>
    <xf numFmtId="0" fontId="6" fillId="8" borderId="19" xfId="0" applyFont="1" applyFill="1" applyBorder="1" applyAlignment="1">
      <alignment wrapText="1"/>
    </xf>
    <xf numFmtId="20" fontId="6" fillId="8" borderId="16" xfId="0" applyNumberFormat="1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/>
    </xf>
    <xf numFmtId="165" fontId="6" fillId="7" borderId="16" xfId="0" applyNumberFormat="1" applyFont="1" applyFill="1" applyBorder="1" applyAlignment="1">
      <alignment horizontal="right" wrapText="1"/>
    </xf>
    <xf numFmtId="164" fontId="16" fillId="5" borderId="11" xfId="0" applyNumberFormat="1" applyFont="1" applyFill="1" applyBorder="1" applyAlignment="1">
      <alignment horizontal="right"/>
    </xf>
    <xf numFmtId="0" fontId="16" fillId="5" borderId="14" xfId="0" applyFont="1" applyFill="1" applyBorder="1" applyAlignment="1">
      <alignment horizontal="left" wrapText="1"/>
    </xf>
    <xf numFmtId="0" fontId="11" fillId="0" borderId="0" xfId="0" applyFont="1" applyAlignment="1">
      <alignment horizontal="left" vertical="center"/>
    </xf>
    <xf numFmtId="0" fontId="25" fillId="0" borderId="0" xfId="116" applyFont="1"/>
    <xf numFmtId="0" fontId="7" fillId="0" borderId="1" xfId="0" applyFont="1" applyBorder="1"/>
    <xf numFmtId="0" fontId="6" fillId="9" borderId="2" xfId="0" applyFont="1" applyFill="1" applyBorder="1" applyAlignment="1">
      <alignment horizontal="right"/>
    </xf>
    <xf numFmtId="20" fontId="6" fillId="9" borderId="3" xfId="0" applyNumberFormat="1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164" fontId="6" fillId="9" borderId="3" xfId="0" applyNumberFormat="1" applyFont="1" applyFill="1" applyBorder="1" applyAlignment="1">
      <alignment horizontal="right"/>
    </xf>
    <xf numFmtId="164" fontId="6" fillId="9" borderId="9" xfId="0" applyNumberFormat="1" applyFont="1" applyFill="1" applyBorder="1" applyAlignment="1">
      <alignment horizontal="right"/>
    </xf>
    <xf numFmtId="0" fontId="15" fillId="2" borderId="20" xfId="0" applyFont="1" applyFill="1" applyBorder="1" applyAlignment="1">
      <alignment horizontal="left"/>
    </xf>
  </cellXfs>
  <cellStyles count="175"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77" builtinId="8" hidden="1"/>
    <cellStyle name="Hipervínculo" xfId="6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5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3" builtinId="8" hidden="1"/>
    <cellStyle name="Hipervínculo" xfId="1" builtinId="8" hidden="1"/>
    <cellStyle name="Hipervínculo" xfId="116" builtinId="8"/>
    <cellStyle name="Hipervínculo visitado" xfId="68" builtinId="9" hidden="1"/>
    <cellStyle name="Hipervínculo visitado" xfId="72" builtinId="9" hidden="1"/>
    <cellStyle name="Hipervínculo visitado" xfId="76" builtinId="9" hidden="1"/>
    <cellStyle name="Hipervínculo visitado" xfId="80" builtinId="9" hidden="1"/>
    <cellStyle name="Hipervínculo visitado" xfId="84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3" builtinId="9" hidden="1"/>
    <cellStyle name="Hipervínculo visitado" xfId="171" builtinId="9" hidden="1"/>
    <cellStyle name="Hipervínculo visitado" xfId="169" builtinId="9" hidden="1"/>
    <cellStyle name="Hipervínculo visitado" xfId="167" builtinId="9" hidden="1"/>
    <cellStyle name="Hipervínculo visitado" xfId="165" builtinId="9" hidden="1"/>
    <cellStyle name="Hipervínculo visitado" xfId="163" builtinId="9" hidden="1"/>
    <cellStyle name="Hipervínculo visitado" xfId="161" builtinId="9" hidden="1"/>
    <cellStyle name="Hipervínculo visitado" xfId="159" builtinId="9" hidden="1"/>
    <cellStyle name="Hipervínculo visitado" xfId="157" builtinId="9" hidden="1"/>
    <cellStyle name="Hipervínculo visitado" xfId="155" builtinId="9" hidden="1"/>
    <cellStyle name="Hipervínculo visitado" xfId="153" builtinId="9" hidden="1"/>
    <cellStyle name="Hipervínculo visitado" xfId="151" builtinId="9" hidden="1"/>
    <cellStyle name="Hipervínculo visitado" xfId="149" builtinId="9" hidden="1"/>
    <cellStyle name="Hipervínculo visitado" xfId="147" builtinId="9" hidden="1"/>
    <cellStyle name="Hipervínculo visitado" xfId="145" builtinId="9" hidden="1"/>
    <cellStyle name="Hipervínculo visitado" xfId="143" builtinId="9" hidden="1"/>
    <cellStyle name="Hipervínculo visitado" xfId="141" builtinId="9" hidden="1"/>
    <cellStyle name="Hipervínculo visitado" xfId="139" builtinId="9" hidden="1"/>
    <cellStyle name="Hipervínculo visitado" xfId="137" builtinId="9" hidden="1"/>
    <cellStyle name="Hipervínculo visitado" xfId="135" builtinId="9" hidden="1"/>
    <cellStyle name="Hipervínculo visitado" xfId="133" builtinId="9" hidden="1"/>
    <cellStyle name="Hipervínculo visitado" xfId="131" builtinId="9" hidden="1"/>
    <cellStyle name="Hipervínculo visitado" xfId="129" builtinId="9" hidden="1"/>
    <cellStyle name="Hipervínculo visitado" xfId="127" builtinId="9" hidden="1"/>
    <cellStyle name="Hipervínculo visitado" xfId="125" builtinId="9" hidden="1"/>
    <cellStyle name="Hipervínculo visitado" xfId="123" builtinId="9" hidden="1"/>
    <cellStyle name="Hipervínculo visitado" xfId="121" builtinId="9" hidden="1"/>
    <cellStyle name="Hipervínculo visitado" xfId="119" builtinId="9" hidden="1"/>
    <cellStyle name="Hipervínculo visitado" xfId="117" builtinId="9" hidden="1"/>
    <cellStyle name="Hipervínculo visitado" xfId="114" builtinId="9" hidden="1"/>
    <cellStyle name="Hipervínculo visitado" xfId="112" builtinId="9" hidden="1"/>
    <cellStyle name="Hipervínculo visitado" xfId="110" builtinId="9" hidden="1"/>
    <cellStyle name="Hipervínculo visitado" xfId="108" builtinId="9" hidden="1"/>
    <cellStyle name="Hipervínculo visitado" xfId="106" builtinId="9" hidden="1"/>
    <cellStyle name="Hipervínculo visitado" xfId="104" builtinId="9" hidden="1"/>
    <cellStyle name="Hipervínculo visitado" xfId="102" builtinId="9" hidden="1"/>
    <cellStyle name="Hipervínculo visitado" xfId="100" builtinId="9" hidden="1"/>
    <cellStyle name="Hipervínculo visitado" xfId="98" builtinId="9" hidden="1"/>
    <cellStyle name="Hipervínculo visitado" xfId="96" builtinId="9" hidden="1"/>
    <cellStyle name="Hipervínculo visitado" xfId="94" builtinId="9" hidden="1"/>
    <cellStyle name="Hipervínculo visitado" xfId="92" builtinId="9" hidden="1"/>
    <cellStyle name="Hipervínculo visitado" xfId="90" builtinId="9" hidden="1"/>
    <cellStyle name="Hipervínculo visitado" xfId="88" builtinId="9" hidden="1"/>
    <cellStyle name="Hipervínculo visitado" xfId="86" builtinId="9" hidden="1"/>
    <cellStyle name="Hipervínculo visitado" xfId="82" builtinId="9" hidden="1"/>
    <cellStyle name="Hipervínculo visitado" xfId="78" builtinId="9" hidden="1"/>
    <cellStyle name="Hipervínculo visitado" xfId="74" builtinId="9" hidden="1"/>
    <cellStyle name="Hipervínculo visitado" xfId="70" builtinId="9" hidden="1"/>
    <cellStyle name="Hipervínculo visitado" xfId="66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4" builtinId="9" hidden="1"/>
    <cellStyle name="Hipervínculo visitado" xfId="62" builtinId="9" hidden="1"/>
    <cellStyle name="Hipervínculo visitado" xfId="54" builtinId="9" hidden="1"/>
    <cellStyle name="Hipervínculo visitado" xfId="46" builtinId="9" hidden="1"/>
    <cellStyle name="Hipervínculo visitado" xfId="38" builtinId="9" hidden="1"/>
    <cellStyle name="Hipervínculo visitado" xfId="30" builtinId="9" hidden="1"/>
    <cellStyle name="Hipervínculo visitado" xfId="22" builtinId="9" hidden="1"/>
    <cellStyle name="Hipervínculo visitado" xfId="10" builtinId="9" hidden="1"/>
    <cellStyle name="Hipervínculo visitado" xfId="12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14" builtinId="9" hidden="1"/>
    <cellStyle name="Hipervínculo visitado" xfId="6" builtinId="9" hidden="1"/>
    <cellStyle name="Hipervínculo visitado" xfId="8" builtinId="9" hidden="1"/>
    <cellStyle name="Hipervínculo visitado" xfId="4" builtinId="9" hidden="1"/>
    <cellStyle name="Hipervínculo visitado" xfId="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1981200</xdr:colOff>
      <xdr:row>5</xdr:row>
      <xdr:rowOff>209494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DF3605B5-A969-A940-827E-5D3D8C45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47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f@sflodge.cl" TargetMode="External"/><Relationship Id="rId1" Type="http://schemas.openxmlformats.org/officeDocument/2006/relationships/hyperlink" Target="mailto:sf@sflodg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76"/>
  <sheetViews>
    <sheetView tabSelected="1" workbookViewId="0">
      <selection activeCell="G20" sqref="G20"/>
    </sheetView>
  </sheetViews>
  <sheetFormatPr baseColWidth="10" defaultColWidth="11" defaultRowHeight="16"/>
  <cols>
    <col min="1" max="1" width="36.6640625" style="12" customWidth="1"/>
    <col min="2" max="2" width="11" style="12"/>
    <col min="4" max="4" width="12.1640625" customWidth="1"/>
    <col min="5" max="5" width="12.83203125" customWidth="1"/>
    <col min="6" max="6" width="11" style="12"/>
    <col min="7" max="7" width="103.1640625" style="12" customWidth="1"/>
    <col min="8" max="8" width="11" style="12"/>
    <col min="9" max="9" width="31" customWidth="1"/>
  </cols>
  <sheetData>
    <row r="1" spans="1:26" ht="20" customHeight="1">
      <c r="A1" s="1" t="s">
        <v>0</v>
      </c>
      <c r="B1" s="17"/>
      <c r="C1" s="15" t="s">
        <v>1</v>
      </c>
      <c r="F1"/>
      <c r="G1"/>
      <c r="H1"/>
    </row>
    <row r="2" spans="1:26" ht="20" customHeight="1">
      <c r="A2"/>
      <c r="B2" s="18"/>
      <c r="F2" s="39" t="s">
        <v>0</v>
      </c>
      <c r="G2" s="35" t="s">
        <v>2</v>
      </c>
      <c r="H2"/>
    </row>
    <row r="3" spans="1:26" ht="20" customHeight="1">
      <c r="A3" s="8" t="s">
        <v>3</v>
      </c>
      <c r="B3" s="29" t="s">
        <v>87</v>
      </c>
      <c r="D3" t="s">
        <v>4</v>
      </c>
      <c r="E3" s="8" t="s">
        <v>0</v>
      </c>
      <c r="F3"/>
      <c r="G3" s="19" t="s">
        <v>5</v>
      </c>
      <c r="H3"/>
    </row>
    <row r="4" spans="1:26" ht="20" customHeight="1">
      <c r="A4" s="8" t="s">
        <v>61</v>
      </c>
      <c r="B4" s="96" t="s">
        <v>86</v>
      </c>
      <c r="C4" s="16"/>
      <c r="D4" t="s">
        <v>6</v>
      </c>
      <c r="E4" s="52" t="s">
        <v>0</v>
      </c>
      <c r="F4"/>
      <c r="G4" s="20" t="s">
        <v>7</v>
      </c>
      <c r="H4"/>
    </row>
    <row r="5" spans="1:26" ht="20" customHeight="1">
      <c r="A5" s="8" t="s">
        <v>62</v>
      </c>
      <c r="B5" s="29"/>
      <c r="D5" t="s">
        <v>8</v>
      </c>
      <c r="E5" s="8">
        <v>400</v>
      </c>
      <c r="F5"/>
      <c r="G5" s="20" t="s">
        <v>9</v>
      </c>
      <c r="H5"/>
    </row>
    <row r="6" spans="1:26" ht="20" customHeight="1">
      <c r="A6" s="14" t="s">
        <v>10</v>
      </c>
      <c r="B6" s="30" t="s">
        <v>63</v>
      </c>
      <c r="C6" s="13"/>
      <c r="D6" s="13" t="s">
        <v>11</v>
      </c>
      <c r="E6" s="13">
        <v>974961403</v>
      </c>
      <c r="F6"/>
      <c r="G6" s="20" t="s">
        <v>12</v>
      </c>
      <c r="H6"/>
    </row>
    <row r="7" spans="1:26" ht="20" customHeight="1" thickBot="1">
      <c r="A7" s="13"/>
      <c r="B7" s="30"/>
      <c r="C7" s="13"/>
      <c r="D7" s="13"/>
      <c r="E7" s="13"/>
      <c r="F7" s="13" t="s">
        <v>0</v>
      </c>
      <c r="G7" s="20"/>
      <c r="H7"/>
    </row>
    <row r="8" spans="1:26" s="40" customFormat="1">
      <c r="A8" s="24" t="s">
        <v>62</v>
      </c>
      <c r="B8" s="45" t="s">
        <v>13</v>
      </c>
      <c r="C8" s="25" t="s">
        <v>14</v>
      </c>
      <c r="D8" s="25" t="s">
        <v>15</v>
      </c>
      <c r="E8" s="25" t="s">
        <v>16</v>
      </c>
      <c r="F8" s="25" t="s">
        <v>17</v>
      </c>
      <c r="G8" s="26" t="s">
        <v>18</v>
      </c>
      <c r="H8" s="46"/>
    </row>
    <row r="9" spans="1:26" s="40" customFormat="1" ht="33" customHeight="1">
      <c r="A9" s="23" t="s">
        <v>19</v>
      </c>
      <c r="B9" s="48" t="s">
        <v>64</v>
      </c>
      <c r="C9" s="22">
        <v>1</v>
      </c>
      <c r="D9" s="22">
        <v>400</v>
      </c>
      <c r="E9" s="31">
        <v>12500</v>
      </c>
      <c r="F9" s="21">
        <f>C9*D9*E9</f>
        <v>5000000</v>
      </c>
      <c r="G9" s="94" t="s">
        <v>83</v>
      </c>
      <c r="H9" s="46"/>
    </row>
    <row r="10" spans="1:26">
      <c r="A10" s="6" t="s">
        <v>21</v>
      </c>
      <c r="B10" s="97" t="s">
        <v>88</v>
      </c>
      <c r="C10" s="76">
        <v>0</v>
      </c>
      <c r="D10" s="76">
        <v>0</v>
      </c>
      <c r="E10" s="53">
        <v>9450</v>
      </c>
      <c r="F10" s="53">
        <v>0</v>
      </c>
      <c r="G10" s="6" t="s">
        <v>68</v>
      </c>
      <c r="H10"/>
    </row>
    <row r="11" spans="1:26" ht="15.75" customHeight="1">
      <c r="A11" s="72" t="s">
        <v>20</v>
      </c>
      <c r="B11" s="97" t="s">
        <v>88</v>
      </c>
      <c r="C11" s="73">
        <v>0</v>
      </c>
      <c r="D11" s="73">
        <v>0</v>
      </c>
      <c r="E11" s="74">
        <f>5800*1.1</f>
        <v>6380.0000000000009</v>
      </c>
      <c r="F11" s="75">
        <f t="shared" ref="F11:F13" si="0">C11*D11*E11</f>
        <v>0</v>
      </c>
      <c r="G11" s="86" t="s">
        <v>82</v>
      </c>
      <c r="H11"/>
    </row>
    <row r="12" spans="1:26" ht="15.75" customHeight="1">
      <c r="A12" s="72" t="s">
        <v>80</v>
      </c>
      <c r="B12" s="97" t="s">
        <v>88</v>
      </c>
      <c r="C12" s="73">
        <v>0</v>
      </c>
      <c r="D12" s="73">
        <v>0</v>
      </c>
      <c r="E12" s="74">
        <v>3500</v>
      </c>
      <c r="F12" s="75"/>
      <c r="G12" s="88" t="s">
        <v>81</v>
      </c>
      <c r="H12"/>
    </row>
    <row r="13" spans="1:26" ht="18" customHeight="1">
      <c r="A13" s="89" t="s">
        <v>78</v>
      </c>
      <c r="B13" s="90">
        <v>0.5625</v>
      </c>
      <c r="C13" s="91">
        <v>1</v>
      </c>
      <c r="D13" s="91">
        <v>400</v>
      </c>
      <c r="E13" s="92">
        <v>27320</v>
      </c>
      <c r="F13" s="93">
        <f t="shared" si="0"/>
        <v>10928000</v>
      </c>
      <c r="G13" s="85" t="s">
        <v>85</v>
      </c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2" t="s">
        <v>65</v>
      </c>
      <c r="B14" s="54">
        <v>0.5625</v>
      </c>
      <c r="C14" s="22">
        <v>2</v>
      </c>
      <c r="D14" s="22">
        <v>400</v>
      </c>
      <c r="E14" s="43">
        <v>1933</v>
      </c>
      <c r="F14" s="43">
        <f>C14*D14*E14</f>
        <v>1546400</v>
      </c>
      <c r="G14" s="44" t="s">
        <v>69</v>
      </c>
    </row>
    <row r="15" spans="1:26" s="61" customFormat="1" ht="15.75" customHeight="1">
      <c r="A15" s="58" t="s">
        <v>74</v>
      </c>
      <c r="B15" s="54">
        <v>0.5625</v>
      </c>
      <c r="C15" s="55">
        <v>0</v>
      </c>
      <c r="D15" s="55">
        <v>0</v>
      </c>
      <c r="E15" s="59">
        <v>13025</v>
      </c>
      <c r="F15" s="59">
        <f t="shared" ref="F15:F19" si="1">C15*D15*E15</f>
        <v>0</v>
      </c>
      <c r="G15" s="60" t="s">
        <v>67</v>
      </c>
    </row>
    <row r="16" spans="1:26" ht="15.75" customHeight="1">
      <c r="A16" s="62" t="s">
        <v>22</v>
      </c>
      <c r="B16" s="54">
        <v>0.75</v>
      </c>
      <c r="C16" s="55">
        <v>1</v>
      </c>
      <c r="D16" s="55">
        <v>400</v>
      </c>
      <c r="E16" s="63">
        <v>9800</v>
      </c>
      <c r="F16" s="64">
        <f t="shared" si="1"/>
        <v>3920000</v>
      </c>
      <c r="G16" s="65" t="s">
        <v>23</v>
      </c>
      <c r="H16"/>
    </row>
    <row r="17" spans="1:8" ht="15.75" customHeight="1">
      <c r="A17" s="65" t="s">
        <v>24</v>
      </c>
      <c r="B17" s="97" t="s">
        <v>88</v>
      </c>
      <c r="C17" s="55">
        <v>0</v>
      </c>
      <c r="D17" s="55">
        <v>0</v>
      </c>
      <c r="E17" s="66">
        <f>12000*1.1</f>
        <v>13200.000000000002</v>
      </c>
      <c r="F17" s="64">
        <f t="shared" si="1"/>
        <v>0</v>
      </c>
      <c r="G17" s="67" t="s">
        <v>25</v>
      </c>
      <c r="H17"/>
    </row>
    <row r="18" spans="1:8" ht="52" customHeight="1">
      <c r="A18" s="57" t="s">
        <v>26</v>
      </c>
      <c r="B18" s="97" t="s">
        <v>88</v>
      </c>
      <c r="C18" s="55">
        <v>0</v>
      </c>
      <c r="D18" s="55">
        <v>0</v>
      </c>
      <c r="E18" s="66">
        <f>15500*1.1</f>
        <v>17050</v>
      </c>
      <c r="F18" s="64">
        <f t="shared" si="1"/>
        <v>0</v>
      </c>
      <c r="G18" s="68" t="s">
        <v>27</v>
      </c>
      <c r="H18"/>
    </row>
    <row r="19" spans="1:8" ht="49" customHeight="1">
      <c r="A19" s="69" t="s">
        <v>28</v>
      </c>
      <c r="B19" s="97" t="s">
        <v>88</v>
      </c>
      <c r="C19" s="70">
        <v>0</v>
      </c>
      <c r="D19" s="70">
        <v>0</v>
      </c>
      <c r="E19" s="71">
        <v>4850</v>
      </c>
      <c r="F19" s="64">
        <f t="shared" si="1"/>
        <v>0</v>
      </c>
      <c r="G19" s="87" t="s">
        <v>79</v>
      </c>
      <c r="H19"/>
    </row>
    <row r="20" spans="1:8" ht="17" thickBot="1">
      <c r="A20" s="27" t="s">
        <v>66</v>
      </c>
      <c r="B20" s="47"/>
      <c r="C20" s="22">
        <v>1</v>
      </c>
      <c r="D20" s="22">
        <v>400</v>
      </c>
      <c r="E20" s="28">
        <f>25000/1.19</f>
        <v>21008.403361344539</v>
      </c>
      <c r="F20" s="21">
        <f>C20*D20*E20</f>
        <v>8403361.3445378151</v>
      </c>
      <c r="G20" s="103" t="s">
        <v>77</v>
      </c>
    </row>
    <row r="21" spans="1:8" ht="17" thickBot="1">
      <c r="A21" s="9" t="s">
        <v>29</v>
      </c>
      <c r="B21" s="49"/>
      <c r="C21" s="10"/>
      <c r="D21" s="10"/>
      <c r="E21" s="11"/>
      <c r="F21" s="51">
        <f>SUM(F9:F20)</f>
        <v>29797761.344537817</v>
      </c>
      <c r="G21" s="41" t="s">
        <v>0</v>
      </c>
    </row>
    <row r="22" spans="1:8">
      <c r="A22" s="2" t="s">
        <v>30</v>
      </c>
      <c r="B22" s="50"/>
      <c r="C22" s="7"/>
      <c r="D22" s="7"/>
      <c r="E22" s="5"/>
      <c r="F22" s="3">
        <f>F21*1.19-F21</f>
        <v>5661574.6554621831</v>
      </c>
      <c r="G22" s="4"/>
    </row>
    <row r="23" spans="1:8">
      <c r="A23" s="98" t="s">
        <v>31</v>
      </c>
      <c r="B23" s="99"/>
      <c r="C23" s="100"/>
      <c r="D23" s="100"/>
      <c r="E23" s="101"/>
      <c r="F23" s="102">
        <f>F21+F22</f>
        <v>35459336</v>
      </c>
      <c r="G23" s="4" t="s">
        <v>32</v>
      </c>
    </row>
    <row r="24" spans="1:8" ht="15" customHeight="1"/>
    <row r="27" spans="1:8">
      <c r="A27" s="32" t="s">
        <v>33</v>
      </c>
      <c r="B27"/>
      <c r="G27"/>
      <c r="H27"/>
    </row>
    <row r="28" spans="1:8">
      <c r="A28" s="33" t="s">
        <v>34</v>
      </c>
      <c r="B28" s="33" t="s">
        <v>35</v>
      </c>
      <c r="G28"/>
      <c r="H28"/>
    </row>
    <row r="29" spans="1:8">
      <c r="A29" s="33" t="s">
        <v>36</v>
      </c>
      <c r="B29" s="33" t="s">
        <v>37</v>
      </c>
      <c r="G29"/>
      <c r="H29"/>
    </row>
    <row r="30" spans="1:8">
      <c r="A30" s="33" t="s">
        <v>38</v>
      </c>
      <c r="B30" s="33" t="s">
        <v>39</v>
      </c>
      <c r="G30"/>
      <c r="H30"/>
    </row>
    <row r="31" spans="1:8">
      <c r="A31" s="33" t="s">
        <v>40</v>
      </c>
      <c r="B31" s="33" t="s">
        <v>41</v>
      </c>
      <c r="G31"/>
      <c r="H31"/>
    </row>
    <row r="32" spans="1:8">
      <c r="A32" s="33" t="s">
        <v>42</v>
      </c>
      <c r="B32" s="33" t="s">
        <v>43</v>
      </c>
      <c r="F32"/>
      <c r="G32"/>
      <c r="H32"/>
    </row>
    <row r="33" spans="1:26">
      <c r="A33" s="33" t="s">
        <v>44</v>
      </c>
      <c r="B33" s="33" t="s">
        <v>45</v>
      </c>
      <c r="F33"/>
      <c r="G33"/>
      <c r="H33"/>
    </row>
    <row r="34" spans="1:26">
      <c r="A34" s="33" t="s">
        <v>6</v>
      </c>
      <c r="B34" s="80">
        <v>29539311</v>
      </c>
      <c r="F34"/>
      <c r="G34"/>
      <c r="H34"/>
    </row>
    <row r="35" spans="1:26">
      <c r="A35" s="38" t="s">
        <v>46</v>
      </c>
      <c r="B35"/>
      <c r="F35"/>
      <c r="G35"/>
      <c r="H35"/>
    </row>
    <row r="37" spans="1:26" ht="15.75" customHeight="1">
      <c r="A37" s="77" t="s">
        <v>70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9" t="s">
        <v>71</v>
      </c>
      <c r="B38"/>
      <c r="F38"/>
      <c r="G38"/>
      <c r="H38"/>
    </row>
    <row r="39" spans="1:26" ht="15.75" customHeight="1">
      <c r="A39" s="79" t="s">
        <v>72</v>
      </c>
      <c r="B39"/>
      <c r="F39"/>
      <c r="G39"/>
      <c r="H39"/>
    </row>
    <row r="40" spans="1:26" ht="15.75" customHeight="1">
      <c r="A40" s="79" t="s">
        <v>73</v>
      </c>
      <c r="B40"/>
      <c r="F40"/>
      <c r="G40"/>
      <c r="H40"/>
    </row>
    <row r="41" spans="1:26" ht="15.75" customHeight="1">
      <c r="A41" s="81" t="s">
        <v>75</v>
      </c>
      <c r="B41" s="56"/>
      <c r="E41" s="82"/>
      <c r="F41" s="83"/>
      <c r="G41" s="56"/>
      <c r="H41" s="56"/>
    </row>
    <row r="42" spans="1:26" ht="15.75" customHeight="1">
      <c r="A42" s="81" t="s">
        <v>84</v>
      </c>
      <c r="B42" s="56"/>
      <c r="E42" s="82"/>
      <c r="F42" s="83"/>
      <c r="G42" s="56"/>
      <c r="H42" s="56"/>
    </row>
    <row r="43" spans="1:26">
      <c r="A43" s="84" t="s">
        <v>76</v>
      </c>
      <c r="B43" s="18"/>
      <c r="F43"/>
      <c r="G43"/>
      <c r="H43"/>
    </row>
    <row r="44" spans="1:26">
      <c r="A44"/>
      <c r="B44" s="18"/>
      <c r="F44"/>
      <c r="G44"/>
      <c r="H44"/>
    </row>
    <row r="45" spans="1:26">
      <c r="A45" s="32" t="s">
        <v>47</v>
      </c>
      <c r="B45"/>
      <c r="F45"/>
      <c r="G45"/>
      <c r="H45"/>
    </row>
    <row r="46" spans="1:26">
      <c r="A46" s="33" t="s">
        <v>48</v>
      </c>
      <c r="B46"/>
      <c r="F46"/>
      <c r="G46"/>
      <c r="H46"/>
    </row>
    <row r="47" spans="1:26">
      <c r="A47" s="34" t="s">
        <v>49</v>
      </c>
      <c r="B47"/>
      <c r="F47"/>
      <c r="G47"/>
      <c r="H47"/>
    </row>
    <row r="48" spans="1:26">
      <c r="A48" s="34" t="s">
        <v>50</v>
      </c>
      <c r="B48"/>
      <c r="F48"/>
      <c r="G48"/>
      <c r="H48"/>
    </row>
    <row r="49" spans="1:8">
      <c r="A49" s="32" t="s">
        <v>51</v>
      </c>
      <c r="B49"/>
      <c r="F49"/>
      <c r="G49"/>
      <c r="H49"/>
    </row>
    <row r="50" spans="1:8">
      <c r="A50" s="34" t="s">
        <v>52</v>
      </c>
      <c r="B50"/>
      <c r="F50"/>
      <c r="G50"/>
      <c r="H50"/>
    </row>
    <row r="51" spans="1:8">
      <c r="A51" s="32" t="s">
        <v>53</v>
      </c>
      <c r="B51"/>
      <c r="F51"/>
      <c r="G51"/>
      <c r="H51"/>
    </row>
    <row r="52" spans="1:8">
      <c r="A52" s="34" t="s">
        <v>54</v>
      </c>
      <c r="B52"/>
      <c r="F52"/>
      <c r="G52"/>
      <c r="H52"/>
    </row>
    <row r="53" spans="1:8">
      <c r="A53" s="34" t="s">
        <v>55</v>
      </c>
      <c r="B53"/>
      <c r="F53"/>
      <c r="G53"/>
      <c r="H53"/>
    </row>
    <row r="54" spans="1:8">
      <c r="A54" s="34" t="s">
        <v>56</v>
      </c>
      <c r="B54"/>
      <c r="F54"/>
      <c r="G54"/>
      <c r="H54"/>
    </row>
    <row r="55" spans="1:8">
      <c r="A55" s="34" t="s">
        <v>57</v>
      </c>
      <c r="B55"/>
      <c r="F55"/>
      <c r="G55"/>
      <c r="H55"/>
    </row>
    <row r="56" spans="1:8">
      <c r="A56" s="33"/>
      <c r="B56"/>
      <c r="F56"/>
      <c r="G56"/>
      <c r="H56"/>
    </row>
    <row r="57" spans="1:8">
      <c r="A57" s="33" t="s">
        <v>58</v>
      </c>
      <c r="B57" s="33"/>
      <c r="C57" s="33"/>
      <c r="D57" s="33"/>
      <c r="E57" s="33"/>
      <c r="F57" s="33"/>
      <c r="G57"/>
      <c r="H57"/>
    </row>
    <row r="58" spans="1:8">
      <c r="A58" s="36"/>
      <c r="B58"/>
      <c r="F58"/>
      <c r="G58"/>
      <c r="H58"/>
    </row>
    <row r="59" spans="1:8">
      <c r="A59" s="37" t="s">
        <v>59</v>
      </c>
      <c r="B59"/>
      <c r="F59"/>
      <c r="G59"/>
      <c r="H59"/>
    </row>
    <row r="60" spans="1:8" ht="16" customHeight="1">
      <c r="A60" s="95" t="s">
        <v>60</v>
      </c>
      <c r="B60" s="95"/>
      <c r="C60" s="95"/>
      <c r="D60" s="95"/>
      <c r="E60" s="95"/>
      <c r="F60" s="95"/>
      <c r="G60"/>
      <c r="H60"/>
    </row>
    <row r="61" spans="1:8">
      <c r="A61" s="33"/>
      <c r="B61"/>
      <c r="F61"/>
      <c r="G61"/>
      <c r="H61"/>
    </row>
    <row r="62" spans="1:8">
      <c r="A62" s="32" t="s">
        <v>33</v>
      </c>
      <c r="B62"/>
      <c r="F62"/>
      <c r="G62"/>
      <c r="H62"/>
    </row>
    <row r="63" spans="1:8">
      <c r="A63" s="33" t="s">
        <v>34</v>
      </c>
      <c r="B63" s="33" t="s">
        <v>35</v>
      </c>
      <c r="F63"/>
      <c r="G63"/>
      <c r="H63"/>
    </row>
    <row r="64" spans="1:8">
      <c r="A64" s="33" t="s">
        <v>36</v>
      </c>
      <c r="B64" s="33" t="s">
        <v>37</v>
      </c>
      <c r="F64"/>
      <c r="G64"/>
      <c r="H64"/>
    </row>
    <row r="65" spans="1:8">
      <c r="A65" s="33" t="s">
        <v>38</v>
      </c>
      <c r="B65" s="33" t="s">
        <v>39</v>
      </c>
      <c r="F65"/>
      <c r="G65"/>
      <c r="H65"/>
    </row>
    <row r="66" spans="1:8">
      <c r="A66" s="33" t="s">
        <v>40</v>
      </c>
      <c r="B66" s="33" t="s">
        <v>41</v>
      </c>
      <c r="F66"/>
      <c r="G66"/>
      <c r="H66"/>
    </row>
    <row r="67" spans="1:8">
      <c r="A67" s="33" t="s">
        <v>42</v>
      </c>
      <c r="B67" s="33" t="s">
        <v>43</v>
      </c>
      <c r="F67"/>
      <c r="G67"/>
      <c r="H67"/>
    </row>
    <row r="68" spans="1:8">
      <c r="A68" s="33" t="s">
        <v>44</v>
      </c>
      <c r="B68" s="33" t="s">
        <v>45</v>
      </c>
      <c r="F68"/>
      <c r="G68"/>
      <c r="H68"/>
    </row>
    <row r="69" spans="1:8">
      <c r="A69" s="33" t="s">
        <v>6</v>
      </c>
      <c r="B69" s="33">
        <v>29539311</v>
      </c>
      <c r="F69"/>
      <c r="G69"/>
      <c r="H69"/>
    </row>
    <row r="70" spans="1:8">
      <c r="A70" s="38" t="s">
        <v>46</v>
      </c>
      <c r="B70"/>
      <c r="F70"/>
      <c r="G70"/>
      <c r="H70"/>
    </row>
    <row r="71" spans="1:8">
      <c r="A71"/>
      <c r="B71" s="18"/>
      <c r="F71"/>
      <c r="G71"/>
      <c r="H71"/>
    </row>
    <row r="72" spans="1:8">
      <c r="A72"/>
      <c r="B72" s="18"/>
      <c r="F72"/>
      <c r="G72"/>
      <c r="H72"/>
    </row>
    <row r="73" spans="1:8">
      <c r="A73"/>
      <c r="B73" s="18"/>
      <c r="F73"/>
      <c r="G73"/>
      <c r="H73"/>
    </row>
    <row r="74" spans="1:8">
      <c r="A74"/>
      <c r="B74" s="18"/>
      <c r="F74"/>
      <c r="G74"/>
      <c r="H74"/>
    </row>
    <row r="75" spans="1:8">
      <c r="A75"/>
      <c r="B75" s="18"/>
      <c r="F75"/>
      <c r="G75"/>
      <c r="H75"/>
    </row>
    <row r="76" spans="1:8">
      <c r="A76"/>
      <c r="B76" s="18"/>
      <c r="F76"/>
      <c r="G76"/>
      <c r="H76"/>
    </row>
  </sheetData>
  <mergeCells count="1">
    <mergeCell ref="A60:F60"/>
  </mergeCells>
  <hyperlinks>
    <hyperlink ref="A70" r:id="rId1" display="mailto:sf@sflodge.cl" xr:uid="{57DF8044-FB95-C949-BA16-42BAF80495A0}"/>
    <hyperlink ref="A35" r:id="rId2" display="mailto:sf@sflodge.cl" xr:uid="{F820DFDB-B4C1-4448-B2A2-A730DA7D99B9}"/>
  </hyperlinks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 por 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Rodriguez</dc:creator>
  <cp:keywords/>
  <dc:description/>
  <cp:lastModifiedBy>carmen rodriguez delgado</cp:lastModifiedBy>
  <cp:revision/>
  <dcterms:created xsi:type="dcterms:W3CDTF">2014-07-29T17:30:41Z</dcterms:created>
  <dcterms:modified xsi:type="dcterms:W3CDTF">2025-12-15T15:49:11Z</dcterms:modified>
  <cp:category/>
  <cp:contentStatus/>
</cp:coreProperties>
</file>